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 Per Segment" sheetId="1" r:id="rId5"/>
    <sheet state="visible" name="Sim_Progression_p25" sheetId="2" r:id="rId6"/>
    <sheet state="visible" name="Sim_Progression_p50" sheetId="3" r:id="rId7"/>
    <sheet state="visible" name="Sim_Progression_p75" sheetId="4" r:id="rId8"/>
    <sheet state="visible" name="milestone_3day_new" sheetId="5" r:id="rId9"/>
    <sheet state="visible" name="milestone_4day_new" sheetId="6" r:id="rId10"/>
    <sheet state="visible" name="daily_rewards_old" sheetId="7" r:id="rId11"/>
    <sheet state="visible" name="daily_rewards_new" sheetId="8" r:id="rId12"/>
    <sheet state="visible" name="saga_progression_old" sheetId="9" r:id="rId13"/>
    <sheet state="visible" name="saga_progression_new" sheetId="10" r:id="rId14"/>
    <sheet state="visible" name="data_raw_3_day" sheetId="11" r:id="rId15"/>
    <sheet state="visible" name="data_raw_4_day" sheetId="12" r:id="rId16"/>
    <sheet state="visible" name="item_val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tc={5bf0ac51-f1d6-44d7-8a45-b0988a8db677}</author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  <comment authorId="1" xr:uid="{5bf0ac51-f1d6-44d7-8a45-b0988a8db677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numbers are averaged out from most common placements and amounts. This DOES NOT represent any of the real configs, only a combination of them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tc={c03cf8ce-2e0d-4944-b837-61c66c956b5f}</author>
  </authors>
  <commentList>
    <comment authorId="0" xr:uid="{c03cf8ce-2e0d-4944-b837-61c66c956b5f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Per participating player per active event-day. '-' = event not running in window.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tc={5bb9b364-ca35-4c47-91ac-7590860c573b}</author>
  </authors>
  <commentList>
    <comment authorId="0" xr:uid="{5bb9b364-ca35-4c47-91ac-7590860c573b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Per participating player per active event-day. '-' = event not running in window.
</t>
      </text>
    </comment>
  </commentList>
</comments>
</file>

<file path=xl/sharedStrings.xml><?xml version="1.0" encoding="utf-8"?>
<sst xmlns="http://schemas.openxmlformats.org/spreadsheetml/2006/main" count="759" uniqueCount="212">
  <si>
    <t>RAINBOW MAKER - SIM PER SEGMENT (0 players excluded)</t>
  </si>
  <si>
    <t>◆ 3-DAY MILESTONE EVENT</t>
  </si>
  <si>
    <t>◄ CURRENT (actuals: data + calc) ►</t>
  </si>
  <si>
    <t>◄ % Players Reaching Milestone M1–M30 (data) ►</t>
  </si>
  <si>
    <t>◄ SIMULATED (Milestone Event: sim + calc) ►</t>
  </si>
  <si>
    <t>Segment</t>
  </si>
  <si>
    <t>avg levels (data)</t>
  </si>
  <si>
    <t>matches/level (data)</t>
  </si>
  <si>
    <t>matchables p50 (data)</t>
  </si>
  <si>
    <t>current gain (data)</t>
  </si>
  <si>
    <t>saga old (data)</t>
  </si>
  <si>
    <t>daily old (data)</t>
  </si>
  <si>
    <t>Hatchling Hideaway Gain (data)</t>
  </si>
  <si>
    <t>Bomb's Ballet Gain (data)</t>
  </si>
  <si>
    <t>Photoshoot Gain (data)</t>
  </si>
  <si>
    <t>Jigsaw Gain (data)</t>
  </si>
  <si>
    <t>Low Intensity Events Avg (calc)</t>
  </si>
  <si>
    <t>other gain (calc)</t>
  </si>
  <si>
    <t>spend (data)</t>
  </si>
  <si>
    <t>net (calc)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</si>
  <si>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</si>
  <si>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</si>
  <si>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</si>
  <si>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</si>
  <si>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</si>
  <si>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</si>
  <si>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</si>
  <si>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</si>
  <si>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</si>
  <si>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</si>
  <si>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</si>
  <si>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</si>
  <si>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</si>
  <si>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</si>
  <si>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</si>
  <si>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</si>
  <si>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</si>
  <si>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</si>
  <si>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</si>
  <si>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</si>
  <si>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</si>
  <si>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</si>
  <si>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</si>
  <si>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</si>
  <si>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</si>
  <si>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</si>
  <si>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</si>
  <si>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</si>
  <si>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</si>
  <si>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</si>
  <si>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saga new (sim)</t>
  </si>
  <si>
    <t>daily new (sim)</t>
  </si>
  <si>
    <t>Milestone Coins (sim)</t>
  </si>
  <si>
    <t>sim gain on-top (calc)</t>
  </si>
  <si>
    <t>sim gain without (calc)</t>
  </si>
  <si>
    <t>spend same (data)</t>
  </si>
  <si>
    <t>net on-top (calc)</t>
  </si>
  <si>
    <t xml:space="preserve">Δ </t>
  </si>
  <si>
    <t>net without (calc)</t>
  </si>
  <si>
    <t>NONPAYER</t>
  </si>
  <si>
    <t>0-9</t>
  </si>
  <si>
    <t>10-19</t>
  </si>
  <si>
    <t>20-39</t>
  </si>
  <si>
    <t>40-99</t>
  </si>
  <si>
    <t>100+</t>
  </si>
  <si>
    <t>PAYER</t>
  </si>
  <si>
    <t>⭐</t>
  </si>
  <si>
    <t>◆ 4-DAY MILESTONE EVENT</t>
  </si>
  <si>
    <t xml:space="preserve">RAINBOW MAKER - SIM PROGRESSION (p25) </t>
  </si>
  <si>
    <t>◆ 3-DAY PROGRESSION</t>
  </si>
  <si>
    <t>Milestone</t>
  </si>
  <si>
    <t>Matchables Req</t>
  </si>
  <si>
    <t>Req Accum</t>
  </si>
  <si>
    <t>Chest</t>
  </si>
  <si>
    <t>NP 0-9</t>
  </si>
  <si>
    <t>NP 10-19</t>
  </si>
  <si>
    <t>NP 20-39</t>
  </si>
  <si>
    <t>NP 40-99</t>
  </si>
  <si>
    <t>NP 100+</t>
  </si>
  <si>
    <t>P 0-9</t>
  </si>
  <si>
    <t>P 10-19</t>
  </si>
  <si>
    <t>P 20-39</t>
  </si>
  <si>
    <t>P 40-99</t>
  </si>
  <si>
    <t>P 100+</t>
  </si>
  <si>
    <t>◆ 4-DAY PROGRESSION</t>
  </si>
  <si>
    <t>RAINBOW MAKER - SIM PROGRESSION (p50)</t>
  </si>
  <si>
    <t>RAINBOW MAKER - SIM PROGRESSION (p75)</t>
  </si>
  <si>
    <t>MILESTONE CONFIG 3 day</t>
  </si>
  <si>
    <t>HC spend est</t>
  </si>
  <si>
    <t>Net</t>
  </si>
  <si>
    <t>item vals</t>
  </si>
  <si>
    <t>wip</t>
  </si>
  <si>
    <t>Coin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</si>
  <si>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</si>
  <si>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</si>
  <si>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</si>
  <si>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</si>
  <si>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</si>
  <si>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</si>
  <si>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</si>
  <si>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</si>
  <si>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</si>
  <si>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</si>
  <si>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</si>
  <si>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Levels to Finish</t>
  </si>
  <si>
    <t>npu 1-9</t>
  </si>
  <si>
    <t>npu 10-19</t>
  </si>
  <si>
    <t>npu 20-39</t>
  </si>
  <si>
    <t>npu 40-99</t>
  </si>
  <si>
    <t>pu 1-9</t>
  </si>
  <si>
    <t>pu 10-19</t>
  </si>
  <si>
    <t>pu 20-39</t>
  </si>
  <si>
    <t>pu 40-99</t>
  </si>
  <si>
    <t>Reward HC value</t>
  </si>
  <si>
    <t>Cum HC value</t>
  </si>
  <si>
    <t>Suggested
Matchables Req</t>
  </si>
  <si>
    <t>Suggested
Req Accum</t>
  </si>
  <si>
    <t>PAU 100+ p25
(% reach)</t>
  </si>
  <si>
    <t>PAU 100+ p50
(% reach)</t>
  </si>
  <si>
    <t>PAU 100+ p75
(% reach)</t>
  </si>
  <si>
    <t>PAU 100+ p90
(% reach)</t>
  </si>
  <si>
    <t>MILESTONE CONFIG 4 day</t>
  </si>
  <si>
    <t>wiup</t>
  </si>
  <si>
    <t>Daily Rewards - OLD Config</t>
  </si>
  <si>
    <t>⚠️ Important! This is the old daily rewards BEFORE NS Test. If NS gets baselined, it would be prudent to update this</t>
  </si>
  <si>
    <t>Day</t>
  </si>
  <si>
    <t>HC Reward</t>
  </si>
  <si>
    <t>👁</t>
  </si>
  <si>
    <t>Variant 1</t>
  </si>
  <si>
    <t>cur</t>
  </si>
  <si>
    <t>image</t>
  </si>
  <si>
    <t>Coins</t>
  </si>
  <si>
    <t>Total per cycle</t>
  </si>
  <si>
    <t>Avg HC/day (7d)</t>
  </si>
  <si>
    <t>Variant 2</t>
  </si>
  <si>
    <t>Variant 3</t>
  </si>
  <si>
    <t>Variant 4</t>
  </si>
  <si>
    <t>Variant 5</t>
  </si>
  <si>
    <t>Daily Rewards - NEW Config</t>
  </si>
  <si>
    <t>all segs</t>
  </si>
  <si>
    <t>% of old</t>
  </si>
  <si>
    <t>Saga Progression - OLD Config</t>
  </si>
  <si>
    <t>⚠️ Important! This is the old saga BEFORE NS Test. If NS gets baselined, it would be prudent to update this</t>
  </si>
  <si>
    <t>Node</t>
  </si>
  <si>
    <t>Levels Req</t>
  </si>
  <si>
    <t>Coin Val</t>
  </si>
  <si>
    <t>HC per level</t>
  </si>
  <si>
    <t>Saga Progression - NEW Config (5-segment scheme)</t>
  </si>
  <si>
    <t>Original</t>
  </si>
  <si>
    <t>Old Nerf</t>
  </si>
  <si>
    <t>% of not nerfed</t>
  </si>
  <si>
    <t>population</t>
  </si>
  <si>
    <t>avg_completions_7d_bucket</t>
  </si>
  <si>
    <t>players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</si>
  <si>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</si>
  <si>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</si>
  <si>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</si>
  <si>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</si>
  <si>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</si>
  <si>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</si>
  <si>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avg_levels_window</t>
  </si>
  <si>
    <t>avg_active_days_window</t>
  </si>
  <si>
    <t>matchables_per_level</t>
  </si>
  <si>
    <t>avg_hc_gain_total</t>
  </si>
  <si>
    <t>avg_hc_gain_saga</t>
  </si>
  <si>
    <t>avg_hc_gain_daily_gift</t>
  </si>
  <si>
    <t>avg_hc_gain_other</t>
  </si>
  <si>
    <t>avg_hc_spent</t>
  </si>
  <si>
    <t>avg_hc_net</t>
  </si>
  <si>
    <t>hc_hatchling_per_participant_day</t>
  </si>
  <si>
    <t>hc_bomb_ballet_per_participant_day</t>
  </si>
  <si>
    <t>hc_photoshoot_per_participant_day</t>
  </si>
  <si>
    <t>hc_jigsaw_per_participant_day</t>
  </si>
  <si>
    <t>pct_reach_m01</t>
  </si>
  <si>
    <t>pct_reach_m02</t>
  </si>
  <si>
    <t>pct_reach_m03</t>
  </si>
  <si>
    <t>pct_reach_m04</t>
  </si>
  <si>
    <t>pct_reach_m05</t>
  </si>
  <si>
    <t>pct_reach_m06</t>
  </si>
  <si>
    <t>pct_reach_m07</t>
  </si>
  <si>
    <t>pct_reach_m08</t>
  </si>
  <si>
    <t>pct_reach_m09</t>
  </si>
  <si>
    <t>pct_reach_m10</t>
  </si>
  <si>
    <t>pct_reach_m11</t>
  </si>
  <si>
    <t>pct_reach_m12</t>
  </si>
  <si>
    <t>pct_reach_m13</t>
  </si>
  <si>
    <t>pct_reach_m14</t>
  </si>
  <si>
    <t>pct_reach_m15</t>
  </si>
  <si>
    <t>pct_reach_m16</t>
  </si>
  <si>
    <t>pct_reach_m17</t>
  </si>
  <si>
    <t>pct_reach_m18</t>
  </si>
  <si>
    <t>pct_reach_m19</t>
  </si>
  <si>
    <t>pct_reach_m20</t>
  </si>
  <si>
    <t>pct_reach_m21</t>
  </si>
  <si>
    <t>pct_reach_m22</t>
  </si>
  <si>
    <t>pct_reach_m23</t>
  </si>
  <si>
    <t>pct_reach_m24</t>
  </si>
  <si>
    <t>pct_reach_m25</t>
  </si>
  <si>
    <t>pct_reach_m26</t>
  </si>
  <si>
    <t>pct_reach_m27</t>
  </si>
  <si>
    <t>pct_reach_m28</t>
  </si>
  <si>
    <t>pct_reach_m29</t>
  </si>
  <si>
    <t>pct_reach_m30</t>
  </si>
  <si>
    <t>Non-payer</t>
  </si>
  <si>
    <t>A. 0</t>
  </si>
  <si>
    <t>-</t>
  </si>
  <si>
    <t>B. 1-9</t>
  </si>
  <si>
    <t>C. 10-19</t>
  </si>
  <si>
    <t>D. 20-39</t>
  </si>
  <si>
    <t>E. 40-99</t>
  </si>
  <si>
    <t>F. 100+</t>
  </si>
  <si>
    <t>Payer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</si>
</sst>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"/>
    <numFmt numFmtId="166" formatCode="0.000"/>
    <numFmt numFmtId="167" formatCode="0.0%"/>
  </numFmts>
  <fonts count="36">
    <font>
      <sz val="11.0"/>
      <color theme="1"/>
      <name val="Calibri"/>
      <scheme val="minor"/>
    </font>
    <font>
      <b/>
      <sz val="13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b/>
      <i/>
      <sz val="9.0"/>
      <color rgb="FFC00000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8.0"/>
      <color rgb="FFFFFFFF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sz val="11.0"/>
      <color rgb="FF000000"/>
      <name val="Arial"/>
    </font>
    <font>
      <i/>
      <sz val="11.0"/>
      <color rgb="FF666666"/>
      <name val="Arial"/>
    </font>
    <font>
      <i/>
      <sz val="11.0"/>
      <color theme="1"/>
      <name val="Arial"/>
    </font>
    <font>
      <sz val="8.0"/>
      <color theme="1"/>
      <name val="Calibri"/>
    </font>
    <font>
      <b/>
      <sz val="9.0"/>
      <color rgb="FFFFFFFF"/>
      <name val="Arial"/>
    </font>
    <font>
      <color theme="1"/>
      <name val="Calibri"/>
      <scheme val="minor"/>
    </font>
    <font>
      <b/>
      <sz val="9.0"/>
      <color theme="1"/>
      <name val="Arial"/>
    </font>
    <font>
      <color theme="1"/>
      <name val="Arial"/>
    </font>
    <font>
      <b/>
      <sz val="14.0"/>
      <color theme="1"/>
      <name val="Arial"/>
    </font>
    <font>
      <sz val="11.0"/>
      <color rgb="FFFF0000"/>
      <name val="Calibri"/>
    </font>
    <font>
      <b/>
      <sz val="12.0"/>
      <color rgb="FFFFFFFF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0.0"/>
      <color theme="1"/>
      <name val="Arial"/>
    </font>
    <font>
      <sz val="11.0"/>
      <color rgb="FF000000"/>
      <name val="Calibri"/>
    </font>
    <font>
      <i/>
      <sz val="9.0"/>
      <color rgb="FF666666"/>
      <name val="Arial"/>
    </font>
    <font>
      <sz val="10.0"/>
      <color rgb="FFFF0000"/>
      <name val="Arial"/>
    </font>
    <font>
      <sz val="11.0"/>
      <color rgb="FFFF0000"/>
      <name val="Arial"/>
    </font>
    <font>
      <b/>
      <sz val="10.0"/>
      <color rgb="FF000000"/>
      <name val="Arial"/>
    </font>
    <font>
      <b/>
      <sz val="11.0"/>
      <color rgb="FFFF0000"/>
      <name val="Arial"/>
    </font>
    <font>
      <b/>
      <sz val="11.0"/>
      <color rgb="FFFF0000"/>
      <name val="Calibri"/>
    </font>
    <font>
      <b/>
      <sz val="10.0"/>
      <color rgb="FFCC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29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1" fillId="2" fontId="6" numFmtId="0" xfId="0" applyBorder="1" applyFont="1"/>
    <xf borderId="1" fillId="3" fontId="5" numFmtId="0" xfId="0" applyBorder="1" applyFill="1" applyFont="1"/>
    <xf borderId="1" fillId="3" fontId="7" numFmtId="0" xfId="0" applyBorder="1" applyFont="1"/>
    <xf borderId="1" fillId="4" fontId="5" numFmtId="0" xfId="0" applyBorder="1" applyFill="1" applyFont="1"/>
    <xf borderId="2" fillId="5" fontId="8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2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8" fontId="10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0" fillId="0" fontId="11" numFmtId="0" xfId="0" applyAlignment="1" applyFont="1">
      <alignment horizontal="center"/>
    </xf>
    <xf borderId="1" fillId="6" fontId="11" numFmtId="164" xfId="0" applyAlignment="1" applyBorder="1" applyFont="1" applyNumberFormat="1">
      <alignment horizontal="center"/>
    </xf>
    <xf borderId="1" fillId="7" fontId="11" numFmtId="164" xfId="0" applyAlignment="1" applyBorder="1" applyFont="1" applyNumberFormat="1">
      <alignment horizontal="center"/>
    </xf>
    <xf borderId="8" fillId="7" fontId="11" numFmtId="164" xfId="0" applyAlignment="1" applyBorder="1" applyFont="1" applyNumberFormat="1">
      <alignment horizontal="center"/>
    </xf>
    <xf borderId="4" fillId="6" fontId="2" numFmtId="9" xfId="0" applyAlignment="1" applyBorder="1" applyFont="1" applyNumberFormat="1">
      <alignment horizontal="center"/>
    </xf>
    <xf borderId="1" fillId="6" fontId="2" numFmtId="9" xfId="0" applyAlignment="1" applyBorder="1" applyFont="1" applyNumberFormat="1">
      <alignment horizontal="center"/>
    </xf>
    <xf borderId="5" fillId="6" fontId="2" numFmtId="9" xfId="0" applyAlignment="1" applyBorder="1" applyFont="1" applyNumberFormat="1">
      <alignment horizontal="center"/>
    </xf>
    <xf borderId="1" fillId="7" fontId="3" numFmtId="164" xfId="0" applyAlignment="1" applyBorder="1" applyFont="1" applyNumberFormat="1">
      <alignment horizontal="center"/>
    </xf>
    <xf borderId="1" fillId="7" fontId="12" numFmtId="164" xfId="0" applyAlignment="1" applyBorder="1" applyFont="1" applyNumberFormat="1">
      <alignment horizontal="center"/>
    </xf>
    <xf borderId="0" fillId="0" fontId="13" numFmtId="0" xfId="0" applyFont="1"/>
    <xf borderId="0" fillId="0" fontId="3" numFmtId="0" xfId="0" applyAlignment="1" applyFont="1">
      <alignment horizontal="right" readingOrder="0"/>
    </xf>
    <xf borderId="0" fillId="0" fontId="14" numFmtId="0" xfId="0" applyFont="1"/>
    <xf borderId="0" fillId="0" fontId="1" numFmtId="0" xfId="0" applyAlignment="1" applyFont="1">
      <alignment readingOrder="0"/>
    </xf>
    <xf borderId="2" fillId="8" fontId="15" numFmtId="0" xfId="0" applyAlignment="1" applyBorder="1" applyFont="1">
      <alignment horizontal="center"/>
    </xf>
    <xf borderId="1" fillId="9" fontId="11" numFmtId="3" xfId="0" applyAlignment="1" applyBorder="1" applyFill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9" fillId="10" fontId="11" numFmtId="0" xfId="0" applyAlignment="1" applyBorder="1" applyFill="1" applyFont="1">
      <alignment horizontal="center"/>
    </xf>
    <xf borderId="2" fillId="7" fontId="11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2" fillId="8" fontId="15" numFmtId="0" xfId="0" applyAlignment="1" applyBorder="1" applyFont="1">
      <alignment horizontal="center" shrinkToFit="0" vertical="center" wrapText="1"/>
    </xf>
    <xf borderId="10" fillId="8" fontId="15" numFmtId="0" xfId="0" applyAlignment="1" applyBorder="1" applyFont="1">
      <alignment horizontal="center" shrinkToFit="0" vertical="center" wrapText="1"/>
    </xf>
    <xf borderId="0" fillId="0" fontId="11" numFmtId="165" xfId="0" applyFont="1" applyNumberFormat="1"/>
    <xf borderId="0" fillId="0" fontId="6" numFmtId="165" xfId="0" applyAlignment="1" applyFont="1" applyNumberFormat="1">
      <alignment horizontal="center" vertical="bottom"/>
    </xf>
    <xf borderId="0" fillId="0" fontId="17" numFmtId="0" xfId="0" applyAlignment="1" applyFont="1">
      <alignment horizontal="center"/>
    </xf>
    <xf borderId="9" fillId="11" fontId="11" numFmtId="3" xfId="0" applyAlignment="1" applyBorder="1" applyFill="1" applyFont="1" applyNumberFormat="1">
      <alignment horizontal="center"/>
    </xf>
    <xf borderId="9" fillId="12" fontId="11" numFmtId="3" xfId="0" applyAlignment="1" applyBorder="1" applyFill="1" applyFont="1" applyNumberFormat="1">
      <alignment horizontal="center"/>
    </xf>
    <xf borderId="9" fillId="0" fontId="16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center"/>
    </xf>
    <xf borderId="0" fillId="12" fontId="16" numFmtId="2" xfId="0" applyAlignment="1" applyFont="1" applyNumberFormat="1">
      <alignment horizontal="center"/>
    </xf>
    <xf borderId="1" fillId="13" fontId="11" numFmtId="3" xfId="0" applyAlignment="1" applyBorder="1" applyFill="1" applyFont="1" applyNumberFormat="1">
      <alignment horizontal="center"/>
    </xf>
    <xf borderId="2" fillId="7" fontId="11" numFmtId="9" xfId="0" applyAlignment="1" applyBorder="1" applyFont="1" applyNumberFormat="1">
      <alignment horizontal="center"/>
    </xf>
    <xf borderId="0" fillId="0" fontId="16" numFmtId="0" xfId="0" applyFont="1"/>
    <xf borderId="11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9" fillId="13" fontId="18" numFmtId="0" xfId="0" applyAlignment="1" applyBorder="1" applyFont="1">
      <alignment horizontal="center" vertical="bottom"/>
    </xf>
    <xf borderId="9" fillId="14" fontId="18" numFmtId="0" xfId="0" applyAlignment="1" applyBorder="1" applyFill="1" applyFont="1">
      <alignment vertical="bottom"/>
    </xf>
    <xf borderId="0" fillId="14" fontId="18" numFmtId="0" xfId="0" applyAlignment="1" applyFont="1">
      <alignment vertical="bottom"/>
    </xf>
    <xf borderId="9" fillId="15" fontId="18" numFmtId="0" xfId="0" applyAlignment="1" applyBorder="1" applyFill="1" applyFont="1">
      <alignment vertical="bottom"/>
    </xf>
    <xf borderId="0" fillId="15" fontId="18" numFmtId="0" xfId="0" applyAlignment="1" applyFont="1">
      <alignment vertical="bottom"/>
    </xf>
    <xf borderId="0" fillId="13" fontId="18" numFmtId="0" xfId="0" applyAlignment="1" applyFont="1">
      <alignment horizontal="center" vertical="bottom"/>
    </xf>
    <xf borderId="11" fillId="14" fontId="18" numFmtId="0" xfId="0" applyAlignment="1" applyBorder="1" applyFont="1">
      <alignment vertical="bottom"/>
    </xf>
    <xf borderId="12" fillId="15" fontId="18" numFmtId="0" xfId="0" applyAlignment="1" applyBorder="1" applyFont="1">
      <alignment vertical="bottom"/>
    </xf>
    <xf borderId="0" fillId="0" fontId="16" numFmtId="166" xfId="0" applyFont="1" applyNumberFormat="1"/>
    <xf borderId="0" fillId="0" fontId="19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13" fillId="16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16" fontId="21" numFmtId="0" xfId="0" applyAlignment="1" applyFont="1">
      <alignment horizontal="left" readingOrder="0" shrinkToFit="0" wrapText="0"/>
    </xf>
    <xf borderId="0" fillId="16" fontId="22" numFmtId="0" xfId="0" applyAlignment="1" applyFont="1">
      <alignment horizontal="left" shrinkToFit="0" wrapText="0"/>
    </xf>
    <xf borderId="14" fillId="0" fontId="23" numFmtId="0" xfId="0" applyAlignment="1" applyBorder="1" applyFont="1">
      <alignment horizontal="center" shrinkToFit="0" vertical="center" wrapText="1"/>
    </xf>
    <xf borderId="13" fillId="17" fontId="2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15" fillId="6" fontId="25" numFmtId="0" xfId="0" applyAlignment="1" applyBorder="1" applyFont="1">
      <alignment horizontal="center" readingOrder="0" shrinkToFit="0" wrapText="0"/>
    </xf>
    <xf borderId="15" fillId="6" fontId="2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6" fillId="0" fontId="23" numFmtId="0" xfId="0" applyAlignment="1" applyBorder="1" applyFont="1">
      <alignment horizontal="center" shrinkToFit="0" vertical="center" wrapText="1"/>
    </xf>
    <xf borderId="16" fillId="17" fontId="24" numFmtId="0" xfId="0" applyAlignment="1" applyBorder="1" applyFont="1">
      <alignment horizontal="center" shrinkToFit="0" vertical="center" wrapText="1"/>
    </xf>
    <xf borderId="15" fillId="12" fontId="25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horizontal="center" readingOrder="0" shrinkToFit="0" vertical="bottom" wrapText="0"/>
    </xf>
    <xf borderId="15" fillId="0" fontId="26" numFmtId="0" xfId="0" applyAlignment="1" applyBorder="1" applyFont="1">
      <alignment horizontal="center" readingOrder="0" shrinkToFit="0" vertical="bottom" wrapText="0"/>
    </xf>
    <xf borderId="17" fillId="0" fontId="23" numFmtId="0" xfId="0" applyAlignment="1" applyBorder="1" applyFont="1">
      <alignment horizontal="center" shrinkToFit="0" vertical="center" wrapText="1"/>
    </xf>
    <xf borderId="18" fillId="17" fontId="24" numFmtId="0" xfId="0" applyAlignment="1" applyBorder="1" applyFont="1">
      <alignment horizontal="center" shrinkToFit="0" vertical="center" wrapText="1"/>
    </xf>
    <xf borderId="9" fillId="0" fontId="27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shrinkToFit="0" vertical="bottom" wrapText="0"/>
    </xf>
    <xf borderId="9" fillId="0" fontId="24" numFmtId="2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shrinkToFit="0" vertical="bottom" wrapText="0"/>
    </xf>
    <xf borderId="11" fillId="0" fontId="23" numFmtId="0" xfId="0" applyAlignment="1" applyBorder="1" applyFont="1">
      <alignment horizontal="center" shrinkToFit="0" vertical="center" wrapText="1"/>
    </xf>
    <xf borderId="13" fillId="12" fontId="30" numFmtId="0" xfId="0" applyAlignment="1" applyBorder="1" applyFont="1">
      <alignment horizontal="center" shrinkToFit="0" vertical="center" wrapText="1"/>
    </xf>
    <xf borderId="19" fillId="0" fontId="23" numFmtId="0" xfId="0" applyAlignment="1" applyBorder="1" applyFont="1">
      <alignment horizontal="center" shrinkToFit="0" vertical="center" wrapText="1"/>
    </xf>
    <xf borderId="16" fillId="12" fontId="24" numFmtId="0" xfId="0" applyAlignment="1" applyBorder="1" applyFont="1">
      <alignment horizontal="center" shrinkToFit="0" vertical="center" wrapText="1"/>
    </xf>
    <xf borderId="15" fillId="0" fontId="31" numFmtId="0" xfId="0" applyAlignment="1" applyBorder="1" applyFont="1">
      <alignment horizontal="center" readingOrder="0" shrinkToFit="0" vertical="bottom" wrapText="0"/>
    </xf>
    <xf borderId="16" fillId="12" fontId="30" numFmtId="0" xfId="0" applyAlignment="1" applyBorder="1" applyFont="1">
      <alignment horizontal="center"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18" fillId="12" fontId="24" numFmtId="0" xfId="0" applyAlignment="1" applyBorder="1" applyFont="1">
      <alignment horizontal="center" shrinkToFit="0" vertical="center" wrapText="1"/>
    </xf>
    <xf borderId="9" fillId="0" fontId="24" numFmtId="167" xfId="0" applyAlignment="1" applyBorder="1" applyFont="1" applyNumberFormat="1">
      <alignment horizontal="center" shrinkToFit="0" vertical="center" wrapText="1"/>
    </xf>
    <xf borderId="11" fillId="16" fontId="5" numFmtId="0" xfId="0" applyAlignment="1" applyBorder="1" applyFont="1">
      <alignment horizontal="center" readingOrder="0" shrinkToFit="0" wrapText="1"/>
    </xf>
    <xf borderId="9" fillId="16" fontId="5" numFmtId="0" xfId="0" applyAlignment="1" applyBorder="1" applyFont="1">
      <alignment horizontal="center" readingOrder="0" shrinkToFit="0" wrapText="1"/>
    </xf>
    <xf borderId="11" fillId="16" fontId="5" numFmtId="0" xfId="0" applyAlignment="1" applyBorder="1" applyFont="1">
      <alignment horizontal="center" shrinkToFit="0" wrapText="1"/>
    </xf>
    <xf borderId="21" fillId="17" fontId="24" numFmtId="0" xfId="0" applyAlignment="1" applyBorder="1" applyFont="1">
      <alignment horizontal="center" shrinkToFit="0" vertical="center" wrapText="1"/>
    </xf>
    <xf borderId="22" fillId="17" fontId="24" numFmtId="0" xfId="0" applyAlignment="1" applyBorder="1" applyFont="1">
      <alignment horizontal="center" shrinkToFit="0" vertical="center" wrapText="1"/>
    </xf>
    <xf borderId="14" fillId="11" fontId="11" numFmtId="0" xfId="0" applyAlignment="1" applyBorder="1" applyFont="1">
      <alignment horizontal="center" readingOrder="0" shrinkToFit="0" vertical="bottom" wrapText="1"/>
    </xf>
    <xf borderId="23" fillId="11" fontId="11" numFmtId="0" xfId="0" applyAlignment="1" applyBorder="1" applyFont="1">
      <alignment horizontal="center" readingOrder="0" shrinkToFit="0" vertical="bottom" wrapText="1"/>
    </xf>
    <xf borderId="0" fillId="11" fontId="11" numFmtId="0" xfId="0" applyAlignment="1" applyFont="1">
      <alignment horizontal="center" readingOrder="0" shrinkToFit="0" vertical="bottom" wrapText="1"/>
    </xf>
    <xf borderId="24" fillId="11" fontId="11" numFmtId="0" xfId="0" applyAlignment="1" applyBorder="1" applyFont="1">
      <alignment horizontal="center" readingOrder="0" shrinkToFit="0" vertical="bottom" wrapText="1"/>
    </xf>
    <xf borderId="0" fillId="5" fontId="6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right" readingOrder="0"/>
    </xf>
    <xf borderId="1" fillId="17" fontId="24" numFmtId="0" xfId="0" applyAlignment="1" applyBorder="1" applyFont="1">
      <alignment horizontal="center" shrinkToFit="0" vertical="center" wrapText="1"/>
    </xf>
    <xf borderId="5" fillId="17" fontId="24" numFmtId="0" xfId="0" applyAlignment="1" applyBorder="1" applyFont="1">
      <alignment horizontal="center" shrinkToFit="0" vertical="center" wrapText="1"/>
    </xf>
    <xf borderId="6" fillId="11" fontId="11" numFmtId="0" xfId="0" applyAlignment="1" applyBorder="1" applyFont="1">
      <alignment horizontal="center" readingOrder="0" shrinkToFit="0" vertical="bottom" wrapText="1"/>
    </xf>
    <xf borderId="7" fillId="11" fontId="11" numFmtId="0" xfId="0" applyAlignment="1" applyBorder="1" applyFont="1">
      <alignment horizontal="center" readingOrder="0" shrinkToFit="0" vertical="bottom" wrapText="1"/>
    </xf>
    <xf borderId="25" fillId="17" fontId="24" numFmtId="0" xfId="0" applyAlignment="1" applyBorder="1" applyFont="1">
      <alignment horizontal="center" shrinkToFit="0" vertical="center" wrapText="1"/>
    </xf>
    <xf borderId="26" fillId="17" fontId="24" numFmtId="0" xfId="0" applyAlignment="1" applyBorder="1" applyFont="1">
      <alignment horizontal="center" shrinkToFit="0" vertical="center" wrapText="1"/>
    </xf>
    <xf borderId="17" fillId="11" fontId="11" numFmtId="0" xfId="0" applyAlignment="1" applyBorder="1" applyFont="1">
      <alignment horizontal="center" readingOrder="0" shrinkToFit="0" vertical="bottom" wrapText="1"/>
    </xf>
    <xf borderId="27" fillId="11" fontId="11" numFmtId="0" xfId="0" applyAlignment="1" applyBorder="1" applyFont="1">
      <alignment horizontal="center" readingOrder="0" shrinkToFit="0" vertical="bottom" wrapText="1"/>
    </xf>
    <xf borderId="28" fillId="11" fontId="11" numFmtId="0" xfId="0" applyAlignment="1" applyBorder="1" applyFont="1">
      <alignment horizontal="center" readingOrder="0" shrinkToFit="0" vertical="bottom" wrapText="1"/>
    </xf>
    <xf borderId="0" fillId="0" fontId="19" numFmtId="0" xfId="0" applyAlignment="1" applyFont="1">
      <alignment readingOrder="0" shrinkToFit="0" vertical="bottom" wrapText="0"/>
    </xf>
    <xf borderId="15" fillId="9" fontId="32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  <xf borderId="9" fillId="18" fontId="5" numFmtId="0" xfId="0" applyAlignment="1" applyBorder="1" applyFill="1" applyFont="1">
      <alignment horizontal="center" shrinkToFit="0" vertical="center" wrapText="1"/>
    </xf>
    <xf borderId="9" fillId="16" fontId="5" numFmtId="0" xfId="0" applyAlignment="1" applyBorder="1" applyFont="1">
      <alignment horizontal="center" shrinkToFit="0" wrapText="1"/>
    </xf>
    <xf borderId="21" fillId="11" fontId="24" numFmtId="0" xfId="0" applyAlignment="1" applyBorder="1" applyFont="1">
      <alignment horizontal="center" shrinkToFit="0" vertical="center" wrapText="1"/>
    </xf>
    <xf borderId="22" fillId="11" fontId="11" numFmtId="0" xfId="0" applyAlignment="1" applyBorder="1" applyFont="1">
      <alignment horizontal="center" readingOrder="0" shrinkToFit="0" vertical="bottom" wrapText="1"/>
    </xf>
    <xf borderId="0" fillId="19" fontId="24" numFmtId="0" xfId="0" applyAlignment="1" applyFill="1" applyFont="1">
      <alignment horizontal="center" shrinkToFit="0" vertical="center" wrapText="1"/>
    </xf>
    <xf borderId="0" fillId="19" fontId="6" numFmtId="0" xfId="0" applyAlignment="1" applyFont="1">
      <alignment horizontal="center" readingOrder="0" shrinkToFit="0" vertical="bottom" wrapText="0"/>
    </xf>
    <xf borderId="14" fillId="11" fontId="11" numFmtId="0" xfId="0" applyAlignment="1" applyBorder="1" applyFont="1">
      <alignment horizontal="center" shrinkToFit="0" vertical="bottom" wrapText="1"/>
    </xf>
    <xf borderId="23" fillId="11" fontId="11" numFmtId="0" xfId="0" applyAlignment="1" applyBorder="1" applyFont="1">
      <alignment horizontal="center" shrinkToFit="0" vertical="bottom" wrapText="1"/>
    </xf>
    <xf borderId="24" fillId="11" fontId="11" numFmtId="0" xfId="0" applyAlignment="1" applyBorder="1" applyFont="1">
      <alignment horizontal="center" shrinkToFit="0" vertical="bottom" wrapText="1"/>
    </xf>
    <xf borderId="1" fillId="11" fontId="24" numFmtId="0" xfId="0" applyAlignment="1" applyBorder="1" applyFont="1">
      <alignment horizontal="center" shrinkToFit="0" vertical="center" wrapText="1"/>
    </xf>
    <xf borderId="5" fillId="11" fontId="11" numFmtId="0" xfId="0" applyAlignment="1" applyBorder="1" applyFont="1">
      <alignment horizontal="center" readingOrder="0" shrinkToFit="0" vertical="bottom" wrapText="1"/>
    </xf>
    <xf borderId="6" fillId="11" fontId="11" numFmtId="0" xfId="0" applyAlignment="1" applyBorder="1" applyFont="1">
      <alignment horizontal="center" shrinkToFit="0" vertical="bottom" wrapText="1"/>
    </xf>
    <xf borderId="0" fillId="11" fontId="11" numFmtId="0" xfId="0" applyAlignment="1" applyFont="1">
      <alignment horizontal="center" shrinkToFit="0" vertical="bottom" wrapText="1"/>
    </xf>
    <xf borderId="7" fillId="11" fontId="11" numFmtId="0" xfId="0" applyAlignment="1" applyBorder="1" applyFont="1">
      <alignment horizontal="center" shrinkToFit="0" vertical="bottom" wrapText="1"/>
    </xf>
    <xf borderId="5" fillId="11" fontId="31" numFmtId="0" xfId="0" applyAlignment="1" applyBorder="1" applyFont="1">
      <alignment horizontal="center" readingOrder="0" shrinkToFit="0" vertical="bottom" wrapText="1"/>
    </xf>
    <xf borderId="0" fillId="11" fontId="31" numFmtId="0" xfId="0" applyAlignment="1" applyFont="1">
      <alignment horizontal="center" readingOrder="0" shrinkToFit="0" vertical="bottom" wrapText="1"/>
    </xf>
    <xf borderId="25" fillId="11" fontId="24" numFmtId="0" xfId="0" applyAlignment="1" applyBorder="1" applyFont="1">
      <alignment horizontal="center" shrinkToFit="0" vertical="center" wrapText="1"/>
    </xf>
    <xf borderId="26" fillId="11" fontId="33" numFmtId="0" xfId="0" applyAlignment="1" applyBorder="1" applyFont="1">
      <alignment horizontal="center" readingOrder="0" shrinkToFit="0" vertical="bottom" wrapText="1"/>
    </xf>
    <xf borderId="17" fillId="11" fontId="11" numFmtId="0" xfId="0" applyAlignment="1" applyBorder="1" applyFont="1">
      <alignment horizontal="center" shrinkToFit="0" vertical="bottom" wrapText="1"/>
    </xf>
    <xf borderId="27" fillId="11" fontId="11" numFmtId="0" xfId="0" applyAlignment="1" applyBorder="1" applyFont="1">
      <alignment horizontal="center" shrinkToFit="0" vertical="bottom" wrapText="1"/>
    </xf>
    <xf borderId="28" fillId="11" fontId="11" numFmtId="0" xfId="0" applyAlignment="1" applyBorder="1" applyFont="1">
      <alignment horizontal="center" shrinkToFit="0" vertical="bottom" wrapText="1"/>
    </xf>
    <xf borderId="9" fillId="0" fontId="18" numFmtId="0" xfId="0" applyAlignment="1" applyBorder="1" applyFont="1">
      <alignment horizontal="center" shrinkToFit="0" wrapText="1"/>
    </xf>
    <xf borderId="9" fillId="0" fontId="18" numFmtId="2" xfId="0" applyAlignment="1" applyBorder="1" applyFont="1" applyNumberFormat="1">
      <alignment horizontal="center" shrinkToFit="0" wrapText="1"/>
    </xf>
    <xf borderId="0" fillId="0" fontId="6" numFmtId="0" xfId="0" applyAlignment="1" applyFont="1">
      <alignment vertical="bottom"/>
    </xf>
    <xf borderId="9" fillId="0" fontId="18" numFmtId="167" xfId="0" applyAlignment="1" applyBorder="1" applyFont="1" applyNumberFormat="1">
      <alignment horizontal="center" shrinkToFit="0" wrapText="1"/>
    </xf>
    <xf borderId="0" fillId="0" fontId="34" numFmtId="0" xfId="0" applyAlignment="1" applyFont="1">
      <alignment shrinkToFit="0" vertical="bottom" wrapText="0"/>
    </xf>
    <xf borderId="2" fillId="8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vertical="center" wrapText="1"/>
    </xf>
    <xf borderId="1" fillId="6" fontId="11" numFmtId="4" xfId="0" applyAlignment="1" applyBorder="1" applyFont="1" applyNumberFormat="1">
      <alignment horizontal="center" readingOrder="0"/>
    </xf>
    <xf borderId="0" fillId="0" fontId="35" numFmtId="0" xfId="0" applyFont="1"/>
    <xf borderId="1" fillId="8" fontId="17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readingOrder="0"/>
    </xf>
    <xf borderId="1" fillId="6" fontId="11" numFmtId="4" xfId="0" applyAlignment="1" applyBorder="1" applyFont="1" applyNumberFormat="1">
      <alignment readingOrder="0"/>
    </xf>
    <xf borderId="2" fillId="0" fontId="11" numFmtId="0" xfId="0" applyAlignment="1" applyBorder="1" applyFont="1">
      <alignment horizontal="center"/>
    </xf>
  </cellXfs>
  <cellStyles count="1">
    <cellStyle xfId="0" name="Normal" builtinId="0"/>
  </cellStyles>
  <dxfs count="12">
    <dxf>
      <font/>
      <fill>
        <patternFill patternType="solid">
          <fgColor rgb="FFDAFFEB"/>
          <bgColor rgb="FFDAFFEB"/>
        </patternFill>
      </fill>
      <border/>
    </dxf>
    <dxf>
      <font/>
      <fill>
        <patternFill patternType="solid">
          <fgColor rgb="FFABF6CE"/>
          <bgColor rgb="FFABF6CE"/>
        </patternFill>
      </fill>
      <border/>
    </dxf>
    <dxf>
      <font/>
      <fill>
        <patternFill patternType="solid">
          <fgColor rgb="FF90EFBD"/>
          <bgColor rgb="FF90EFBD"/>
        </patternFill>
      </fill>
      <border/>
    </dxf>
    <dxf>
      <font/>
      <fill>
        <patternFill patternType="solid">
          <fgColor rgb="FF77D8A5"/>
          <bgColor rgb="FF77D8A5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b/>
        <color rgb="FF980000"/>
      </font>
      <fill>
        <patternFill patternType="none"/>
      </fill>
      <border/>
    </dxf>
    <dxf>
      <font>
        <b/>
      </font>
      <fill>
        <patternFill patternType="none"/>
      </fill>
      <border/>
    </dxf>
  </dxfs>
  <tableStyles count="4">
    <tableStyle count="2" pivot="0" name="milestone_3day_new-style">
      <tableStyleElement dxfId="7" type="firstRowStripe"/>
      <tableStyleElement dxfId="8" type="secondRowStripe"/>
    </tableStyle>
    <tableStyle count="2" pivot="0" name="milestone_3day_new-style 2">
      <tableStyleElement dxfId="7" type="firstRowStripe"/>
      <tableStyleElement dxfId="8" type="secondRowStripe"/>
    </tableStyle>
    <tableStyle count="2" pivot="0" name="milestone_4day_new-style">
      <tableStyleElement dxfId="7" type="firstRowStripe"/>
      <tableStyleElement dxfId="8" type="secondRowStripe"/>
    </tableStyle>
    <tableStyle count="2" pivot="0" name="milestone_4day_new-style 2"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80975" cy="18097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71450" cy="1809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71450" cy="1809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80975" cy="180975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71450" cy="180975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3</xdr:row>
      <xdr:rowOff>0</xdr:rowOff>
    </xdr:from>
    <xdr:ext cx="247650" cy="1905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171450" cy="19050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171450" cy="190500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171450" cy="19050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190500"/>
    <xdr:pic>
      <xdr:nvPicPr>
        <xdr:cNvPr id="0" name="image2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180975" cy="190500"/>
    <xdr:pic>
      <xdr:nvPicPr>
        <xdr:cNvPr id="0" name="image2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80975" cy="190500"/>
    <xdr:pic>
      <xdr:nvPicPr>
        <xdr:cNvPr id="0" name="image2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180975" cy="190500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4</xdr:row>
      <xdr:rowOff>0</xdr:rowOff>
    </xdr:from>
    <xdr:ext cx="247650" cy="190500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61925" cy="180975"/>
    <xdr:pic>
      <xdr:nvPicPr>
        <xdr:cNvPr id="0" name="image3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71450" cy="190500"/>
    <xdr:pic>
      <xdr:nvPicPr>
        <xdr:cNvPr id="0" name="image3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180975" cy="180975"/>
    <xdr:pic>
      <xdr:nvPicPr>
        <xdr:cNvPr id="0" name="image4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200025" cy="190500"/>
    <xdr:pic>
      <xdr:nvPicPr>
        <xdr:cNvPr id="0" name="image4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3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3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15</xdr:row>
      <xdr:rowOff>0</xdr:rowOff>
    </xdr:from>
    <xdr:ext cx="180975" cy="190500"/>
    <xdr:pic>
      <xdr:nvPicPr>
        <xdr:cNvPr id="0" name="image3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known Author" id="{c3335e8c-4470-4212-bba8-734bdbd8448f}" providerId="google-sheets"/>
</x18tc:personList>
</file>

<file path=xl/tables/table1.xml><?xml version="1.0" encoding="utf-8"?>
<table xmlns="http://schemas.openxmlformats.org/spreadsheetml/2006/main" headerRowCount="0" ref="E4:P33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ilestone_3day_new-style" showColumnStripes="0" showFirstColumn="1" showLastColumn="1" showRowStripes="1"/>
</table>
</file>

<file path=xl/tables/table2.xml><?xml version="1.0" encoding="utf-8"?>
<table xmlns="http://schemas.openxmlformats.org/spreadsheetml/2006/main" headerRowCount="0" ref="L50:AS79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ilestone_3day_new-style 2" showColumnStripes="0" showFirstColumn="1" showLastColumn="1" showRowStripes="1"/>
</table>
</file>

<file path=xl/tables/table3.xml><?xml version="1.0" encoding="utf-8"?>
<table xmlns="http://schemas.openxmlformats.org/spreadsheetml/2006/main" headerRowCount="0" ref="E4:AI33" displayName="Table_3" name="Table_3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milestone_4day_new-style" showColumnStripes="0" showFirstColumn="1" showLastColumn="1" showRowStripes="1"/>
</table>
</file>

<file path=xl/tables/table4.xml><?xml version="1.0" encoding="utf-8"?>
<table xmlns="http://schemas.openxmlformats.org/spreadsheetml/2006/main" headerRowCount="0" ref="L50:AR79" displayName="Table_4" name="Table_4" id="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ilestone_4day_ne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6-10T08:42:43.00" personId="{c3335e8c-4470-4212-bba8-734bdbd8448f}" id="{5bf0ac51-f1d6-44d7-8a45-b0988a8db677}" done="0">
    <x18tc:text xml:space="preserve">The numbers are averaged out from most common placements and amounts. This DOES NOT represent any of the real configs, only a combination of them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" dT="2026-06-10T08:42:43.00" personId="{c3335e8c-4470-4212-bba8-734bdbd8448f}" id="{c03cf8ce-2e0d-4944-b837-61c66c956b5f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Per participating player per active event-day. '-' = event not running in window.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" dT="2026-06-10T08:42:43.00" personId="{c3335e8c-4470-4212-bba8-734bdbd8448f}" id="{5bb9b364-ca35-4c47-91ac-7590860c573b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Per participating player per active event-day. '-' = event not running in window.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9.0"/>
    <col customWidth="1" min="4" max="4" width="11.0"/>
    <col customWidth="1" min="5" max="5" width="9.0"/>
    <col customWidth="1" min="6" max="7" width="8.0"/>
    <col customWidth="1" min="8" max="8" width="11.0"/>
    <col customWidth="1" min="9" max="9" width="9.0"/>
    <col customWidth="1" min="10" max="12" width="11.0"/>
    <col customWidth="1" min="13" max="13" width="9.0"/>
    <col customWidth="1" min="14" max="14" width="8.0"/>
    <col customWidth="1" min="15" max="15" width="9.0"/>
    <col customWidth="1" min="16" max="45" width="4.71"/>
    <col customWidth="1" min="46" max="46" width="5.29"/>
    <col customWidth="1" min="47" max="48" width="9.0"/>
    <col customWidth="1" min="49" max="49" width="11.0"/>
    <col customWidth="1" min="50" max="51" width="11.43"/>
    <col customWidth="1" min="52" max="52" width="9.0"/>
    <col customWidth="1" min="53" max="53" width="11.0"/>
    <col customWidth="1" min="54" max="54" width="7.0"/>
    <col customWidth="1" min="55" max="55" width="11.0"/>
    <col customWidth="1" min="56" max="60" width="7.0"/>
  </cols>
  <sheetData>
    <row r="1" ht="15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ht="14.25" customHeight="1">
      <c r="A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ht="15.0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ht="15.0" customHeight="1"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 t="s">
        <v>3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3"/>
      <c r="AU4" s="9" t="s">
        <v>4</v>
      </c>
      <c r="AV4" s="9"/>
      <c r="AW4" s="9"/>
      <c r="AX4" s="9"/>
      <c r="AY4" s="9"/>
      <c r="AZ4" s="9"/>
      <c r="BA4" s="9"/>
      <c r="BB4" s="9"/>
      <c r="BC4" s="9"/>
      <c r="BD4" s="9"/>
      <c r="BE4" s="3"/>
      <c r="BF4" s="3"/>
      <c r="BG4" s="3"/>
      <c r="BH4" s="3"/>
    </row>
    <row r="5" ht="43.5" customHeight="1">
      <c r="A5" s="10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2" t="s">
        <v>16</v>
      </c>
      <c r="M5" s="12" t="s">
        <v>17</v>
      </c>
      <c r="N5" s="11" t="s">
        <v>18</v>
      </c>
      <c r="O5" s="13" t="s">
        <v>19</v>
      </c>
      <c r="P5" s="14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28</v>
      </c>
      <c r="Y5" s="15" t="s">
        <v>29</v>
      </c>
      <c r="Z5" s="15" t="s">
        <v>30</v>
      </c>
      <c r="AA5" s="16" t="s">
        <v>31</v>
      </c>
      <c r="AB5" s="16" t="s">
        <v>32</v>
      </c>
      <c r="AC5" s="16" t="s">
        <v>33</v>
      </c>
      <c r="AD5" s="16" t="s">
        <v>34</v>
      </c>
      <c r="AE5" s="16" t="s">
        <v>35</v>
      </c>
      <c r="AF5" s="16" t="s">
        <v>36</v>
      </c>
      <c r="AG5" s="16" t="s">
        <v>37</v>
      </c>
      <c r="AH5" s="16" t="s">
        <v>38</v>
      </c>
      <c r="AI5" s="16" t="s">
        <v>39</v>
      </c>
      <c r="AJ5" s="16" t="s">
        <v>40</v>
      </c>
      <c r="AK5" s="16" t="s">
        <v>41</v>
      </c>
      <c r="AL5" s="16" t="s">
        <v>42</v>
      </c>
      <c r="AM5" s="16" t="s">
        <v>43</v>
      </c>
      <c r="AN5" s="16" t="s">
        <v>44</v>
      </c>
      <c r="AO5" s="16" t="s">
        <v>45</v>
      </c>
      <c r="AP5" s="16" t="s">
        <v>46</v>
      </c>
      <c r="AQ5" s="16" t="s">
        <v>47</v>
      </c>
      <c r="AR5" s="16" t="s">
        <v>48</v>
      </c>
      <c r="AS5" s="17" t="s">
        <v>49</v>
      </c>
      <c r="AT5" s="3"/>
      <c r="AU5" s="18" t="s">
        <v>50</v>
      </c>
      <c r="AV5" s="18" t="s">
        <v>51</v>
      </c>
      <c r="AW5" s="18" t="s">
        <v>52</v>
      </c>
      <c r="AX5" s="18" t="s">
        <v>53</v>
      </c>
      <c r="AY5" s="18" t="s">
        <v>54</v>
      </c>
      <c r="AZ5" s="18" t="s">
        <v>55</v>
      </c>
      <c r="BA5" s="18" t="s">
        <v>56</v>
      </c>
      <c r="BB5" s="18" t="s">
        <v>57</v>
      </c>
      <c r="BC5" s="18" t="s">
        <v>58</v>
      </c>
      <c r="BD5" s="18" t="s">
        <v>57</v>
      </c>
      <c r="BE5" s="3"/>
      <c r="BF5" s="3"/>
      <c r="BG5" s="3"/>
      <c r="BH5" s="3"/>
    </row>
    <row r="6" ht="15.0" customHeight="1">
      <c r="A6" s="19" t="s">
        <v>59</v>
      </c>
      <c r="P6" s="20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1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ht="15.0" customHeight="1">
      <c r="A7" s="22" t="s">
        <v>60</v>
      </c>
      <c r="B7" s="23">
        <f>data_raw_3_day!J3</f>
        <v>11.29</v>
      </c>
      <c r="C7" s="23">
        <f>data_raw_3_day!L3</f>
        <v>577.43</v>
      </c>
      <c r="D7" s="23">
        <f>data_raw_3_day!G3</f>
        <v>3935</v>
      </c>
      <c r="E7" s="23">
        <f>data_raw_3_day!M3</f>
        <v>101.63</v>
      </c>
      <c r="F7" s="23">
        <f>data_raw_3_day!N3</f>
        <v>8.12</v>
      </c>
      <c r="G7" s="23">
        <f>data_raw_3_day!O3</f>
        <v>33.72</v>
      </c>
      <c r="H7" s="23">
        <f>data_raw_3_day!S3</f>
        <v>11.73</v>
      </c>
      <c r="I7" s="23">
        <f>data_raw_3_day!T3</f>
        <v>25</v>
      </c>
      <c r="J7" s="23">
        <f>data_raw_3_day!U3</f>
        <v>25</v>
      </c>
      <c r="K7" s="23">
        <f>data_raw_3_day!V3</f>
        <v>29.51</v>
      </c>
      <c r="L7" s="24">
        <f t="shared" ref="L7:L11" si="1">AVERAGE(H7:K7)</f>
        <v>22.81</v>
      </c>
      <c r="M7" s="24">
        <f t="shared" ref="M7:M11" si="2">E7-F7-G7-L7</f>
        <v>36.98</v>
      </c>
      <c r="N7" s="23">
        <f>data_raw_3_day!Q3</f>
        <v>93.33</v>
      </c>
      <c r="O7" s="25">
        <f t="shared" ref="O7:O11" si="3">E7-N7</f>
        <v>8.3</v>
      </c>
      <c r="P7" s="26">
        <f>data_raw_3_day!W3</f>
        <v>0.9996</v>
      </c>
      <c r="Q7" s="27">
        <f>data_raw_3_day!X3</f>
        <v>0.9656</v>
      </c>
      <c r="R7" s="27">
        <f>data_raw_3_day!Y3</f>
        <v>0.7836</v>
      </c>
      <c r="S7" s="27">
        <f>data_raw_3_day!Z3</f>
        <v>0.7468</v>
      </c>
      <c r="T7" s="27">
        <f>data_raw_3_day!AA3</f>
        <v>0.6836</v>
      </c>
      <c r="U7" s="27">
        <f>data_raw_3_day!AB3</f>
        <v>0.51</v>
      </c>
      <c r="V7" s="27">
        <f>data_raw_3_day!AC3</f>
        <v>0.4677</v>
      </c>
      <c r="W7" s="27">
        <f>data_raw_3_day!AD3</f>
        <v>0.3916</v>
      </c>
      <c r="X7" s="27">
        <f>data_raw_3_day!AE3</f>
        <v>0.2384</v>
      </c>
      <c r="Y7" s="27">
        <f>data_raw_3_day!AF3</f>
        <v>0.2005</v>
      </c>
      <c r="Z7" s="27">
        <f>data_raw_3_day!AG3</f>
        <v>0.141</v>
      </c>
      <c r="AA7" s="27">
        <f>data_raw_3_day!AH3</f>
        <v>0.0503</v>
      </c>
      <c r="AB7" s="27">
        <f>data_raw_3_day!AI3</f>
        <v>0.0376</v>
      </c>
      <c r="AC7" s="27">
        <f>data_raw_3_day!AJ3</f>
        <v>0.0223</v>
      </c>
      <c r="AD7" s="27">
        <f>data_raw_3_day!AK3</f>
        <v>0.0117</v>
      </c>
      <c r="AE7" s="27">
        <f>data_raw_3_day!AL3</f>
        <v>0.0106</v>
      </c>
      <c r="AF7" s="27">
        <f>data_raw_3_day!AM3</f>
        <v>0.009</v>
      </c>
      <c r="AG7" s="27">
        <f>data_raw_3_day!AN3</f>
        <v>0.0051</v>
      </c>
      <c r="AH7" s="27">
        <f>data_raw_3_day!AO3</f>
        <v>0.0044</v>
      </c>
      <c r="AI7" s="27">
        <f>data_raw_3_day!AP3</f>
        <v>0.0033</v>
      </c>
      <c r="AJ7" s="27">
        <f>data_raw_3_day!AQ3</f>
        <v>0.0018</v>
      </c>
      <c r="AK7" s="27">
        <f>data_raw_3_day!AR3</f>
        <v>0.0015</v>
      </c>
      <c r="AL7" s="27">
        <f>data_raw_3_day!AS3</f>
        <v>0.0011</v>
      </c>
      <c r="AM7" s="27">
        <f>data_raw_3_day!AT3</f>
        <v>0.0005</v>
      </c>
      <c r="AN7" s="27">
        <f>data_raw_3_day!AU3</f>
        <v>0.0003</v>
      </c>
      <c r="AO7" s="27">
        <f>data_raw_3_day!AV3</f>
        <v>0.0002</v>
      </c>
      <c r="AP7" s="27">
        <f>data_raw_3_day!AW3</f>
        <v>0.0001</v>
      </c>
      <c r="AQ7" s="27">
        <f>data_raw_3_day!AX3</f>
        <v>0</v>
      </c>
      <c r="AR7" s="27">
        <f>data_raw_3_day!AY3</f>
        <v>0</v>
      </c>
      <c r="AS7" s="28">
        <f>data_raw_3_day!AZ3</f>
        <v>0</v>
      </c>
      <c r="AT7" s="3"/>
      <c r="AU7" s="29">
        <f>saga_progression_new!$C$17*B7</f>
        <v>6.774</v>
      </c>
      <c r="AV7" s="29">
        <f>daily_rewards_new!$B$13*data_raw_3_day!K3</f>
        <v>33.05714286</v>
      </c>
      <c r="AW7" s="29">
        <f t="array" ref="AW7">SUMPRODUCT($P7:$AS7,TRANSPOSE(milestone_3day_new!$E$4:$E$33))</f>
        <v>16.5145</v>
      </c>
      <c r="AX7" s="29">
        <f t="shared" ref="AX7:AX11" si="4">M7+L7+AU7+AV7+AW7</f>
        <v>116.1356429</v>
      </c>
      <c r="AY7" s="29">
        <f t="shared" ref="AY7:AY11" si="5">M7+AU7+AV7+AW7</f>
        <v>93.32564286</v>
      </c>
      <c r="AZ7" s="29">
        <f t="shared" ref="AZ7:AZ11" si="6">N7</f>
        <v>93.33</v>
      </c>
      <c r="BA7" s="29">
        <f t="shared" ref="BA7:BA11" si="7">AX7-AZ7</f>
        <v>22.80564286</v>
      </c>
      <c r="BB7" s="30">
        <f t="shared" ref="BB7:BB11" si="8">BA7-O7</f>
        <v>14.50564286</v>
      </c>
      <c r="BC7" s="29">
        <f t="shared" ref="BC7:BC11" si="9">AY7-AZ7</f>
        <v>-0.004357142857</v>
      </c>
      <c r="BD7" s="30">
        <f t="shared" ref="BD7:BD11" si="10">BC7-O7</f>
        <v>-8.304357143</v>
      </c>
      <c r="BE7" s="3"/>
      <c r="BF7" s="3"/>
      <c r="BG7" s="3"/>
      <c r="BH7" s="3"/>
    </row>
    <row r="8" ht="15.0" customHeight="1">
      <c r="A8" s="22" t="s">
        <v>61</v>
      </c>
      <c r="B8" s="23">
        <f>data_raw_3_day!J4</f>
        <v>33.65</v>
      </c>
      <c r="C8" s="23">
        <f>data_raw_3_day!L4</f>
        <v>582.7</v>
      </c>
      <c r="D8" s="23">
        <f>data_raw_3_day!G4</f>
        <v>15214</v>
      </c>
      <c r="E8" s="23">
        <f>data_raw_3_day!M4</f>
        <v>205.8</v>
      </c>
      <c r="F8" s="23">
        <f>data_raw_3_day!N4</f>
        <v>22.46</v>
      </c>
      <c r="G8" s="23">
        <f>data_raw_3_day!O4</f>
        <v>37.43</v>
      </c>
      <c r="H8" s="23">
        <f>data_raw_3_day!S4</f>
        <v>12.42</v>
      </c>
      <c r="I8" s="23">
        <f>data_raw_3_day!T4</f>
        <v>25.67</v>
      </c>
      <c r="J8" s="23">
        <f>data_raw_3_day!U4</f>
        <v>25</v>
      </c>
      <c r="K8" s="23">
        <f>data_raw_3_day!V4</f>
        <v>34.59</v>
      </c>
      <c r="L8" s="24">
        <f t="shared" si="1"/>
        <v>24.42</v>
      </c>
      <c r="M8" s="24">
        <f t="shared" si="2"/>
        <v>121.49</v>
      </c>
      <c r="N8" s="23">
        <f>data_raw_3_day!Q4</f>
        <v>198.92</v>
      </c>
      <c r="O8" s="25">
        <f t="shared" si="3"/>
        <v>6.88</v>
      </c>
      <c r="P8" s="26">
        <f>data_raw_3_day!W4</f>
        <v>1</v>
      </c>
      <c r="Q8" s="27">
        <f>data_raw_3_day!X4</f>
        <v>0.9963</v>
      </c>
      <c r="R8" s="27">
        <f>data_raw_3_day!Y4</f>
        <v>0.977</v>
      </c>
      <c r="S8" s="27">
        <f>data_raw_3_day!Z4</f>
        <v>0.9711</v>
      </c>
      <c r="T8" s="27">
        <f>data_raw_3_day!AA4</f>
        <v>0.9609</v>
      </c>
      <c r="U8" s="27">
        <f>data_raw_3_day!AB4</f>
        <v>0.925</v>
      </c>
      <c r="V8" s="27">
        <f>data_raw_3_day!AC4</f>
        <v>0.9104</v>
      </c>
      <c r="W8" s="27">
        <f>data_raw_3_day!AD4</f>
        <v>0.8728</v>
      </c>
      <c r="X8" s="27">
        <f>data_raw_3_day!AE4</f>
        <v>0.7246</v>
      </c>
      <c r="Y8" s="27">
        <f>data_raw_3_day!AF4</f>
        <v>0.6832</v>
      </c>
      <c r="Z8" s="27">
        <f>data_raw_3_day!AG4</f>
        <v>0.604</v>
      </c>
      <c r="AA8" s="27">
        <f>data_raw_3_day!AH4</f>
        <v>0.4074</v>
      </c>
      <c r="AB8" s="27">
        <f>data_raw_3_day!AI4</f>
        <v>0.3478</v>
      </c>
      <c r="AC8" s="27">
        <f>data_raw_3_day!AJ4</f>
        <v>0.2503</v>
      </c>
      <c r="AD8" s="27">
        <f>data_raw_3_day!AK4</f>
        <v>0.09</v>
      </c>
      <c r="AE8" s="27">
        <f>data_raw_3_day!AL4</f>
        <v>0.0717</v>
      </c>
      <c r="AF8" s="27">
        <f>data_raw_3_day!AM4</f>
        <v>0.0494</v>
      </c>
      <c r="AG8" s="27">
        <f>data_raw_3_day!AN4</f>
        <v>0.0239</v>
      </c>
      <c r="AH8" s="27">
        <f>data_raw_3_day!AO4</f>
        <v>0.0217</v>
      </c>
      <c r="AI8" s="27">
        <f>data_raw_3_day!AP4</f>
        <v>0.0171</v>
      </c>
      <c r="AJ8" s="27">
        <f>data_raw_3_day!AQ4</f>
        <v>0.0101</v>
      </c>
      <c r="AK8" s="27">
        <f>data_raw_3_day!AR4</f>
        <v>0.0087</v>
      </c>
      <c r="AL8" s="27">
        <f>data_raw_3_day!AS4</f>
        <v>0.0072</v>
      </c>
      <c r="AM8" s="27">
        <f>data_raw_3_day!AT4</f>
        <v>0.0034</v>
      </c>
      <c r="AN8" s="27">
        <f>data_raw_3_day!AU4</f>
        <v>0.0026</v>
      </c>
      <c r="AO8" s="27">
        <f>data_raw_3_day!AV4</f>
        <v>0.0019</v>
      </c>
      <c r="AP8" s="27">
        <f>data_raw_3_day!AW4</f>
        <v>0.0006</v>
      </c>
      <c r="AQ8" s="27">
        <f>data_raw_3_day!AX4</f>
        <v>0.0004</v>
      </c>
      <c r="AR8" s="27">
        <f>data_raw_3_day!AY4</f>
        <v>0.0002</v>
      </c>
      <c r="AS8" s="28">
        <f>data_raw_3_day!AZ4</f>
        <v>0</v>
      </c>
      <c r="AT8" s="3"/>
      <c r="AU8" s="29">
        <f>saga_progression_new!$C$17*B8</f>
        <v>20.19</v>
      </c>
      <c r="AV8" s="29">
        <f>daily_rewards_new!$B$13*data_raw_3_day!K4</f>
        <v>38.81428571</v>
      </c>
      <c r="AW8" s="29">
        <f t="array" ref="AW8">SUMPRODUCT($P8:$AS8,TRANSPOSE(milestone_3day_new!$E$4:$E$33))</f>
        <v>40.399</v>
      </c>
      <c r="AX8" s="29">
        <f t="shared" si="4"/>
        <v>245.3132857</v>
      </c>
      <c r="AY8" s="29">
        <f t="shared" si="5"/>
        <v>220.8932857</v>
      </c>
      <c r="AZ8" s="29">
        <f t="shared" si="6"/>
        <v>198.92</v>
      </c>
      <c r="BA8" s="29">
        <f t="shared" si="7"/>
        <v>46.39328571</v>
      </c>
      <c r="BB8" s="30">
        <f t="shared" si="8"/>
        <v>39.51328571</v>
      </c>
      <c r="BC8" s="29">
        <f t="shared" si="9"/>
        <v>21.97328571</v>
      </c>
      <c r="BD8" s="30">
        <f t="shared" si="10"/>
        <v>15.09328571</v>
      </c>
      <c r="BE8" s="3"/>
      <c r="BF8" s="3"/>
      <c r="BG8" s="3"/>
      <c r="BH8" s="3"/>
    </row>
    <row r="9" ht="15.0" customHeight="1">
      <c r="A9" s="22" t="s">
        <v>62</v>
      </c>
      <c r="B9" s="23">
        <f>data_raw_3_day!J5</f>
        <v>66.04</v>
      </c>
      <c r="C9" s="23">
        <f>data_raw_3_day!L5</f>
        <v>569.72</v>
      </c>
      <c r="D9" s="23">
        <f>data_raw_3_day!G5</f>
        <v>30450</v>
      </c>
      <c r="E9" s="23">
        <f>data_raw_3_day!M5</f>
        <v>364.92</v>
      </c>
      <c r="F9" s="23">
        <f>data_raw_3_day!N5</f>
        <v>44.32</v>
      </c>
      <c r="G9" s="23">
        <f>data_raw_3_day!O5</f>
        <v>38.34</v>
      </c>
      <c r="H9" s="23">
        <f>data_raw_3_day!S5</f>
        <v>21.89</v>
      </c>
      <c r="I9" s="23">
        <f>data_raw_3_day!T5</f>
        <v>26.12</v>
      </c>
      <c r="J9" s="23">
        <f>data_raw_3_day!U5</f>
        <v>25</v>
      </c>
      <c r="K9" s="23">
        <f>data_raw_3_day!V5</f>
        <v>35.31</v>
      </c>
      <c r="L9" s="24">
        <f t="shared" si="1"/>
        <v>27.08</v>
      </c>
      <c r="M9" s="24">
        <f t="shared" si="2"/>
        <v>255.18</v>
      </c>
      <c r="N9" s="23">
        <f>data_raw_3_day!Q5</f>
        <v>353.37</v>
      </c>
      <c r="O9" s="25">
        <f t="shared" si="3"/>
        <v>11.55</v>
      </c>
      <c r="P9" s="26">
        <f>data_raw_3_day!W5</f>
        <v>1</v>
      </c>
      <c r="Q9" s="27">
        <f>data_raw_3_day!X5</f>
        <v>0.9983</v>
      </c>
      <c r="R9" s="27">
        <f>data_raw_3_day!Y5</f>
        <v>0.988</v>
      </c>
      <c r="S9" s="27">
        <f>data_raw_3_day!Z5</f>
        <v>0.9856</v>
      </c>
      <c r="T9" s="27">
        <f>data_raw_3_day!AA5</f>
        <v>0.9802</v>
      </c>
      <c r="U9" s="27">
        <f>data_raw_3_day!AB5</f>
        <v>0.9612</v>
      </c>
      <c r="V9" s="27">
        <f>data_raw_3_day!AC5</f>
        <v>0.9559</v>
      </c>
      <c r="W9" s="27">
        <f>data_raw_3_day!AD5</f>
        <v>0.9453</v>
      </c>
      <c r="X9" s="27">
        <f>data_raw_3_day!AE5</f>
        <v>0.906</v>
      </c>
      <c r="Y9" s="27">
        <f>data_raw_3_day!AF5</f>
        <v>0.8899</v>
      </c>
      <c r="Z9" s="27">
        <f>data_raw_3_day!AG5</f>
        <v>0.8446</v>
      </c>
      <c r="AA9" s="27">
        <f>data_raw_3_day!AH5</f>
        <v>0.6967</v>
      </c>
      <c r="AB9" s="27">
        <f>data_raw_3_day!AI5</f>
        <v>0.6593</v>
      </c>
      <c r="AC9" s="27">
        <f>data_raw_3_day!AJ5</f>
        <v>0.5864</v>
      </c>
      <c r="AD9" s="27">
        <f>data_raw_3_day!AK5</f>
        <v>0.3888</v>
      </c>
      <c r="AE9" s="27">
        <f>data_raw_3_day!AL5</f>
        <v>0.3387</v>
      </c>
      <c r="AF9" s="27">
        <f>data_raw_3_day!AM5</f>
        <v>0.261</v>
      </c>
      <c r="AG9" s="27">
        <f>data_raw_3_day!AN5</f>
        <v>0.1133</v>
      </c>
      <c r="AH9" s="27">
        <f>data_raw_3_day!AO5</f>
        <v>0.0972</v>
      </c>
      <c r="AI9" s="27">
        <f>data_raw_3_day!AP5</f>
        <v>0.0721</v>
      </c>
      <c r="AJ9" s="27">
        <f>data_raw_3_day!AQ5</f>
        <v>0.0373</v>
      </c>
      <c r="AK9" s="27">
        <f>data_raw_3_day!AR5</f>
        <v>0.0327</v>
      </c>
      <c r="AL9" s="27">
        <f>data_raw_3_day!AS5</f>
        <v>0.0274</v>
      </c>
      <c r="AM9" s="27">
        <f>data_raw_3_day!AT5</f>
        <v>0.0138</v>
      </c>
      <c r="AN9" s="27">
        <f>data_raw_3_day!AU5</f>
        <v>0.0118</v>
      </c>
      <c r="AO9" s="27">
        <f>data_raw_3_day!AV5</f>
        <v>0.0087</v>
      </c>
      <c r="AP9" s="27">
        <f>data_raw_3_day!AW5</f>
        <v>0.0036</v>
      </c>
      <c r="AQ9" s="27">
        <f>data_raw_3_day!AX5</f>
        <v>0.0024</v>
      </c>
      <c r="AR9" s="27">
        <f>data_raw_3_day!AY5</f>
        <v>0.0016</v>
      </c>
      <c r="AS9" s="28">
        <f>data_raw_3_day!AZ5</f>
        <v>0.0006</v>
      </c>
      <c r="AT9" s="3"/>
      <c r="AU9" s="29">
        <f>saga_progression_new!$C$17*B9</f>
        <v>39.624</v>
      </c>
      <c r="AV9" s="29">
        <f>daily_rewards_new!$B$13*data_raw_3_day!K5</f>
        <v>40.67142857</v>
      </c>
      <c r="AW9" s="29">
        <f t="array" ref="AW9">SUMPRODUCT($P9:$AS9,TRANSPOSE(milestone_3day_new!$E$4:$E$33))</f>
        <v>61.0325</v>
      </c>
      <c r="AX9" s="29">
        <f t="shared" si="4"/>
        <v>423.5879286</v>
      </c>
      <c r="AY9" s="29">
        <f t="shared" si="5"/>
        <v>396.5079286</v>
      </c>
      <c r="AZ9" s="29">
        <f t="shared" si="6"/>
        <v>353.37</v>
      </c>
      <c r="BA9" s="29">
        <f t="shared" si="7"/>
        <v>70.21792857</v>
      </c>
      <c r="BB9" s="30">
        <f t="shared" si="8"/>
        <v>58.66792857</v>
      </c>
      <c r="BC9" s="29">
        <f t="shared" si="9"/>
        <v>43.13792857</v>
      </c>
      <c r="BD9" s="30">
        <f t="shared" si="10"/>
        <v>31.58792857</v>
      </c>
      <c r="BE9" s="3"/>
      <c r="BF9" s="3"/>
      <c r="BG9" s="3"/>
      <c r="BH9" s="3"/>
    </row>
    <row r="10" ht="15.0" customHeight="1">
      <c r="A10" s="22" t="s">
        <v>63</v>
      </c>
      <c r="B10" s="23">
        <f>data_raw_3_day!J6</f>
        <v>141.77</v>
      </c>
      <c r="C10" s="23">
        <f>data_raw_3_day!L6</f>
        <v>544.31</v>
      </c>
      <c r="D10" s="23">
        <f>data_raw_3_day!G6</f>
        <v>67452</v>
      </c>
      <c r="E10" s="23">
        <f>data_raw_3_day!M6</f>
        <v>700.96</v>
      </c>
      <c r="F10" s="23">
        <f>data_raw_3_day!N6</f>
        <v>93.71</v>
      </c>
      <c r="G10" s="23">
        <f>data_raw_3_day!O6</f>
        <v>40.53</v>
      </c>
      <c r="H10" s="23">
        <f>data_raw_3_day!S6</f>
        <v>40.46</v>
      </c>
      <c r="I10" s="23">
        <f>data_raw_3_day!T6</f>
        <v>28.74</v>
      </c>
      <c r="J10" s="23">
        <f>data_raw_3_day!U6</f>
        <v>27.78</v>
      </c>
      <c r="K10" s="23">
        <f>data_raw_3_day!V6</f>
        <v>38.74</v>
      </c>
      <c r="L10" s="24">
        <f t="shared" si="1"/>
        <v>33.93</v>
      </c>
      <c r="M10" s="24">
        <f t="shared" si="2"/>
        <v>532.79</v>
      </c>
      <c r="N10" s="23">
        <f>data_raw_3_day!Q6</f>
        <v>711.54</v>
      </c>
      <c r="O10" s="25">
        <f t="shared" si="3"/>
        <v>-10.58</v>
      </c>
      <c r="P10" s="26">
        <f>data_raw_3_day!W6</f>
        <v>1</v>
      </c>
      <c r="Q10" s="27">
        <f>data_raw_3_day!X6</f>
        <v>0.9993</v>
      </c>
      <c r="R10" s="27">
        <f>data_raw_3_day!Y6</f>
        <v>0.9941</v>
      </c>
      <c r="S10" s="27">
        <f>data_raw_3_day!Z6</f>
        <v>0.9929</v>
      </c>
      <c r="T10" s="27">
        <f>data_raw_3_day!AA6</f>
        <v>0.9904</v>
      </c>
      <c r="U10" s="27">
        <f>data_raw_3_day!AB6</f>
        <v>0.9847</v>
      </c>
      <c r="V10" s="27">
        <f>data_raw_3_day!AC6</f>
        <v>0.9835</v>
      </c>
      <c r="W10" s="27">
        <f>data_raw_3_day!AD6</f>
        <v>0.9787</v>
      </c>
      <c r="X10" s="27">
        <f>data_raw_3_day!AE6</f>
        <v>0.9632</v>
      </c>
      <c r="Y10" s="27">
        <f>data_raw_3_day!AF6</f>
        <v>0.9581</v>
      </c>
      <c r="Z10" s="27">
        <f>data_raw_3_day!AG6</f>
        <v>0.951</v>
      </c>
      <c r="AA10" s="27">
        <f>data_raw_3_day!AH6</f>
        <v>0.9167</v>
      </c>
      <c r="AB10" s="27">
        <f>data_raw_3_day!AI6</f>
        <v>0.901</v>
      </c>
      <c r="AC10" s="27">
        <f>data_raw_3_day!AJ6</f>
        <v>0.8647</v>
      </c>
      <c r="AD10" s="27">
        <f>data_raw_3_day!AK6</f>
        <v>0.7441</v>
      </c>
      <c r="AE10" s="27">
        <f>data_raw_3_day!AL6</f>
        <v>0.7174</v>
      </c>
      <c r="AF10" s="27">
        <f>data_raw_3_day!AM6</f>
        <v>0.6611</v>
      </c>
      <c r="AG10" s="27">
        <f>data_raw_3_day!AN6</f>
        <v>0.496</v>
      </c>
      <c r="AH10" s="27">
        <f>data_raw_3_day!AO6</f>
        <v>0.4593</v>
      </c>
      <c r="AI10" s="27">
        <f>data_raw_3_day!AP6</f>
        <v>0.3932</v>
      </c>
      <c r="AJ10" s="27">
        <f>data_raw_3_day!AQ6</f>
        <v>0.248</v>
      </c>
      <c r="AK10" s="27">
        <f>data_raw_3_day!AR6</f>
        <v>0.2168</v>
      </c>
      <c r="AL10" s="27">
        <f>data_raw_3_day!AS6</f>
        <v>0.1722</v>
      </c>
      <c r="AM10" s="27">
        <f>data_raw_3_day!AT6</f>
        <v>0.0896</v>
      </c>
      <c r="AN10" s="27">
        <f>data_raw_3_day!AU6</f>
        <v>0.0751</v>
      </c>
      <c r="AO10" s="27">
        <f>data_raw_3_day!AV6</f>
        <v>0.0546</v>
      </c>
      <c r="AP10" s="27">
        <f>data_raw_3_day!AW6</f>
        <v>0.0216</v>
      </c>
      <c r="AQ10" s="27">
        <f>data_raw_3_day!AX6</f>
        <v>0.0158</v>
      </c>
      <c r="AR10" s="27">
        <f>data_raw_3_day!AY6</f>
        <v>0.0102</v>
      </c>
      <c r="AS10" s="28">
        <f>data_raw_3_day!AZ6</f>
        <v>0.0031</v>
      </c>
      <c r="AT10" s="3"/>
      <c r="AU10" s="29">
        <f>saga_progression_new!$C$17*B10</f>
        <v>85.062</v>
      </c>
      <c r="AV10" s="29">
        <f>daily_rewards_new!$B$13*data_raw_3_day!K6</f>
        <v>43.82857143</v>
      </c>
      <c r="AW10" s="29">
        <f t="array" ref="AW10">SUMPRODUCT($P10:$AS10,TRANSPOSE(milestone_3day_new!$E$4:$E$33))</f>
        <v>103.6015</v>
      </c>
      <c r="AX10" s="29">
        <f t="shared" si="4"/>
        <v>799.2120714</v>
      </c>
      <c r="AY10" s="29">
        <f t="shared" si="5"/>
        <v>765.2820714</v>
      </c>
      <c r="AZ10" s="29">
        <f t="shared" si="6"/>
        <v>711.54</v>
      </c>
      <c r="BA10" s="29">
        <f t="shared" si="7"/>
        <v>87.67207143</v>
      </c>
      <c r="BB10" s="30">
        <f t="shared" si="8"/>
        <v>98.25207143</v>
      </c>
      <c r="BC10" s="29">
        <f t="shared" si="9"/>
        <v>53.74207143</v>
      </c>
      <c r="BD10" s="30">
        <f t="shared" si="10"/>
        <v>64.32207143</v>
      </c>
      <c r="BE10" s="3"/>
      <c r="BF10" s="3"/>
      <c r="BG10" s="3"/>
      <c r="BH10" s="3"/>
    </row>
    <row r="11" ht="15.0" customHeight="1">
      <c r="A11" s="22" t="s">
        <v>64</v>
      </c>
      <c r="B11" s="23">
        <f>data_raw_3_day!J7</f>
        <v>282.47</v>
      </c>
      <c r="C11" s="23">
        <f>data_raw_3_day!L7</f>
        <v>510.96</v>
      </c>
      <c r="D11" s="23">
        <f>data_raw_3_day!G7</f>
        <v>127482</v>
      </c>
      <c r="E11" s="23">
        <f>data_raw_3_day!M7</f>
        <v>1335.1</v>
      </c>
      <c r="F11" s="23">
        <f>data_raw_3_day!N7</f>
        <v>239.81</v>
      </c>
      <c r="G11" s="23">
        <f>data_raw_3_day!O7</f>
        <v>48.8</v>
      </c>
      <c r="H11" s="23">
        <f>data_raw_3_day!S7</f>
        <v>54.96</v>
      </c>
      <c r="I11" s="23">
        <f>data_raw_3_day!T7</f>
        <v>38.97</v>
      </c>
      <c r="J11" s="23">
        <f>data_raw_3_day!U7</f>
        <v>25</v>
      </c>
      <c r="K11" s="23">
        <f>data_raw_3_day!V7</f>
        <v>45.83</v>
      </c>
      <c r="L11" s="24">
        <f t="shared" si="1"/>
        <v>41.19</v>
      </c>
      <c r="M11" s="24">
        <f t="shared" si="2"/>
        <v>1005.3</v>
      </c>
      <c r="N11" s="23">
        <f>data_raw_3_day!Q7</f>
        <v>1425.63</v>
      </c>
      <c r="O11" s="25">
        <f t="shared" si="3"/>
        <v>-90.53</v>
      </c>
      <c r="P11" s="26">
        <f>data_raw_3_day!W7</f>
        <v>1</v>
      </c>
      <c r="Q11" s="27">
        <f>data_raw_3_day!X7</f>
        <v>0.9986</v>
      </c>
      <c r="R11" s="27">
        <f>data_raw_3_day!Y7</f>
        <v>0.9973</v>
      </c>
      <c r="S11" s="27">
        <f>data_raw_3_day!Z7</f>
        <v>0.9959</v>
      </c>
      <c r="T11" s="27">
        <f>data_raw_3_day!AA7</f>
        <v>0.9959</v>
      </c>
      <c r="U11" s="27">
        <f>data_raw_3_day!AB7</f>
        <v>0.9945</v>
      </c>
      <c r="V11" s="27">
        <f>data_raw_3_day!AC7</f>
        <v>0.9945</v>
      </c>
      <c r="W11" s="27">
        <f>data_raw_3_day!AD7</f>
        <v>0.9945</v>
      </c>
      <c r="X11" s="27">
        <f>data_raw_3_day!AE7</f>
        <v>0.9932</v>
      </c>
      <c r="Y11" s="27">
        <f>data_raw_3_day!AF7</f>
        <v>0.9932</v>
      </c>
      <c r="Z11" s="27">
        <f>data_raw_3_day!AG7</f>
        <v>0.9918</v>
      </c>
      <c r="AA11" s="27">
        <f>data_raw_3_day!AH7</f>
        <v>0.9849</v>
      </c>
      <c r="AB11" s="27">
        <f>data_raw_3_day!AI7</f>
        <v>0.9822</v>
      </c>
      <c r="AC11" s="27">
        <f>data_raw_3_day!AJ7</f>
        <v>0.9781</v>
      </c>
      <c r="AD11" s="27">
        <f>data_raw_3_day!AK7</f>
        <v>0.9356</v>
      </c>
      <c r="AE11" s="27">
        <f>data_raw_3_day!AL7</f>
        <v>0.9151</v>
      </c>
      <c r="AF11" s="27">
        <f>data_raw_3_day!AM7</f>
        <v>0.8753</v>
      </c>
      <c r="AG11" s="27">
        <f>data_raw_3_day!AN7</f>
        <v>0.7836</v>
      </c>
      <c r="AH11" s="27">
        <f>data_raw_3_day!AO7</f>
        <v>0.7658</v>
      </c>
      <c r="AI11" s="27">
        <f>data_raw_3_day!AP7</f>
        <v>0.7384</v>
      </c>
      <c r="AJ11" s="27">
        <f>data_raw_3_day!AQ7</f>
        <v>0.6164</v>
      </c>
      <c r="AK11" s="27">
        <f>data_raw_3_day!AR7</f>
        <v>0.5877</v>
      </c>
      <c r="AL11" s="27">
        <f>data_raw_3_day!AS7</f>
        <v>0.5466</v>
      </c>
      <c r="AM11" s="27">
        <f>data_raw_3_day!AT7</f>
        <v>0.3932</v>
      </c>
      <c r="AN11" s="27">
        <f>data_raw_3_day!AU7</f>
        <v>0.3781</v>
      </c>
      <c r="AO11" s="27">
        <f>data_raw_3_day!AV7</f>
        <v>0.3274</v>
      </c>
      <c r="AP11" s="27">
        <f>data_raw_3_day!AW7</f>
        <v>0.1822</v>
      </c>
      <c r="AQ11" s="27">
        <f>data_raw_3_day!AX7</f>
        <v>0.1589</v>
      </c>
      <c r="AR11" s="27">
        <f>data_raw_3_day!AY7</f>
        <v>0.0932</v>
      </c>
      <c r="AS11" s="28">
        <f>data_raw_3_day!AZ7</f>
        <v>0.0247</v>
      </c>
      <c r="AT11" s="3"/>
      <c r="AU11" s="29">
        <f>saga_progression_new!$C$17*B11</f>
        <v>169.482</v>
      </c>
      <c r="AV11" s="29">
        <f>daily_rewards_new!$B$13*data_raw_3_day!K7</f>
        <v>40.48571429</v>
      </c>
      <c r="AW11" s="29">
        <f t="array" ref="AW11">SUMPRODUCT($P11:$AS11,TRANSPOSE(milestone_3day_new!$E$4:$E$33))</f>
        <v>213.0715</v>
      </c>
      <c r="AX11" s="29">
        <f t="shared" si="4"/>
        <v>1469.529214</v>
      </c>
      <c r="AY11" s="29">
        <f t="shared" si="5"/>
        <v>1428.339214</v>
      </c>
      <c r="AZ11" s="29">
        <f t="shared" si="6"/>
        <v>1425.63</v>
      </c>
      <c r="BA11" s="29">
        <f t="shared" si="7"/>
        <v>43.89921429</v>
      </c>
      <c r="BB11" s="30">
        <f t="shared" si="8"/>
        <v>134.4292143</v>
      </c>
      <c r="BC11" s="29">
        <f t="shared" si="9"/>
        <v>2.709214286</v>
      </c>
      <c r="BD11" s="30">
        <f t="shared" si="10"/>
        <v>93.23921429</v>
      </c>
      <c r="BE11" s="3"/>
      <c r="BF11" s="3"/>
      <c r="BG11" s="3"/>
      <c r="BH11" s="3"/>
    </row>
    <row r="12" ht="15.0" customHeight="1">
      <c r="A12" s="19" t="s">
        <v>65</v>
      </c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1"/>
      <c r="AT12" s="3"/>
      <c r="AU12" s="3"/>
      <c r="AV12" s="3"/>
      <c r="AW12" s="3"/>
      <c r="AX12" s="3"/>
      <c r="AY12" s="3"/>
      <c r="AZ12" s="3"/>
      <c r="BA12" s="3"/>
      <c r="BB12" s="31"/>
      <c r="BC12" s="3"/>
      <c r="BD12" s="31"/>
      <c r="BE12" s="3"/>
      <c r="BF12" s="3"/>
      <c r="BG12" s="3"/>
      <c r="BH12" s="3"/>
    </row>
    <row r="13" ht="15.0" customHeight="1">
      <c r="A13" s="22" t="s">
        <v>60</v>
      </c>
      <c r="B13" s="23">
        <f>data_raw_3_day!J9</f>
        <v>11.67</v>
      </c>
      <c r="C13" s="23">
        <f>data_raw_3_day!L9</f>
        <v>584.05</v>
      </c>
      <c r="D13" s="23">
        <f>data_raw_3_day!G9</f>
        <v>4410</v>
      </c>
      <c r="E13" s="23">
        <f>data_raw_3_day!M9</f>
        <v>145.82</v>
      </c>
      <c r="F13" s="23">
        <f>data_raw_3_day!N9</f>
        <v>7.72</v>
      </c>
      <c r="G13" s="23">
        <f>data_raw_3_day!O9</f>
        <v>36.23</v>
      </c>
      <c r="H13" s="23">
        <f>data_raw_3_day!S9</f>
        <v>11.31</v>
      </c>
      <c r="I13" s="23">
        <f>data_raw_3_day!T9</f>
        <v>25</v>
      </c>
      <c r="J13" s="23">
        <f>data_raw_3_day!U9</f>
        <v>25</v>
      </c>
      <c r="K13" s="23">
        <f>data_raw_3_day!V9</f>
        <v>34.87</v>
      </c>
      <c r="L13" s="24">
        <f t="shared" ref="L13:L17" si="11">AVERAGE(H13:K13)</f>
        <v>24.045</v>
      </c>
      <c r="M13" s="24">
        <f t="shared" ref="M13:M17" si="12">E13-F13-G13-L13</f>
        <v>77.825</v>
      </c>
      <c r="N13" s="23">
        <f>data_raw_3_day!Q9</f>
        <v>137.93</v>
      </c>
      <c r="O13" s="25">
        <f t="shared" ref="O13:O17" si="13">E13-N13</f>
        <v>7.89</v>
      </c>
      <c r="P13" s="26">
        <f>data_raw_3_day!W9</f>
        <v>0.9999</v>
      </c>
      <c r="Q13" s="27">
        <f>data_raw_3_day!X9</f>
        <v>0.9783</v>
      </c>
      <c r="R13" s="27">
        <f>data_raw_3_day!Y9</f>
        <v>0.8162</v>
      </c>
      <c r="S13" s="27">
        <f>data_raw_3_day!Z9</f>
        <v>0.7801</v>
      </c>
      <c r="T13" s="27">
        <f>data_raw_3_day!AA9</f>
        <v>0.7201</v>
      </c>
      <c r="U13" s="27">
        <f>data_raw_3_day!AB9</f>
        <v>0.5503</v>
      </c>
      <c r="V13" s="27">
        <f>data_raw_3_day!AC9</f>
        <v>0.5071</v>
      </c>
      <c r="W13" s="27">
        <f>data_raw_3_day!AD9</f>
        <v>0.4298</v>
      </c>
      <c r="X13" s="27">
        <f>data_raw_3_day!AE9</f>
        <v>0.258</v>
      </c>
      <c r="Y13" s="27">
        <f>data_raw_3_day!AF9</f>
        <v>0.2167</v>
      </c>
      <c r="Z13" s="27">
        <f>data_raw_3_day!AG9</f>
        <v>0.1497</v>
      </c>
      <c r="AA13" s="27">
        <f>data_raw_3_day!AH9</f>
        <v>0.053</v>
      </c>
      <c r="AB13" s="27">
        <f>data_raw_3_day!AI9</f>
        <v>0.0383</v>
      </c>
      <c r="AC13" s="27">
        <f>data_raw_3_day!AJ9</f>
        <v>0.0231</v>
      </c>
      <c r="AD13" s="27">
        <f>data_raw_3_day!AK9</f>
        <v>0.0109</v>
      </c>
      <c r="AE13" s="27">
        <f>data_raw_3_day!AL9</f>
        <v>0.0099</v>
      </c>
      <c r="AF13" s="27">
        <f>data_raw_3_day!AM9</f>
        <v>0.0077</v>
      </c>
      <c r="AG13" s="27">
        <f>data_raw_3_day!AN9</f>
        <v>0.0037</v>
      </c>
      <c r="AH13" s="27">
        <f>data_raw_3_day!AO9</f>
        <v>0.0033</v>
      </c>
      <c r="AI13" s="27">
        <f>data_raw_3_day!AP9</f>
        <v>0.0024</v>
      </c>
      <c r="AJ13" s="27">
        <f>data_raw_3_day!AQ9</f>
        <v>0.0016</v>
      </c>
      <c r="AK13" s="27">
        <f>data_raw_3_day!AR9</f>
        <v>0.0013</v>
      </c>
      <c r="AL13" s="27">
        <f>data_raw_3_day!AS9</f>
        <v>0.001</v>
      </c>
      <c r="AM13" s="27">
        <f>data_raw_3_day!AT9</f>
        <v>0.0003</v>
      </c>
      <c r="AN13" s="27">
        <f>data_raw_3_day!AU9</f>
        <v>0.0003</v>
      </c>
      <c r="AO13" s="27">
        <f>data_raw_3_day!AV9</f>
        <v>0.0003</v>
      </c>
      <c r="AP13" s="27">
        <f>data_raw_3_day!AW9</f>
        <v>0.0002</v>
      </c>
      <c r="AQ13" s="27">
        <f>data_raw_3_day!AX9</f>
        <v>0.0002</v>
      </c>
      <c r="AR13" s="27">
        <f>data_raw_3_day!AY9</f>
        <v>0.0001</v>
      </c>
      <c r="AS13" s="28">
        <f>data_raw_3_day!AZ9</f>
        <v>0</v>
      </c>
      <c r="AT13" s="32" t="s">
        <v>66</v>
      </c>
      <c r="AU13" s="29">
        <f>saga_progression_new!$C$17*B13</f>
        <v>7.002</v>
      </c>
      <c r="AV13" s="29">
        <f>daily_rewards_new!$B$13*data_raw_3_day!K9</f>
        <v>35.28571429</v>
      </c>
      <c r="AW13" s="29">
        <f t="array" ref="AW13">SUMPRODUCT($P13:$AS13,TRANSPOSE(milestone_3day_new!$E$4:$E$33))</f>
        <v>17.063</v>
      </c>
      <c r="AX13" s="29">
        <f t="shared" ref="AX13:AX17" si="14">M13+L13+AU13+AV13+AW13</f>
        <v>161.2207143</v>
      </c>
      <c r="AY13" s="29">
        <f t="shared" ref="AY13:AY17" si="15">M13+AU13+AV13+AW13</f>
        <v>137.1757143</v>
      </c>
      <c r="AZ13" s="29">
        <f t="shared" ref="AZ13:AZ17" si="16">N13</f>
        <v>137.93</v>
      </c>
      <c r="BA13" s="29">
        <f t="shared" ref="BA13:BA17" si="17">AX13-AZ13</f>
        <v>23.29071429</v>
      </c>
      <c r="BB13" s="30">
        <f t="shared" ref="BB13:BB17" si="18">BA13-O13</f>
        <v>15.40071429</v>
      </c>
      <c r="BC13" s="29">
        <f t="shared" ref="BC13:BC17" si="19">AY13-AZ13</f>
        <v>-0.7542857143</v>
      </c>
      <c r="BD13" s="30">
        <f t="shared" ref="BD13:BD17" si="20">BC13-O13</f>
        <v>-8.644285714</v>
      </c>
      <c r="BE13" s="3"/>
      <c r="BF13" s="3"/>
      <c r="BG13" s="3"/>
      <c r="BH13" s="3"/>
    </row>
    <row r="14" ht="15.0" customHeight="1">
      <c r="A14" s="22" t="s">
        <v>61</v>
      </c>
      <c r="B14" s="23">
        <f>data_raw_3_day!J10</f>
        <v>33.64</v>
      </c>
      <c r="C14" s="23">
        <f>data_raw_3_day!L10</f>
        <v>584.56</v>
      </c>
      <c r="D14" s="23">
        <f>data_raw_3_day!G10</f>
        <v>15870</v>
      </c>
      <c r="E14" s="23">
        <f>data_raw_3_day!M10</f>
        <v>352.7</v>
      </c>
      <c r="F14" s="23">
        <f>data_raw_3_day!N10</f>
        <v>21.87</v>
      </c>
      <c r="G14" s="23">
        <f>data_raw_3_day!O10</f>
        <v>37.72</v>
      </c>
      <c r="H14" s="23">
        <f>data_raw_3_day!S10</f>
        <v>12.17</v>
      </c>
      <c r="I14" s="23">
        <f>data_raw_3_day!T10</f>
        <v>26.01</v>
      </c>
      <c r="J14" s="23">
        <f>data_raw_3_day!U10</f>
        <v>50</v>
      </c>
      <c r="K14" s="23">
        <f>data_raw_3_day!V10</f>
        <v>34.08</v>
      </c>
      <c r="L14" s="24">
        <f t="shared" si="11"/>
        <v>30.565</v>
      </c>
      <c r="M14" s="24">
        <f t="shared" si="12"/>
        <v>262.545</v>
      </c>
      <c r="N14" s="23">
        <f>data_raw_3_day!Q10</f>
        <v>357.26</v>
      </c>
      <c r="O14" s="25">
        <f t="shared" si="13"/>
        <v>-4.56</v>
      </c>
      <c r="P14" s="26">
        <f>data_raw_3_day!W10</f>
        <v>1</v>
      </c>
      <c r="Q14" s="27">
        <f>data_raw_3_day!X10</f>
        <v>0.9967</v>
      </c>
      <c r="R14" s="27">
        <f>data_raw_3_day!Y10</f>
        <v>0.9736</v>
      </c>
      <c r="S14" s="27">
        <f>data_raw_3_day!Z10</f>
        <v>0.9674</v>
      </c>
      <c r="T14" s="27">
        <f>data_raw_3_day!AA10</f>
        <v>0.9557</v>
      </c>
      <c r="U14" s="27">
        <f>data_raw_3_day!AB10</f>
        <v>0.9209</v>
      </c>
      <c r="V14" s="27">
        <f>data_raw_3_day!AC10</f>
        <v>0.9074</v>
      </c>
      <c r="W14" s="27">
        <f>data_raw_3_day!AD10</f>
        <v>0.8817</v>
      </c>
      <c r="X14" s="27">
        <f>data_raw_3_day!AE10</f>
        <v>0.7489</v>
      </c>
      <c r="Y14" s="27">
        <f>data_raw_3_day!AF10</f>
        <v>0.707</v>
      </c>
      <c r="Z14" s="27">
        <f>data_raw_3_day!AG10</f>
        <v>0.6285</v>
      </c>
      <c r="AA14" s="27">
        <f>data_raw_3_day!AH10</f>
        <v>0.4264</v>
      </c>
      <c r="AB14" s="27">
        <f>data_raw_3_day!AI10</f>
        <v>0.365</v>
      </c>
      <c r="AC14" s="27">
        <f>data_raw_3_day!AJ10</f>
        <v>0.2582</v>
      </c>
      <c r="AD14" s="27">
        <f>data_raw_3_day!AK10</f>
        <v>0.0888</v>
      </c>
      <c r="AE14" s="27">
        <f>data_raw_3_day!AL10</f>
        <v>0.0708</v>
      </c>
      <c r="AF14" s="27">
        <f>data_raw_3_day!AM10</f>
        <v>0.0465</v>
      </c>
      <c r="AG14" s="27">
        <f>data_raw_3_day!AN10</f>
        <v>0.02</v>
      </c>
      <c r="AH14" s="27">
        <f>data_raw_3_day!AO10</f>
        <v>0.0176</v>
      </c>
      <c r="AI14" s="27">
        <f>data_raw_3_day!AP10</f>
        <v>0.0132</v>
      </c>
      <c r="AJ14" s="27">
        <f>data_raw_3_day!AQ10</f>
        <v>0.0075</v>
      </c>
      <c r="AK14" s="27">
        <f>data_raw_3_day!AR10</f>
        <v>0.0067</v>
      </c>
      <c r="AL14" s="27">
        <f>data_raw_3_day!AS10</f>
        <v>0.0052</v>
      </c>
      <c r="AM14" s="27">
        <f>data_raw_3_day!AT10</f>
        <v>0.0028</v>
      </c>
      <c r="AN14" s="27">
        <f>data_raw_3_day!AU10</f>
        <v>0.002</v>
      </c>
      <c r="AO14" s="27">
        <f>data_raw_3_day!AV10</f>
        <v>0.0012</v>
      </c>
      <c r="AP14" s="27">
        <f>data_raw_3_day!AW10</f>
        <v>0.0001</v>
      </c>
      <c r="AQ14" s="27">
        <f>data_raw_3_day!AX10</f>
        <v>0.0001</v>
      </c>
      <c r="AR14" s="27">
        <f>data_raw_3_day!AY10</f>
        <v>0.0001</v>
      </c>
      <c r="AS14" s="28">
        <f>data_raw_3_day!AZ10</f>
        <v>0</v>
      </c>
      <c r="AT14" s="32" t="s">
        <v>66</v>
      </c>
      <c r="AU14" s="29">
        <f>saga_progression_new!$C$17*B14</f>
        <v>20.184</v>
      </c>
      <c r="AV14" s="29">
        <f>daily_rewards_new!$B$13*data_raw_3_day!K10</f>
        <v>39.37142857</v>
      </c>
      <c r="AW14" s="29">
        <f t="array" ref="AW14">SUMPRODUCT($P14:$AS14,TRANSPOSE(milestone_3day_new!$E$4:$E$33))</f>
        <v>41.174</v>
      </c>
      <c r="AX14" s="29">
        <f t="shared" si="14"/>
        <v>393.8394286</v>
      </c>
      <c r="AY14" s="29">
        <f t="shared" si="15"/>
        <v>363.2744286</v>
      </c>
      <c r="AZ14" s="29">
        <f t="shared" si="16"/>
        <v>357.26</v>
      </c>
      <c r="BA14" s="29">
        <f t="shared" si="17"/>
        <v>36.57942857</v>
      </c>
      <c r="BB14" s="30">
        <f t="shared" si="18"/>
        <v>41.13942857</v>
      </c>
      <c r="BC14" s="29">
        <f t="shared" si="19"/>
        <v>6.014428571</v>
      </c>
      <c r="BD14" s="30">
        <f t="shared" si="20"/>
        <v>10.57442857</v>
      </c>
      <c r="BE14" s="3"/>
      <c r="BF14" s="3"/>
      <c r="BG14" s="3"/>
      <c r="BH14" s="3"/>
    </row>
    <row r="15" ht="15.0" customHeight="1">
      <c r="A15" s="22" t="s">
        <v>62</v>
      </c>
      <c r="B15" s="23">
        <f>data_raw_3_day!J11</f>
        <v>63.87</v>
      </c>
      <c r="C15" s="23">
        <f>data_raw_3_day!L11</f>
        <v>583.77</v>
      </c>
      <c r="D15" s="23">
        <f>data_raw_3_day!G11</f>
        <v>30740</v>
      </c>
      <c r="E15" s="23">
        <f>data_raw_3_day!M11</f>
        <v>701</v>
      </c>
      <c r="F15" s="23">
        <f>data_raw_3_day!N11</f>
        <v>41.5</v>
      </c>
      <c r="G15" s="23">
        <f>data_raw_3_day!O11</f>
        <v>35.43</v>
      </c>
      <c r="H15" s="23">
        <f>data_raw_3_day!S11</f>
        <v>20.24</v>
      </c>
      <c r="I15" s="23">
        <f>data_raw_3_day!T11</f>
        <v>26.08</v>
      </c>
      <c r="J15" s="23">
        <f>data_raw_3_day!U11</f>
        <v>31.25</v>
      </c>
      <c r="K15" s="23">
        <f>data_raw_3_day!V11</f>
        <v>32.95</v>
      </c>
      <c r="L15" s="24">
        <f t="shared" si="11"/>
        <v>27.63</v>
      </c>
      <c r="M15" s="24">
        <f t="shared" si="12"/>
        <v>596.44</v>
      </c>
      <c r="N15" s="23">
        <f>data_raw_3_day!Q11</f>
        <v>710.78</v>
      </c>
      <c r="O15" s="25">
        <f t="shared" si="13"/>
        <v>-9.78</v>
      </c>
      <c r="P15" s="26">
        <f>data_raw_3_day!W11</f>
        <v>1</v>
      </c>
      <c r="Q15" s="27">
        <f>data_raw_3_day!X11</f>
        <v>0.9983</v>
      </c>
      <c r="R15" s="27">
        <f>data_raw_3_day!Y11</f>
        <v>0.9858</v>
      </c>
      <c r="S15" s="27">
        <f>data_raw_3_day!Z11</f>
        <v>0.9831</v>
      </c>
      <c r="T15" s="27">
        <f>data_raw_3_day!AA11</f>
        <v>0.9788</v>
      </c>
      <c r="U15" s="27">
        <f>data_raw_3_day!AB11</f>
        <v>0.9637</v>
      </c>
      <c r="V15" s="27">
        <f>data_raw_3_day!AC11</f>
        <v>0.9604</v>
      </c>
      <c r="W15" s="27">
        <f>data_raw_3_day!AD11</f>
        <v>0.9505</v>
      </c>
      <c r="X15" s="27">
        <f>data_raw_3_day!AE11</f>
        <v>0.918</v>
      </c>
      <c r="Y15" s="27">
        <f>data_raw_3_day!AF11</f>
        <v>0.9041</v>
      </c>
      <c r="Z15" s="27">
        <f>data_raw_3_day!AG11</f>
        <v>0.866</v>
      </c>
      <c r="AA15" s="27">
        <f>data_raw_3_day!AH11</f>
        <v>0.7165</v>
      </c>
      <c r="AB15" s="27">
        <f>data_raw_3_day!AI11</f>
        <v>0.6723</v>
      </c>
      <c r="AC15" s="27">
        <f>data_raw_3_day!AJ11</f>
        <v>0.5908</v>
      </c>
      <c r="AD15" s="27">
        <f>data_raw_3_day!AK11</f>
        <v>0.3899</v>
      </c>
      <c r="AE15" s="27">
        <f>data_raw_3_day!AL11</f>
        <v>0.3443</v>
      </c>
      <c r="AF15" s="27">
        <f>data_raw_3_day!AM11</f>
        <v>0.2663</v>
      </c>
      <c r="AG15" s="27">
        <f>data_raw_3_day!AN11</f>
        <v>0.1109</v>
      </c>
      <c r="AH15" s="27">
        <f>data_raw_3_day!AO11</f>
        <v>0.0912</v>
      </c>
      <c r="AI15" s="27">
        <f>data_raw_3_day!AP11</f>
        <v>0.0671</v>
      </c>
      <c r="AJ15" s="27">
        <f>data_raw_3_day!AQ11</f>
        <v>0.0314</v>
      </c>
      <c r="AK15" s="27">
        <f>data_raw_3_day!AR11</f>
        <v>0.0248</v>
      </c>
      <c r="AL15" s="27">
        <f>data_raw_3_day!AS11</f>
        <v>0.0177</v>
      </c>
      <c r="AM15" s="27">
        <f>data_raw_3_day!AT11</f>
        <v>0.01</v>
      </c>
      <c r="AN15" s="27">
        <f>data_raw_3_day!AU11</f>
        <v>0.0089</v>
      </c>
      <c r="AO15" s="27">
        <f>data_raw_3_day!AV11</f>
        <v>0.0062</v>
      </c>
      <c r="AP15" s="27">
        <f>data_raw_3_day!AW11</f>
        <v>0.0027</v>
      </c>
      <c r="AQ15" s="27">
        <f>data_raw_3_day!AX11</f>
        <v>0.0017</v>
      </c>
      <c r="AR15" s="27">
        <f>data_raw_3_day!AY11</f>
        <v>0.0007</v>
      </c>
      <c r="AS15" s="28">
        <f>data_raw_3_day!AZ11</f>
        <v>0.0002</v>
      </c>
      <c r="AT15" s="32" t="s">
        <v>66</v>
      </c>
      <c r="AU15" s="29">
        <f>saga_progression_new!$C$17*B15</f>
        <v>38.322</v>
      </c>
      <c r="AV15" s="29">
        <f>daily_rewards_new!$B$13*data_raw_3_day!K11</f>
        <v>39.74285714</v>
      </c>
      <c r="AW15" s="29">
        <f t="array" ref="AW15">SUMPRODUCT($P15:$AS15,TRANSPOSE(milestone_3day_new!$E$4:$E$33))</f>
        <v>60.8405</v>
      </c>
      <c r="AX15" s="29">
        <f t="shared" si="14"/>
        <v>762.9753571</v>
      </c>
      <c r="AY15" s="29">
        <f t="shared" si="15"/>
        <v>735.3453571</v>
      </c>
      <c r="AZ15" s="29">
        <f t="shared" si="16"/>
        <v>710.78</v>
      </c>
      <c r="BA15" s="29">
        <f t="shared" si="17"/>
        <v>52.19535714</v>
      </c>
      <c r="BB15" s="30">
        <f t="shared" si="18"/>
        <v>61.97535714</v>
      </c>
      <c r="BC15" s="29">
        <f t="shared" si="19"/>
        <v>24.56535714</v>
      </c>
      <c r="BD15" s="30">
        <f t="shared" si="20"/>
        <v>34.34535714</v>
      </c>
      <c r="BE15" s="3"/>
      <c r="BF15" s="3"/>
      <c r="BG15" s="3"/>
      <c r="BH15" s="3"/>
    </row>
    <row r="16" ht="15.0" customHeight="1">
      <c r="A16" s="22" t="s">
        <v>63</v>
      </c>
      <c r="B16" s="23">
        <f>data_raw_3_day!J12</f>
        <v>134.79</v>
      </c>
      <c r="C16" s="23">
        <f>data_raw_3_day!L12</f>
        <v>576.51</v>
      </c>
      <c r="D16" s="23">
        <f>data_raw_3_day!G12</f>
        <v>65920</v>
      </c>
      <c r="E16" s="23">
        <f>data_raw_3_day!M12</f>
        <v>1450.14</v>
      </c>
      <c r="F16" s="23">
        <f>data_raw_3_day!N12</f>
        <v>84.71</v>
      </c>
      <c r="G16" s="23">
        <f>data_raw_3_day!O12</f>
        <v>35.25</v>
      </c>
      <c r="H16" s="23">
        <f>data_raw_3_day!S12</f>
        <v>35.66</v>
      </c>
      <c r="I16" s="23">
        <f>data_raw_3_day!T12</f>
        <v>28.6</v>
      </c>
      <c r="J16" s="23">
        <f>data_raw_3_day!U12</f>
        <v>25</v>
      </c>
      <c r="K16" s="23">
        <f>data_raw_3_day!V12</f>
        <v>43</v>
      </c>
      <c r="L16" s="24">
        <f t="shared" si="11"/>
        <v>33.065</v>
      </c>
      <c r="M16" s="24">
        <f t="shared" si="12"/>
        <v>1297.115</v>
      </c>
      <c r="N16" s="23">
        <f>data_raw_3_day!Q12</f>
        <v>1498.7</v>
      </c>
      <c r="O16" s="25">
        <f t="shared" si="13"/>
        <v>-48.56</v>
      </c>
      <c r="P16" s="26">
        <f>data_raw_3_day!W12</f>
        <v>1</v>
      </c>
      <c r="Q16" s="27">
        <f>data_raw_3_day!X12</f>
        <v>0.9992</v>
      </c>
      <c r="R16" s="27">
        <f>data_raw_3_day!Y12</f>
        <v>0.9918</v>
      </c>
      <c r="S16" s="27">
        <f>data_raw_3_day!Z12</f>
        <v>0.9906</v>
      </c>
      <c r="T16" s="27">
        <f>data_raw_3_day!AA12</f>
        <v>0.9881</v>
      </c>
      <c r="U16" s="27">
        <f>data_raw_3_day!AB12</f>
        <v>0.9832</v>
      </c>
      <c r="V16" s="27">
        <f>data_raw_3_day!AC12</f>
        <v>0.9807</v>
      </c>
      <c r="W16" s="27">
        <f>data_raw_3_day!AD12</f>
        <v>0.9741</v>
      </c>
      <c r="X16" s="27">
        <f>data_raw_3_day!AE12</f>
        <v>0.9544</v>
      </c>
      <c r="Y16" s="27">
        <f>data_raw_3_day!AF12</f>
        <v>0.952</v>
      </c>
      <c r="Z16" s="27">
        <f>data_raw_3_day!AG12</f>
        <v>0.9437</v>
      </c>
      <c r="AA16" s="27">
        <f>data_raw_3_day!AH12</f>
        <v>0.9207</v>
      </c>
      <c r="AB16" s="27">
        <f>data_raw_3_day!AI12</f>
        <v>0.908</v>
      </c>
      <c r="AC16" s="27">
        <f>data_raw_3_day!AJ12</f>
        <v>0.8674</v>
      </c>
      <c r="AD16" s="27">
        <f>data_raw_3_day!AK12</f>
        <v>0.7281</v>
      </c>
      <c r="AE16" s="27">
        <f>data_raw_3_day!AL12</f>
        <v>0.7018</v>
      </c>
      <c r="AF16" s="27">
        <f>data_raw_3_day!AM12</f>
        <v>0.6435</v>
      </c>
      <c r="AG16" s="27">
        <f>data_raw_3_day!AN12</f>
        <v>0.4858</v>
      </c>
      <c r="AH16" s="27">
        <f>data_raw_3_day!AO12</f>
        <v>0.4559</v>
      </c>
      <c r="AI16" s="27">
        <f>data_raw_3_day!AP12</f>
        <v>0.3975</v>
      </c>
      <c r="AJ16" s="27">
        <f>data_raw_3_day!AQ12</f>
        <v>0.2468</v>
      </c>
      <c r="AK16" s="27">
        <f>data_raw_3_day!AR12</f>
        <v>0.2164</v>
      </c>
      <c r="AL16" s="27">
        <f>data_raw_3_day!AS12</f>
        <v>0.1729</v>
      </c>
      <c r="AM16" s="27">
        <f>data_raw_3_day!AT12</f>
        <v>0.094</v>
      </c>
      <c r="AN16" s="27">
        <f>data_raw_3_day!AU12</f>
        <v>0.0776</v>
      </c>
      <c r="AO16" s="27">
        <f>data_raw_3_day!AV12</f>
        <v>0.0608</v>
      </c>
      <c r="AP16" s="27">
        <f>data_raw_3_day!AW12</f>
        <v>0.0283</v>
      </c>
      <c r="AQ16" s="27">
        <f>data_raw_3_day!AX12</f>
        <v>0.0209</v>
      </c>
      <c r="AR16" s="27">
        <f>data_raw_3_day!AY12</f>
        <v>0.0131</v>
      </c>
      <c r="AS16" s="28">
        <f>data_raw_3_day!AZ12</f>
        <v>0.0053</v>
      </c>
      <c r="AT16" s="32" t="s">
        <v>66</v>
      </c>
      <c r="AU16" s="29">
        <f>saga_progression_new!$C$17*B16</f>
        <v>80.874</v>
      </c>
      <c r="AV16" s="29">
        <f>daily_rewards_new!$B$13*data_raw_3_day!K12</f>
        <v>41.41428571</v>
      </c>
      <c r="AW16" s="29">
        <f t="array" ref="AW16">SUMPRODUCT($P16:$AS16,TRANSPOSE(milestone_3day_new!$E$4:$E$33))</f>
        <v>107.3695</v>
      </c>
      <c r="AX16" s="29">
        <f t="shared" si="14"/>
        <v>1559.837786</v>
      </c>
      <c r="AY16" s="29">
        <f t="shared" si="15"/>
        <v>1526.772786</v>
      </c>
      <c r="AZ16" s="29">
        <f t="shared" si="16"/>
        <v>1498.7</v>
      </c>
      <c r="BA16" s="29">
        <f t="shared" si="17"/>
        <v>61.13778571</v>
      </c>
      <c r="BB16" s="30">
        <f t="shared" si="18"/>
        <v>109.6977857</v>
      </c>
      <c r="BC16" s="29">
        <f t="shared" si="19"/>
        <v>28.07278571</v>
      </c>
      <c r="BD16" s="30">
        <f t="shared" si="20"/>
        <v>76.63278571</v>
      </c>
      <c r="BE16" s="3"/>
      <c r="BF16" s="3"/>
      <c r="BG16" s="3"/>
      <c r="BH16" s="3"/>
    </row>
    <row r="17" ht="15.0" customHeight="1">
      <c r="A17" s="22" t="s">
        <v>64</v>
      </c>
      <c r="B17" s="23">
        <f>data_raw_3_day!J13</f>
        <v>282.69</v>
      </c>
      <c r="C17" s="23">
        <f>data_raw_3_day!L13</f>
        <v>557.8</v>
      </c>
      <c r="D17" s="23">
        <f>data_raw_3_day!G13</f>
        <v>138432</v>
      </c>
      <c r="E17" s="23">
        <f>data_raw_3_day!M13</f>
        <v>3204.37</v>
      </c>
      <c r="F17" s="23">
        <f>data_raw_3_day!N13</f>
        <v>205.58</v>
      </c>
      <c r="G17" s="23">
        <f>data_raw_3_day!O13</f>
        <v>44.26</v>
      </c>
      <c r="H17" s="23">
        <f>data_raw_3_day!S13</f>
        <v>53.04</v>
      </c>
      <c r="I17" s="23">
        <f>data_raw_3_day!T13</f>
        <v>39.29</v>
      </c>
      <c r="J17" s="23">
        <f>data_raw_3_day!U13</f>
        <v>25</v>
      </c>
      <c r="K17" s="23">
        <f>data_raw_3_day!V13</f>
        <v>50</v>
      </c>
      <c r="L17" s="24">
        <f t="shared" si="11"/>
        <v>41.8325</v>
      </c>
      <c r="M17" s="24">
        <f t="shared" si="12"/>
        <v>2912.6975</v>
      </c>
      <c r="N17" s="23">
        <f>data_raw_3_day!Q13</f>
        <v>3249.47</v>
      </c>
      <c r="O17" s="25">
        <f t="shared" si="13"/>
        <v>-45.1</v>
      </c>
      <c r="P17" s="26">
        <f>data_raw_3_day!W13</f>
        <v>1</v>
      </c>
      <c r="Q17" s="27">
        <f>data_raw_3_day!X13</f>
        <v>1</v>
      </c>
      <c r="R17" s="27">
        <f>data_raw_3_day!Y13</f>
        <v>1</v>
      </c>
      <c r="S17" s="27">
        <f>data_raw_3_day!Z13</f>
        <v>1</v>
      </c>
      <c r="T17" s="27">
        <f>data_raw_3_day!AA13</f>
        <v>1</v>
      </c>
      <c r="U17" s="27">
        <f>data_raw_3_day!AB13</f>
        <v>0.9961</v>
      </c>
      <c r="V17" s="27">
        <f>data_raw_3_day!AC13</f>
        <v>0.9922</v>
      </c>
      <c r="W17" s="27">
        <f>data_raw_3_day!AD13</f>
        <v>0.9922</v>
      </c>
      <c r="X17" s="27">
        <f>data_raw_3_day!AE13</f>
        <v>0.9922</v>
      </c>
      <c r="Y17" s="27">
        <f>data_raw_3_day!AF13</f>
        <v>0.9845</v>
      </c>
      <c r="Z17" s="27">
        <f>data_raw_3_day!AG13</f>
        <v>0.9806</v>
      </c>
      <c r="AA17" s="27">
        <f>data_raw_3_day!AH13</f>
        <v>0.9729</v>
      </c>
      <c r="AB17" s="27">
        <f>data_raw_3_day!AI13</f>
        <v>0.9729</v>
      </c>
      <c r="AC17" s="27">
        <f>data_raw_3_day!AJ13</f>
        <v>0.9729</v>
      </c>
      <c r="AD17" s="27">
        <f>data_raw_3_day!AK13</f>
        <v>0.9457</v>
      </c>
      <c r="AE17" s="27">
        <f>data_raw_3_day!AL13</f>
        <v>0.9419</v>
      </c>
      <c r="AF17" s="27">
        <f>data_raw_3_day!AM13</f>
        <v>0.9341</v>
      </c>
      <c r="AG17" s="27">
        <f>data_raw_3_day!AN13</f>
        <v>0.8411</v>
      </c>
      <c r="AH17" s="27">
        <f>data_raw_3_day!AO13</f>
        <v>0.8023</v>
      </c>
      <c r="AI17" s="27">
        <f>data_raw_3_day!AP13</f>
        <v>0.7558</v>
      </c>
      <c r="AJ17" s="27">
        <f>data_raw_3_day!AQ13</f>
        <v>0.6705</v>
      </c>
      <c r="AK17" s="27">
        <f>data_raw_3_day!AR13</f>
        <v>0.6473</v>
      </c>
      <c r="AL17" s="27">
        <f>data_raw_3_day!AS13</f>
        <v>0.5891</v>
      </c>
      <c r="AM17" s="27">
        <f>data_raw_3_day!AT13</f>
        <v>0.4302</v>
      </c>
      <c r="AN17" s="27">
        <f>data_raw_3_day!AU13</f>
        <v>0.4031</v>
      </c>
      <c r="AO17" s="27">
        <f>data_raw_3_day!AV13</f>
        <v>0.3411</v>
      </c>
      <c r="AP17" s="27">
        <f>data_raw_3_day!AW13</f>
        <v>0.2442</v>
      </c>
      <c r="AQ17" s="27">
        <f>data_raw_3_day!AX13</f>
        <v>0.2132</v>
      </c>
      <c r="AR17" s="27">
        <f>data_raw_3_day!AY13</f>
        <v>0.124</v>
      </c>
      <c r="AS17" s="28">
        <f>data_raw_3_day!AZ13</f>
        <v>0.0581</v>
      </c>
      <c r="AT17" s="32" t="s">
        <v>66</v>
      </c>
      <c r="AU17" s="29">
        <f>saga_progression_new!$C$17*B17</f>
        <v>169.614</v>
      </c>
      <c r="AV17" s="29">
        <f>daily_rewards_new!$B$13*data_raw_3_day!K13</f>
        <v>39.18571429</v>
      </c>
      <c r="AW17" s="29">
        <f t="array" ref="AW17">SUMPRODUCT($P17:$AS17,TRANSPOSE(milestone_3day_new!$E$4:$E$33))</f>
        <v>268.1205</v>
      </c>
      <c r="AX17" s="29">
        <f t="shared" si="14"/>
        <v>3431.450214</v>
      </c>
      <c r="AY17" s="29">
        <f t="shared" si="15"/>
        <v>3389.617714</v>
      </c>
      <c r="AZ17" s="29">
        <f t="shared" si="16"/>
        <v>3249.47</v>
      </c>
      <c r="BA17" s="29">
        <f t="shared" si="17"/>
        <v>181.9802143</v>
      </c>
      <c r="BB17" s="30">
        <f t="shared" si="18"/>
        <v>227.0802143</v>
      </c>
      <c r="BC17" s="29">
        <f t="shared" si="19"/>
        <v>140.1477143</v>
      </c>
      <c r="BD17" s="30">
        <f t="shared" si="20"/>
        <v>185.2477143</v>
      </c>
      <c r="BE17" s="3"/>
      <c r="BF17" s="3"/>
      <c r="BG17" s="3"/>
      <c r="BH17" s="3"/>
    </row>
    <row r="18" ht="14.25" customHeight="1"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ht="14.25" customHeight="1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ht="14.25" customHeight="1"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ht="15.0" customHeight="1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ht="15.0" customHeight="1">
      <c r="B22" s="7" t="s">
        <v>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3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3"/>
      <c r="AU22" s="9" t="s">
        <v>4</v>
      </c>
      <c r="AV22" s="9"/>
      <c r="AW22" s="9"/>
      <c r="AX22" s="9"/>
      <c r="AY22" s="9"/>
      <c r="AZ22" s="9"/>
      <c r="BA22" s="9"/>
      <c r="BB22" s="9"/>
      <c r="BC22" s="9"/>
      <c r="BD22" s="9"/>
      <c r="BE22" s="3"/>
      <c r="BF22" s="3"/>
      <c r="BG22" s="3"/>
      <c r="BH22" s="3"/>
    </row>
    <row r="23" ht="43.5" customHeight="1">
      <c r="A23" s="10" t="s">
        <v>5</v>
      </c>
      <c r="B23" s="11" t="s">
        <v>6</v>
      </c>
      <c r="C23" s="11" t="s">
        <v>7</v>
      </c>
      <c r="D23" s="11" t="s">
        <v>8</v>
      </c>
      <c r="E23" s="11" t="s">
        <v>9</v>
      </c>
      <c r="F23" s="11" t="s">
        <v>10</v>
      </c>
      <c r="G23" s="11" t="s">
        <v>11</v>
      </c>
      <c r="H23" s="11" t="s">
        <v>12</v>
      </c>
      <c r="I23" s="11" t="s">
        <v>13</v>
      </c>
      <c r="J23" s="11" t="s">
        <v>14</v>
      </c>
      <c r="K23" s="11" t="s">
        <v>15</v>
      </c>
      <c r="L23" s="12" t="s">
        <v>16</v>
      </c>
      <c r="M23" s="12" t="s">
        <v>17</v>
      </c>
      <c r="N23" s="11" t="s">
        <v>18</v>
      </c>
      <c r="O23" s="13" t="s">
        <v>19</v>
      </c>
      <c r="P23" s="14" t="s">
        <v>20</v>
      </c>
      <c r="Q23" s="15" t="s">
        <v>21</v>
      </c>
      <c r="R23" s="15" t="s">
        <v>22</v>
      </c>
      <c r="S23" s="15" t="s">
        <v>23</v>
      </c>
      <c r="T23" s="15" t="s">
        <v>24</v>
      </c>
      <c r="U23" s="15" t="s">
        <v>25</v>
      </c>
      <c r="V23" s="15" t="s">
        <v>26</v>
      </c>
      <c r="W23" s="15" t="s">
        <v>27</v>
      </c>
      <c r="X23" s="15" t="s">
        <v>28</v>
      </c>
      <c r="Y23" s="15" t="s">
        <v>29</v>
      </c>
      <c r="Z23" s="15" t="s">
        <v>30</v>
      </c>
      <c r="AA23" s="16" t="s">
        <v>31</v>
      </c>
      <c r="AB23" s="16" t="s">
        <v>32</v>
      </c>
      <c r="AC23" s="16" t="s">
        <v>33</v>
      </c>
      <c r="AD23" s="16" t="s">
        <v>34</v>
      </c>
      <c r="AE23" s="16" t="s">
        <v>35</v>
      </c>
      <c r="AF23" s="16" t="s">
        <v>36</v>
      </c>
      <c r="AG23" s="16" t="s">
        <v>37</v>
      </c>
      <c r="AH23" s="16" t="s">
        <v>38</v>
      </c>
      <c r="AI23" s="16" t="s">
        <v>39</v>
      </c>
      <c r="AJ23" s="16" t="s">
        <v>40</v>
      </c>
      <c r="AK23" s="16" t="s">
        <v>41</v>
      </c>
      <c r="AL23" s="16" t="s">
        <v>42</v>
      </c>
      <c r="AM23" s="16" t="s">
        <v>43</v>
      </c>
      <c r="AN23" s="16" t="s">
        <v>44</v>
      </c>
      <c r="AO23" s="16" t="s">
        <v>45</v>
      </c>
      <c r="AP23" s="16" t="s">
        <v>46</v>
      </c>
      <c r="AQ23" s="16" t="s">
        <v>47</v>
      </c>
      <c r="AR23" s="16" t="s">
        <v>48</v>
      </c>
      <c r="AS23" s="17" t="s">
        <v>49</v>
      </c>
      <c r="AT23" s="3"/>
      <c r="AU23" s="18" t="s">
        <v>50</v>
      </c>
      <c r="AV23" s="18" t="s">
        <v>51</v>
      </c>
      <c r="AW23" s="18" t="s">
        <v>52</v>
      </c>
      <c r="AX23" s="18" t="s">
        <v>53</v>
      </c>
      <c r="AY23" s="18" t="s">
        <v>54</v>
      </c>
      <c r="AZ23" s="18" t="s">
        <v>55</v>
      </c>
      <c r="BA23" s="18" t="s">
        <v>56</v>
      </c>
      <c r="BB23" s="18" t="s">
        <v>57</v>
      </c>
      <c r="BC23" s="18" t="s">
        <v>58</v>
      </c>
      <c r="BD23" s="18" t="s">
        <v>57</v>
      </c>
      <c r="BE23" s="3"/>
      <c r="BF23" s="3"/>
      <c r="BG23" s="3"/>
      <c r="BH23" s="3"/>
    </row>
    <row r="24" ht="15.0" customHeight="1">
      <c r="A24" s="19" t="s">
        <v>59</v>
      </c>
      <c r="P24" s="2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1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ht="15.0" customHeight="1">
      <c r="A25" s="22" t="s">
        <v>60</v>
      </c>
      <c r="B25" s="23">
        <f>data_raw_4_day!J3</f>
        <v>13.69</v>
      </c>
      <c r="C25" s="23">
        <f>data_raw_4_day!L3</f>
        <v>577.4</v>
      </c>
      <c r="D25" s="23">
        <f>data_raw_4_day!G3</f>
        <v>4553</v>
      </c>
      <c r="E25" s="23">
        <f>data_raw_4_day!M3</f>
        <v>126.92</v>
      </c>
      <c r="F25" s="23">
        <f>data_raw_4_day!N3</f>
        <v>9.92</v>
      </c>
      <c r="G25" s="23">
        <f>data_raw_4_day!O3</f>
        <v>41.77</v>
      </c>
      <c r="H25" s="23">
        <f>data_raw_4_day!S3</f>
        <v>11.78</v>
      </c>
      <c r="I25" s="23">
        <f>data_raw_4_day!T3</f>
        <v>25</v>
      </c>
      <c r="J25" s="23">
        <f>data_raw_4_day!U3</f>
        <v>25</v>
      </c>
      <c r="K25" s="23">
        <f>data_raw_4_day!V3</f>
        <v>33.52</v>
      </c>
      <c r="L25" s="24">
        <f t="shared" ref="L25:L29" si="21">AVERAGE(H25:K25)</f>
        <v>23.825</v>
      </c>
      <c r="M25" s="24">
        <f t="shared" ref="M25:M29" si="22">E25-F25-G25-L25</f>
        <v>51.405</v>
      </c>
      <c r="N25" s="23">
        <f>data_raw_4_day!Q3</f>
        <v>112.49</v>
      </c>
      <c r="O25" s="25">
        <f t="shared" ref="O25:O29" si="23">E25-N25</f>
        <v>14.43</v>
      </c>
      <c r="P25" s="26">
        <f>data_raw_4_day!W3</f>
        <v>0.9995</v>
      </c>
      <c r="Q25" s="27">
        <f>data_raw_4_day!X3</f>
        <v>0.9661</v>
      </c>
      <c r="R25" s="27">
        <f>data_raw_4_day!Y3</f>
        <v>0.8038</v>
      </c>
      <c r="S25" s="27">
        <f>data_raw_4_day!Z3</f>
        <v>0.7707</v>
      </c>
      <c r="T25" s="27">
        <f>data_raw_4_day!AA3</f>
        <v>0.7149</v>
      </c>
      <c r="U25" s="27">
        <f>data_raw_4_day!AB3</f>
        <v>0.5559</v>
      </c>
      <c r="V25" s="27">
        <f>data_raw_4_day!AC3</f>
        <v>0.5168</v>
      </c>
      <c r="W25" s="27">
        <f>data_raw_4_day!AD3</f>
        <v>0.4472</v>
      </c>
      <c r="X25" s="27">
        <f>data_raw_4_day!AE3</f>
        <v>0.3001</v>
      </c>
      <c r="Y25" s="27">
        <f>data_raw_4_day!AF3</f>
        <v>0.2609</v>
      </c>
      <c r="Z25" s="27">
        <f>data_raw_4_day!AG3</f>
        <v>0.198</v>
      </c>
      <c r="AA25" s="27">
        <f>data_raw_4_day!AH3</f>
        <v>0.0855</v>
      </c>
      <c r="AB25" s="27">
        <f>data_raw_4_day!AI3</f>
        <v>0.0639</v>
      </c>
      <c r="AC25" s="27">
        <f>data_raw_4_day!AJ3</f>
        <v>0.0366</v>
      </c>
      <c r="AD25" s="27">
        <f>data_raw_4_day!AK3</f>
        <v>0.0143</v>
      </c>
      <c r="AE25" s="27">
        <f>data_raw_4_day!AL3</f>
        <v>0.0129</v>
      </c>
      <c r="AF25" s="27">
        <f>data_raw_4_day!AM3</f>
        <v>0.0112</v>
      </c>
      <c r="AG25" s="27">
        <f>data_raw_4_day!AN3</f>
        <v>0.0075</v>
      </c>
      <c r="AH25" s="27">
        <f>data_raw_4_day!AO3</f>
        <v>0.0072</v>
      </c>
      <c r="AI25" s="27">
        <f>data_raw_4_day!AP3</f>
        <v>0.0061</v>
      </c>
      <c r="AJ25" s="27">
        <f>data_raw_4_day!AQ3</f>
        <v>0.004</v>
      </c>
      <c r="AK25" s="27">
        <f>data_raw_4_day!AR3</f>
        <v>0.0035</v>
      </c>
      <c r="AL25" s="27">
        <f>data_raw_4_day!AS3</f>
        <v>0.0027</v>
      </c>
      <c r="AM25" s="27">
        <f>data_raw_4_day!AT3</f>
        <v>0.0014</v>
      </c>
      <c r="AN25" s="27">
        <f>data_raw_4_day!AU3</f>
        <v>0.0011</v>
      </c>
      <c r="AO25" s="27">
        <f>data_raw_4_day!AV3</f>
        <v>0.0007</v>
      </c>
      <c r="AP25" s="27">
        <f>data_raw_4_day!AW3</f>
        <v>0.0003</v>
      </c>
      <c r="AQ25" s="27">
        <f>data_raw_4_day!AX3</f>
        <v>0.0002</v>
      </c>
      <c r="AR25" s="27">
        <f>data_raw_4_day!AY3</f>
        <v>0.0001</v>
      </c>
      <c r="AS25" s="28">
        <f>data_raw_4_day!AZ3</f>
        <v>0</v>
      </c>
      <c r="AT25" s="3"/>
      <c r="AU25" s="29">
        <f>saga_progression_new!$C$17*B25</f>
        <v>8.214</v>
      </c>
      <c r="AV25" s="29">
        <f>daily_rewards_new!$B$13*data_raw_4_day!K3</f>
        <v>39.55714286</v>
      </c>
      <c r="AW25" s="29">
        <f t="array" ref="AW25">SUMPRODUCT($P25:$AS25,TRANSPOSE(milestone_4day_new!$E$4:$E$33))</f>
        <v>19.2455</v>
      </c>
      <c r="AX25" s="29">
        <f t="shared" ref="AX25:AX29" si="24">M25+L25+AU25+AV25+AW25</f>
        <v>142.2466429</v>
      </c>
      <c r="AY25" s="29">
        <f t="shared" ref="AY25:AY29" si="25">M25+AU25+AV25+AW25</f>
        <v>118.4216429</v>
      </c>
      <c r="AZ25" s="29">
        <f t="shared" ref="AZ25:AZ29" si="26">N25</f>
        <v>112.49</v>
      </c>
      <c r="BA25" s="29">
        <f t="shared" ref="BA25:BA29" si="27">AX25-AZ25</f>
        <v>29.75664286</v>
      </c>
      <c r="BB25" s="30">
        <f t="shared" ref="BB25:BB29" si="28">BA25-O25</f>
        <v>15.32664286</v>
      </c>
      <c r="BC25" s="29">
        <f t="shared" ref="BC25:BC29" si="29">AY25-AZ25</f>
        <v>5.931642857</v>
      </c>
      <c r="BD25" s="30">
        <f t="shared" ref="BD25:BD29" si="30">BC25-O25</f>
        <v>-8.498357143</v>
      </c>
      <c r="BE25" s="3"/>
      <c r="BF25" s="3"/>
      <c r="BG25" s="3"/>
      <c r="BH25" s="3"/>
    </row>
    <row r="26" ht="15.0" customHeight="1">
      <c r="A26" s="22" t="s">
        <v>61</v>
      </c>
      <c r="B26" s="23">
        <f>data_raw_4_day!J4</f>
        <v>42.06</v>
      </c>
      <c r="C26" s="23">
        <f>data_raw_4_day!L4</f>
        <v>582.27</v>
      </c>
      <c r="D26" s="23">
        <f>data_raw_4_day!G4</f>
        <v>19134</v>
      </c>
      <c r="E26" s="23">
        <f>data_raw_4_day!M4</f>
        <v>257.7</v>
      </c>
      <c r="F26" s="23">
        <f>data_raw_4_day!N4</f>
        <v>27.86</v>
      </c>
      <c r="G26" s="23">
        <f>data_raw_4_day!O4</f>
        <v>46.94</v>
      </c>
      <c r="H26" s="23">
        <f>data_raw_4_day!S4</f>
        <v>12.29</v>
      </c>
      <c r="I26" s="23">
        <f>data_raw_4_day!T4</f>
        <v>25.67</v>
      </c>
      <c r="J26" s="23">
        <f>data_raw_4_day!U4</f>
        <v>25</v>
      </c>
      <c r="K26" s="23">
        <f>data_raw_4_day!V4</f>
        <v>33.17</v>
      </c>
      <c r="L26" s="24">
        <f t="shared" si="21"/>
        <v>24.0325</v>
      </c>
      <c r="M26" s="24">
        <f t="shared" si="22"/>
        <v>158.8675</v>
      </c>
      <c r="N26" s="23">
        <f>data_raw_4_day!Q4</f>
        <v>244.11</v>
      </c>
      <c r="O26" s="25">
        <f t="shared" si="23"/>
        <v>13.59</v>
      </c>
      <c r="P26" s="26">
        <f>data_raw_4_day!W4</f>
        <v>1</v>
      </c>
      <c r="Q26" s="27">
        <f>data_raw_4_day!X4</f>
        <v>0.9972</v>
      </c>
      <c r="R26" s="27">
        <f>data_raw_4_day!Y4</f>
        <v>0.9838</v>
      </c>
      <c r="S26" s="27">
        <f>data_raw_4_day!Z4</f>
        <v>0.9796</v>
      </c>
      <c r="T26" s="27">
        <f>data_raw_4_day!AA4</f>
        <v>0.9729</v>
      </c>
      <c r="U26" s="27">
        <f>data_raw_4_day!AB4</f>
        <v>0.9474</v>
      </c>
      <c r="V26" s="27">
        <f>data_raw_4_day!AC4</f>
        <v>0.9375</v>
      </c>
      <c r="W26" s="27">
        <f>data_raw_4_day!AD4</f>
        <v>0.9085</v>
      </c>
      <c r="X26" s="27">
        <f>data_raw_4_day!AE4</f>
        <v>0.7749</v>
      </c>
      <c r="Y26" s="27">
        <f>data_raw_4_day!AF4</f>
        <v>0.7393</v>
      </c>
      <c r="Z26" s="27">
        <f>data_raw_4_day!AG4</f>
        <v>0.6766</v>
      </c>
      <c r="AA26" s="27">
        <f>data_raw_4_day!AH4</f>
        <v>0.519</v>
      </c>
      <c r="AB26" s="27">
        <f>data_raw_4_day!AI4</f>
        <v>0.4629</v>
      </c>
      <c r="AC26" s="27">
        <f>data_raw_4_day!AJ4</f>
        <v>0.3672</v>
      </c>
      <c r="AD26" s="27">
        <f>data_raw_4_day!AK4</f>
        <v>0.1586</v>
      </c>
      <c r="AE26" s="27">
        <f>data_raw_4_day!AL4</f>
        <v>0.1282</v>
      </c>
      <c r="AF26" s="27">
        <f>data_raw_4_day!AM4</f>
        <v>0.0845</v>
      </c>
      <c r="AG26" s="27">
        <f>data_raw_4_day!AN4</f>
        <v>0.037</v>
      </c>
      <c r="AH26" s="27">
        <f>data_raw_4_day!AO4</f>
        <v>0.0334</v>
      </c>
      <c r="AI26" s="27">
        <f>data_raw_4_day!AP4</f>
        <v>0.0279</v>
      </c>
      <c r="AJ26" s="27">
        <f>data_raw_4_day!AQ4</f>
        <v>0.0187</v>
      </c>
      <c r="AK26" s="27">
        <f>data_raw_4_day!AR4</f>
        <v>0.0162</v>
      </c>
      <c r="AL26" s="27">
        <f>data_raw_4_day!AS4</f>
        <v>0.0133</v>
      </c>
      <c r="AM26" s="27">
        <f>data_raw_4_day!AT4</f>
        <v>0.007</v>
      </c>
      <c r="AN26" s="27">
        <f>data_raw_4_day!AU4</f>
        <v>0.0062</v>
      </c>
      <c r="AO26" s="27">
        <f>data_raw_4_day!AV4</f>
        <v>0.0045</v>
      </c>
      <c r="AP26" s="27">
        <f>data_raw_4_day!AW4</f>
        <v>0.0021</v>
      </c>
      <c r="AQ26" s="27">
        <f>data_raw_4_day!AX4</f>
        <v>0.0017</v>
      </c>
      <c r="AR26" s="27">
        <f>data_raw_4_day!AY4</f>
        <v>0.0009</v>
      </c>
      <c r="AS26" s="28">
        <f>data_raw_4_day!AZ4</f>
        <v>0.0001</v>
      </c>
      <c r="AT26" s="3"/>
      <c r="AU26" s="29">
        <f>saga_progression_new!$C$17*B26</f>
        <v>25.236</v>
      </c>
      <c r="AV26" s="29">
        <f>daily_rewards_new!$B$13*data_raw_4_day!K4</f>
        <v>48.1</v>
      </c>
      <c r="AW26" s="29">
        <f t="array" ref="AW26">SUMPRODUCT($P26:$AS26,TRANSPOSE(milestone_4day_new!$E$4:$E$33))</f>
        <v>46.81</v>
      </c>
      <c r="AX26" s="29">
        <f t="shared" si="24"/>
        <v>303.046</v>
      </c>
      <c r="AY26" s="29">
        <f t="shared" si="25"/>
        <v>279.0135</v>
      </c>
      <c r="AZ26" s="29">
        <f t="shared" si="26"/>
        <v>244.11</v>
      </c>
      <c r="BA26" s="29">
        <f t="shared" si="27"/>
        <v>58.936</v>
      </c>
      <c r="BB26" s="30">
        <f t="shared" si="28"/>
        <v>45.346</v>
      </c>
      <c r="BC26" s="29">
        <f t="shared" si="29"/>
        <v>34.9035</v>
      </c>
      <c r="BD26" s="30">
        <f t="shared" si="30"/>
        <v>21.3135</v>
      </c>
      <c r="BE26" s="3"/>
      <c r="BF26" s="3"/>
      <c r="BG26" s="3"/>
      <c r="BH26" s="3"/>
    </row>
    <row r="27" ht="15.0" customHeight="1">
      <c r="A27" s="22" t="s">
        <v>62</v>
      </c>
      <c r="B27" s="23">
        <f>data_raw_4_day!J5</f>
        <v>83.17</v>
      </c>
      <c r="C27" s="23">
        <f>data_raw_4_day!L5</f>
        <v>567.3</v>
      </c>
      <c r="D27" s="23">
        <f>data_raw_4_day!G5</f>
        <v>38620</v>
      </c>
      <c r="E27" s="23">
        <f>data_raw_4_day!M5</f>
        <v>446.17</v>
      </c>
      <c r="F27" s="23">
        <f>data_raw_4_day!N5</f>
        <v>55.42</v>
      </c>
      <c r="G27" s="23">
        <f>data_raw_4_day!O5</f>
        <v>47.27</v>
      </c>
      <c r="H27" s="23">
        <f>data_raw_4_day!S5</f>
        <v>20.13</v>
      </c>
      <c r="I27" s="23">
        <f>data_raw_4_day!T5</f>
        <v>26.14</v>
      </c>
      <c r="J27" s="23">
        <f>data_raw_4_day!U5</f>
        <v>25</v>
      </c>
      <c r="K27" s="23">
        <f>data_raw_4_day!V5</f>
        <v>36.27</v>
      </c>
      <c r="L27" s="24">
        <f t="shared" si="21"/>
        <v>26.885</v>
      </c>
      <c r="M27" s="24">
        <f t="shared" si="22"/>
        <v>316.595</v>
      </c>
      <c r="N27" s="23">
        <f>data_raw_4_day!Q5</f>
        <v>432.89</v>
      </c>
      <c r="O27" s="25">
        <f t="shared" si="23"/>
        <v>13.28</v>
      </c>
      <c r="P27" s="26">
        <f>data_raw_4_day!W5</f>
        <v>1</v>
      </c>
      <c r="Q27" s="27">
        <f>data_raw_4_day!X5</f>
        <v>0.9991</v>
      </c>
      <c r="R27" s="27">
        <f>data_raw_4_day!Y5</f>
        <v>0.9928</v>
      </c>
      <c r="S27" s="27">
        <f>data_raw_4_day!Z5</f>
        <v>0.9912</v>
      </c>
      <c r="T27" s="27">
        <f>data_raw_4_day!AA5</f>
        <v>0.9882</v>
      </c>
      <c r="U27" s="27">
        <f>data_raw_4_day!AB5</f>
        <v>0.9748</v>
      </c>
      <c r="V27" s="27">
        <f>data_raw_4_day!AC5</f>
        <v>0.9711</v>
      </c>
      <c r="W27" s="27">
        <f>data_raw_4_day!AD5</f>
        <v>0.9633</v>
      </c>
      <c r="X27" s="27">
        <f>data_raw_4_day!AE5</f>
        <v>0.9357</v>
      </c>
      <c r="Y27" s="27">
        <f>data_raw_4_day!AF5</f>
        <v>0.9231</v>
      </c>
      <c r="Z27" s="27">
        <f>data_raw_4_day!AG5</f>
        <v>0.8854</v>
      </c>
      <c r="AA27" s="27">
        <f>data_raw_4_day!AH5</f>
        <v>0.7552</v>
      </c>
      <c r="AB27" s="27">
        <f>data_raw_4_day!AI5</f>
        <v>0.7231</v>
      </c>
      <c r="AC27" s="27">
        <f>data_raw_4_day!AJ5</f>
        <v>0.6646</v>
      </c>
      <c r="AD27" s="27">
        <f>data_raw_4_day!AK5</f>
        <v>0.504</v>
      </c>
      <c r="AE27" s="27">
        <f>data_raw_4_day!AL5</f>
        <v>0.4621</v>
      </c>
      <c r="AF27" s="27">
        <f>data_raw_4_day!AM5</f>
        <v>0.3888</v>
      </c>
      <c r="AG27" s="27">
        <f>data_raw_4_day!AN5</f>
        <v>0.2033</v>
      </c>
      <c r="AH27" s="27">
        <f>data_raw_4_day!AO5</f>
        <v>0.1762</v>
      </c>
      <c r="AI27" s="27">
        <f>data_raw_4_day!AP5</f>
        <v>0.1346</v>
      </c>
      <c r="AJ27" s="27">
        <f>data_raw_4_day!AQ5</f>
        <v>0.0669</v>
      </c>
      <c r="AK27" s="27">
        <f>data_raw_4_day!AR5</f>
        <v>0.0577</v>
      </c>
      <c r="AL27" s="27">
        <f>data_raw_4_day!AS5</f>
        <v>0.0449</v>
      </c>
      <c r="AM27" s="27">
        <f>data_raw_4_day!AT5</f>
        <v>0.0263</v>
      </c>
      <c r="AN27" s="27">
        <f>data_raw_4_day!AU5</f>
        <v>0.0236</v>
      </c>
      <c r="AO27" s="27">
        <f>data_raw_4_day!AV5</f>
        <v>0.0185</v>
      </c>
      <c r="AP27" s="27">
        <f>data_raw_4_day!AW5</f>
        <v>0.0098</v>
      </c>
      <c r="AQ27" s="27">
        <f>data_raw_4_day!AX5</f>
        <v>0.0077</v>
      </c>
      <c r="AR27" s="27">
        <f>data_raw_4_day!AY5</f>
        <v>0.0045</v>
      </c>
      <c r="AS27" s="28">
        <f>data_raw_4_day!AZ5</f>
        <v>0.0017</v>
      </c>
      <c r="AT27" s="3"/>
      <c r="AU27" s="29">
        <f>saga_progression_new!$C$17*B27</f>
        <v>49.902</v>
      </c>
      <c r="AV27" s="29">
        <f>daily_rewards_new!$B$13*data_raw_4_day!K5</f>
        <v>50.7</v>
      </c>
      <c r="AW27" s="29">
        <f t="array" ref="AW27">SUMPRODUCT($P27:$AS27,TRANSPOSE(milestone_4day_new!$E$4:$E$33))</f>
        <v>72.082</v>
      </c>
      <c r="AX27" s="29">
        <f t="shared" si="24"/>
        <v>516.164</v>
      </c>
      <c r="AY27" s="29">
        <f t="shared" si="25"/>
        <v>489.279</v>
      </c>
      <c r="AZ27" s="29">
        <f t="shared" si="26"/>
        <v>432.89</v>
      </c>
      <c r="BA27" s="29">
        <f t="shared" si="27"/>
        <v>83.274</v>
      </c>
      <c r="BB27" s="30">
        <f t="shared" si="28"/>
        <v>69.994</v>
      </c>
      <c r="BC27" s="29">
        <f t="shared" si="29"/>
        <v>56.389</v>
      </c>
      <c r="BD27" s="30">
        <f t="shared" si="30"/>
        <v>43.109</v>
      </c>
      <c r="BE27" s="3"/>
      <c r="BF27" s="3"/>
      <c r="BG27" s="3"/>
      <c r="BH27" s="3"/>
    </row>
    <row r="28" ht="15.0" customHeight="1">
      <c r="A28" s="22" t="s">
        <v>63</v>
      </c>
      <c r="B28" s="23">
        <f>data_raw_4_day!J6</f>
        <v>177.59</v>
      </c>
      <c r="C28" s="23">
        <f>data_raw_4_day!L6</f>
        <v>543.53</v>
      </c>
      <c r="D28" s="23">
        <f>data_raw_4_day!G6</f>
        <v>83292</v>
      </c>
      <c r="E28" s="23">
        <f>data_raw_4_day!M6</f>
        <v>841.39</v>
      </c>
      <c r="F28" s="23">
        <f>data_raw_4_day!N6</f>
        <v>117.07</v>
      </c>
      <c r="G28" s="23">
        <f>data_raw_4_day!O6</f>
        <v>50.4</v>
      </c>
      <c r="H28" s="23">
        <f>data_raw_4_day!S6</f>
        <v>35.36</v>
      </c>
      <c r="I28" s="23">
        <f>data_raw_4_day!T6</f>
        <v>28.75</v>
      </c>
      <c r="J28" s="23">
        <f>data_raw_4_day!U6</f>
        <v>30</v>
      </c>
      <c r="K28" s="23">
        <f>data_raw_4_day!V6</f>
        <v>44.69</v>
      </c>
      <c r="L28" s="24">
        <f t="shared" si="21"/>
        <v>34.7</v>
      </c>
      <c r="M28" s="24">
        <f t="shared" si="22"/>
        <v>639.22</v>
      </c>
      <c r="N28" s="23">
        <f>data_raw_4_day!Q6</f>
        <v>873.18</v>
      </c>
      <c r="O28" s="25">
        <f t="shared" si="23"/>
        <v>-31.79</v>
      </c>
      <c r="P28" s="26">
        <f>data_raw_4_day!W6</f>
        <v>1</v>
      </c>
      <c r="Q28" s="27">
        <f>data_raw_4_day!X6</f>
        <v>0.9992</v>
      </c>
      <c r="R28" s="27">
        <f>data_raw_4_day!Y6</f>
        <v>0.9964</v>
      </c>
      <c r="S28" s="27">
        <f>data_raw_4_day!Z6</f>
        <v>0.9958</v>
      </c>
      <c r="T28" s="27">
        <f>data_raw_4_day!AA6</f>
        <v>0.9935</v>
      </c>
      <c r="U28" s="27">
        <f>data_raw_4_day!AB6</f>
        <v>0.9897</v>
      </c>
      <c r="V28" s="27">
        <f>data_raw_4_day!AC6</f>
        <v>0.9885</v>
      </c>
      <c r="W28" s="27">
        <f>data_raw_4_day!AD6</f>
        <v>0.9848</v>
      </c>
      <c r="X28" s="27">
        <f>data_raw_4_day!AE6</f>
        <v>0.9739</v>
      </c>
      <c r="Y28" s="27">
        <f>data_raw_4_day!AF6</f>
        <v>0.9708</v>
      </c>
      <c r="Z28" s="27">
        <f>data_raw_4_day!AG6</f>
        <v>0.9654</v>
      </c>
      <c r="AA28" s="27">
        <f>data_raw_4_day!AH6</f>
        <v>0.9432</v>
      </c>
      <c r="AB28" s="27">
        <f>data_raw_4_day!AI6</f>
        <v>0.9303</v>
      </c>
      <c r="AC28" s="27">
        <f>data_raw_4_day!AJ6</f>
        <v>0.8942</v>
      </c>
      <c r="AD28" s="27">
        <f>data_raw_4_day!AK6</f>
        <v>0.7886</v>
      </c>
      <c r="AE28" s="27">
        <f>data_raw_4_day!AL6</f>
        <v>0.7678</v>
      </c>
      <c r="AF28" s="27">
        <f>data_raw_4_day!AM6</f>
        <v>0.7236</v>
      </c>
      <c r="AG28" s="27">
        <f>data_raw_4_day!AN6</f>
        <v>0.5999</v>
      </c>
      <c r="AH28" s="27">
        <f>data_raw_4_day!AO6</f>
        <v>0.5749</v>
      </c>
      <c r="AI28" s="27">
        <f>data_raw_4_day!AP6</f>
        <v>0.5189</v>
      </c>
      <c r="AJ28" s="27">
        <f>data_raw_4_day!AQ6</f>
        <v>0.387</v>
      </c>
      <c r="AK28" s="27">
        <f>data_raw_4_day!AR6</f>
        <v>0.3504</v>
      </c>
      <c r="AL28" s="27">
        <f>data_raw_4_day!AS6</f>
        <v>0.2941</v>
      </c>
      <c r="AM28" s="27">
        <f>data_raw_4_day!AT6</f>
        <v>0.1645</v>
      </c>
      <c r="AN28" s="27">
        <f>data_raw_4_day!AU6</f>
        <v>0.1444</v>
      </c>
      <c r="AO28" s="27">
        <f>data_raw_4_day!AV6</f>
        <v>0.1182</v>
      </c>
      <c r="AP28" s="27">
        <f>data_raw_4_day!AW6</f>
        <v>0.0553</v>
      </c>
      <c r="AQ28" s="27">
        <f>data_raw_4_day!AX6</f>
        <v>0.0418</v>
      </c>
      <c r="AR28" s="27">
        <f>data_raw_4_day!AY6</f>
        <v>0.023</v>
      </c>
      <c r="AS28" s="28">
        <f>data_raw_4_day!AZ6</f>
        <v>0.009</v>
      </c>
      <c r="AT28" s="3"/>
      <c r="AU28" s="29">
        <f>saga_progression_new!$C$17*B28</f>
        <v>106.554</v>
      </c>
      <c r="AV28" s="29">
        <f>daily_rewards_new!$B$13*data_raw_4_day!K6</f>
        <v>54.41428571</v>
      </c>
      <c r="AW28" s="29">
        <f t="array" ref="AW28">SUMPRODUCT($P28:$AS28,TRANSPOSE(milestone_4day_new!$E$4:$E$33))</f>
        <v>131.752</v>
      </c>
      <c r="AX28" s="29">
        <f t="shared" si="24"/>
        <v>966.6402857</v>
      </c>
      <c r="AY28" s="29">
        <f t="shared" si="25"/>
        <v>931.9402857</v>
      </c>
      <c r="AZ28" s="29">
        <f t="shared" si="26"/>
        <v>873.18</v>
      </c>
      <c r="BA28" s="29">
        <f t="shared" si="27"/>
        <v>93.46028571</v>
      </c>
      <c r="BB28" s="30">
        <f t="shared" si="28"/>
        <v>125.2502857</v>
      </c>
      <c r="BC28" s="29">
        <f t="shared" si="29"/>
        <v>58.76028571</v>
      </c>
      <c r="BD28" s="30">
        <f t="shared" si="30"/>
        <v>90.55028571</v>
      </c>
      <c r="BE28" s="3"/>
      <c r="BF28" s="3"/>
      <c r="BG28" s="3"/>
      <c r="BH28" s="3"/>
    </row>
    <row r="29" ht="15.0" customHeight="1">
      <c r="A29" s="22" t="s">
        <v>64</v>
      </c>
      <c r="B29" s="23">
        <f>data_raw_4_day!J7</f>
        <v>336.56</v>
      </c>
      <c r="C29" s="23">
        <f>data_raw_4_day!L7</f>
        <v>516.87</v>
      </c>
      <c r="D29" s="23">
        <f>data_raw_4_day!G7</f>
        <v>139889</v>
      </c>
      <c r="E29" s="23">
        <f>data_raw_4_day!M7</f>
        <v>1649.81</v>
      </c>
      <c r="F29" s="23">
        <f>data_raw_4_day!N7</f>
        <v>299.58</v>
      </c>
      <c r="G29" s="23">
        <f>data_raw_4_day!O7</f>
        <v>60.75</v>
      </c>
      <c r="H29" s="23">
        <f>data_raw_4_day!S7</f>
        <v>53.54</v>
      </c>
      <c r="I29" s="23">
        <f>data_raw_4_day!T7</f>
        <v>38.97</v>
      </c>
      <c r="J29" s="23">
        <f>data_raw_4_day!U7</f>
        <v>25</v>
      </c>
      <c r="K29" s="23">
        <f>data_raw_4_day!V7</f>
        <v>41.67</v>
      </c>
      <c r="L29" s="24">
        <f t="shared" si="21"/>
        <v>39.795</v>
      </c>
      <c r="M29" s="24">
        <f t="shared" si="22"/>
        <v>1249.685</v>
      </c>
      <c r="N29" s="23">
        <f>data_raw_4_day!Q7</f>
        <v>1775.72</v>
      </c>
      <c r="O29" s="25">
        <f t="shared" si="23"/>
        <v>-125.91</v>
      </c>
      <c r="P29" s="26">
        <f>data_raw_4_day!W7</f>
        <v>1</v>
      </c>
      <c r="Q29" s="27">
        <f>data_raw_4_day!X7</f>
        <v>0.9987</v>
      </c>
      <c r="R29" s="27">
        <f>data_raw_4_day!Y7</f>
        <v>0.9974</v>
      </c>
      <c r="S29" s="27">
        <f>data_raw_4_day!Z7</f>
        <v>0.9974</v>
      </c>
      <c r="T29" s="27">
        <f>data_raw_4_day!AA7</f>
        <v>0.9961</v>
      </c>
      <c r="U29" s="27">
        <f>data_raw_4_day!AB7</f>
        <v>0.9961</v>
      </c>
      <c r="V29" s="27">
        <f>data_raw_4_day!AC7</f>
        <v>0.9949</v>
      </c>
      <c r="W29" s="27">
        <f>data_raw_4_day!AD7</f>
        <v>0.9949</v>
      </c>
      <c r="X29" s="27">
        <f>data_raw_4_day!AE7</f>
        <v>0.9936</v>
      </c>
      <c r="Y29" s="27">
        <f>data_raw_4_day!AF7</f>
        <v>0.9923</v>
      </c>
      <c r="Z29" s="27">
        <f>data_raw_4_day!AG7</f>
        <v>0.9897</v>
      </c>
      <c r="AA29" s="27">
        <f>data_raw_4_day!AH7</f>
        <v>0.9833</v>
      </c>
      <c r="AB29" s="27">
        <f>data_raw_4_day!AI7</f>
        <v>0.982</v>
      </c>
      <c r="AC29" s="27">
        <f>data_raw_4_day!AJ7</f>
        <v>0.9794</v>
      </c>
      <c r="AD29" s="27">
        <f>data_raw_4_day!AK7</f>
        <v>0.9421</v>
      </c>
      <c r="AE29" s="27">
        <f>data_raw_4_day!AL7</f>
        <v>0.9202</v>
      </c>
      <c r="AF29" s="27">
        <f>data_raw_4_day!AM7</f>
        <v>0.8764</v>
      </c>
      <c r="AG29" s="27">
        <f>data_raw_4_day!AN7</f>
        <v>0.7979</v>
      </c>
      <c r="AH29" s="27">
        <f>data_raw_4_day!AO7</f>
        <v>0.7825</v>
      </c>
      <c r="AI29" s="27">
        <f>data_raw_4_day!AP7</f>
        <v>0.7606</v>
      </c>
      <c r="AJ29" s="27">
        <f>data_raw_4_day!AQ7</f>
        <v>0.6474</v>
      </c>
      <c r="AK29" s="27">
        <f>data_raw_4_day!AR7</f>
        <v>0.6203</v>
      </c>
      <c r="AL29" s="27">
        <f>data_raw_4_day!AS7</f>
        <v>0.5869</v>
      </c>
      <c r="AM29" s="27">
        <f>data_raw_4_day!AT7</f>
        <v>0.471</v>
      </c>
      <c r="AN29" s="27">
        <f>data_raw_4_day!AU7</f>
        <v>0.4556</v>
      </c>
      <c r="AO29" s="27">
        <f>data_raw_4_day!AV7</f>
        <v>0.4299</v>
      </c>
      <c r="AP29" s="27">
        <f>data_raw_4_day!AW7</f>
        <v>0.3282</v>
      </c>
      <c r="AQ29" s="27">
        <f>data_raw_4_day!AX7</f>
        <v>0.2844</v>
      </c>
      <c r="AR29" s="27">
        <f>data_raw_4_day!AY7</f>
        <v>0.2085</v>
      </c>
      <c r="AS29" s="28">
        <f>data_raw_4_day!AZ7</f>
        <v>0.0978</v>
      </c>
      <c r="AT29" s="3"/>
      <c r="AU29" s="29">
        <f>saga_progression_new!$C$17*B29</f>
        <v>201.936</v>
      </c>
      <c r="AV29" s="29">
        <f>daily_rewards_new!$B$13*data_raw_4_day!K7</f>
        <v>47.91428571</v>
      </c>
      <c r="AW29" s="29">
        <f t="array" ref="AW29">SUMPRODUCT($P29:$AS29,TRANSPOSE(milestone_4day_new!$E$4:$E$33))</f>
        <v>331.1195</v>
      </c>
      <c r="AX29" s="29">
        <f t="shared" si="24"/>
        <v>1870.449786</v>
      </c>
      <c r="AY29" s="29">
        <f t="shared" si="25"/>
        <v>1830.654786</v>
      </c>
      <c r="AZ29" s="29">
        <f t="shared" si="26"/>
        <v>1775.72</v>
      </c>
      <c r="BA29" s="29">
        <f t="shared" si="27"/>
        <v>94.72978571</v>
      </c>
      <c r="BB29" s="30">
        <f t="shared" si="28"/>
        <v>220.6397857</v>
      </c>
      <c r="BC29" s="29">
        <f t="shared" si="29"/>
        <v>54.93478571</v>
      </c>
      <c r="BD29" s="30">
        <f t="shared" si="30"/>
        <v>180.8447857</v>
      </c>
      <c r="BE29" s="3"/>
      <c r="BF29" s="3"/>
      <c r="BG29" s="3"/>
      <c r="BH29" s="3"/>
    </row>
    <row r="30" ht="15.0" customHeight="1">
      <c r="A30" s="19" t="s">
        <v>65</v>
      </c>
      <c r="P30" s="2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1"/>
      <c r="AT30" s="3"/>
      <c r="AU30" s="3"/>
      <c r="AV30" s="3"/>
      <c r="AW30" s="3"/>
      <c r="AX30" s="3"/>
      <c r="AY30" s="3"/>
      <c r="AZ30" s="3"/>
      <c r="BA30" s="3"/>
      <c r="BB30" s="31"/>
      <c r="BC30" s="3"/>
      <c r="BD30" s="31"/>
      <c r="BE30" s="3"/>
      <c r="BF30" s="3"/>
      <c r="BG30" s="3"/>
      <c r="BH30" s="3"/>
    </row>
    <row r="31" ht="15.0" customHeight="1">
      <c r="A31" s="22" t="s">
        <v>60</v>
      </c>
      <c r="B31" s="23">
        <f>data_raw_4_day!J9</f>
        <v>14.56</v>
      </c>
      <c r="C31" s="23">
        <f>data_raw_4_day!L9</f>
        <v>584.43</v>
      </c>
      <c r="D31" s="23">
        <f>data_raw_4_day!G9</f>
        <v>5438</v>
      </c>
      <c r="E31" s="23">
        <f>data_raw_4_day!M9</f>
        <v>191.49</v>
      </c>
      <c r="F31" s="23">
        <f>data_raw_4_day!N9</f>
        <v>9.69</v>
      </c>
      <c r="G31" s="23">
        <f>data_raw_4_day!O9</f>
        <v>45.76</v>
      </c>
      <c r="H31" s="23">
        <f>data_raw_4_day!S9</f>
        <v>11.39</v>
      </c>
      <c r="I31" s="23">
        <f>data_raw_4_day!T9</f>
        <v>25</v>
      </c>
      <c r="J31" s="23">
        <f>data_raw_4_day!U9</f>
        <v>25</v>
      </c>
      <c r="K31" s="23">
        <f>data_raw_4_day!V9</f>
        <v>34.28</v>
      </c>
      <c r="L31" s="24">
        <f t="shared" ref="L31:L35" si="31">AVERAGE(H31:K31)</f>
        <v>23.9175</v>
      </c>
      <c r="M31" s="24">
        <f t="shared" ref="M31:M35" si="32">E31-F31-G31-L31</f>
        <v>112.1225</v>
      </c>
      <c r="N31" s="23">
        <f>data_raw_4_day!Q9</f>
        <v>172.31</v>
      </c>
      <c r="O31" s="25">
        <f t="shared" ref="O31:O35" si="33">E31-N31</f>
        <v>19.18</v>
      </c>
      <c r="P31" s="26">
        <f>data_raw_4_day!W9</f>
        <v>0.9998</v>
      </c>
      <c r="Q31" s="27">
        <f>data_raw_4_day!X9</f>
        <v>0.9817</v>
      </c>
      <c r="R31" s="27">
        <f>data_raw_4_day!Y9</f>
        <v>0.8451</v>
      </c>
      <c r="S31" s="27">
        <f>data_raw_4_day!Z9</f>
        <v>0.8172</v>
      </c>
      <c r="T31" s="27">
        <f>data_raw_4_day!AA9</f>
        <v>0.7662</v>
      </c>
      <c r="U31" s="27">
        <f>data_raw_4_day!AB9</f>
        <v>0.6162</v>
      </c>
      <c r="V31" s="27">
        <f>data_raw_4_day!AC9</f>
        <v>0.5767</v>
      </c>
      <c r="W31" s="27">
        <f>data_raw_4_day!AD9</f>
        <v>0.5046</v>
      </c>
      <c r="X31" s="27">
        <f>data_raw_4_day!AE9</f>
        <v>0.3417</v>
      </c>
      <c r="Y31" s="27">
        <f>data_raw_4_day!AF9</f>
        <v>0.2991</v>
      </c>
      <c r="Z31" s="27">
        <f>data_raw_4_day!AG9</f>
        <v>0.2248</v>
      </c>
      <c r="AA31" s="27">
        <f>data_raw_4_day!AH9</f>
        <v>0.0928</v>
      </c>
      <c r="AB31" s="27">
        <f>data_raw_4_day!AI9</f>
        <v>0.0688</v>
      </c>
      <c r="AC31" s="27">
        <f>data_raw_4_day!AJ9</f>
        <v>0.0389</v>
      </c>
      <c r="AD31" s="27">
        <f>data_raw_4_day!AK9</f>
        <v>0.0139</v>
      </c>
      <c r="AE31" s="27">
        <f>data_raw_4_day!AL9</f>
        <v>0.0127</v>
      </c>
      <c r="AF31" s="27">
        <f>data_raw_4_day!AM9</f>
        <v>0.0111</v>
      </c>
      <c r="AG31" s="27">
        <f>data_raw_4_day!AN9</f>
        <v>0.0077</v>
      </c>
      <c r="AH31" s="27">
        <f>data_raw_4_day!AO9</f>
        <v>0.0068</v>
      </c>
      <c r="AI31" s="27">
        <f>data_raw_4_day!AP9</f>
        <v>0.0055</v>
      </c>
      <c r="AJ31" s="27">
        <f>data_raw_4_day!AQ9</f>
        <v>0.0027</v>
      </c>
      <c r="AK31" s="27">
        <f>data_raw_4_day!AR9</f>
        <v>0.0022</v>
      </c>
      <c r="AL31" s="27">
        <f>data_raw_4_day!AS9</f>
        <v>0.0019</v>
      </c>
      <c r="AM31" s="27">
        <f>data_raw_4_day!AT9</f>
        <v>0.0009</v>
      </c>
      <c r="AN31" s="27">
        <f>data_raw_4_day!AU9</f>
        <v>0.0008</v>
      </c>
      <c r="AO31" s="27">
        <f>data_raw_4_day!AV9</f>
        <v>0.0005</v>
      </c>
      <c r="AP31" s="27">
        <f>data_raw_4_day!AW9</f>
        <v>0.0003</v>
      </c>
      <c r="AQ31" s="27">
        <f>data_raw_4_day!AX9</f>
        <v>0.0002</v>
      </c>
      <c r="AR31" s="27">
        <f>data_raw_4_day!AY9</f>
        <v>0.0002</v>
      </c>
      <c r="AS31" s="28">
        <f>data_raw_4_day!AZ9</f>
        <v>0.0002</v>
      </c>
      <c r="AT31" s="32" t="s">
        <v>66</v>
      </c>
      <c r="AU31" s="29">
        <f>saga_progression_new!$C$17*B31</f>
        <v>8.736</v>
      </c>
      <c r="AV31" s="29">
        <f>daily_rewards_new!$B$13*data_raw_4_day!K9</f>
        <v>43.27142857</v>
      </c>
      <c r="AW31" s="29">
        <f t="array" ref="AW31">SUMPRODUCT($P31:$AS31,TRANSPOSE(milestone_4day_new!$E$4:$E$33))</f>
        <v>20.649</v>
      </c>
      <c r="AX31" s="29">
        <f t="shared" ref="AX31:AX35" si="34">M31+L31+AU31+AV31+AW31</f>
        <v>208.6964286</v>
      </c>
      <c r="AY31" s="29">
        <f t="shared" ref="AY31:AY35" si="35">M31+AU31+AV31+AW31</f>
        <v>184.7789286</v>
      </c>
      <c r="AZ31" s="29">
        <f t="shared" ref="AZ31:AZ35" si="36">N31</f>
        <v>172.31</v>
      </c>
      <c r="BA31" s="29">
        <f t="shared" ref="BA31:BA35" si="37">AX31-AZ31</f>
        <v>36.38642857</v>
      </c>
      <c r="BB31" s="30">
        <f t="shared" ref="BB31:BB35" si="38">BA31-O31</f>
        <v>17.20642857</v>
      </c>
      <c r="BC31" s="29">
        <f t="shared" ref="BC31:BC35" si="39">AY31-AZ31</f>
        <v>12.46892857</v>
      </c>
      <c r="BD31" s="30">
        <f t="shared" ref="BD31:BD35" si="40">BC31-O31</f>
        <v>-6.711071429</v>
      </c>
      <c r="BE31" s="3"/>
      <c r="BF31" s="3"/>
      <c r="BG31" s="3"/>
      <c r="BH31" s="3"/>
    </row>
    <row r="32" ht="15.0" customHeight="1">
      <c r="A32" s="22" t="s">
        <v>61</v>
      </c>
      <c r="B32" s="23">
        <f>data_raw_4_day!J10</f>
        <v>42.39</v>
      </c>
      <c r="C32" s="23">
        <f>data_raw_4_day!L10</f>
        <v>584.97</v>
      </c>
      <c r="D32" s="23">
        <f>data_raw_4_day!G10</f>
        <v>20371</v>
      </c>
      <c r="E32" s="23">
        <f>data_raw_4_day!M10</f>
        <v>450.93</v>
      </c>
      <c r="F32" s="23">
        <f>data_raw_4_day!N10</f>
        <v>27.26</v>
      </c>
      <c r="G32" s="23">
        <f>data_raw_4_day!O10</f>
        <v>47.18</v>
      </c>
      <c r="H32" s="23">
        <f>data_raw_4_day!S10</f>
        <v>12.01</v>
      </c>
      <c r="I32" s="23">
        <f>data_raw_4_day!T10</f>
        <v>26</v>
      </c>
      <c r="J32" s="23">
        <f>data_raw_4_day!U10</f>
        <v>43.75</v>
      </c>
      <c r="K32" s="23">
        <f>data_raw_4_day!V10</f>
        <v>34.54</v>
      </c>
      <c r="L32" s="24">
        <f t="shared" si="31"/>
        <v>29.075</v>
      </c>
      <c r="M32" s="24">
        <f t="shared" si="32"/>
        <v>347.415</v>
      </c>
      <c r="N32" s="23">
        <f>data_raw_4_day!Q10</f>
        <v>446.01</v>
      </c>
      <c r="O32" s="25">
        <f t="shared" si="33"/>
        <v>4.92</v>
      </c>
      <c r="P32" s="26">
        <f>data_raw_4_day!W10</f>
        <v>1</v>
      </c>
      <c r="Q32" s="27">
        <f>data_raw_4_day!X10</f>
        <v>0.9973</v>
      </c>
      <c r="R32" s="27">
        <f>data_raw_4_day!Y10</f>
        <v>0.9822</v>
      </c>
      <c r="S32" s="27">
        <f>data_raw_4_day!Z10</f>
        <v>0.978</v>
      </c>
      <c r="T32" s="27">
        <f>data_raw_4_day!AA10</f>
        <v>0.9711</v>
      </c>
      <c r="U32" s="27">
        <f>data_raw_4_day!AB10</f>
        <v>0.9481</v>
      </c>
      <c r="V32" s="27">
        <f>data_raw_4_day!AC10</f>
        <v>0.9394</v>
      </c>
      <c r="W32" s="27">
        <f>data_raw_4_day!AD10</f>
        <v>0.9196</v>
      </c>
      <c r="X32" s="27">
        <f>data_raw_4_day!AE10</f>
        <v>0.8074</v>
      </c>
      <c r="Y32" s="27">
        <f>data_raw_4_day!AF10</f>
        <v>0.7716</v>
      </c>
      <c r="Z32" s="27">
        <f>data_raw_4_day!AG10</f>
        <v>0.7088</v>
      </c>
      <c r="AA32" s="27">
        <f>data_raw_4_day!AH10</f>
        <v>0.5464</v>
      </c>
      <c r="AB32" s="27">
        <f>data_raw_4_day!AI10</f>
        <v>0.4949</v>
      </c>
      <c r="AC32" s="27">
        <f>data_raw_4_day!AJ10</f>
        <v>0.3943</v>
      </c>
      <c r="AD32" s="27">
        <f>data_raw_4_day!AK10</f>
        <v>0.1647</v>
      </c>
      <c r="AE32" s="27">
        <f>data_raw_4_day!AL10</f>
        <v>0.1303</v>
      </c>
      <c r="AF32" s="27">
        <f>data_raw_4_day!AM10</f>
        <v>0.0819</v>
      </c>
      <c r="AG32" s="27">
        <f>data_raw_4_day!AN10</f>
        <v>0.0349</v>
      </c>
      <c r="AH32" s="27">
        <f>data_raw_4_day!AO10</f>
        <v>0.0315</v>
      </c>
      <c r="AI32" s="27">
        <f>data_raw_4_day!AP10</f>
        <v>0.0248</v>
      </c>
      <c r="AJ32" s="27">
        <f>data_raw_4_day!AQ10</f>
        <v>0.0143</v>
      </c>
      <c r="AK32" s="27">
        <f>data_raw_4_day!AR10</f>
        <v>0.0122</v>
      </c>
      <c r="AL32" s="27">
        <f>data_raw_4_day!AS10</f>
        <v>0.0101</v>
      </c>
      <c r="AM32" s="27">
        <f>data_raw_4_day!AT10</f>
        <v>0.0052</v>
      </c>
      <c r="AN32" s="27">
        <f>data_raw_4_day!AU10</f>
        <v>0.0042</v>
      </c>
      <c r="AO32" s="27">
        <f>data_raw_4_day!AV10</f>
        <v>0.0032</v>
      </c>
      <c r="AP32" s="27">
        <f>data_raw_4_day!AW10</f>
        <v>0.001</v>
      </c>
      <c r="AQ32" s="27">
        <f>data_raw_4_day!AX10</f>
        <v>0.0007</v>
      </c>
      <c r="AR32" s="27">
        <f>data_raw_4_day!AY10</f>
        <v>0.0002</v>
      </c>
      <c r="AS32" s="28">
        <f>data_raw_4_day!AZ10</f>
        <v>0</v>
      </c>
      <c r="AT32" s="32" t="s">
        <v>66</v>
      </c>
      <c r="AU32" s="29">
        <f>saga_progression_new!$C$17*B32</f>
        <v>25.434</v>
      </c>
      <c r="AV32" s="29">
        <f>daily_rewards_new!$B$13*data_raw_4_day!K10</f>
        <v>49.21428571</v>
      </c>
      <c r="AW32" s="29">
        <f t="array" ref="AW32">SUMPRODUCT($P32:$AS32,TRANSPOSE(milestone_4day_new!$E$4:$E$33))</f>
        <v>47.76</v>
      </c>
      <c r="AX32" s="29">
        <f t="shared" si="34"/>
        <v>498.8982857</v>
      </c>
      <c r="AY32" s="29">
        <f t="shared" si="35"/>
        <v>469.8232857</v>
      </c>
      <c r="AZ32" s="29">
        <f t="shared" si="36"/>
        <v>446.01</v>
      </c>
      <c r="BA32" s="29">
        <f t="shared" si="37"/>
        <v>52.88828571</v>
      </c>
      <c r="BB32" s="30">
        <f t="shared" si="38"/>
        <v>47.96828571</v>
      </c>
      <c r="BC32" s="29">
        <f t="shared" si="39"/>
        <v>23.81328571</v>
      </c>
      <c r="BD32" s="30">
        <f t="shared" si="40"/>
        <v>18.89328571</v>
      </c>
      <c r="BE32" s="3"/>
      <c r="BF32" s="3"/>
      <c r="BG32" s="3"/>
      <c r="BH32" s="3"/>
    </row>
    <row r="33" ht="15.0" customHeight="1">
      <c r="A33" s="22" t="s">
        <v>62</v>
      </c>
      <c r="B33" s="23">
        <f>data_raw_4_day!J11</f>
        <v>79.49</v>
      </c>
      <c r="C33" s="23">
        <f>data_raw_4_day!L11</f>
        <v>583.4</v>
      </c>
      <c r="D33" s="23">
        <f>data_raw_4_day!G11</f>
        <v>38625</v>
      </c>
      <c r="E33" s="23">
        <f>data_raw_4_day!M11</f>
        <v>852.76</v>
      </c>
      <c r="F33" s="23">
        <f>data_raw_4_day!N11</f>
        <v>51.28</v>
      </c>
      <c r="G33" s="23">
        <f>data_raw_4_day!O11</f>
        <v>44.15</v>
      </c>
      <c r="H33" s="23">
        <f>data_raw_4_day!S11</f>
        <v>18.59</v>
      </c>
      <c r="I33" s="23">
        <f>data_raw_4_day!T11</f>
        <v>26.08</v>
      </c>
      <c r="J33" s="23">
        <f>data_raw_4_day!U11</f>
        <v>28.13</v>
      </c>
      <c r="K33" s="23">
        <f>data_raw_4_day!V11</f>
        <v>36.48</v>
      </c>
      <c r="L33" s="24">
        <f t="shared" si="31"/>
        <v>27.32</v>
      </c>
      <c r="M33" s="24">
        <f t="shared" si="32"/>
        <v>730.01</v>
      </c>
      <c r="N33" s="23">
        <f>data_raw_4_day!Q11</f>
        <v>857.67</v>
      </c>
      <c r="O33" s="25">
        <f t="shared" si="33"/>
        <v>-4.91</v>
      </c>
      <c r="P33" s="26">
        <f>data_raw_4_day!W11</f>
        <v>1</v>
      </c>
      <c r="Q33" s="27">
        <f>data_raw_4_day!X11</f>
        <v>0.9992</v>
      </c>
      <c r="R33" s="27">
        <f>data_raw_4_day!Y11</f>
        <v>0.9908</v>
      </c>
      <c r="S33" s="27">
        <f>data_raw_4_day!Z11</f>
        <v>0.9882</v>
      </c>
      <c r="T33" s="27">
        <f>data_raw_4_day!AA11</f>
        <v>0.9858</v>
      </c>
      <c r="U33" s="27">
        <f>data_raw_4_day!AB11</f>
        <v>0.9748</v>
      </c>
      <c r="V33" s="27">
        <f>data_raw_4_day!AC11</f>
        <v>0.9715</v>
      </c>
      <c r="W33" s="27">
        <f>data_raw_4_day!AD11</f>
        <v>0.9642</v>
      </c>
      <c r="X33" s="27">
        <f>data_raw_4_day!AE11</f>
        <v>0.9412</v>
      </c>
      <c r="Y33" s="27">
        <f>data_raw_4_day!AF11</f>
        <v>0.9309</v>
      </c>
      <c r="Z33" s="27">
        <f>data_raw_4_day!AG11</f>
        <v>0.9006</v>
      </c>
      <c r="AA33" s="27">
        <f>data_raw_4_day!AH11</f>
        <v>0.7669</v>
      </c>
      <c r="AB33" s="27">
        <f>data_raw_4_day!AI11</f>
        <v>0.7296</v>
      </c>
      <c r="AC33" s="27">
        <f>data_raw_4_day!AJ11</f>
        <v>0.6625</v>
      </c>
      <c r="AD33" s="27">
        <f>data_raw_4_day!AK11</f>
        <v>0.5024</v>
      </c>
      <c r="AE33" s="27">
        <f>data_raw_4_day!AL11</f>
        <v>0.4652</v>
      </c>
      <c r="AF33" s="27">
        <f>data_raw_4_day!AM11</f>
        <v>0.3932</v>
      </c>
      <c r="AG33" s="27">
        <f>data_raw_4_day!AN11</f>
        <v>0.2073</v>
      </c>
      <c r="AH33" s="27">
        <f>data_raw_4_day!AO11</f>
        <v>0.1763</v>
      </c>
      <c r="AI33" s="27">
        <f>data_raw_4_day!AP11</f>
        <v>0.1267</v>
      </c>
      <c r="AJ33" s="27">
        <f>data_raw_4_day!AQ11</f>
        <v>0.0613</v>
      </c>
      <c r="AK33" s="27">
        <f>data_raw_4_day!AR11</f>
        <v>0.0492</v>
      </c>
      <c r="AL33" s="27">
        <f>data_raw_4_day!AS11</f>
        <v>0.0386</v>
      </c>
      <c r="AM33" s="27">
        <f>data_raw_4_day!AT11</f>
        <v>0.0198</v>
      </c>
      <c r="AN33" s="27">
        <f>data_raw_4_day!AU11</f>
        <v>0.0176</v>
      </c>
      <c r="AO33" s="27">
        <f>data_raw_4_day!AV11</f>
        <v>0.0134</v>
      </c>
      <c r="AP33" s="27">
        <f>data_raw_4_day!AW11</f>
        <v>0.0068</v>
      </c>
      <c r="AQ33" s="27">
        <f>data_raw_4_day!AX11</f>
        <v>0.0047</v>
      </c>
      <c r="AR33" s="27">
        <f>data_raw_4_day!AY11</f>
        <v>0.0028</v>
      </c>
      <c r="AS33" s="28">
        <f>data_raw_4_day!AZ11</f>
        <v>0.0012</v>
      </c>
      <c r="AT33" s="32" t="s">
        <v>66</v>
      </c>
      <c r="AU33" s="29">
        <f>saga_progression_new!$C$17*B33</f>
        <v>47.694</v>
      </c>
      <c r="AV33" s="29">
        <f>daily_rewards_new!$B$13*data_raw_4_day!K11</f>
        <v>49.21428571</v>
      </c>
      <c r="AW33" s="29">
        <f t="array" ref="AW33">SUMPRODUCT($P33:$AS33,TRANSPOSE(milestone_4day_new!$E$4:$E$33))</f>
        <v>70.9025</v>
      </c>
      <c r="AX33" s="29">
        <f t="shared" si="34"/>
        <v>925.1407857</v>
      </c>
      <c r="AY33" s="29">
        <f t="shared" si="35"/>
        <v>897.8207857</v>
      </c>
      <c r="AZ33" s="29">
        <f t="shared" si="36"/>
        <v>857.67</v>
      </c>
      <c r="BA33" s="29">
        <f t="shared" si="37"/>
        <v>67.47078571</v>
      </c>
      <c r="BB33" s="30">
        <f t="shared" si="38"/>
        <v>72.38078571</v>
      </c>
      <c r="BC33" s="29">
        <f t="shared" si="39"/>
        <v>40.15078571</v>
      </c>
      <c r="BD33" s="30">
        <f t="shared" si="40"/>
        <v>45.06078571</v>
      </c>
      <c r="BE33" s="3"/>
      <c r="BF33" s="3"/>
      <c r="BG33" s="3"/>
      <c r="BH33" s="3"/>
    </row>
    <row r="34" ht="15.0" customHeight="1">
      <c r="A34" s="22" t="s">
        <v>63</v>
      </c>
      <c r="B34" s="23">
        <f>data_raw_4_day!J12</f>
        <v>167.58</v>
      </c>
      <c r="C34" s="23">
        <f>data_raw_4_day!L12</f>
        <v>575</v>
      </c>
      <c r="D34" s="23">
        <f>data_raw_4_day!G12</f>
        <v>83537</v>
      </c>
      <c r="E34" s="23">
        <f>data_raw_4_day!M12</f>
        <v>1736.72</v>
      </c>
      <c r="F34" s="23">
        <f>data_raw_4_day!N12</f>
        <v>104.07</v>
      </c>
      <c r="G34" s="23">
        <f>data_raw_4_day!O12</f>
        <v>44.04</v>
      </c>
      <c r="H34" s="23">
        <f>data_raw_4_day!S12</f>
        <v>32.02</v>
      </c>
      <c r="I34" s="23">
        <f>data_raw_4_day!T12</f>
        <v>28.6</v>
      </c>
      <c r="J34" s="23">
        <f>data_raw_4_day!U12</f>
        <v>25</v>
      </c>
      <c r="K34" s="23">
        <f>data_raw_4_day!V12</f>
        <v>43.45</v>
      </c>
      <c r="L34" s="24">
        <f t="shared" si="31"/>
        <v>32.2675</v>
      </c>
      <c r="M34" s="24">
        <f t="shared" si="32"/>
        <v>1556.3425</v>
      </c>
      <c r="N34" s="23">
        <f>data_raw_4_day!Q12</f>
        <v>1806.88</v>
      </c>
      <c r="O34" s="25">
        <f t="shared" si="33"/>
        <v>-70.16</v>
      </c>
      <c r="P34" s="26">
        <f>data_raw_4_day!W12</f>
        <v>1</v>
      </c>
      <c r="Q34" s="27">
        <f>data_raw_4_day!X12</f>
        <v>0.9996</v>
      </c>
      <c r="R34" s="27">
        <f>data_raw_4_day!Y12</f>
        <v>0.9962</v>
      </c>
      <c r="S34" s="27">
        <f>data_raw_4_day!Z12</f>
        <v>0.995</v>
      </c>
      <c r="T34" s="27">
        <f>data_raw_4_day!AA12</f>
        <v>0.9923</v>
      </c>
      <c r="U34" s="27">
        <f>data_raw_4_day!AB12</f>
        <v>0.9881</v>
      </c>
      <c r="V34" s="27">
        <f>data_raw_4_day!AC12</f>
        <v>0.9862</v>
      </c>
      <c r="W34" s="27">
        <f>data_raw_4_day!AD12</f>
        <v>0.9827</v>
      </c>
      <c r="X34" s="27">
        <f>data_raw_4_day!AE12</f>
        <v>0.9708</v>
      </c>
      <c r="Y34" s="27">
        <f>data_raw_4_day!AF12</f>
        <v>0.9685</v>
      </c>
      <c r="Z34" s="27">
        <f>data_raw_4_day!AG12</f>
        <v>0.9624</v>
      </c>
      <c r="AA34" s="27">
        <f>data_raw_4_day!AH12</f>
        <v>0.9385</v>
      </c>
      <c r="AB34" s="27">
        <f>data_raw_4_day!AI12</f>
        <v>0.9285</v>
      </c>
      <c r="AC34" s="27">
        <f>data_raw_4_day!AJ12</f>
        <v>0.8897</v>
      </c>
      <c r="AD34" s="27">
        <f>data_raw_4_day!AK12</f>
        <v>0.7726</v>
      </c>
      <c r="AE34" s="27">
        <f>data_raw_4_day!AL12</f>
        <v>0.7514</v>
      </c>
      <c r="AF34" s="27">
        <f>data_raw_4_day!AM12</f>
        <v>0.7069</v>
      </c>
      <c r="AG34" s="27">
        <f>data_raw_4_day!AN12</f>
        <v>0.5905</v>
      </c>
      <c r="AH34" s="27">
        <f>data_raw_4_day!AO12</f>
        <v>0.5682</v>
      </c>
      <c r="AI34" s="27">
        <f>data_raw_4_day!AP12</f>
        <v>0.5198</v>
      </c>
      <c r="AJ34" s="27">
        <f>data_raw_4_day!AQ12</f>
        <v>0.393</v>
      </c>
      <c r="AK34" s="27">
        <f>data_raw_4_day!AR12</f>
        <v>0.3604</v>
      </c>
      <c r="AL34" s="27">
        <f>data_raw_4_day!AS12</f>
        <v>0.2954</v>
      </c>
      <c r="AM34" s="27">
        <f>data_raw_4_day!AT12</f>
        <v>0.164</v>
      </c>
      <c r="AN34" s="27">
        <f>data_raw_4_day!AU12</f>
        <v>0.1441</v>
      </c>
      <c r="AO34" s="27">
        <f>data_raw_4_day!AV12</f>
        <v>0.1153</v>
      </c>
      <c r="AP34" s="27">
        <f>data_raw_4_day!AW12</f>
        <v>0.0565</v>
      </c>
      <c r="AQ34" s="27">
        <f>data_raw_4_day!AX12</f>
        <v>0.0457</v>
      </c>
      <c r="AR34" s="27">
        <f>data_raw_4_day!AY12</f>
        <v>0.028</v>
      </c>
      <c r="AS34" s="28">
        <f>data_raw_4_day!AZ12</f>
        <v>0.0108</v>
      </c>
      <c r="AT34" s="32" t="s">
        <v>66</v>
      </c>
      <c r="AU34" s="29">
        <f>saga_progression_new!$C$17*B34</f>
        <v>100.548</v>
      </c>
      <c r="AV34" s="29">
        <f>daily_rewards_new!$B$13*data_raw_4_day!K12</f>
        <v>51.44285714</v>
      </c>
      <c r="AW34" s="29">
        <f t="array" ref="AW34">SUMPRODUCT($P34:$AS34,TRANSPOSE(milestone_4day_new!$E$4:$E$33))</f>
        <v>133.1095</v>
      </c>
      <c r="AX34" s="29">
        <f t="shared" si="34"/>
        <v>1873.710357</v>
      </c>
      <c r="AY34" s="29">
        <f t="shared" si="35"/>
        <v>1841.442857</v>
      </c>
      <c r="AZ34" s="29">
        <f t="shared" si="36"/>
        <v>1806.88</v>
      </c>
      <c r="BA34" s="29">
        <f t="shared" si="37"/>
        <v>66.83035714</v>
      </c>
      <c r="BB34" s="30">
        <f t="shared" si="38"/>
        <v>136.9903571</v>
      </c>
      <c r="BC34" s="29">
        <f t="shared" si="39"/>
        <v>34.56285714</v>
      </c>
      <c r="BD34" s="30">
        <f t="shared" si="40"/>
        <v>104.7228571</v>
      </c>
      <c r="BE34" s="3"/>
      <c r="BF34" s="3"/>
      <c r="BG34" s="3"/>
      <c r="BH34" s="3"/>
    </row>
    <row r="35" ht="15.0" customHeight="1">
      <c r="A35" s="22" t="s">
        <v>64</v>
      </c>
      <c r="B35" s="23">
        <f>data_raw_4_day!J13</f>
        <v>333.42</v>
      </c>
      <c r="C35" s="23">
        <f>data_raw_4_day!L13</f>
        <v>560.04</v>
      </c>
      <c r="D35" s="23">
        <f>data_raw_4_day!G13</f>
        <v>157274</v>
      </c>
      <c r="E35" s="23">
        <f>data_raw_4_day!M13</f>
        <v>3908.46</v>
      </c>
      <c r="F35" s="23">
        <f>data_raw_4_day!N13</f>
        <v>249.57</v>
      </c>
      <c r="G35" s="23">
        <f>data_raw_4_day!O13</f>
        <v>52.3</v>
      </c>
      <c r="H35" s="23">
        <f>data_raw_4_day!S13</f>
        <v>51.5</v>
      </c>
      <c r="I35" s="23">
        <f>data_raw_4_day!T13</f>
        <v>39.17</v>
      </c>
      <c r="J35" s="23">
        <f>data_raw_4_day!U13</f>
        <v>25</v>
      </c>
      <c r="K35" s="23">
        <f>data_raw_4_day!V13</f>
        <v>42.86</v>
      </c>
      <c r="L35" s="24">
        <f t="shared" si="31"/>
        <v>39.6325</v>
      </c>
      <c r="M35" s="24">
        <f t="shared" si="32"/>
        <v>3566.9575</v>
      </c>
      <c r="N35" s="23">
        <f>data_raw_4_day!Q13</f>
        <v>3967.93</v>
      </c>
      <c r="O35" s="25">
        <f t="shared" si="33"/>
        <v>-59.47</v>
      </c>
      <c r="P35" s="26">
        <f>data_raw_4_day!W13</f>
        <v>1</v>
      </c>
      <c r="Q35" s="27">
        <f>data_raw_4_day!X13</f>
        <v>1</v>
      </c>
      <c r="R35" s="27">
        <f>data_raw_4_day!Y13</f>
        <v>1</v>
      </c>
      <c r="S35" s="27">
        <f>data_raw_4_day!Z13</f>
        <v>1</v>
      </c>
      <c r="T35" s="27">
        <f>data_raw_4_day!AA13</f>
        <v>1</v>
      </c>
      <c r="U35" s="27">
        <f>data_raw_4_day!AB13</f>
        <v>0.9964</v>
      </c>
      <c r="V35" s="27">
        <f>data_raw_4_day!AC13</f>
        <v>0.9964</v>
      </c>
      <c r="W35" s="27">
        <f>data_raw_4_day!AD13</f>
        <v>0.9891</v>
      </c>
      <c r="X35" s="27">
        <f>data_raw_4_day!AE13</f>
        <v>0.9819</v>
      </c>
      <c r="Y35" s="27">
        <f>data_raw_4_day!AF13</f>
        <v>0.9819</v>
      </c>
      <c r="Z35" s="27">
        <f>data_raw_4_day!AG13</f>
        <v>0.9819</v>
      </c>
      <c r="AA35" s="27">
        <f>data_raw_4_day!AH13</f>
        <v>0.9819</v>
      </c>
      <c r="AB35" s="27">
        <f>data_raw_4_day!AI13</f>
        <v>0.9783</v>
      </c>
      <c r="AC35" s="27">
        <f>data_raw_4_day!AJ13</f>
        <v>0.9783</v>
      </c>
      <c r="AD35" s="27">
        <f>data_raw_4_day!AK13</f>
        <v>0.9674</v>
      </c>
      <c r="AE35" s="27">
        <f>data_raw_4_day!AL13</f>
        <v>0.9601</v>
      </c>
      <c r="AF35" s="27">
        <f>data_raw_4_day!AM13</f>
        <v>0.9529</v>
      </c>
      <c r="AG35" s="27">
        <f>data_raw_4_day!AN13</f>
        <v>0.8732</v>
      </c>
      <c r="AH35" s="27">
        <f>data_raw_4_day!AO13</f>
        <v>0.8333</v>
      </c>
      <c r="AI35" s="27">
        <f>data_raw_4_day!AP13</f>
        <v>0.7862</v>
      </c>
      <c r="AJ35" s="27">
        <f>data_raw_4_day!AQ13</f>
        <v>0.721</v>
      </c>
      <c r="AK35" s="27">
        <f>data_raw_4_day!AR13</f>
        <v>0.7029</v>
      </c>
      <c r="AL35" s="27">
        <f>data_raw_4_day!AS13</f>
        <v>0.6558</v>
      </c>
      <c r="AM35" s="27">
        <f>data_raw_4_day!AT13</f>
        <v>0.5145</v>
      </c>
      <c r="AN35" s="27">
        <f>data_raw_4_day!AU13</f>
        <v>0.4964</v>
      </c>
      <c r="AO35" s="27">
        <f>data_raw_4_day!AV13</f>
        <v>0.442</v>
      </c>
      <c r="AP35" s="27">
        <f>data_raw_4_day!AW13</f>
        <v>0.3514</v>
      </c>
      <c r="AQ35" s="27">
        <f>data_raw_4_day!AX13</f>
        <v>0.308</v>
      </c>
      <c r="AR35" s="27">
        <f>data_raw_4_day!AY13</f>
        <v>0.2319</v>
      </c>
      <c r="AS35" s="28">
        <f>data_raw_4_day!AZ13</f>
        <v>0.0942</v>
      </c>
      <c r="AT35" s="32" t="s">
        <v>66</v>
      </c>
      <c r="AU35" s="29">
        <f>saga_progression_new!$C$17*B35</f>
        <v>200.052</v>
      </c>
      <c r="AV35" s="29">
        <f>daily_rewards_new!$B$13*data_raw_4_day!K13</f>
        <v>46.61428571</v>
      </c>
      <c r="AW35" s="29">
        <f t="array" ref="AW35">SUMPRODUCT($P35:$AS35,TRANSPOSE(milestone_4day_new!$E$4:$E$33))</f>
        <v>341.1645</v>
      </c>
      <c r="AX35" s="29">
        <f t="shared" si="34"/>
        <v>4194.420786</v>
      </c>
      <c r="AY35" s="29">
        <f t="shared" si="35"/>
        <v>4154.788286</v>
      </c>
      <c r="AZ35" s="29">
        <f t="shared" si="36"/>
        <v>3967.93</v>
      </c>
      <c r="BA35" s="29">
        <f t="shared" si="37"/>
        <v>226.4907857</v>
      </c>
      <c r="BB35" s="30">
        <f t="shared" si="38"/>
        <v>285.9607857</v>
      </c>
      <c r="BC35" s="29">
        <f t="shared" si="39"/>
        <v>186.8582857</v>
      </c>
      <c r="BD35" s="30">
        <f t="shared" si="40"/>
        <v>246.3282857</v>
      </c>
      <c r="BE35" s="3"/>
      <c r="BF35" s="3"/>
      <c r="BG35" s="3"/>
      <c r="BH35" s="3"/>
    </row>
    <row r="36" ht="14.25" customHeight="1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ht="14.25" customHeight="1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ht="14.25" customHeight="1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ht="14.25" customHeight="1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ht="14.25" customHeight="1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ht="14.25" customHeight="1"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BE41" s="3"/>
      <c r="BF41" s="3"/>
      <c r="BG41" s="3"/>
      <c r="BH41" s="3"/>
    </row>
    <row r="42" ht="14.25" customHeight="1"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BE42" s="3"/>
      <c r="BF42" s="3"/>
      <c r="BG42" s="3"/>
      <c r="BH42" s="3"/>
    </row>
    <row r="43" ht="14.25" customHeight="1"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BE43" s="3"/>
      <c r="BF43" s="3"/>
      <c r="BG43" s="3"/>
      <c r="BH43" s="3"/>
    </row>
    <row r="44" ht="14.25" customHeight="1"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BE44" s="3"/>
      <c r="BF44" s="3"/>
      <c r="BG44" s="3"/>
      <c r="BH44" s="3"/>
    </row>
    <row r="45" ht="14.25" customHeight="1"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BE45" s="3"/>
      <c r="BF45" s="3"/>
      <c r="BG45" s="3"/>
      <c r="BH45" s="3"/>
    </row>
    <row r="46" ht="14.25" customHeight="1"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BE46" s="3"/>
      <c r="BF46" s="3"/>
      <c r="BG46" s="3"/>
      <c r="BH46" s="3"/>
    </row>
    <row r="47" ht="14.25" customHeight="1"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BE47" s="3"/>
      <c r="BF47" s="3"/>
      <c r="BG47" s="3"/>
      <c r="BH47" s="3"/>
    </row>
    <row r="48" ht="14.25" customHeight="1"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BE48" s="3"/>
      <c r="BF48" s="3"/>
      <c r="BG48" s="3"/>
      <c r="BH48" s="3"/>
    </row>
    <row r="49" ht="14.25" customHeight="1"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BE49" s="3"/>
      <c r="BF49" s="3"/>
      <c r="BG49" s="3"/>
      <c r="BH49" s="3"/>
    </row>
    <row r="50" ht="14.25" customHeight="1"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BE50" s="3"/>
      <c r="BF50" s="3"/>
      <c r="BG50" s="3"/>
      <c r="BH50" s="3"/>
    </row>
    <row r="51" ht="14.25" customHeight="1"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BE51" s="3"/>
      <c r="BF51" s="3"/>
      <c r="BG51" s="3"/>
      <c r="BH51" s="3"/>
    </row>
    <row r="52" ht="14.25" customHeight="1"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BE52" s="3"/>
      <c r="BF52" s="3"/>
      <c r="BG52" s="3"/>
      <c r="BH52" s="3"/>
    </row>
    <row r="53" ht="14.25" customHeight="1"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BE53" s="3"/>
      <c r="BF53" s="3"/>
      <c r="BG53" s="3"/>
      <c r="BH53" s="3"/>
    </row>
    <row r="54" ht="14.25" customHeight="1"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BE54" s="3"/>
      <c r="BF54" s="3"/>
      <c r="BG54" s="3"/>
      <c r="BH54" s="3"/>
    </row>
    <row r="55" ht="14.25" customHeight="1"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BE55" s="3"/>
      <c r="BF55" s="3"/>
      <c r="BG55" s="3"/>
      <c r="BH55" s="3"/>
    </row>
    <row r="56" ht="14.25" customHeight="1"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BE56" s="3"/>
      <c r="BF56" s="3"/>
      <c r="BG56" s="3"/>
      <c r="BH56" s="3"/>
    </row>
    <row r="57" ht="14.25" customHeight="1"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BE57" s="3"/>
      <c r="BF57" s="3"/>
      <c r="BG57" s="3"/>
      <c r="BH57" s="3"/>
    </row>
    <row r="58" ht="14.25" customHeight="1"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BE58" s="3"/>
      <c r="BF58" s="3"/>
      <c r="BG58" s="3"/>
      <c r="BH58" s="3"/>
    </row>
    <row r="59" ht="14.25" customHeight="1"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BE59" s="3"/>
      <c r="BF59" s="3"/>
      <c r="BG59" s="3"/>
      <c r="BH59" s="3"/>
    </row>
    <row r="60" ht="14.25" customHeight="1"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BE60" s="3"/>
      <c r="BF60" s="3"/>
      <c r="BG60" s="3"/>
      <c r="BH60" s="3"/>
    </row>
    <row r="61" ht="14.25" customHeight="1"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BE61" s="3"/>
      <c r="BF61" s="3"/>
      <c r="BG61" s="3"/>
      <c r="BH61" s="3"/>
    </row>
    <row r="62" ht="14.25" customHeight="1"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BE62" s="3"/>
      <c r="BF62" s="3"/>
      <c r="BG62" s="3"/>
      <c r="BH62" s="3"/>
    </row>
    <row r="63" ht="14.25" customHeight="1"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BE63" s="3"/>
      <c r="BF63" s="3"/>
      <c r="BG63" s="3"/>
      <c r="BH63" s="3"/>
    </row>
    <row r="64" ht="14.25" customHeight="1"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BE64" s="3"/>
      <c r="BF64" s="3"/>
      <c r="BG64" s="3"/>
      <c r="BH64" s="3"/>
    </row>
    <row r="65" ht="14.25" customHeight="1"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BE65" s="3"/>
      <c r="BF65" s="3"/>
      <c r="BG65" s="3"/>
      <c r="BH65" s="3"/>
    </row>
    <row r="66" ht="14.25" customHeight="1"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BE66" s="3"/>
      <c r="BF66" s="3"/>
      <c r="BG66" s="3"/>
      <c r="BH66" s="3"/>
    </row>
    <row r="67" ht="14.25" customHeight="1"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BE67" s="3"/>
      <c r="BF67" s="3"/>
      <c r="BG67" s="3"/>
      <c r="BH67" s="3"/>
    </row>
    <row r="68" ht="14.25" customHeight="1"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BE68" s="3"/>
      <c r="BF68" s="3"/>
      <c r="BG68" s="3"/>
      <c r="BH68" s="3"/>
    </row>
    <row r="69" ht="14.25" customHeight="1"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BE69" s="3"/>
      <c r="BF69" s="3"/>
      <c r="BG69" s="3"/>
      <c r="BH69" s="3"/>
    </row>
    <row r="70" ht="14.25" customHeight="1"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BE70" s="3"/>
      <c r="BF70" s="3"/>
      <c r="BG70" s="3"/>
      <c r="BH70" s="3"/>
    </row>
    <row r="71" ht="14.25" customHeight="1"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BE71" s="3"/>
      <c r="BF71" s="3"/>
      <c r="BG71" s="3"/>
      <c r="BH71" s="3"/>
    </row>
    <row r="72" ht="14.25" customHeight="1"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BE72" s="3"/>
      <c r="BF72" s="3"/>
      <c r="BG72" s="3"/>
      <c r="BH72" s="3"/>
    </row>
    <row r="73" ht="14.25" customHeight="1"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BE73" s="3"/>
      <c r="BF73" s="3"/>
      <c r="BG73" s="3"/>
      <c r="BH73" s="3"/>
    </row>
    <row r="74" ht="14.25" customHeight="1"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BE74" s="3"/>
      <c r="BF74" s="3"/>
      <c r="BG74" s="3"/>
      <c r="BH74" s="3"/>
    </row>
    <row r="75" ht="14.25" customHeight="1"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BE75" s="3"/>
      <c r="BF75" s="3"/>
      <c r="BG75" s="3"/>
      <c r="BH75" s="3"/>
    </row>
    <row r="76" ht="14.25" customHeight="1"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BE76" s="3"/>
      <c r="BF76" s="3"/>
      <c r="BG76" s="3"/>
      <c r="BH76" s="3"/>
    </row>
    <row r="77" ht="14.25" customHeight="1"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BE77" s="3"/>
      <c r="BF77" s="3"/>
      <c r="BG77" s="3"/>
      <c r="BH77" s="3"/>
    </row>
    <row r="78" ht="14.25" customHeight="1"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BE78" s="3"/>
      <c r="BF78" s="3"/>
      <c r="BG78" s="3"/>
      <c r="BH78" s="3"/>
    </row>
    <row r="79" ht="14.25" customHeight="1"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BE79" s="3"/>
      <c r="BF79" s="3"/>
      <c r="BG79" s="3"/>
      <c r="BH79" s="3"/>
    </row>
    <row r="80" ht="14.25" customHeight="1"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BE80" s="3"/>
      <c r="BF80" s="3"/>
      <c r="BG80" s="3"/>
      <c r="BH80" s="3"/>
    </row>
    <row r="81" ht="14.25" customHeight="1"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BE81" s="3"/>
      <c r="BF81" s="3"/>
      <c r="BG81" s="3"/>
      <c r="BH81" s="3"/>
    </row>
    <row r="82" ht="14.25" customHeight="1"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BE82" s="3"/>
      <c r="BF82" s="3"/>
      <c r="BG82" s="3"/>
      <c r="BH82" s="3"/>
    </row>
    <row r="83" ht="14.25" customHeight="1"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BE83" s="3"/>
      <c r="BF83" s="3"/>
      <c r="BG83" s="3"/>
      <c r="BH83" s="3"/>
    </row>
    <row r="84" ht="14.25" customHeight="1"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BE84" s="3"/>
      <c r="BF84" s="3"/>
      <c r="BG84" s="3"/>
      <c r="BH84" s="3"/>
    </row>
    <row r="85" ht="14.25" customHeight="1"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BE85" s="3"/>
      <c r="BF85" s="3"/>
      <c r="BG85" s="3"/>
      <c r="BH85" s="3"/>
    </row>
    <row r="86" ht="14.25" customHeight="1"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BE86" s="3"/>
      <c r="BF86" s="3"/>
      <c r="BG86" s="3"/>
      <c r="BH86" s="3"/>
    </row>
    <row r="87" ht="14.25" customHeight="1"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BE87" s="3"/>
      <c r="BF87" s="3"/>
      <c r="BG87" s="3"/>
      <c r="BH87" s="3"/>
    </row>
    <row r="88" ht="14.25" customHeight="1"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BE88" s="3"/>
      <c r="BF88" s="3"/>
      <c r="BG88" s="3"/>
      <c r="BH88" s="3"/>
    </row>
    <row r="89" ht="14.25" customHeight="1"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BE89" s="3"/>
      <c r="BF89" s="3"/>
      <c r="BG89" s="3"/>
      <c r="BH89" s="3"/>
    </row>
    <row r="90" ht="14.25" customHeight="1"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BE90" s="3"/>
      <c r="BF90" s="3"/>
      <c r="BG90" s="3"/>
      <c r="BH90" s="3"/>
    </row>
    <row r="91" ht="14.25" customHeight="1"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BE91" s="3"/>
      <c r="BF91" s="3"/>
      <c r="BG91" s="3"/>
      <c r="BH91" s="3"/>
    </row>
    <row r="92" ht="14.25" customHeight="1"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BE92" s="3"/>
      <c r="BF92" s="3"/>
      <c r="BG92" s="3"/>
      <c r="BH92" s="3"/>
    </row>
    <row r="93" ht="14.25" customHeight="1"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BE93" s="3"/>
      <c r="BF93" s="3"/>
      <c r="BG93" s="3"/>
      <c r="BH93" s="3"/>
    </row>
    <row r="94" ht="14.25" customHeight="1"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BE94" s="3"/>
      <c r="BF94" s="3"/>
      <c r="BG94" s="3"/>
      <c r="BH94" s="3"/>
    </row>
    <row r="95" ht="14.25" customHeight="1"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BE95" s="3"/>
      <c r="BF95" s="3"/>
      <c r="BG95" s="3"/>
      <c r="BH95" s="3"/>
    </row>
    <row r="96" ht="14.25" customHeight="1"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BE96" s="3"/>
      <c r="BF96" s="3"/>
      <c r="BG96" s="3"/>
      <c r="BH96" s="3"/>
    </row>
    <row r="97" ht="14.25" customHeight="1"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BE97" s="3"/>
      <c r="BF97" s="3"/>
      <c r="BG97" s="3"/>
      <c r="BH97" s="3"/>
    </row>
    <row r="98" ht="14.25" customHeight="1"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BE98" s="3"/>
      <c r="BF98" s="3"/>
      <c r="BG98" s="3"/>
      <c r="BH98" s="3"/>
    </row>
    <row r="99" ht="14.25" customHeight="1"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BE99" s="3"/>
      <c r="BF99" s="3"/>
      <c r="BG99" s="3"/>
      <c r="BH99" s="3"/>
    </row>
    <row r="100" ht="14.25" customHeight="1"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BE100" s="3"/>
      <c r="BF100" s="3"/>
      <c r="BG100" s="3"/>
      <c r="BH100" s="3"/>
    </row>
    <row r="101" ht="14.25" customHeight="1"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BE101" s="3"/>
      <c r="BF101" s="3"/>
      <c r="BG101" s="3"/>
      <c r="BH101" s="3"/>
    </row>
    <row r="102" ht="14.25" customHeight="1"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BE102" s="3"/>
      <c r="BF102" s="3"/>
      <c r="BG102" s="3"/>
      <c r="BH102" s="3"/>
    </row>
    <row r="103" ht="14.25" customHeight="1"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BE103" s="3"/>
      <c r="BF103" s="3"/>
      <c r="BG103" s="3"/>
      <c r="BH103" s="3"/>
    </row>
    <row r="104" ht="14.25" customHeight="1"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BE104" s="3"/>
      <c r="BF104" s="3"/>
      <c r="BG104" s="3"/>
      <c r="BH104" s="3"/>
    </row>
    <row r="105" ht="14.25" customHeight="1"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BE105" s="3"/>
      <c r="BF105" s="3"/>
      <c r="BG105" s="3"/>
      <c r="BH105" s="3"/>
    </row>
    <row r="106" ht="14.25" customHeight="1"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BE106" s="3"/>
      <c r="BF106" s="3"/>
      <c r="BG106" s="3"/>
      <c r="BH106" s="3"/>
    </row>
    <row r="107" ht="14.25" customHeight="1"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BE107" s="3"/>
      <c r="BF107" s="3"/>
      <c r="BG107" s="3"/>
      <c r="BH107" s="3"/>
    </row>
    <row r="108" ht="14.25" customHeight="1"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BE108" s="3"/>
      <c r="BF108" s="3"/>
      <c r="BG108" s="3"/>
      <c r="BH108" s="3"/>
    </row>
    <row r="109" ht="14.25" customHeight="1"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BE109" s="3"/>
      <c r="BF109" s="3"/>
      <c r="BG109" s="3"/>
      <c r="BH109" s="3"/>
    </row>
    <row r="110" ht="14.25" customHeight="1"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BE110" s="3"/>
      <c r="BF110" s="3"/>
      <c r="BG110" s="3"/>
      <c r="BH110" s="3"/>
    </row>
    <row r="111" ht="14.25" customHeight="1"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BE111" s="3"/>
      <c r="BF111" s="3"/>
      <c r="BG111" s="3"/>
      <c r="BH111" s="3"/>
    </row>
    <row r="112" ht="14.25" customHeight="1"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BE112" s="3"/>
      <c r="BF112" s="3"/>
      <c r="BG112" s="3"/>
      <c r="BH112" s="3"/>
    </row>
    <row r="113" ht="14.25" customHeight="1"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BE113" s="3"/>
      <c r="BF113" s="3"/>
      <c r="BG113" s="3"/>
      <c r="BH113" s="3"/>
    </row>
    <row r="114" ht="14.25" customHeight="1"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BE114" s="3"/>
      <c r="BF114" s="3"/>
      <c r="BG114" s="3"/>
      <c r="BH114" s="3"/>
    </row>
    <row r="115" ht="14.25" customHeight="1"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BE115" s="3"/>
      <c r="BF115" s="3"/>
      <c r="BG115" s="3"/>
      <c r="BH115" s="3"/>
    </row>
    <row r="116" ht="14.25" customHeight="1"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BE116" s="3"/>
      <c r="BF116" s="3"/>
      <c r="BG116" s="3"/>
      <c r="BH116" s="3"/>
    </row>
    <row r="117" ht="14.25" customHeight="1"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BE117" s="3"/>
      <c r="BF117" s="3"/>
      <c r="BG117" s="3"/>
      <c r="BH117" s="3"/>
    </row>
    <row r="118" ht="14.25" customHeight="1"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BE118" s="3"/>
      <c r="BF118" s="3"/>
      <c r="BG118" s="3"/>
      <c r="BH118" s="3"/>
    </row>
    <row r="119" ht="14.25" customHeight="1"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BE119" s="3"/>
      <c r="BF119" s="3"/>
      <c r="BG119" s="3"/>
      <c r="BH119" s="3"/>
    </row>
    <row r="120" ht="14.25" customHeight="1"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BE120" s="3"/>
      <c r="BF120" s="3"/>
      <c r="BG120" s="3"/>
      <c r="BH120" s="3"/>
    </row>
    <row r="121" ht="14.25" customHeight="1"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BE121" s="3"/>
      <c r="BF121" s="3"/>
      <c r="BG121" s="3"/>
      <c r="BH121" s="3"/>
    </row>
    <row r="122" ht="14.25" customHeight="1"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BE122" s="3"/>
      <c r="BF122" s="3"/>
      <c r="BG122" s="3"/>
      <c r="BH122" s="3"/>
    </row>
    <row r="123" ht="14.25" customHeight="1"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BE123" s="3"/>
      <c r="BF123" s="3"/>
      <c r="BG123" s="3"/>
      <c r="BH123" s="3"/>
    </row>
    <row r="124" ht="14.25" customHeight="1"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BE124" s="3"/>
      <c r="BF124" s="3"/>
      <c r="BG124" s="3"/>
      <c r="BH124" s="3"/>
    </row>
    <row r="125" ht="14.25" customHeight="1"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BE125" s="3"/>
      <c r="BF125" s="3"/>
      <c r="BG125" s="3"/>
      <c r="BH125" s="3"/>
    </row>
    <row r="126" ht="14.25" customHeight="1"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BE126" s="3"/>
      <c r="BF126" s="3"/>
      <c r="BG126" s="3"/>
      <c r="BH126" s="3"/>
    </row>
    <row r="127" ht="14.25" customHeight="1"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BE127" s="3"/>
      <c r="BF127" s="3"/>
      <c r="BG127" s="3"/>
      <c r="BH127" s="3"/>
    </row>
    <row r="128" ht="14.25" customHeight="1"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BE128" s="3"/>
      <c r="BF128" s="3"/>
      <c r="BG128" s="3"/>
      <c r="BH128" s="3"/>
    </row>
    <row r="129" ht="14.25" customHeight="1"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BE129" s="3"/>
      <c r="BF129" s="3"/>
      <c r="BG129" s="3"/>
      <c r="BH129" s="3"/>
    </row>
    <row r="130" ht="14.25" customHeight="1"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BE130" s="3"/>
      <c r="BF130" s="3"/>
      <c r="BG130" s="3"/>
      <c r="BH130" s="3"/>
    </row>
    <row r="131" ht="14.25" customHeight="1"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BE131" s="3"/>
      <c r="BF131" s="3"/>
      <c r="BG131" s="3"/>
      <c r="BH131" s="3"/>
    </row>
    <row r="132" ht="14.25" customHeight="1"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BE132" s="3"/>
      <c r="BF132" s="3"/>
      <c r="BG132" s="3"/>
      <c r="BH132" s="3"/>
    </row>
    <row r="133" ht="14.25" customHeight="1"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BE133" s="3"/>
      <c r="BF133" s="3"/>
      <c r="BG133" s="3"/>
      <c r="BH133" s="3"/>
    </row>
    <row r="134" ht="14.25" customHeight="1"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BE134" s="3"/>
      <c r="BF134" s="3"/>
      <c r="BG134" s="3"/>
      <c r="BH134" s="3"/>
    </row>
    <row r="135" ht="14.25" customHeight="1"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BE135" s="3"/>
      <c r="BF135" s="3"/>
      <c r="BG135" s="3"/>
      <c r="BH135" s="3"/>
    </row>
    <row r="136" ht="14.25" customHeight="1"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BE136" s="3"/>
      <c r="BF136" s="3"/>
      <c r="BG136" s="3"/>
      <c r="BH136" s="3"/>
    </row>
    <row r="137" ht="14.25" customHeight="1"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BE137" s="3"/>
      <c r="BF137" s="3"/>
      <c r="BG137" s="3"/>
      <c r="BH137" s="3"/>
    </row>
    <row r="138" ht="14.25" customHeight="1"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BE138" s="3"/>
      <c r="BF138" s="3"/>
      <c r="BG138" s="3"/>
      <c r="BH138" s="3"/>
    </row>
    <row r="139" ht="14.25" customHeight="1"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BE139" s="3"/>
      <c r="BF139" s="3"/>
      <c r="BG139" s="3"/>
      <c r="BH139" s="3"/>
    </row>
    <row r="140" ht="14.25" customHeight="1"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BE140" s="3"/>
      <c r="BF140" s="3"/>
      <c r="BG140" s="3"/>
      <c r="BH140" s="3"/>
    </row>
    <row r="141" ht="14.25" customHeight="1"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BE141" s="3"/>
      <c r="BF141" s="3"/>
      <c r="BG141" s="3"/>
      <c r="BH141" s="3"/>
    </row>
    <row r="142" ht="14.25" customHeight="1"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BE142" s="3"/>
      <c r="BF142" s="3"/>
      <c r="BG142" s="3"/>
      <c r="BH142" s="3"/>
    </row>
    <row r="143" ht="14.25" customHeight="1"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BE143" s="3"/>
      <c r="BF143" s="3"/>
      <c r="BG143" s="3"/>
      <c r="BH143" s="3"/>
    </row>
    <row r="144" ht="14.25" customHeight="1"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BE144" s="3"/>
      <c r="BF144" s="3"/>
      <c r="BG144" s="3"/>
      <c r="BH144" s="3"/>
    </row>
    <row r="145" ht="14.25" customHeight="1"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BE145" s="3"/>
      <c r="BF145" s="3"/>
      <c r="BG145" s="3"/>
      <c r="BH145" s="3"/>
    </row>
    <row r="146" ht="14.25" customHeight="1"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BE146" s="3"/>
      <c r="BF146" s="3"/>
      <c r="BG146" s="3"/>
      <c r="BH146" s="3"/>
    </row>
    <row r="147" ht="14.25" customHeight="1"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BE147" s="3"/>
      <c r="BF147" s="3"/>
      <c r="BG147" s="3"/>
      <c r="BH147" s="3"/>
    </row>
    <row r="148" ht="14.25" customHeight="1"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BE148" s="3"/>
      <c r="BF148" s="3"/>
      <c r="BG148" s="3"/>
      <c r="BH148" s="3"/>
    </row>
    <row r="149" ht="14.25" customHeight="1"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BE149" s="3"/>
      <c r="BF149" s="3"/>
      <c r="BG149" s="3"/>
      <c r="BH149" s="3"/>
    </row>
    <row r="150" ht="14.25" customHeight="1"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BE150" s="3"/>
      <c r="BF150" s="3"/>
      <c r="BG150" s="3"/>
      <c r="BH150" s="3"/>
    </row>
    <row r="151" ht="14.25" customHeight="1"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BE151" s="3"/>
      <c r="BF151" s="3"/>
      <c r="BG151" s="3"/>
      <c r="BH151" s="3"/>
    </row>
    <row r="152" ht="14.25" customHeight="1"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BE152" s="3"/>
      <c r="BF152" s="3"/>
      <c r="BG152" s="3"/>
      <c r="BH152" s="3"/>
    </row>
    <row r="153" ht="14.25" customHeight="1"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BE153" s="3"/>
      <c r="BF153" s="3"/>
      <c r="BG153" s="3"/>
      <c r="BH153" s="3"/>
    </row>
    <row r="154" ht="14.25" customHeight="1"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BE154" s="3"/>
      <c r="BF154" s="3"/>
      <c r="BG154" s="3"/>
      <c r="BH154" s="3"/>
    </row>
    <row r="155" ht="14.25" customHeight="1"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BE155" s="3"/>
      <c r="BF155" s="3"/>
      <c r="BG155" s="3"/>
      <c r="BH155" s="3"/>
    </row>
    <row r="156" ht="14.25" customHeight="1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BE156" s="3"/>
      <c r="BF156" s="3"/>
      <c r="BG156" s="3"/>
      <c r="BH156" s="3"/>
    </row>
    <row r="157" ht="14.25" customHeight="1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BE157" s="3"/>
      <c r="BF157" s="3"/>
      <c r="BG157" s="3"/>
      <c r="BH157" s="3"/>
    </row>
    <row r="158" ht="14.25" customHeight="1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BE158" s="3"/>
      <c r="BF158" s="3"/>
      <c r="BG158" s="3"/>
      <c r="BH158" s="3"/>
    </row>
    <row r="159" ht="14.25" customHeight="1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BE159" s="3"/>
      <c r="BF159" s="3"/>
      <c r="BG159" s="3"/>
      <c r="BH159" s="3"/>
    </row>
    <row r="160" ht="14.25" customHeight="1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BE160" s="3"/>
      <c r="BF160" s="3"/>
      <c r="BG160" s="3"/>
      <c r="BH160" s="3"/>
    </row>
    <row r="161" ht="14.25" customHeight="1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BE161" s="3"/>
      <c r="BF161" s="3"/>
      <c r="BG161" s="3"/>
      <c r="BH161" s="3"/>
    </row>
    <row r="162" ht="14.25" customHeight="1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BE162" s="3"/>
      <c r="BF162" s="3"/>
      <c r="BG162" s="3"/>
      <c r="BH162" s="3"/>
    </row>
    <row r="163" ht="14.25" customHeight="1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BE163" s="3"/>
      <c r="BF163" s="3"/>
      <c r="BG163" s="3"/>
      <c r="BH163" s="3"/>
    </row>
    <row r="164" ht="14.25" customHeight="1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BE164" s="3"/>
      <c r="BF164" s="3"/>
      <c r="BG164" s="3"/>
      <c r="BH164" s="3"/>
    </row>
    <row r="165" ht="14.25" customHeight="1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BE165" s="3"/>
      <c r="BF165" s="3"/>
      <c r="BG165" s="3"/>
      <c r="BH165" s="3"/>
    </row>
    <row r="166" ht="14.25" customHeight="1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BE166" s="3"/>
      <c r="BF166" s="3"/>
      <c r="BG166" s="3"/>
      <c r="BH166" s="3"/>
    </row>
    <row r="167" ht="14.25" customHeight="1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BE167" s="3"/>
      <c r="BF167" s="3"/>
      <c r="BG167" s="3"/>
      <c r="BH167" s="3"/>
    </row>
    <row r="168" ht="14.25" customHeight="1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BE168" s="3"/>
      <c r="BF168" s="3"/>
      <c r="BG168" s="3"/>
      <c r="BH168" s="3"/>
    </row>
    <row r="169" ht="14.25" customHeight="1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BE169" s="3"/>
      <c r="BF169" s="3"/>
      <c r="BG169" s="3"/>
      <c r="BH169" s="3"/>
    </row>
    <row r="170" ht="14.25" customHeight="1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BE170" s="3"/>
      <c r="BF170" s="3"/>
      <c r="BG170" s="3"/>
      <c r="BH170" s="3"/>
    </row>
    <row r="171" ht="14.25" customHeight="1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BE171" s="3"/>
      <c r="BF171" s="3"/>
      <c r="BG171" s="3"/>
      <c r="BH171" s="3"/>
    </row>
    <row r="172" ht="14.25" customHeight="1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BE172" s="3"/>
      <c r="BF172" s="3"/>
      <c r="BG172" s="3"/>
      <c r="BH172" s="3"/>
    </row>
    <row r="173" ht="14.25" customHeight="1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BE173" s="3"/>
      <c r="BF173" s="3"/>
      <c r="BG173" s="3"/>
      <c r="BH173" s="3"/>
    </row>
    <row r="174" ht="14.25" customHeight="1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BE174" s="3"/>
      <c r="BF174" s="3"/>
      <c r="BG174" s="3"/>
      <c r="BH174" s="3"/>
    </row>
    <row r="175" ht="14.25" customHeight="1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BE175" s="3"/>
      <c r="BF175" s="3"/>
      <c r="BG175" s="3"/>
      <c r="BH175" s="3"/>
    </row>
    <row r="176" ht="14.25" customHeight="1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BE176" s="3"/>
      <c r="BF176" s="3"/>
      <c r="BG176" s="3"/>
      <c r="BH176" s="3"/>
    </row>
    <row r="177" ht="14.25" customHeight="1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BE177" s="3"/>
      <c r="BF177" s="3"/>
      <c r="BG177" s="3"/>
      <c r="BH177" s="3"/>
    </row>
    <row r="178" ht="14.25" customHeight="1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BE178" s="3"/>
      <c r="BF178" s="3"/>
      <c r="BG178" s="3"/>
      <c r="BH178" s="3"/>
    </row>
    <row r="179" ht="14.25" customHeight="1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BE179" s="3"/>
      <c r="BF179" s="3"/>
      <c r="BG179" s="3"/>
      <c r="BH179" s="3"/>
    </row>
    <row r="180" ht="14.25" customHeight="1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BE180" s="3"/>
      <c r="BF180" s="3"/>
      <c r="BG180" s="3"/>
      <c r="BH180" s="3"/>
    </row>
    <row r="181" ht="14.25" customHeight="1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BE181" s="3"/>
      <c r="BF181" s="3"/>
      <c r="BG181" s="3"/>
      <c r="BH181" s="3"/>
    </row>
    <row r="182" ht="14.25" customHeight="1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BE182" s="3"/>
      <c r="BF182" s="3"/>
      <c r="BG182" s="3"/>
      <c r="BH182" s="3"/>
    </row>
    <row r="183" ht="14.25" customHeight="1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BE183" s="3"/>
      <c r="BF183" s="3"/>
      <c r="BG183" s="3"/>
      <c r="BH183" s="3"/>
    </row>
    <row r="184" ht="14.25" customHeight="1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BE184" s="3"/>
      <c r="BF184" s="3"/>
      <c r="BG184" s="3"/>
      <c r="BH184" s="3"/>
    </row>
    <row r="185" ht="14.25" customHeight="1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BE185" s="3"/>
      <c r="BF185" s="3"/>
      <c r="BG185" s="3"/>
      <c r="BH185" s="3"/>
    </row>
    <row r="186" ht="14.25" customHeight="1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BE186" s="3"/>
      <c r="BF186" s="3"/>
      <c r="BG186" s="3"/>
      <c r="BH186" s="3"/>
    </row>
    <row r="187" ht="14.25" customHeight="1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BE187" s="3"/>
      <c r="BF187" s="3"/>
      <c r="BG187" s="3"/>
      <c r="BH187" s="3"/>
    </row>
    <row r="188" ht="14.25" customHeight="1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BE188" s="3"/>
      <c r="BF188" s="3"/>
      <c r="BG188" s="3"/>
      <c r="BH188" s="3"/>
    </row>
    <row r="189" ht="14.25" customHeight="1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BE189" s="3"/>
      <c r="BF189" s="3"/>
      <c r="BG189" s="3"/>
      <c r="BH189" s="3"/>
    </row>
    <row r="190" ht="14.25" customHeight="1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BE190" s="3"/>
      <c r="BF190" s="3"/>
      <c r="BG190" s="3"/>
      <c r="BH190" s="3"/>
    </row>
    <row r="191" ht="14.25" customHeight="1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BE191" s="3"/>
      <c r="BF191" s="3"/>
      <c r="BG191" s="3"/>
      <c r="BH191" s="3"/>
    </row>
    <row r="192" ht="14.25" customHeight="1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BE192" s="3"/>
      <c r="BF192" s="3"/>
      <c r="BG192" s="3"/>
      <c r="BH192" s="3"/>
    </row>
    <row r="193" ht="14.25" customHeight="1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BE193" s="3"/>
      <c r="BF193" s="3"/>
      <c r="BG193" s="3"/>
      <c r="BH193" s="3"/>
    </row>
    <row r="194" ht="14.25" customHeight="1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BE194" s="3"/>
      <c r="BF194" s="3"/>
      <c r="BG194" s="3"/>
      <c r="BH194" s="3"/>
    </row>
    <row r="195" ht="14.25" customHeight="1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BE195" s="3"/>
      <c r="BF195" s="3"/>
      <c r="BG195" s="3"/>
      <c r="BH195" s="3"/>
    </row>
    <row r="196" ht="14.25" customHeight="1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BE196" s="3"/>
      <c r="BF196" s="3"/>
      <c r="BG196" s="3"/>
      <c r="BH196" s="3"/>
    </row>
    <row r="197" ht="14.25" customHeight="1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BE197" s="3"/>
      <c r="BF197" s="3"/>
      <c r="BG197" s="3"/>
      <c r="BH197" s="3"/>
    </row>
    <row r="198" ht="14.25" customHeight="1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BE198" s="3"/>
      <c r="BF198" s="3"/>
      <c r="BG198" s="3"/>
      <c r="BH198" s="3"/>
    </row>
    <row r="199" ht="14.25" customHeight="1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BE199" s="3"/>
      <c r="BF199" s="3"/>
      <c r="BG199" s="3"/>
      <c r="BH199" s="3"/>
    </row>
    <row r="200" ht="14.25" customHeight="1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BE200" s="3"/>
      <c r="BF200" s="3"/>
      <c r="BG200" s="3"/>
      <c r="BH200" s="3"/>
    </row>
    <row r="201" ht="14.25" customHeight="1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BE201" s="3"/>
      <c r="BF201" s="3"/>
      <c r="BG201" s="3"/>
      <c r="BH201" s="3"/>
    </row>
    <row r="202" ht="14.25" customHeight="1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BE202" s="3"/>
      <c r="BF202" s="3"/>
      <c r="BG202" s="3"/>
      <c r="BH202" s="3"/>
    </row>
    <row r="203" ht="14.25" customHeight="1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BE203" s="3"/>
      <c r="BF203" s="3"/>
      <c r="BG203" s="3"/>
      <c r="BH203" s="3"/>
    </row>
    <row r="204" ht="14.25" customHeight="1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BE204" s="3"/>
      <c r="BF204" s="3"/>
      <c r="BG204" s="3"/>
      <c r="BH204" s="3"/>
    </row>
    <row r="205" ht="14.25" customHeight="1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BE205" s="3"/>
      <c r="BF205" s="3"/>
      <c r="BG205" s="3"/>
      <c r="BH205" s="3"/>
    </row>
    <row r="206" ht="14.25" customHeight="1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BE206" s="3"/>
      <c r="BF206" s="3"/>
      <c r="BG206" s="3"/>
      <c r="BH206" s="3"/>
    </row>
    <row r="207" ht="14.25" customHeight="1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BE207" s="3"/>
      <c r="BF207" s="3"/>
      <c r="BG207" s="3"/>
      <c r="BH207" s="3"/>
    </row>
    <row r="208" ht="14.25" customHeight="1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BE208" s="3"/>
      <c r="BF208" s="3"/>
      <c r="BG208" s="3"/>
      <c r="BH208" s="3"/>
    </row>
    <row r="209" ht="14.25" customHeight="1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BE209" s="3"/>
      <c r="BF209" s="3"/>
      <c r="BG209" s="3"/>
      <c r="BH209" s="3"/>
    </row>
    <row r="210" ht="14.25" customHeight="1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BE210" s="3"/>
      <c r="BF210" s="3"/>
      <c r="BG210" s="3"/>
      <c r="BH210" s="3"/>
    </row>
    <row r="211" ht="14.25" customHeight="1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BE211" s="3"/>
      <c r="BF211" s="3"/>
      <c r="BG211" s="3"/>
      <c r="BH211" s="3"/>
    </row>
    <row r="212" ht="14.25" customHeight="1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BE212" s="3"/>
      <c r="BF212" s="3"/>
      <c r="BG212" s="3"/>
      <c r="BH212" s="3"/>
    </row>
    <row r="213" ht="14.25" customHeight="1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BE213" s="3"/>
      <c r="BF213" s="3"/>
      <c r="BG213" s="3"/>
      <c r="BH213" s="3"/>
    </row>
    <row r="214" ht="14.25" customHeight="1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BE214" s="3"/>
      <c r="BF214" s="3"/>
      <c r="BG214" s="3"/>
      <c r="BH214" s="3"/>
    </row>
    <row r="215" ht="14.25" customHeight="1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BE215" s="3"/>
      <c r="BF215" s="3"/>
      <c r="BG215" s="3"/>
      <c r="BH215" s="3"/>
    </row>
    <row r="216" ht="14.25" customHeight="1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BE216" s="3"/>
      <c r="BF216" s="3"/>
      <c r="BG216" s="3"/>
      <c r="BH216" s="3"/>
    </row>
    <row r="217" ht="14.25" customHeight="1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BE217" s="3"/>
      <c r="BF217" s="3"/>
      <c r="BG217" s="3"/>
      <c r="BH217" s="3"/>
    </row>
    <row r="218" ht="14.25" customHeight="1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BE218" s="3"/>
      <c r="BF218" s="3"/>
      <c r="BG218" s="3"/>
      <c r="BH218" s="3"/>
    </row>
    <row r="219" ht="14.25" customHeight="1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BE219" s="3"/>
      <c r="BF219" s="3"/>
      <c r="BG219" s="3"/>
      <c r="BH219" s="3"/>
    </row>
    <row r="220" ht="14.25" customHeight="1"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BE220" s="3"/>
      <c r="BF220" s="3"/>
      <c r="BG220" s="3"/>
      <c r="BH220" s="3"/>
    </row>
    <row r="221" ht="14.25" customHeight="1"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BE221" s="3"/>
      <c r="BF221" s="3"/>
      <c r="BG221" s="3"/>
      <c r="BH221" s="3"/>
    </row>
    <row r="222" ht="14.25" customHeight="1"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BE222" s="3"/>
      <c r="BF222" s="3"/>
      <c r="BG222" s="3"/>
      <c r="BH222" s="3"/>
    </row>
    <row r="223" ht="14.25" customHeight="1"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BE223" s="3"/>
      <c r="BF223" s="3"/>
      <c r="BG223" s="3"/>
      <c r="BH223" s="3"/>
    </row>
    <row r="224" ht="14.25" customHeight="1"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BE224" s="3"/>
      <c r="BF224" s="3"/>
      <c r="BG224" s="3"/>
      <c r="BH224" s="3"/>
    </row>
    <row r="225" ht="14.25" customHeight="1"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BE225" s="3"/>
      <c r="BF225" s="3"/>
      <c r="BG225" s="3"/>
      <c r="BH225" s="3"/>
    </row>
    <row r="226" ht="14.25" customHeight="1"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BE226" s="3"/>
      <c r="BF226" s="3"/>
      <c r="BG226" s="3"/>
      <c r="BH226" s="3"/>
    </row>
    <row r="227" ht="14.25" customHeight="1"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BE227" s="3"/>
      <c r="BF227" s="3"/>
      <c r="BG227" s="3"/>
      <c r="BH227" s="3"/>
    </row>
    <row r="228" ht="14.25" customHeight="1"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BE228" s="3"/>
      <c r="BF228" s="3"/>
      <c r="BG228" s="3"/>
      <c r="BH228" s="3"/>
    </row>
    <row r="229" ht="14.25" customHeight="1"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BE229" s="3"/>
      <c r="BF229" s="3"/>
      <c r="BG229" s="3"/>
      <c r="BH229" s="3"/>
    </row>
    <row r="230" ht="14.25" customHeight="1"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BE230" s="3"/>
      <c r="BF230" s="3"/>
      <c r="BG230" s="3"/>
      <c r="BH230" s="3"/>
    </row>
    <row r="231" ht="14.25" customHeight="1"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BE231" s="3"/>
      <c r="BF231" s="3"/>
      <c r="BG231" s="3"/>
      <c r="BH231" s="3"/>
    </row>
    <row r="232" ht="14.25" customHeight="1"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BE232" s="3"/>
      <c r="BF232" s="3"/>
      <c r="BG232" s="3"/>
      <c r="BH232" s="3"/>
    </row>
    <row r="233" ht="14.25" customHeight="1"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BE233" s="3"/>
      <c r="BF233" s="3"/>
      <c r="BG233" s="3"/>
      <c r="BH233" s="3"/>
    </row>
    <row r="234" ht="14.25" customHeight="1"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BE234" s="3"/>
      <c r="BF234" s="3"/>
      <c r="BG234" s="3"/>
      <c r="BH234" s="3"/>
    </row>
    <row r="235" ht="14.25" customHeight="1"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BE235" s="3"/>
      <c r="BF235" s="3"/>
      <c r="BG235" s="3"/>
      <c r="BH235" s="3"/>
    </row>
    <row r="236" ht="14.25" customHeight="1"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BE236" s="3"/>
      <c r="BF236" s="3"/>
      <c r="BG236" s="3"/>
      <c r="BH236" s="3"/>
    </row>
    <row r="237" ht="14.25" customHeight="1"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BE237" s="3"/>
      <c r="BF237" s="3"/>
      <c r="BG237" s="3"/>
      <c r="BH237" s="3"/>
    </row>
    <row r="238" ht="14.25" customHeight="1"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BE238" s="3"/>
      <c r="BF238" s="3"/>
      <c r="BG238" s="3"/>
      <c r="BH238" s="3"/>
    </row>
    <row r="239" ht="14.25" customHeight="1"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BE239" s="3"/>
      <c r="BF239" s="3"/>
      <c r="BG239" s="3"/>
      <c r="BH239" s="3"/>
    </row>
    <row r="240" ht="14.25" customHeight="1"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BE240" s="3"/>
      <c r="BF240" s="3"/>
      <c r="BG240" s="3"/>
      <c r="BH240" s="3"/>
    </row>
    <row r="241" ht="14.25" customHeight="1"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BE241" s="3"/>
      <c r="BF241" s="3"/>
      <c r="BG241" s="3"/>
      <c r="BH241" s="3"/>
    </row>
    <row r="242" ht="14.25" customHeight="1"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BE242" s="3"/>
      <c r="BF242" s="3"/>
      <c r="BG242" s="3"/>
      <c r="BH242" s="3"/>
    </row>
    <row r="243" ht="14.25" customHeight="1"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BE243" s="3"/>
      <c r="BF243" s="3"/>
      <c r="BG243" s="3"/>
      <c r="BH243" s="3"/>
    </row>
    <row r="244" ht="14.25" customHeight="1"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BE244" s="3"/>
      <c r="BF244" s="3"/>
      <c r="BG244" s="3"/>
      <c r="BH244" s="3"/>
    </row>
    <row r="245" ht="14.25" customHeight="1"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BE245" s="3"/>
      <c r="BF245" s="3"/>
      <c r="BG245" s="3"/>
      <c r="BH245" s="3"/>
    </row>
    <row r="246" ht="14.25" customHeight="1"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BE246" s="3"/>
      <c r="BF246" s="3"/>
      <c r="BG246" s="3"/>
      <c r="BH246" s="3"/>
    </row>
    <row r="247" ht="14.25" customHeight="1"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BE247" s="3"/>
      <c r="BF247" s="3"/>
      <c r="BG247" s="3"/>
      <c r="BH247" s="3"/>
    </row>
    <row r="248" ht="14.25" customHeight="1"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BE248" s="3"/>
      <c r="BF248" s="3"/>
      <c r="BG248" s="3"/>
      <c r="BH248" s="3"/>
    </row>
    <row r="249" ht="14.25" customHeight="1"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BE249" s="3"/>
      <c r="BF249" s="3"/>
      <c r="BG249" s="3"/>
      <c r="BH249" s="3"/>
    </row>
    <row r="250" ht="14.25" customHeight="1"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BE250" s="3"/>
      <c r="BF250" s="3"/>
      <c r="BG250" s="3"/>
      <c r="BH250" s="3"/>
    </row>
    <row r="251" ht="14.25" customHeight="1"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BE251" s="3"/>
      <c r="BF251" s="3"/>
      <c r="BG251" s="3"/>
      <c r="BH251" s="3"/>
    </row>
    <row r="252" ht="14.25" customHeight="1"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BE252" s="3"/>
      <c r="BF252" s="3"/>
      <c r="BG252" s="3"/>
      <c r="BH252" s="3"/>
    </row>
    <row r="253" ht="14.25" customHeight="1"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BE253" s="3"/>
      <c r="BF253" s="3"/>
      <c r="BG253" s="3"/>
      <c r="BH253" s="3"/>
    </row>
    <row r="254" ht="14.25" customHeight="1"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BE254" s="3"/>
      <c r="BF254" s="3"/>
      <c r="BG254" s="3"/>
      <c r="BH254" s="3"/>
    </row>
    <row r="255" ht="14.25" customHeight="1"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BE255" s="3"/>
      <c r="BF255" s="3"/>
      <c r="BG255" s="3"/>
      <c r="BH255" s="3"/>
    </row>
    <row r="256" ht="14.25" customHeight="1"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BE256" s="3"/>
      <c r="BF256" s="3"/>
      <c r="BG256" s="3"/>
      <c r="BH256" s="3"/>
    </row>
    <row r="257" ht="14.25" customHeight="1"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BE257" s="3"/>
      <c r="BF257" s="3"/>
      <c r="BG257" s="3"/>
      <c r="BH257" s="3"/>
    </row>
    <row r="258" ht="14.25" customHeight="1"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BE258" s="3"/>
      <c r="BF258" s="3"/>
      <c r="BG258" s="3"/>
      <c r="BH258" s="3"/>
    </row>
    <row r="259" ht="14.25" customHeight="1"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BE259" s="3"/>
      <c r="BF259" s="3"/>
      <c r="BG259" s="3"/>
      <c r="BH259" s="3"/>
    </row>
    <row r="260" ht="14.25" customHeight="1"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BE260" s="3"/>
      <c r="BF260" s="3"/>
      <c r="BG260" s="3"/>
      <c r="BH260" s="3"/>
    </row>
    <row r="261" ht="14.25" customHeight="1"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BE261" s="3"/>
      <c r="BF261" s="3"/>
      <c r="BG261" s="3"/>
      <c r="BH261" s="3"/>
    </row>
    <row r="262" ht="14.25" customHeight="1"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BE262" s="3"/>
      <c r="BF262" s="3"/>
      <c r="BG262" s="3"/>
      <c r="BH262" s="3"/>
    </row>
    <row r="263" ht="14.25" customHeight="1"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BE263" s="3"/>
      <c r="BF263" s="3"/>
      <c r="BG263" s="3"/>
      <c r="BH263" s="3"/>
    </row>
    <row r="264" ht="14.25" customHeight="1"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BE264" s="3"/>
      <c r="BF264" s="3"/>
      <c r="BG264" s="3"/>
      <c r="BH264" s="3"/>
    </row>
    <row r="265" ht="14.25" customHeight="1"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BE265" s="3"/>
      <c r="BF265" s="3"/>
      <c r="BG265" s="3"/>
      <c r="BH265" s="3"/>
    </row>
    <row r="266" ht="14.25" customHeight="1"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BE266" s="3"/>
      <c r="BF266" s="3"/>
      <c r="BG266" s="3"/>
      <c r="BH266" s="3"/>
    </row>
    <row r="267" ht="14.25" customHeight="1"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BE267" s="3"/>
      <c r="BF267" s="3"/>
      <c r="BG267" s="3"/>
      <c r="BH267" s="3"/>
    </row>
    <row r="268" ht="14.25" customHeight="1"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BE268" s="3"/>
      <c r="BF268" s="3"/>
      <c r="BG268" s="3"/>
      <c r="BH268" s="3"/>
    </row>
    <row r="269" ht="14.25" customHeight="1"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BE269" s="3"/>
      <c r="BF269" s="3"/>
      <c r="BG269" s="3"/>
      <c r="BH269" s="3"/>
    </row>
    <row r="270" ht="14.25" customHeight="1"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BE270" s="3"/>
      <c r="BF270" s="3"/>
      <c r="BG270" s="3"/>
      <c r="BH270" s="3"/>
    </row>
    <row r="271" ht="14.25" customHeight="1"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BE271" s="3"/>
      <c r="BF271" s="3"/>
      <c r="BG271" s="3"/>
      <c r="BH271" s="3"/>
    </row>
    <row r="272" ht="14.25" customHeight="1"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BE272" s="3"/>
      <c r="BF272" s="3"/>
      <c r="BG272" s="3"/>
      <c r="BH272" s="3"/>
    </row>
    <row r="273" ht="14.25" customHeight="1"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BE273" s="3"/>
      <c r="BF273" s="3"/>
      <c r="BG273" s="3"/>
      <c r="BH273" s="3"/>
    </row>
    <row r="274" ht="14.25" customHeight="1"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BE274" s="3"/>
      <c r="BF274" s="3"/>
      <c r="BG274" s="3"/>
      <c r="BH274" s="3"/>
    </row>
    <row r="275" ht="14.25" customHeight="1"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BE275" s="3"/>
      <c r="BF275" s="3"/>
      <c r="BG275" s="3"/>
      <c r="BH275" s="3"/>
    </row>
    <row r="276" ht="14.25" customHeight="1"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BE276" s="3"/>
      <c r="BF276" s="3"/>
      <c r="BG276" s="3"/>
      <c r="BH276" s="3"/>
    </row>
    <row r="277" ht="14.25" customHeight="1"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BE277" s="3"/>
      <c r="BF277" s="3"/>
      <c r="BG277" s="3"/>
      <c r="BH277" s="3"/>
    </row>
    <row r="278" ht="14.25" customHeight="1"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BE278" s="3"/>
      <c r="BF278" s="3"/>
      <c r="BG278" s="3"/>
      <c r="BH278" s="3"/>
    </row>
    <row r="279" ht="14.25" customHeight="1"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BE279" s="3"/>
      <c r="BF279" s="3"/>
      <c r="BG279" s="3"/>
      <c r="BH279" s="3"/>
    </row>
    <row r="280" ht="14.25" customHeight="1"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BE280" s="3"/>
      <c r="BF280" s="3"/>
      <c r="BG280" s="3"/>
      <c r="BH280" s="3"/>
    </row>
    <row r="281" ht="14.25" customHeight="1"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BE281" s="3"/>
      <c r="BF281" s="3"/>
      <c r="BG281" s="3"/>
      <c r="BH281" s="3"/>
    </row>
    <row r="282" ht="14.25" customHeight="1"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BE282" s="3"/>
      <c r="BF282" s="3"/>
      <c r="BG282" s="3"/>
      <c r="BH282" s="3"/>
    </row>
    <row r="283" ht="14.25" customHeight="1"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BE283" s="3"/>
      <c r="BF283" s="3"/>
      <c r="BG283" s="3"/>
      <c r="BH283" s="3"/>
    </row>
    <row r="284" ht="14.25" customHeight="1"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BE284" s="3"/>
      <c r="BF284" s="3"/>
      <c r="BG284" s="3"/>
      <c r="BH284" s="3"/>
    </row>
    <row r="285" ht="14.25" customHeight="1"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BE285" s="3"/>
      <c r="BF285" s="3"/>
      <c r="BG285" s="3"/>
      <c r="BH285" s="3"/>
    </row>
    <row r="286" ht="14.25" customHeight="1"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BE286" s="3"/>
      <c r="BF286" s="3"/>
      <c r="BG286" s="3"/>
      <c r="BH286" s="3"/>
    </row>
    <row r="287" ht="14.25" customHeight="1"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BE287" s="3"/>
      <c r="BF287" s="3"/>
      <c r="BG287" s="3"/>
      <c r="BH287" s="3"/>
    </row>
    <row r="288" ht="14.25" customHeight="1"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BE288" s="3"/>
      <c r="BF288" s="3"/>
      <c r="BG288" s="3"/>
      <c r="BH288" s="3"/>
    </row>
    <row r="289" ht="14.25" customHeight="1"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BE289" s="3"/>
      <c r="BF289" s="3"/>
      <c r="BG289" s="3"/>
      <c r="BH289" s="3"/>
    </row>
    <row r="290" ht="14.25" customHeight="1"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BE290" s="3"/>
      <c r="BF290" s="3"/>
      <c r="BG290" s="3"/>
      <c r="BH290" s="3"/>
    </row>
    <row r="291" ht="14.25" customHeight="1"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BE291" s="3"/>
      <c r="BF291" s="3"/>
      <c r="BG291" s="3"/>
      <c r="BH291" s="3"/>
    </row>
    <row r="292" ht="14.25" customHeight="1"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BE292" s="3"/>
      <c r="BF292" s="3"/>
      <c r="BG292" s="3"/>
      <c r="BH292" s="3"/>
    </row>
    <row r="293" ht="14.25" customHeight="1"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BE293" s="3"/>
      <c r="BF293" s="3"/>
      <c r="BG293" s="3"/>
      <c r="BH293" s="3"/>
    </row>
    <row r="294" ht="14.25" customHeight="1"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BE294" s="3"/>
      <c r="BF294" s="3"/>
      <c r="BG294" s="3"/>
      <c r="BH294" s="3"/>
    </row>
    <row r="295" ht="14.25" customHeight="1"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BE295" s="3"/>
      <c r="BF295" s="3"/>
      <c r="BG295" s="3"/>
      <c r="BH295" s="3"/>
    </row>
    <row r="296" ht="14.25" customHeight="1"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BE296" s="3"/>
      <c r="BF296" s="3"/>
      <c r="BG296" s="3"/>
      <c r="BH296" s="3"/>
    </row>
    <row r="297" ht="14.25" customHeight="1"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BE297" s="3"/>
      <c r="BF297" s="3"/>
      <c r="BG297" s="3"/>
      <c r="BH297" s="3"/>
    </row>
    <row r="298" ht="14.25" customHeight="1"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BE298" s="3"/>
      <c r="BF298" s="3"/>
      <c r="BG298" s="3"/>
      <c r="BH298" s="3"/>
    </row>
    <row r="299" ht="14.25" customHeight="1"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BE299" s="3"/>
      <c r="BF299" s="3"/>
      <c r="BG299" s="3"/>
      <c r="BH299" s="3"/>
    </row>
    <row r="300" ht="14.25" customHeight="1"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BE300" s="3"/>
      <c r="BF300" s="3"/>
      <c r="BG300" s="3"/>
      <c r="BH300" s="3"/>
    </row>
    <row r="301" ht="14.25" customHeight="1"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BE301" s="3"/>
      <c r="BF301" s="3"/>
      <c r="BG301" s="3"/>
      <c r="BH301" s="3"/>
    </row>
    <row r="302" ht="14.25" customHeight="1"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BE302" s="3"/>
      <c r="BF302" s="3"/>
      <c r="BG302" s="3"/>
      <c r="BH302" s="3"/>
    </row>
    <row r="303" ht="14.25" customHeight="1"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BE303" s="3"/>
      <c r="BF303" s="3"/>
      <c r="BG303" s="3"/>
      <c r="BH303" s="3"/>
    </row>
    <row r="304" ht="14.25" customHeight="1"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BE304" s="3"/>
      <c r="BF304" s="3"/>
      <c r="BG304" s="3"/>
      <c r="BH304" s="3"/>
    </row>
    <row r="305" ht="14.25" customHeight="1"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BE305" s="3"/>
      <c r="BF305" s="3"/>
      <c r="BG305" s="3"/>
      <c r="BH305" s="3"/>
    </row>
    <row r="306" ht="14.25" customHeight="1"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BE306" s="3"/>
      <c r="BF306" s="3"/>
      <c r="BG306" s="3"/>
      <c r="BH306" s="3"/>
    </row>
    <row r="307" ht="14.25" customHeight="1"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BE307" s="3"/>
      <c r="BF307" s="3"/>
      <c r="BG307" s="3"/>
      <c r="BH307" s="3"/>
    </row>
    <row r="308" ht="14.25" customHeight="1"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BE308" s="3"/>
      <c r="BF308" s="3"/>
      <c r="BG308" s="3"/>
      <c r="BH308" s="3"/>
    </row>
    <row r="309" ht="14.25" customHeight="1"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BE309" s="3"/>
      <c r="BF309" s="3"/>
      <c r="BG309" s="3"/>
      <c r="BH309" s="3"/>
    </row>
    <row r="310" ht="14.25" customHeight="1"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BE310" s="3"/>
      <c r="BF310" s="3"/>
      <c r="BG310" s="3"/>
      <c r="BH310" s="3"/>
    </row>
    <row r="311" ht="14.25" customHeight="1"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BE311" s="3"/>
      <c r="BF311" s="3"/>
      <c r="BG311" s="3"/>
      <c r="BH311" s="3"/>
    </row>
    <row r="312" ht="14.25" customHeight="1"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BE312" s="3"/>
      <c r="BF312" s="3"/>
      <c r="BG312" s="3"/>
      <c r="BH312" s="3"/>
    </row>
    <row r="313" ht="14.25" customHeight="1"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BE313" s="3"/>
      <c r="BF313" s="3"/>
      <c r="BG313" s="3"/>
      <c r="BH313" s="3"/>
    </row>
    <row r="314" ht="14.25" customHeight="1"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BE314" s="3"/>
      <c r="BF314" s="3"/>
      <c r="BG314" s="3"/>
      <c r="BH314" s="3"/>
    </row>
    <row r="315" ht="14.25" customHeight="1"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BE315" s="3"/>
      <c r="BF315" s="3"/>
      <c r="BG315" s="3"/>
      <c r="BH315" s="3"/>
    </row>
    <row r="316" ht="14.25" customHeight="1"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BE316" s="3"/>
      <c r="BF316" s="3"/>
      <c r="BG316" s="3"/>
      <c r="BH316" s="3"/>
    </row>
    <row r="317" ht="14.25" customHeight="1"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BE317" s="3"/>
      <c r="BF317" s="3"/>
      <c r="BG317" s="3"/>
      <c r="BH317" s="3"/>
    </row>
    <row r="318" ht="14.25" customHeight="1"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BE318" s="3"/>
      <c r="BF318" s="3"/>
      <c r="BG318" s="3"/>
      <c r="BH318" s="3"/>
    </row>
    <row r="319" ht="14.25" customHeight="1"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BE319" s="3"/>
      <c r="BF319" s="3"/>
      <c r="BG319" s="3"/>
      <c r="BH319" s="3"/>
    </row>
    <row r="320" ht="14.25" customHeight="1"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BE320" s="3"/>
      <c r="BF320" s="3"/>
      <c r="BG320" s="3"/>
      <c r="BH320" s="3"/>
    </row>
    <row r="321" ht="14.25" customHeight="1"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BE321" s="3"/>
      <c r="BF321" s="3"/>
      <c r="BG321" s="3"/>
      <c r="BH321" s="3"/>
    </row>
    <row r="322" ht="14.25" customHeight="1"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BE322" s="3"/>
      <c r="BF322" s="3"/>
      <c r="BG322" s="3"/>
      <c r="BH322" s="3"/>
    </row>
    <row r="323" ht="14.25" customHeight="1"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BE323" s="3"/>
      <c r="BF323" s="3"/>
      <c r="BG323" s="3"/>
      <c r="BH323" s="3"/>
    </row>
    <row r="324" ht="14.25" customHeight="1"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BE324" s="3"/>
      <c r="BF324" s="3"/>
      <c r="BG324" s="3"/>
      <c r="BH324" s="3"/>
    </row>
    <row r="325" ht="14.25" customHeight="1"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BE325" s="3"/>
      <c r="BF325" s="3"/>
      <c r="BG325" s="3"/>
      <c r="BH325" s="3"/>
    </row>
    <row r="326" ht="14.25" customHeight="1"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BE326" s="3"/>
      <c r="BF326" s="3"/>
      <c r="BG326" s="3"/>
      <c r="BH326" s="3"/>
    </row>
    <row r="327" ht="14.25" customHeight="1"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BE327" s="3"/>
      <c r="BF327" s="3"/>
      <c r="BG327" s="3"/>
      <c r="BH327" s="3"/>
    </row>
    <row r="328" ht="14.25" customHeight="1"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BE328" s="3"/>
      <c r="BF328" s="3"/>
      <c r="BG328" s="3"/>
      <c r="BH328" s="3"/>
    </row>
    <row r="329" ht="14.25" customHeight="1"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BE329" s="3"/>
      <c r="BF329" s="3"/>
      <c r="BG329" s="3"/>
      <c r="BH329" s="3"/>
    </row>
    <row r="330" ht="14.25" customHeight="1"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BE330" s="3"/>
      <c r="BF330" s="3"/>
      <c r="BG330" s="3"/>
      <c r="BH330" s="3"/>
    </row>
    <row r="331" ht="14.25" customHeight="1"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BE331" s="3"/>
      <c r="BF331" s="3"/>
      <c r="BG331" s="3"/>
      <c r="BH331" s="3"/>
    </row>
    <row r="332" ht="14.25" customHeight="1"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BE332" s="3"/>
      <c r="BF332" s="3"/>
      <c r="BG332" s="3"/>
      <c r="BH332" s="3"/>
    </row>
    <row r="333" ht="14.25" customHeight="1"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BE333" s="3"/>
      <c r="BF333" s="3"/>
      <c r="BG333" s="3"/>
      <c r="BH333" s="3"/>
    </row>
    <row r="334" ht="14.25" customHeight="1"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BE334" s="3"/>
      <c r="BF334" s="3"/>
      <c r="BG334" s="3"/>
      <c r="BH334" s="3"/>
    </row>
    <row r="335" ht="14.25" customHeight="1"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BE335" s="3"/>
      <c r="BF335" s="3"/>
      <c r="BG335" s="3"/>
      <c r="BH335" s="3"/>
    </row>
    <row r="336" ht="14.25" customHeight="1"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BE336" s="3"/>
      <c r="BF336" s="3"/>
      <c r="BG336" s="3"/>
      <c r="BH336" s="3"/>
    </row>
    <row r="337" ht="14.25" customHeight="1"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BE337" s="3"/>
      <c r="BF337" s="3"/>
      <c r="BG337" s="3"/>
      <c r="BH337" s="3"/>
    </row>
    <row r="338" ht="14.25" customHeight="1"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BE338" s="3"/>
      <c r="BF338" s="3"/>
      <c r="BG338" s="3"/>
      <c r="BH338" s="3"/>
    </row>
    <row r="339" ht="14.25" customHeight="1"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BE339" s="3"/>
      <c r="BF339" s="3"/>
      <c r="BG339" s="3"/>
      <c r="BH339" s="3"/>
    </row>
    <row r="340" ht="14.25" customHeight="1"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BE340" s="3"/>
      <c r="BF340" s="3"/>
      <c r="BG340" s="3"/>
      <c r="BH340" s="3"/>
    </row>
    <row r="341" ht="14.25" customHeight="1"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BE341" s="3"/>
      <c r="BF341" s="3"/>
      <c r="BG341" s="3"/>
      <c r="BH341" s="3"/>
    </row>
    <row r="342" ht="14.25" customHeight="1"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BE342" s="3"/>
      <c r="BF342" s="3"/>
      <c r="BG342" s="3"/>
      <c r="BH342" s="3"/>
    </row>
    <row r="343" ht="14.25" customHeight="1"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BE343" s="3"/>
      <c r="BF343" s="3"/>
      <c r="BG343" s="3"/>
      <c r="BH343" s="3"/>
    </row>
    <row r="344" ht="14.25" customHeight="1"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BE344" s="3"/>
      <c r="BF344" s="3"/>
      <c r="BG344" s="3"/>
      <c r="BH344" s="3"/>
    </row>
    <row r="345" ht="14.25" customHeight="1"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BE345" s="3"/>
      <c r="BF345" s="3"/>
      <c r="BG345" s="3"/>
      <c r="BH345" s="3"/>
    </row>
    <row r="346" ht="14.25" customHeight="1"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BE346" s="3"/>
      <c r="BF346" s="3"/>
      <c r="BG346" s="3"/>
      <c r="BH346" s="3"/>
    </row>
    <row r="347" ht="14.25" customHeight="1"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BE347" s="3"/>
      <c r="BF347" s="3"/>
      <c r="BG347" s="3"/>
      <c r="BH347" s="3"/>
    </row>
    <row r="348" ht="14.25" customHeight="1"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BE348" s="3"/>
      <c r="BF348" s="3"/>
      <c r="BG348" s="3"/>
      <c r="BH348" s="3"/>
    </row>
    <row r="349" ht="14.25" customHeight="1"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BE349" s="3"/>
      <c r="BF349" s="3"/>
      <c r="BG349" s="3"/>
      <c r="BH349" s="3"/>
    </row>
    <row r="350" ht="14.25" customHeight="1"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BE350" s="3"/>
      <c r="BF350" s="3"/>
      <c r="BG350" s="3"/>
      <c r="BH350" s="3"/>
    </row>
    <row r="351" ht="14.25" customHeight="1"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BE351" s="3"/>
      <c r="BF351" s="3"/>
      <c r="BG351" s="3"/>
      <c r="BH351" s="3"/>
    </row>
    <row r="352" ht="14.25" customHeight="1"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BE352" s="3"/>
      <c r="BF352" s="3"/>
      <c r="BG352" s="3"/>
      <c r="BH352" s="3"/>
    </row>
    <row r="353" ht="14.25" customHeight="1"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BE353" s="3"/>
      <c r="BF353" s="3"/>
      <c r="BG353" s="3"/>
      <c r="BH353" s="3"/>
    </row>
    <row r="354" ht="14.25" customHeight="1"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BE354" s="3"/>
      <c r="BF354" s="3"/>
      <c r="BG354" s="3"/>
      <c r="BH354" s="3"/>
    </row>
    <row r="355" ht="14.25" customHeight="1"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BE355" s="3"/>
      <c r="BF355" s="3"/>
      <c r="BG355" s="3"/>
      <c r="BH355" s="3"/>
    </row>
    <row r="356" ht="14.25" customHeight="1"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BE356" s="3"/>
      <c r="BF356" s="3"/>
      <c r="BG356" s="3"/>
      <c r="BH356" s="3"/>
    </row>
    <row r="357" ht="14.25" customHeight="1"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BE357" s="3"/>
      <c r="BF357" s="3"/>
      <c r="BG357" s="3"/>
      <c r="BH357" s="3"/>
    </row>
    <row r="358" ht="14.25" customHeight="1"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BE358" s="3"/>
      <c r="BF358" s="3"/>
      <c r="BG358" s="3"/>
      <c r="BH358" s="3"/>
    </row>
    <row r="359" ht="14.25" customHeight="1"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BE359" s="3"/>
      <c r="BF359" s="3"/>
      <c r="BG359" s="3"/>
      <c r="BH359" s="3"/>
    </row>
    <row r="360" ht="14.25" customHeight="1"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BE360" s="3"/>
      <c r="BF360" s="3"/>
      <c r="BG360" s="3"/>
      <c r="BH360" s="3"/>
    </row>
    <row r="361" ht="14.25" customHeight="1"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BE361" s="3"/>
      <c r="BF361" s="3"/>
      <c r="BG361" s="3"/>
      <c r="BH361" s="3"/>
    </row>
    <row r="362" ht="14.25" customHeight="1"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BE362" s="3"/>
      <c r="BF362" s="3"/>
      <c r="BG362" s="3"/>
      <c r="BH362" s="3"/>
    </row>
    <row r="363" ht="14.25" customHeight="1"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BE363" s="3"/>
      <c r="BF363" s="3"/>
      <c r="BG363" s="3"/>
      <c r="BH363" s="3"/>
    </row>
    <row r="364" ht="14.25" customHeight="1"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BE364" s="3"/>
      <c r="BF364" s="3"/>
      <c r="BG364" s="3"/>
      <c r="BH364" s="3"/>
    </row>
    <row r="365" ht="14.25" customHeight="1"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BE365" s="3"/>
      <c r="BF365" s="3"/>
      <c r="BG365" s="3"/>
      <c r="BH365" s="3"/>
    </row>
    <row r="366" ht="14.25" customHeight="1"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BE366" s="3"/>
      <c r="BF366" s="3"/>
      <c r="BG366" s="3"/>
      <c r="BH366" s="3"/>
    </row>
    <row r="367" ht="14.25" customHeight="1"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BE367" s="3"/>
      <c r="BF367" s="3"/>
      <c r="BG367" s="3"/>
      <c r="BH367" s="3"/>
    </row>
    <row r="368" ht="14.25" customHeight="1"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BE368" s="3"/>
      <c r="BF368" s="3"/>
      <c r="BG368" s="3"/>
      <c r="BH368" s="3"/>
    </row>
    <row r="369" ht="14.25" customHeight="1"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BE369" s="3"/>
      <c r="BF369" s="3"/>
      <c r="BG369" s="3"/>
      <c r="BH369" s="3"/>
    </row>
    <row r="370" ht="14.25" customHeight="1"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BE370" s="3"/>
      <c r="BF370" s="3"/>
      <c r="BG370" s="3"/>
      <c r="BH370" s="3"/>
    </row>
    <row r="371" ht="14.25" customHeight="1"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BE371" s="3"/>
      <c r="BF371" s="3"/>
      <c r="BG371" s="3"/>
      <c r="BH371" s="3"/>
    </row>
    <row r="372" ht="14.25" customHeight="1"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BE372" s="3"/>
      <c r="BF372" s="3"/>
      <c r="BG372" s="3"/>
      <c r="BH372" s="3"/>
    </row>
    <row r="373" ht="14.25" customHeight="1"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BE373" s="3"/>
      <c r="BF373" s="3"/>
      <c r="BG373" s="3"/>
      <c r="BH373" s="3"/>
    </row>
    <row r="374" ht="14.25" customHeight="1"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BE374" s="3"/>
      <c r="BF374" s="3"/>
      <c r="BG374" s="3"/>
      <c r="BH374" s="3"/>
    </row>
    <row r="375" ht="14.25" customHeight="1"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BE375" s="3"/>
      <c r="BF375" s="3"/>
      <c r="BG375" s="3"/>
      <c r="BH375" s="3"/>
    </row>
    <row r="376" ht="14.25" customHeight="1"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BE376" s="3"/>
      <c r="BF376" s="3"/>
      <c r="BG376" s="3"/>
      <c r="BH376" s="3"/>
    </row>
    <row r="377" ht="14.25" customHeight="1"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BE377" s="3"/>
      <c r="BF377" s="3"/>
      <c r="BG377" s="3"/>
      <c r="BH377" s="3"/>
    </row>
    <row r="378" ht="14.25" customHeight="1"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BE378" s="3"/>
      <c r="BF378" s="3"/>
      <c r="BG378" s="3"/>
      <c r="BH378" s="3"/>
    </row>
    <row r="379" ht="14.25" customHeight="1"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BE379" s="3"/>
      <c r="BF379" s="3"/>
      <c r="BG379" s="3"/>
      <c r="BH379" s="3"/>
    </row>
    <row r="380" ht="14.25" customHeight="1"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BE380" s="3"/>
      <c r="BF380" s="3"/>
      <c r="BG380" s="3"/>
      <c r="BH380" s="3"/>
    </row>
    <row r="381" ht="14.25" customHeight="1"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BE381" s="3"/>
      <c r="BF381" s="3"/>
      <c r="BG381" s="3"/>
      <c r="BH381" s="3"/>
    </row>
    <row r="382" ht="14.25" customHeight="1"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BE382" s="3"/>
      <c r="BF382" s="3"/>
      <c r="BG382" s="3"/>
      <c r="BH382" s="3"/>
    </row>
    <row r="383" ht="14.25" customHeight="1"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BE383" s="3"/>
      <c r="BF383" s="3"/>
      <c r="BG383" s="3"/>
      <c r="BH383" s="3"/>
    </row>
    <row r="384" ht="14.25" customHeight="1"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BE384" s="3"/>
      <c r="BF384" s="3"/>
      <c r="BG384" s="3"/>
      <c r="BH384" s="3"/>
    </row>
    <row r="385" ht="14.25" customHeight="1"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BE385" s="3"/>
      <c r="BF385" s="3"/>
      <c r="BG385" s="3"/>
      <c r="BH385" s="3"/>
    </row>
    <row r="386" ht="14.25" customHeight="1"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BE386" s="3"/>
      <c r="BF386" s="3"/>
      <c r="BG386" s="3"/>
      <c r="BH386" s="3"/>
    </row>
    <row r="387" ht="14.25" customHeight="1"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BE387" s="3"/>
      <c r="BF387" s="3"/>
      <c r="BG387" s="3"/>
      <c r="BH387" s="3"/>
    </row>
    <row r="388" ht="14.25" customHeight="1"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BE388" s="3"/>
      <c r="BF388" s="3"/>
      <c r="BG388" s="3"/>
      <c r="BH388" s="3"/>
    </row>
    <row r="389" ht="14.25" customHeight="1"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BE389" s="3"/>
      <c r="BF389" s="3"/>
      <c r="BG389" s="3"/>
      <c r="BH389" s="3"/>
    </row>
    <row r="390" ht="14.25" customHeight="1"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BE390" s="3"/>
      <c r="BF390" s="3"/>
      <c r="BG390" s="3"/>
      <c r="BH390" s="3"/>
    </row>
    <row r="391" ht="14.25" customHeight="1"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BE391" s="3"/>
      <c r="BF391" s="3"/>
      <c r="BG391" s="3"/>
      <c r="BH391" s="3"/>
    </row>
    <row r="392" ht="14.25" customHeight="1"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BE392" s="3"/>
      <c r="BF392" s="3"/>
      <c r="BG392" s="3"/>
      <c r="BH392" s="3"/>
    </row>
    <row r="393" ht="14.25" customHeight="1"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BE393" s="3"/>
      <c r="BF393" s="3"/>
      <c r="BG393" s="3"/>
      <c r="BH393" s="3"/>
    </row>
    <row r="394" ht="14.25" customHeight="1"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BE394" s="3"/>
      <c r="BF394" s="3"/>
      <c r="BG394" s="3"/>
      <c r="BH394" s="3"/>
    </row>
    <row r="395" ht="14.25" customHeight="1"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BE395" s="3"/>
      <c r="BF395" s="3"/>
      <c r="BG395" s="3"/>
      <c r="BH395" s="3"/>
    </row>
    <row r="396" ht="14.25" customHeight="1"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BE396" s="3"/>
      <c r="BF396" s="3"/>
      <c r="BG396" s="3"/>
      <c r="BH396" s="3"/>
    </row>
    <row r="397" ht="14.25" customHeight="1"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BE397" s="3"/>
      <c r="BF397" s="3"/>
      <c r="BG397" s="3"/>
      <c r="BH397" s="3"/>
    </row>
    <row r="398" ht="14.25" customHeight="1"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BE398" s="3"/>
      <c r="BF398" s="3"/>
      <c r="BG398" s="3"/>
      <c r="BH398" s="3"/>
    </row>
    <row r="399" ht="14.25" customHeight="1"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BE399" s="3"/>
      <c r="BF399" s="3"/>
      <c r="BG399" s="3"/>
      <c r="BH399" s="3"/>
    </row>
    <row r="400" ht="14.25" customHeight="1"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BE400" s="3"/>
      <c r="BF400" s="3"/>
      <c r="BG400" s="3"/>
      <c r="BH400" s="3"/>
    </row>
    <row r="401" ht="14.25" customHeight="1"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BE401" s="3"/>
      <c r="BF401" s="3"/>
      <c r="BG401" s="3"/>
      <c r="BH401" s="3"/>
    </row>
    <row r="402" ht="14.25" customHeight="1"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BE402" s="3"/>
      <c r="BF402" s="3"/>
      <c r="BG402" s="3"/>
      <c r="BH402" s="3"/>
    </row>
    <row r="403" ht="14.25" customHeight="1"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BE403" s="3"/>
      <c r="BF403" s="3"/>
      <c r="BG403" s="3"/>
      <c r="BH403" s="3"/>
    </row>
    <row r="404" ht="14.25" customHeight="1"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BE404" s="3"/>
      <c r="BF404" s="3"/>
      <c r="BG404" s="3"/>
      <c r="BH404" s="3"/>
    </row>
    <row r="405" ht="14.25" customHeight="1"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BE405" s="3"/>
      <c r="BF405" s="3"/>
      <c r="BG405" s="3"/>
      <c r="BH405" s="3"/>
    </row>
    <row r="406" ht="14.25" customHeight="1"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BE406" s="3"/>
      <c r="BF406" s="3"/>
      <c r="BG406" s="3"/>
      <c r="BH406" s="3"/>
    </row>
    <row r="407" ht="14.25" customHeight="1"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BE407" s="3"/>
      <c r="BF407" s="3"/>
      <c r="BG407" s="3"/>
      <c r="BH407" s="3"/>
    </row>
    <row r="408" ht="14.25" customHeight="1"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BE408" s="3"/>
      <c r="BF408" s="3"/>
      <c r="BG408" s="3"/>
      <c r="BH408" s="3"/>
    </row>
    <row r="409" ht="14.25" customHeight="1"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BE409" s="3"/>
      <c r="BF409" s="3"/>
      <c r="BG409" s="3"/>
      <c r="BH409" s="3"/>
    </row>
    <row r="410" ht="14.25" customHeight="1"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BE410" s="3"/>
      <c r="BF410" s="3"/>
      <c r="BG410" s="3"/>
      <c r="BH410" s="3"/>
    </row>
    <row r="411" ht="14.25" customHeight="1"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BE411" s="3"/>
      <c r="BF411" s="3"/>
      <c r="BG411" s="3"/>
      <c r="BH411" s="3"/>
    </row>
    <row r="412" ht="14.25" customHeight="1"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BE412" s="3"/>
      <c r="BF412" s="3"/>
      <c r="BG412" s="3"/>
      <c r="BH412" s="3"/>
    </row>
    <row r="413" ht="14.25" customHeight="1"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BE413" s="3"/>
      <c r="BF413" s="3"/>
      <c r="BG413" s="3"/>
      <c r="BH413" s="3"/>
    </row>
    <row r="414" ht="14.25" customHeight="1"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BE414" s="3"/>
      <c r="BF414" s="3"/>
      <c r="BG414" s="3"/>
      <c r="BH414" s="3"/>
    </row>
    <row r="415" ht="14.25" customHeight="1"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BE415" s="3"/>
      <c r="BF415" s="3"/>
      <c r="BG415" s="3"/>
      <c r="BH415" s="3"/>
    </row>
    <row r="416" ht="14.25" customHeight="1"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BE416" s="3"/>
      <c r="BF416" s="3"/>
      <c r="BG416" s="3"/>
      <c r="BH416" s="3"/>
    </row>
    <row r="417" ht="14.25" customHeight="1"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BE417" s="3"/>
      <c r="BF417" s="3"/>
      <c r="BG417" s="3"/>
      <c r="BH417" s="3"/>
    </row>
    <row r="418" ht="14.25" customHeight="1"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BE418" s="3"/>
      <c r="BF418" s="3"/>
      <c r="BG418" s="3"/>
      <c r="BH418" s="3"/>
    </row>
    <row r="419" ht="14.25" customHeight="1"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BE419" s="3"/>
      <c r="BF419" s="3"/>
      <c r="BG419" s="3"/>
      <c r="BH419" s="3"/>
    </row>
    <row r="420" ht="14.25" customHeight="1"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BE420" s="3"/>
      <c r="BF420" s="3"/>
      <c r="BG420" s="3"/>
      <c r="BH420" s="3"/>
    </row>
    <row r="421" ht="14.25" customHeight="1"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BE421" s="3"/>
      <c r="BF421" s="3"/>
      <c r="BG421" s="3"/>
      <c r="BH421" s="3"/>
    </row>
    <row r="422" ht="14.25" customHeight="1"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BE422" s="3"/>
      <c r="BF422" s="3"/>
      <c r="BG422" s="3"/>
      <c r="BH422" s="3"/>
    </row>
    <row r="423" ht="14.25" customHeight="1"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BE423" s="3"/>
      <c r="BF423" s="3"/>
      <c r="BG423" s="3"/>
      <c r="BH423" s="3"/>
    </row>
    <row r="424" ht="14.25" customHeight="1"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BE424" s="3"/>
      <c r="BF424" s="3"/>
      <c r="BG424" s="3"/>
      <c r="BH424" s="3"/>
    </row>
    <row r="425" ht="14.25" customHeight="1"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BE425" s="3"/>
      <c r="BF425" s="3"/>
      <c r="BG425" s="3"/>
      <c r="BH425" s="3"/>
    </row>
    <row r="426" ht="14.25" customHeight="1"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BE426" s="3"/>
      <c r="BF426" s="3"/>
      <c r="BG426" s="3"/>
      <c r="BH426" s="3"/>
    </row>
    <row r="427" ht="14.25" customHeight="1"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BE427" s="3"/>
      <c r="BF427" s="3"/>
      <c r="BG427" s="3"/>
      <c r="BH427" s="3"/>
    </row>
    <row r="428" ht="14.25" customHeight="1"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BE428" s="3"/>
      <c r="BF428" s="3"/>
      <c r="BG428" s="3"/>
      <c r="BH428" s="3"/>
    </row>
    <row r="429" ht="14.25" customHeight="1"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BE429" s="3"/>
      <c r="BF429" s="3"/>
      <c r="BG429" s="3"/>
      <c r="BH429" s="3"/>
    </row>
    <row r="430" ht="14.25" customHeight="1"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BE430" s="3"/>
      <c r="BF430" s="3"/>
      <c r="BG430" s="3"/>
      <c r="BH430" s="3"/>
    </row>
    <row r="431" ht="14.25" customHeight="1"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BE431" s="3"/>
      <c r="BF431" s="3"/>
      <c r="BG431" s="3"/>
      <c r="BH431" s="3"/>
    </row>
    <row r="432" ht="14.25" customHeight="1"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BE432" s="3"/>
      <c r="BF432" s="3"/>
      <c r="BG432" s="3"/>
      <c r="BH432" s="3"/>
    </row>
    <row r="433" ht="14.25" customHeight="1"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BE433" s="3"/>
      <c r="BF433" s="3"/>
      <c r="BG433" s="3"/>
      <c r="BH433" s="3"/>
    </row>
    <row r="434" ht="14.25" customHeight="1"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BE434" s="3"/>
      <c r="BF434" s="3"/>
      <c r="BG434" s="3"/>
      <c r="BH434" s="3"/>
    </row>
    <row r="435" ht="14.25" customHeight="1"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BE435" s="3"/>
      <c r="BF435" s="3"/>
      <c r="BG435" s="3"/>
      <c r="BH435" s="3"/>
    </row>
    <row r="436" ht="14.25" customHeight="1"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BE436" s="3"/>
      <c r="BF436" s="3"/>
      <c r="BG436" s="3"/>
      <c r="BH436" s="3"/>
    </row>
    <row r="437" ht="14.25" customHeight="1"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BE437" s="3"/>
      <c r="BF437" s="3"/>
      <c r="BG437" s="3"/>
      <c r="BH437" s="3"/>
    </row>
    <row r="438" ht="14.25" customHeight="1"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BE438" s="3"/>
      <c r="BF438" s="3"/>
      <c r="BG438" s="3"/>
      <c r="BH438" s="3"/>
    </row>
    <row r="439" ht="14.25" customHeight="1"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BE439" s="3"/>
      <c r="BF439" s="3"/>
      <c r="BG439" s="3"/>
      <c r="BH439" s="3"/>
    </row>
    <row r="440" ht="14.25" customHeight="1"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BE440" s="3"/>
      <c r="BF440" s="3"/>
      <c r="BG440" s="3"/>
      <c r="BH440" s="3"/>
    </row>
    <row r="441" ht="14.25" customHeight="1"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BE441" s="3"/>
      <c r="BF441" s="3"/>
      <c r="BG441" s="3"/>
      <c r="BH441" s="3"/>
    </row>
    <row r="442" ht="14.25" customHeight="1"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BE442" s="3"/>
      <c r="BF442" s="3"/>
      <c r="BG442" s="3"/>
      <c r="BH442" s="3"/>
    </row>
    <row r="443" ht="14.25" customHeight="1"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BE443" s="3"/>
      <c r="BF443" s="3"/>
      <c r="BG443" s="3"/>
      <c r="BH443" s="3"/>
    </row>
    <row r="444" ht="14.25" customHeight="1"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BE444" s="3"/>
      <c r="BF444" s="3"/>
      <c r="BG444" s="3"/>
      <c r="BH444" s="3"/>
    </row>
    <row r="445" ht="14.25" customHeight="1"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BE445" s="3"/>
      <c r="BF445" s="3"/>
      <c r="BG445" s="3"/>
      <c r="BH445" s="3"/>
    </row>
    <row r="446" ht="14.25" customHeight="1"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BE446" s="3"/>
      <c r="BF446" s="3"/>
      <c r="BG446" s="3"/>
      <c r="BH446" s="3"/>
    </row>
    <row r="447" ht="14.25" customHeight="1"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BE447" s="3"/>
      <c r="BF447" s="3"/>
      <c r="BG447" s="3"/>
      <c r="BH447" s="3"/>
    </row>
    <row r="448" ht="14.25" customHeight="1"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BE448" s="3"/>
      <c r="BF448" s="3"/>
      <c r="BG448" s="3"/>
      <c r="BH448" s="3"/>
    </row>
    <row r="449" ht="14.25" customHeight="1"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BE449" s="3"/>
      <c r="BF449" s="3"/>
      <c r="BG449" s="3"/>
      <c r="BH449" s="3"/>
    </row>
    <row r="450" ht="14.25" customHeight="1"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BE450" s="3"/>
      <c r="BF450" s="3"/>
      <c r="BG450" s="3"/>
      <c r="BH450" s="3"/>
    </row>
    <row r="451" ht="14.25" customHeight="1"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BE451" s="3"/>
      <c r="BF451" s="3"/>
      <c r="BG451" s="3"/>
      <c r="BH451" s="3"/>
    </row>
    <row r="452" ht="14.25" customHeight="1"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BE452" s="3"/>
      <c r="BF452" s="3"/>
      <c r="BG452" s="3"/>
      <c r="BH452" s="3"/>
    </row>
    <row r="453" ht="14.25" customHeight="1"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BE453" s="3"/>
      <c r="BF453" s="3"/>
      <c r="BG453" s="3"/>
      <c r="BH453" s="3"/>
    </row>
    <row r="454" ht="14.25" customHeight="1"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BE454" s="3"/>
      <c r="BF454" s="3"/>
      <c r="BG454" s="3"/>
      <c r="BH454" s="3"/>
    </row>
    <row r="455" ht="14.25" customHeight="1"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BE455" s="3"/>
      <c r="BF455" s="3"/>
      <c r="BG455" s="3"/>
      <c r="BH455" s="3"/>
    </row>
    <row r="456" ht="14.25" customHeight="1"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BE456" s="3"/>
      <c r="BF456" s="3"/>
      <c r="BG456" s="3"/>
      <c r="BH456" s="3"/>
    </row>
    <row r="457" ht="14.25" customHeight="1"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BE457" s="3"/>
      <c r="BF457" s="3"/>
      <c r="BG457" s="3"/>
      <c r="BH457" s="3"/>
    </row>
    <row r="458" ht="14.25" customHeight="1"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BE458" s="3"/>
      <c r="BF458" s="3"/>
      <c r="BG458" s="3"/>
      <c r="BH458" s="3"/>
    </row>
    <row r="459" ht="14.25" customHeight="1"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BE459" s="3"/>
      <c r="BF459" s="3"/>
      <c r="BG459" s="3"/>
      <c r="BH459" s="3"/>
    </row>
    <row r="460" ht="14.25" customHeight="1"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BE460" s="3"/>
      <c r="BF460" s="3"/>
      <c r="BG460" s="3"/>
      <c r="BH460" s="3"/>
    </row>
    <row r="461" ht="14.25" customHeight="1"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BE461" s="3"/>
      <c r="BF461" s="3"/>
      <c r="BG461" s="3"/>
      <c r="BH461" s="3"/>
    </row>
    <row r="462" ht="14.25" customHeight="1"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BE462" s="3"/>
      <c r="BF462" s="3"/>
      <c r="BG462" s="3"/>
      <c r="BH462" s="3"/>
    </row>
    <row r="463" ht="14.25" customHeight="1"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BE463" s="3"/>
      <c r="BF463" s="3"/>
      <c r="BG463" s="3"/>
      <c r="BH463" s="3"/>
    </row>
    <row r="464" ht="14.25" customHeight="1"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BE464" s="3"/>
      <c r="BF464" s="3"/>
      <c r="BG464" s="3"/>
      <c r="BH464" s="3"/>
    </row>
    <row r="465" ht="14.25" customHeight="1"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BE465" s="3"/>
      <c r="BF465" s="3"/>
      <c r="BG465" s="3"/>
      <c r="BH465" s="3"/>
    </row>
    <row r="466" ht="14.25" customHeight="1"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BE466" s="3"/>
      <c r="BF466" s="3"/>
      <c r="BG466" s="3"/>
      <c r="BH466" s="3"/>
    </row>
    <row r="467" ht="14.25" customHeight="1"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BE467" s="3"/>
      <c r="BF467" s="3"/>
      <c r="BG467" s="3"/>
      <c r="BH467" s="3"/>
    </row>
    <row r="468" ht="14.25" customHeight="1"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BE468" s="3"/>
      <c r="BF468" s="3"/>
      <c r="BG468" s="3"/>
      <c r="BH468" s="3"/>
    </row>
    <row r="469" ht="14.25" customHeight="1"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BE469" s="3"/>
      <c r="BF469" s="3"/>
      <c r="BG469" s="3"/>
      <c r="BH469" s="3"/>
    </row>
    <row r="470" ht="14.25" customHeight="1"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BE470" s="3"/>
      <c r="BF470" s="3"/>
      <c r="BG470" s="3"/>
      <c r="BH470" s="3"/>
    </row>
    <row r="471" ht="14.25" customHeight="1"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BE471" s="3"/>
      <c r="BF471" s="3"/>
      <c r="BG471" s="3"/>
      <c r="BH471" s="3"/>
    </row>
    <row r="472" ht="14.25" customHeight="1"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BE472" s="3"/>
      <c r="BF472" s="3"/>
      <c r="BG472" s="3"/>
      <c r="BH472" s="3"/>
    </row>
    <row r="473" ht="14.25" customHeight="1"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BE473" s="3"/>
      <c r="BF473" s="3"/>
      <c r="BG473" s="3"/>
      <c r="BH473" s="3"/>
    </row>
    <row r="474" ht="14.25" customHeight="1"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BE474" s="3"/>
      <c r="BF474" s="3"/>
      <c r="BG474" s="3"/>
      <c r="BH474" s="3"/>
    </row>
    <row r="475" ht="14.25" customHeight="1"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BE475" s="3"/>
      <c r="BF475" s="3"/>
      <c r="BG475" s="3"/>
      <c r="BH475" s="3"/>
    </row>
    <row r="476" ht="14.25" customHeight="1"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BE476" s="3"/>
      <c r="BF476" s="3"/>
      <c r="BG476" s="3"/>
      <c r="BH476" s="3"/>
    </row>
    <row r="477" ht="14.25" customHeight="1"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BE477" s="3"/>
      <c r="BF477" s="3"/>
      <c r="BG477" s="3"/>
      <c r="BH477" s="3"/>
    </row>
    <row r="478" ht="14.25" customHeight="1"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BE478" s="3"/>
      <c r="BF478" s="3"/>
      <c r="BG478" s="3"/>
      <c r="BH478" s="3"/>
    </row>
    <row r="479" ht="14.25" customHeight="1"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BE479" s="3"/>
      <c r="BF479" s="3"/>
      <c r="BG479" s="3"/>
      <c r="BH479" s="3"/>
    </row>
    <row r="480" ht="14.25" customHeight="1"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BE480" s="3"/>
      <c r="BF480" s="3"/>
      <c r="BG480" s="3"/>
      <c r="BH480" s="3"/>
    </row>
    <row r="481" ht="14.25" customHeight="1"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BE481" s="3"/>
      <c r="BF481" s="3"/>
      <c r="BG481" s="3"/>
      <c r="BH481" s="3"/>
    </row>
    <row r="482" ht="14.25" customHeight="1"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BE482" s="3"/>
      <c r="BF482" s="3"/>
      <c r="BG482" s="3"/>
      <c r="BH482" s="3"/>
    </row>
    <row r="483" ht="14.25" customHeight="1"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BE483" s="3"/>
      <c r="BF483" s="3"/>
      <c r="BG483" s="3"/>
      <c r="BH483" s="3"/>
    </row>
    <row r="484" ht="14.25" customHeight="1"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BE484" s="3"/>
      <c r="BF484" s="3"/>
      <c r="BG484" s="3"/>
      <c r="BH484" s="3"/>
    </row>
    <row r="485" ht="14.25" customHeight="1"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BE485" s="3"/>
      <c r="BF485" s="3"/>
      <c r="BG485" s="3"/>
      <c r="BH485" s="3"/>
    </row>
    <row r="486" ht="14.25" customHeight="1"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BE486" s="3"/>
      <c r="BF486" s="3"/>
      <c r="BG486" s="3"/>
      <c r="BH486" s="3"/>
    </row>
    <row r="487" ht="14.25" customHeight="1"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BE487" s="3"/>
      <c r="BF487" s="3"/>
      <c r="BG487" s="3"/>
      <c r="BH487" s="3"/>
    </row>
    <row r="488" ht="14.25" customHeight="1"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BE488" s="3"/>
      <c r="BF488" s="3"/>
      <c r="BG488" s="3"/>
      <c r="BH488" s="3"/>
    </row>
    <row r="489" ht="14.25" customHeight="1"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BE489" s="3"/>
      <c r="BF489" s="3"/>
      <c r="BG489" s="3"/>
      <c r="BH489" s="3"/>
    </row>
    <row r="490" ht="14.25" customHeight="1"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BE490" s="3"/>
      <c r="BF490" s="3"/>
      <c r="BG490" s="3"/>
      <c r="BH490" s="3"/>
    </row>
    <row r="491" ht="14.25" customHeight="1"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BE491" s="3"/>
      <c r="BF491" s="3"/>
      <c r="BG491" s="3"/>
      <c r="BH491" s="3"/>
    </row>
    <row r="492" ht="14.25" customHeight="1"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BE492" s="3"/>
      <c r="BF492" s="3"/>
      <c r="BG492" s="3"/>
      <c r="BH492" s="3"/>
    </row>
    <row r="493" ht="14.25" customHeight="1"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BE493" s="3"/>
      <c r="BF493" s="3"/>
      <c r="BG493" s="3"/>
      <c r="BH493" s="3"/>
    </row>
    <row r="494" ht="14.25" customHeight="1"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BE494" s="3"/>
      <c r="BF494" s="3"/>
      <c r="BG494" s="3"/>
      <c r="BH494" s="3"/>
    </row>
    <row r="495" ht="14.25" customHeight="1"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BE495" s="3"/>
      <c r="BF495" s="3"/>
      <c r="BG495" s="3"/>
      <c r="BH495" s="3"/>
    </row>
    <row r="496" ht="14.25" customHeight="1"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BE496" s="3"/>
      <c r="BF496" s="3"/>
      <c r="BG496" s="3"/>
      <c r="BH496" s="3"/>
    </row>
    <row r="497" ht="14.25" customHeight="1"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BE497" s="3"/>
      <c r="BF497" s="3"/>
      <c r="BG497" s="3"/>
      <c r="BH497" s="3"/>
    </row>
    <row r="498" ht="14.25" customHeight="1"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BE498" s="3"/>
      <c r="BF498" s="3"/>
      <c r="BG498" s="3"/>
      <c r="BH498" s="3"/>
    </row>
    <row r="499" ht="14.25" customHeight="1"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BE499" s="3"/>
      <c r="BF499" s="3"/>
      <c r="BG499" s="3"/>
      <c r="BH499" s="3"/>
    </row>
    <row r="500" ht="14.25" customHeight="1"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BE500" s="3"/>
      <c r="BF500" s="3"/>
      <c r="BG500" s="3"/>
      <c r="BH500" s="3"/>
    </row>
    <row r="501" ht="14.25" customHeight="1"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BE501" s="3"/>
      <c r="BF501" s="3"/>
      <c r="BG501" s="3"/>
      <c r="BH501" s="3"/>
    </row>
    <row r="502" ht="14.25" customHeight="1"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BE502" s="3"/>
      <c r="BF502" s="3"/>
      <c r="BG502" s="3"/>
      <c r="BH502" s="3"/>
    </row>
    <row r="503" ht="14.25" customHeight="1"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BE503" s="3"/>
      <c r="BF503" s="3"/>
      <c r="BG503" s="3"/>
      <c r="BH503" s="3"/>
    </row>
    <row r="504" ht="14.25" customHeight="1"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BE504" s="3"/>
      <c r="BF504" s="3"/>
      <c r="BG504" s="3"/>
      <c r="BH504" s="3"/>
    </row>
    <row r="505" ht="14.25" customHeight="1"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BE505" s="3"/>
      <c r="BF505" s="3"/>
      <c r="BG505" s="3"/>
      <c r="BH505" s="3"/>
    </row>
    <row r="506" ht="14.25" customHeight="1"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BE506" s="3"/>
      <c r="BF506" s="3"/>
      <c r="BG506" s="3"/>
      <c r="BH506" s="3"/>
    </row>
    <row r="507" ht="14.25" customHeight="1"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BE507" s="3"/>
      <c r="BF507" s="3"/>
      <c r="BG507" s="3"/>
      <c r="BH507" s="3"/>
    </row>
    <row r="508" ht="14.25" customHeight="1"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BE508" s="3"/>
      <c r="BF508" s="3"/>
      <c r="BG508" s="3"/>
      <c r="BH508" s="3"/>
    </row>
    <row r="509" ht="14.25" customHeight="1"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BE509" s="3"/>
      <c r="BF509" s="3"/>
      <c r="BG509" s="3"/>
      <c r="BH509" s="3"/>
    </row>
    <row r="510" ht="14.25" customHeight="1"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BE510" s="3"/>
      <c r="BF510" s="3"/>
      <c r="BG510" s="3"/>
      <c r="BH510" s="3"/>
    </row>
    <row r="511" ht="14.25" customHeight="1"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BE511" s="3"/>
      <c r="BF511" s="3"/>
      <c r="BG511" s="3"/>
      <c r="BH511" s="3"/>
    </row>
    <row r="512" ht="14.25" customHeight="1"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BE512" s="3"/>
      <c r="BF512" s="3"/>
      <c r="BG512" s="3"/>
      <c r="BH512" s="3"/>
    </row>
    <row r="513" ht="14.25" customHeight="1"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BE513" s="3"/>
      <c r="BF513" s="3"/>
      <c r="BG513" s="3"/>
      <c r="BH513" s="3"/>
    </row>
    <row r="514" ht="14.25" customHeight="1"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BE514" s="3"/>
      <c r="BF514" s="3"/>
      <c r="BG514" s="3"/>
      <c r="BH514" s="3"/>
    </row>
    <row r="515" ht="14.25" customHeight="1"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BE515" s="3"/>
      <c r="BF515" s="3"/>
      <c r="BG515" s="3"/>
      <c r="BH515" s="3"/>
    </row>
    <row r="516" ht="14.25" customHeight="1"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BE516" s="3"/>
      <c r="BF516" s="3"/>
      <c r="BG516" s="3"/>
      <c r="BH516" s="3"/>
    </row>
    <row r="517" ht="14.25" customHeight="1"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BE517" s="3"/>
      <c r="BF517" s="3"/>
      <c r="BG517" s="3"/>
      <c r="BH517" s="3"/>
    </row>
    <row r="518" ht="14.25" customHeight="1"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BE518" s="3"/>
      <c r="BF518" s="3"/>
      <c r="BG518" s="3"/>
      <c r="BH518" s="3"/>
    </row>
    <row r="519" ht="14.25" customHeight="1"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BE519" s="3"/>
      <c r="BF519" s="3"/>
      <c r="BG519" s="3"/>
      <c r="BH519" s="3"/>
    </row>
    <row r="520" ht="14.25" customHeight="1"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BE520" s="3"/>
      <c r="BF520" s="3"/>
      <c r="BG520" s="3"/>
      <c r="BH520" s="3"/>
    </row>
    <row r="521" ht="14.25" customHeight="1"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BE521" s="3"/>
      <c r="BF521" s="3"/>
      <c r="BG521" s="3"/>
      <c r="BH521" s="3"/>
    </row>
    <row r="522" ht="14.25" customHeight="1"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BE522" s="3"/>
      <c r="BF522" s="3"/>
      <c r="BG522" s="3"/>
      <c r="BH522" s="3"/>
    </row>
    <row r="523" ht="14.25" customHeight="1"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BE523" s="3"/>
      <c r="BF523" s="3"/>
      <c r="BG523" s="3"/>
      <c r="BH523" s="3"/>
    </row>
    <row r="524" ht="14.25" customHeight="1"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BE524" s="3"/>
      <c r="BF524" s="3"/>
      <c r="BG524" s="3"/>
      <c r="BH524" s="3"/>
    </row>
    <row r="525" ht="14.25" customHeight="1"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BE525" s="3"/>
      <c r="BF525" s="3"/>
      <c r="BG525" s="3"/>
      <c r="BH525" s="3"/>
    </row>
    <row r="526" ht="14.25" customHeight="1"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BE526" s="3"/>
      <c r="BF526" s="3"/>
      <c r="BG526" s="3"/>
      <c r="BH526" s="3"/>
    </row>
    <row r="527" ht="14.25" customHeight="1"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BE527" s="3"/>
      <c r="BF527" s="3"/>
      <c r="BG527" s="3"/>
      <c r="BH527" s="3"/>
    </row>
    <row r="528" ht="14.25" customHeight="1"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BE528" s="3"/>
      <c r="BF528" s="3"/>
      <c r="BG528" s="3"/>
      <c r="BH528" s="3"/>
    </row>
    <row r="529" ht="14.25" customHeight="1"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BE529" s="3"/>
      <c r="BF529" s="3"/>
      <c r="BG529" s="3"/>
      <c r="BH529" s="3"/>
    </row>
    <row r="530" ht="14.25" customHeight="1"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BE530" s="3"/>
      <c r="BF530" s="3"/>
      <c r="BG530" s="3"/>
      <c r="BH530" s="3"/>
    </row>
    <row r="531" ht="14.25" customHeight="1"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BE531" s="3"/>
      <c r="BF531" s="3"/>
      <c r="BG531" s="3"/>
      <c r="BH531" s="3"/>
    </row>
    <row r="532" ht="14.25" customHeight="1"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BE532" s="3"/>
      <c r="BF532" s="3"/>
      <c r="BG532" s="3"/>
      <c r="BH532" s="3"/>
    </row>
    <row r="533" ht="14.25" customHeight="1"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BE533" s="3"/>
      <c r="BF533" s="3"/>
      <c r="BG533" s="3"/>
      <c r="BH533" s="3"/>
    </row>
    <row r="534" ht="14.25" customHeight="1"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BE534" s="3"/>
      <c r="BF534" s="3"/>
      <c r="BG534" s="3"/>
      <c r="BH534" s="3"/>
    </row>
    <row r="535" ht="14.25" customHeight="1"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BE535" s="3"/>
      <c r="BF535" s="3"/>
      <c r="BG535" s="3"/>
      <c r="BH535" s="3"/>
    </row>
    <row r="536" ht="14.25" customHeight="1"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BE536" s="3"/>
      <c r="BF536" s="3"/>
      <c r="BG536" s="3"/>
      <c r="BH536" s="3"/>
    </row>
    <row r="537" ht="14.25" customHeight="1"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BE537" s="3"/>
      <c r="BF537" s="3"/>
      <c r="BG537" s="3"/>
      <c r="BH537" s="3"/>
    </row>
    <row r="538" ht="14.25" customHeight="1"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BE538" s="3"/>
      <c r="BF538" s="3"/>
      <c r="BG538" s="3"/>
      <c r="BH538" s="3"/>
    </row>
    <row r="539" ht="14.25" customHeight="1"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BE539" s="3"/>
      <c r="BF539" s="3"/>
      <c r="BG539" s="3"/>
      <c r="BH539" s="3"/>
    </row>
    <row r="540" ht="14.25" customHeight="1"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BE540" s="3"/>
      <c r="BF540" s="3"/>
      <c r="BG540" s="3"/>
      <c r="BH540" s="3"/>
    </row>
    <row r="541" ht="14.25" customHeight="1"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BE541" s="3"/>
      <c r="BF541" s="3"/>
      <c r="BG541" s="3"/>
      <c r="BH541" s="3"/>
    </row>
    <row r="542" ht="14.25" customHeight="1"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BE542" s="3"/>
      <c r="BF542" s="3"/>
      <c r="BG542" s="3"/>
      <c r="BH542" s="3"/>
    </row>
    <row r="543" ht="14.25" customHeight="1"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BE543" s="3"/>
      <c r="BF543" s="3"/>
      <c r="BG543" s="3"/>
      <c r="BH543" s="3"/>
    </row>
    <row r="544" ht="14.25" customHeight="1"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BE544" s="3"/>
      <c r="BF544" s="3"/>
      <c r="BG544" s="3"/>
      <c r="BH544" s="3"/>
    </row>
    <row r="545" ht="14.25" customHeight="1"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BE545" s="3"/>
      <c r="BF545" s="3"/>
      <c r="BG545" s="3"/>
      <c r="BH545" s="3"/>
    </row>
    <row r="546" ht="14.25" customHeight="1"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BE546" s="3"/>
      <c r="BF546" s="3"/>
      <c r="BG546" s="3"/>
      <c r="BH546" s="3"/>
    </row>
    <row r="547" ht="14.25" customHeight="1"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BE547" s="3"/>
      <c r="BF547" s="3"/>
      <c r="BG547" s="3"/>
      <c r="BH547" s="3"/>
    </row>
    <row r="548" ht="14.25" customHeight="1"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BE548" s="3"/>
      <c r="BF548" s="3"/>
      <c r="BG548" s="3"/>
      <c r="BH548" s="3"/>
    </row>
    <row r="549" ht="14.25" customHeight="1"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BE549" s="3"/>
      <c r="BF549" s="3"/>
      <c r="BG549" s="3"/>
      <c r="BH549" s="3"/>
    </row>
    <row r="550" ht="14.25" customHeight="1"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BE550" s="3"/>
      <c r="BF550" s="3"/>
      <c r="BG550" s="3"/>
      <c r="BH550" s="3"/>
    </row>
    <row r="551" ht="14.25" customHeight="1"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BE551" s="3"/>
      <c r="BF551" s="3"/>
      <c r="BG551" s="3"/>
      <c r="BH551" s="3"/>
    </row>
    <row r="552" ht="14.25" customHeight="1"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BE552" s="3"/>
      <c r="BF552" s="3"/>
      <c r="BG552" s="3"/>
      <c r="BH552" s="3"/>
    </row>
    <row r="553" ht="14.25" customHeight="1"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BE553" s="3"/>
      <c r="BF553" s="3"/>
      <c r="BG553" s="3"/>
      <c r="BH553" s="3"/>
    </row>
    <row r="554" ht="14.25" customHeight="1"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BE554" s="3"/>
      <c r="BF554" s="3"/>
      <c r="BG554" s="3"/>
      <c r="BH554" s="3"/>
    </row>
    <row r="555" ht="14.25" customHeight="1"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BE555" s="3"/>
      <c r="BF555" s="3"/>
      <c r="BG555" s="3"/>
      <c r="BH555" s="3"/>
    </row>
    <row r="556" ht="14.25" customHeight="1"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BE556" s="3"/>
      <c r="BF556" s="3"/>
      <c r="BG556" s="3"/>
      <c r="BH556" s="3"/>
    </row>
    <row r="557" ht="14.25" customHeight="1"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BE557" s="3"/>
      <c r="BF557" s="3"/>
      <c r="BG557" s="3"/>
      <c r="BH557" s="3"/>
    </row>
    <row r="558" ht="14.25" customHeight="1"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BE558" s="3"/>
      <c r="BF558" s="3"/>
      <c r="BG558" s="3"/>
      <c r="BH558" s="3"/>
    </row>
    <row r="559" ht="14.25" customHeight="1"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BE559" s="3"/>
      <c r="BF559" s="3"/>
      <c r="BG559" s="3"/>
      <c r="BH559" s="3"/>
    </row>
    <row r="560" ht="14.25" customHeight="1"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BE560" s="3"/>
      <c r="BF560" s="3"/>
      <c r="BG560" s="3"/>
      <c r="BH560" s="3"/>
    </row>
    <row r="561" ht="14.25" customHeight="1"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BE561" s="3"/>
      <c r="BF561" s="3"/>
      <c r="BG561" s="3"/>
      <c r="BH561" s="3"/>
    </row>
    <row r="562" ht="14.25" customHeight="1"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BE562" s="3"/>
      <c r="BF562" s="3"/>
      <c r="BG562" s="3"/>
      <c r="BH562" s="3"/>
    </row>
    <row r="563" ht="14.25" customHeight="1"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BE563" s="3"/>
      <c r="BF563" s="3"/>
      <c r="BG563" s="3"/>
      <c r="BH563" s="3"/>
    </row>
    <row r="564" ht="14.25" customHeight="1"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BE564" s="3"/>
      <c r="BF564" s="3"/>
      <c r="BG564" s="3"/>
      <c r="BH564" s="3"/>
    </row>
    <row r="565" ht="14.25" customHeight="1"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BE565" s="3"/>
      <c r="BF565" s="3"/>
      <c r="BG565" s="3"/>
      <c r="BH565" s="3"/>
    </row>
    <row r="566" ht="14.25" customHeight="1"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BE566" s="3"/>
      <c r="BF566" s="3"/>
      <c r="BG566" s="3"/>
      <c r="BH566" s="3"/>
    </row>
    <row r="567" ht="14.25" customHeight="1"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BE567" s="3"/>
      <c r="BF567" s="3"/>
      <c r="BG567" s="3"/>
      <c r="BH567" s="3"/>
    </row>
    <row r="568" ht="14.25" customHeight="1"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BE568" s="3"/>
      <c r="BF568" s="3"/>
      <c r="BG568" s="3"/>
      <c r="BH568" s="3"/>
    </row>
    <row r="569" ht="14.25" customHeight="1"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BE569" s="3"/>
      <c r="BF569" s="3"/>
      <c r="BG569" s="3"/>
      <c r="BH569" s="3"/>
    </row>
    <row r="570" ht="14.25" customHeight="1"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BE570" s="3"/>
      <c r="BF570" s="3"/>
      <c r="BG570" s="3"/>
      <c r="BH570" s="3"/>
    </row>
    <row r="571" ht="14.25" customHeight="1"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BE571" s="3"/>
      <c r="BF571" s="3"/>
      <c r="BG571" s="3"/>
      <c r="BH571" s="3"/>
    </row>
    <row r="572" ht="14.25" customHeight="1"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BE572" s="3"/>
      <c r="BF572" s="3"/>
      <c r="BG572" s="3"/>
      <c r="BH572" s="3"/>
    </row>
    <row r="573" ht="14.25" customHeight="1"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BE573" s="3"/>
      <c r="BF573" s="3"/>
      <c r="BG573" s="3"/>
      <c r="BH573" s="3"/>
    </row>
    <row r="574" ht="14.25" customHeight="1"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BE574" s="3"/>
      <c r="BF574" s="3"/>
      <c r="BG574" s="3"/>
      <c r="BH574" s="3"/>
    </row>
    <row r="575" ht="14.25" customHeight="1"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BE575" s="3"/>
      <c r="BF575" s="3"/>
      <c r="BG575" s="3"/>
      <c r="BH575" s="3"/>
    </row>
    <row r="576" ht="14.25" customHeight="1"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BE576" s="3"/>
      <c r="BF576" s="3"/>
      <c r="BG576" s="3"/>
      <c r="BH576" s="3"/>
    </row>
    <row r="577" ht="14.25" customHeight="1"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BE577" s="3"/>
      <c r="BF577" s="3"/>
      <c r="BG577" s="3"/>
      <c r="BH577" s="3"/>
    </row>
    <row r="578" ht="14.25" customHeight="1"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BE578" s="3"/>
      <c r="BF578" s="3"/>
      <c r="BG578" s="3"/>
      <c r="BH578" s="3"/>
    </row>
    <row r="579" ht="14.25" customHeight="1"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BE579" s="3"/>
      <c r="BF579" s="3"/>
      <c r="BG579" s="3"/>
      <c r="BH579" s="3"/>
    </row>
    <row r="580" ht="14.25" customHeight="1"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BE580" s="3"/>
      <c r="BF580" s="3"/>
      <c r="BG580" s="3"/>
      <c r="BH580" s="3"/>
    </row>
    <row r="581" ht="14.25" customHeight="1"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BE581" s="3"/>
      <c r="BF581" s="3"/>
      <c r="BG581" s="3"/>
      <c r="BH581" s="3"/>
    </row>
    <row r="582" ht="14.25" customHeight="1"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BE582" s="3"/>
      <c r="BF582" s="3"/>
      <c r="BG582" s="3"/>
      <c r="BH582" s="3"/>
    </row>
    <row r="583" ht="14.25" customHeight="1"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BE583" s="3"/>
      <c r="BF583" s="3"/>
      <c r="BG583" s="3"/>
      <c r="BH583" s="3"/>
    </row>
    <row r="584" ht="14.25" customHeight="1"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BE584" s="3"/>
      <c r="BF584" s="3"/>
      <c r="BG584" s="3"/>
      <c r="BH584" s="3"/>
    </row>
    <row r="585" ht="14.25" customHeight="1"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BE585" s="3"/>
      <c r="BF585" s="3"/>
      <c r="BG585" s="3"/>
      <c r="BH585" s="3"/>
    </row>
    <row r="586" ht="14.25" customHeight="1"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BE586" s="3"/>
      <c r="BF586" s="3"/>
      <c r="BG586" s="3"/>
      <c r="BH586" s="3"/>
    </row>
    <row r="587" ht="14.25" customHeight="1"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BE587" s="3"/>
      <c r="BF587" s="3"/>
      <c r="BG587" s="3"/>
      <c r="BH587" s="3"/>
    </row>
    <row r="588" ht="14.25" customHeight="1"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BE588" s="3"/>
      <c r="BF588" s="3"/>
      <c r="BG588" s="3"/>
      <c r="BH588" s="3"/>
    </row>
    <row r="589" ht="14.25" customHeight="1"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BE589" s="3"/>
      <c r="BF589" s="3"/>
      <c r="BG589" s="3"/>
      <c r="BH589" s="3"/>
    </row>
    <row r="590" ht="14.25" customHeight="1"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BE590" s="3"/>
      <c r="BF590" s="3"/>
      <c r="BG590" s="3"/>
      <c r="BH590" s="3"/>
    </row>
    <row r="591" ht="14.25" customHeight="1"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BE591" s="3"/>
      <c r="BF591" s="3"/>
      <c r="BG591" s="3"/>
      <c r="BH591" s="3"/>
    </row>
    <row r="592" ht="14.25" customHeight="1"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BE592" s="3"/>
      <c r="BF592" s="3"/>
      <c r="BG592" s="3"/>
      <c r="BH592" s="3"/>
    </row>
    <row r="593" ht="14.25" customHeight="1"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BE593" s="3"/>
      <c r="BF593" s="3"/>
      <c r="BG593" s="3"/>
      <c r="BH593" s="3"/>
    </row>
    <row r="594" ht="14.25" customHeight="1"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BE594" s="3"/>
      <c r="BF594" s="3"/>
      <c r="BG594" s="3"/>
      <c r="BH594" s="3"/>
    </row>
    <row r="595" ht="14.25" customHeight="1"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BE595" s="3"/>
      <c r="BF595" s="3"/>
      <c r="BG595" s="3"/>
      <c r="BH595" s="3"/>
    </row>
    <row r="596" ht="14.25" customHeight="1"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BE596" s="3"/>
      <c r="BF596" s="3"/>
      <c r="BG596" s="3"/>
      <c r="BH596" s="3"/>
    </row>
    <row r="597" ht="14.25" customHeight="1"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BE597" s="3"/>
      <c r="BF597" s="3"/>
      <c r="BG597" s="3"/>
      <c r="BH597" s="3"/>
    </row>
    <row r="598" ht="14.25" customHeight="1"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BE598" s="3"/>
      <c r="BF598" s="3"/>
      <c r="BG598" s="3"/>
      <c r="BH598" s="3"/>
    </row>
    <row r="599" ht="14.25" customHeight="1"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BE599" s="3"/>
      <c r="BF599" s="3"/>
      <c r="BG599" s="3"/>
      <c r="BH599" s="3"/>
    </row>
    <row r="600" ht="14.25" customHeight="1"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BE600" s="3"/>
      <c r="BF600" s="3"/>
      <c r="BG600" s="3"/>
      <c r="BH600" s="3"/>
    </row>
    <row r="601" ht="14.25" customHeight="1"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BE601" s="3"/>
      <c r="BF601" s="3"/>
      <c r="BG601" s="3"/>
      <c r="BH601" s="3"/>
    </row>
    <row r="602" ht="14.25" customHeight="1"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BE602" s="3"/>
      <c r="BF602" s="3"/>
      <c r="BG602" s="3"/>
      <c r="BH602" s="3"/>
    </row>
    <row r="603" ht="14.25" customHeight="1"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BE603" s="3"/>
      <c r="BF603" s="3"/>
      <c r="BG603" s="3"/>
      <c r="BH603" s="3"/>
    </row>
    <row r="604" ht="14.25" customHeight="1"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BE604" s="3"/>
      <c r="BF604" s="3"/>
      <c r="BG604" s="3"/>
      <c r="BH604" s="3"/>
    </row>
    <row r="605" ht="14.25" customHeight="1"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BE605" s="3"/>
      <c r="BF605" s="3"/>
      <c r="BG605" s="3"/>
      <c r="BH605" s="3"/>
    </row>
    <row r="606" ht="14.25" customHeight="1"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BE606" s="3"/>
      <c r="BF606" s="3"/>
      <c r="BG606" s="3"/>
      <c r="BH606" s="3"/>
    </row>
    <row r="607" ht="14.25" customHeight="1"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BE607" s="3"/>
      <c r="BF607" s="3"/>
      <c r="BG607" s="3"/>
      <c r="BH607" s="3"/>
    </row>
    <row r="608" ht="14.25" customHeight="1"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BE608" s="3"/>
      <c r="BF608" s="3"/>
      <c r="BG608" s="3"/>
      <c r="BH608" s="3"/>
    </row>
    <row r="609" ht="14.25" customHeight="1"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BE609" s="3"/>
      <c r="BF609" s="3"/>
      <c r="BG609" s="3"/>
      <c r="BH609" s="3"/>
    </row>
    <row r="610" ht="14.25" customHeight="1"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BE610" s="3"/>
      <c r="BF610" s="3"/>
      <c r="BG610" s="3"/>
      <c r="BH610" s="3"/>
    </row>
    <row r="611" ht="14.25" customHeight="1"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BE611" s="3"/>
      <c r="BF611" s="3"/>
      <c r="BG611" s="3"/>
      <c r="BH611" s="3"/>
    </row>
    <row r="612" ht="14.25" customHeight="1"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BE612" s="3"/>
      <c r="BF612" s="3"/>
      <c r="BG612" s="3"/>
      <c r="BH612" s="3"/>
    </row>
    <row r="613" ht="14.25" customHeight="1"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BE613" s="3"/>
      <c r="BF613" s="3"/>
      <c r="BG613" s="3"/>
      <c r="BH613" s="3"/>
    </row>
    <row r="614" ht="14.25" customHeight="1"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BE614" s="3"/>
      <c r="BF614" s="3"/>
      <c r="BG614" s="3"/>
      <c r="BH614" s="3"/>
    </row>
    <row r="615" ht="14.25" customHeight="1"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BE615" s="3"/>
      <c r="BF615" s="3"/>
      <c r="BG615" s="3"/>
      <c r="BH615" s="3"/>
    </row>
    <row r="616" ht="14.25" customHeight="1"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BE616" s="3"/>
      <c r="BF616" s="3"/>
      <c r="BG616" s="3"/>
      <c r="BH616" s="3"/>
    </row>
    <row r="617" ht="14.25" customHeight="1"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BE617" s="3"/>
      <c r="BF617" s="3"/>
      <c r="BG617" s="3"/>
      <c r="BH617" s="3"/>
    </row>
    <row r="618" ht="14.25" customHeight="1"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BE618" s="3"/>
      <c r="BF618" s="3"/>
      <c r="BG618" s="3"/>
      <c r="BH618" s="3"/>
    </row>
    <row r="619" ht="14.25" customHeight="1"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BE619" s="3"/>
      <c r="BF619" s="3"/>
      <c r="BG619" s="3"/>
      <c r="BH619" s="3"/>
    </row>
    <row r="620" ht="14.25" customHeight="1"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BE620" s="3"/>
      <c r="BF620" s="3"/>
      <c r="BG620" s="3"/>
      <c r="BH620" s="3"/>
    </row>
    <row r="621" ht="14.25" customHeight="1"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BE621" s="3"/>
      <c r="BF621" s="3"/>
      <c r="BG621" s="3"/>
      <c r="BH621" s="3"/>
    </row>
    <row r="622" ht="14.25" customHeight="1"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BE622" s="3"/>
      <c r="BF622" s="3"/>
      <c r="BG622" s="3"/>
      <c r="BH622" s="3"/>
    </row>
    <row r="623" ht="14.25" customHeight="1"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BE623" s="3"/>
      <c r="BF623" s="3"/>
      <c r="BG623" s="3"/>
      <c r="BH623" s="3"/>
    </row>
    <row r="624" ht="14.25" customHeight="1"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BE624" s="3"/>
      <c r="BF624" s="3"/>
      <c r="BG624" s="3"/>
      <c r="BH624" s="3"/>
    </row>
    <row r="625" ht="14.25" customHeight="1"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BE625" s="3"/>
      <c r="BF625" s="3"/>
      <c r="BG625" s="3"/>
      <c r="BH625" s="3"/>
    </row>
    <row r="626" ht="14.25" customHeight="1"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BE626" s="3"/>
      <c r="BF626" s="3"/>
      <c r="BG626" s="3"/>
      <c r="BH626" s="3"/>
    </row>
    <row r="627" ht="14.25" customHeight="1"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BE627" s="3"/>
      <c r="BF627" s="3"/>
      <c r="BG627" s="3"/>
      <c r="BH627" s="3"/>
    </row>
    <row r="628" ht="14.25" customHeight="1"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BE628" s="3"/>
      <c r="BF628" s="3"/>
      <c r="BG628" s="3"/>
      <c r="BH628" s="3"/>
    </row>
    <row r="629" ht="14.25" customHeight="1"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BE629" s="3"/>
      <c r="BF629" s="3"/>
      <c r="BG629" s="3"/>
      <c r="BH629" s="3"/>
    </row>
    <row r="630" ht="14.25" customHeight="1"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BE630" s="3"/>
      <c r="BF630" s="3"/>
      <c r="BG630" s="3"/>
      <c r="BH630" s="3"/>
    </row>
    <row r="631" ht="14.25" customHeight="1"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BE631" s="3"/>
      <c r="BF631" s="3"/>
      <c r="BG631" s="3"/>
      <c r="BH631" s="3"/>
    </row>
    <row r="632" ht="14.25" customHeight="1"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BE632" s="3"/>
      <c r="BF632" s="3"/>
      <c r="BG632" s="3"/>
      <c r="BH632" s="3"/>
    </row>
    <row r="633" ht="14.25" customHeight="1"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BE633" s="3"/>
      <c r="BF633" s="3"/>
      <c r="BG633" s="3"/>
      <c r="BH633" s="3"/>
    </row>
    <row r="634" ht="14.25" customHeight="1"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BE634" s="3"/>
      <c r="BF634" s="3"/>
      <c r="BG634" s="3"/>
      <c r="BH634" s="3"/>
    </row>
    <row r="635" ht="14.25" customHeight="1"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BE635" s="3"/>
      <c r="BF635" s="3"/>
      <c r="BG635" s="3"/>
      <c r="BH635" s="3"/>
    </row>
    <row r="636" ht="14.25" customHeight="1"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BE636" s="3"/>
      <c r="BF636" s="3"/>
      <c r="BG636" s="3"/>
      <c r="BH636" s="3"/>
    </row>
    <row r="637" ht="14.25" customHeight="1"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BE637" s="3"/>
      <c r="BF637" s="3"/>
      <c r="BG637" s="3"/>
      <c r="BH637" s="3"/>
    </row>
    <row r="638" ht="14.25" customHeight="1"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BE638" s="3"/>
      <c r="BF638" s="3"/>
      <c r="BG638" s="3"/>
      <c r="BH638" s="3"/>
    </row>
    <row r="639" ht="14.25" customHeight="1"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BE639" s="3"/>
      <c r="BF639" s="3"/>
      <c r="BG639" s="3"/>
      <c r="BH639" s="3"/>
    </row>
    <row r="640" ht="14.25" customHeight="1"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BE640" s="3"/>
      <c r="BF640" s="3"/>
      <c r="BG640" s="3"/>
      <c r="BH640" s="3"/>
    </row>
    <row r="641" ht="14.25" customHeight="1"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BE641" s="3"/>
      <c r="BF641" s="3"/>
      <c r="BG641" s="3"/>
      <c r="BH641" s="3"/>
    </row>
    <row r="642" ht="14.25" customHeight="1"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BE642" s="3"/>
      <c r="BF642" s="3"/>
      <c r="BG642" s="3"/>
      <c r="BH642" s="3"/>
    </row>
    <row r="643" ht="14.25" customHeight="1"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BE643" s="3"/>
      <c r="BF643" s="3"/>
      <c r="BG643" s="3"/>
      <c r="BH643" s="3"/>
    </row>
    <row r="644" ht="14.25" customHeight="1"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BE644" s="3"/>
      <c r="BF644" s="3"/>
      <c r="BG644" s="3"/>
      <c r="BH644" s="3"/>
    </row>
    <row r="645" ht="14.25" customHeight="1"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BE645" s="3"/>
      <c r="BF645" s="3"/>
      <c r="BG645" s="3"/>
      <c r="BH645" s="3"/>
    </row>
    <row r="646" ht="14.25" customHeight="1"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BE646" s="3"/>
      <c r="BF646" s="3"/>
      <c r="BG646" s="3"/>
      <c r="BH646" s="3"/>
    </row>
    <row r="647" ht="14.25" customHeight="1"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BE647" s="3"/>
      <c r="BF647" s="3"/>
      <c r="BG647" s="3"/>
      <c r="BH647" s="3"/>
    </row>
    <row r="648" ht="14.25" customHeight="1"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BE648" s="3"/>
      <c r="BF648" s="3"/>
      <c r="BG648" s="3"/>
      <c r="BH648" s="3"/>
    </row>
    <row r="649" ht="14.25" customHeight="1"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BE649" s="3"/>
      <c r="BF649" s="3"/>
      <c r="BG649" s="3"/>
      <c r="BH649" s="3"/>
    </row>
    <row r="650" ht="14.25" customHeight="1"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BE650" s="3"/>
      <c r="BF650" s="3"/>
      <c r="BG650" s="3"/>
      <c r="BH650" s="3"/>
    </row>
    <row r="651" ht="14.25" customHeight="1"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BE651" s="3"/>
      <c r="BF651" s="3"/>
      <c r="BG651" s="3"/>
      <c r="BH651" s="3"/>
    </row>
    <row r="652" ht="14.25" customHeight="1"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BE652" s="3"/>
      <c r="BF652" s="3"/>
      <c r="BG652" s="3"/>
      <c r="BH652" s="3"/>
    </row>
    <row r="653" ht="14.25" customHeight="1"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BE653" s="3"/>
      <c r="BF653" s="3"/>
      <c r="BG653" s="3"/>
      <c r="BH653" s="3"/>
    </row>
    <row r="654" ht="14.25" customHeight="1"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BE654" s="3"/>
      <c r="BF654" s="3"/>
      <c r="BG654" s="3"/>
      <c r="BH654" s="3"/>
    </row>
    <row r="655" ht="14.25" customHeight="1"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BE655" s="3"/>
      <c r="BF655" s="3"/>
      <c r="BG655" s="3"/>
      <c r="BH655" s="3"/>
    </row>
    <row r="656" ht="14.25" customHeight="1"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BE656" s="3"/>
      <c r="BF656" s="3"/>
      <c r="BG656" s="3"/>
      <c r="BH656" s="3"/>
    </row>
    <row r="657" ht="14.25" customHeight="1"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BE657" s="3"/>
      <c r="BF657" s="3"/>
      <c r="BG657" s="3"/>
      <c r="BH657" s="3"/>
    </row>
    <row r="658" ht="14.25" customHeight="1"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BE658" s="3"/>
      <c r="BF658" s="3"/>
      <c r="BG658" s="3"/>
      <c r="BH658" s="3"/>
    </row>
    <row r="659" ht="14.25" customHeight="1"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BE659" s="3"/>
      <c r="BF659" s="3"/>
      <c r="BG659" s="3"/>
      <c r="BH659" s="3"/>
    </row>
    <row r="660" ht="14.25" customHeight="1"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BE660" s="3"/>
      <c r="BF660" s="3"/>
      <c r="BG660" s="3"/>
      <c r="BH660" s="3"/>
    </row>
    <row r="661" ht="14.25" customHeight="1"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BE661" s="3"/>
      <c r="BF661" s="3"/>
      <c r="BG661" s="3"/>
      <c r="BH661" s="3"/>
    </row>
    <row r="662" ht="14.25" customHeight="1"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BE662" s="3"/>
      <c r="BF662" s="3"/>
      <c r="BG662" s="3"/>
      <c r="BH662" s="3"/>
    </row>
    <row r="663" ht="14.25" customHeight="1"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BE663" s="3"/>
      <c r="BF663" s="3"/>
      <c r="BG663" s="3"/>
      <c r="BH663" s="3"/>
    </row>
    <row r="664" ht="14.25" customHeight="1"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BE664" s="3"/>
      <c r="BF664" s="3"/>
      <c r="BG664" s="3"/>
      <c r="BH664" s="3"/>
    </row>
    <row r="665" ht="14.25" customHeight="1"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BE665" s="3"/>
      <c r="BF665" s="3"/>
      <c r="BG665" s="3"/>
      <c r="BH665" s="3"/>
    </row>
    <row r="666" ht="14.25" customHeight="1"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BE666" s="3"/>
      <c r="BF666" s="3"/>
      <c r="BG666" s="3"/>
      <c r="BH666" s="3"/>
    </row>
    <row r="667" ht="14.25" customHeight="1"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BE667" s="3"/>
      <c r="BF667" s="3"/>
      <c r="BG667" s="3"/>
      <c r="BH667" s="3"/>
    </row>
    <row r="668" ht="14.25" customHeight="1"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BE668" s="3"/>
      <c r="BF668" s="3"/>
      <c r="BG668" s="3"/>
      <c r="BH668" s="3"/>
    </row>
    <row r="669" ht="14.25" customHeight="1"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BE669" s="3"/>
      <c r="BF669" s="3"/>
      <c r="BG669" s="3"/>
      <c r="BH669" s="3"/>
    </row>
    <row r="670" ht="14.25" customHeight="1"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BE670" s="3"/>
      <c r="BF670" s="3"/>
      <c r="BG670" s="3"/>
      <c r="BH670" s="3"/>
    </row>
    <row r="671" ht="14.25" customHeight="1"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BE671" s="3"/>
      <c r="BF671" s="3"/>
      <c r="BG671" s="3"/>
      <c r="BH671" s="3"/>
    </row>
    <row r="672" ht="14.25" customHeight="1"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BE672" s="3"/>
      <c r="BF672" s="3"/>
      <c r="BG672" s="3"/>
      <c r="BH672" s="3"/>
    </row>
    <row r="673" ht="14.25" customHeight="1"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BE673" s="3"/>
      <c r="BF673" s="3"/>
      <c r="BG673" s="3"/>
      <c r="BH673" s="3"/>
    </row>
    <row r="674" ht="14.25" customHeight="1"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BE674" s="3"/>
      <c r="BF674" s="3"/>
      <c r="BG674" s="3"/>
      <c r="BH674" s="3"/>
    </row>
    <row r="675" ht="14.25" customHeight="1"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BE675" s="3"/>
      <c r="BF675" s="3"/>
      <c r="BG675" s="3"/>
      <c r="BH675" s="3"/>
    </row>
    <row r="676" ht="14.25" customHeight="1"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BE676" s="3"/>
      <c r="BF676" s="3"/>
      <c r="BG676" s="3"/>
      <c r="BH676" s="3"/>
    </row>
    <row r="677" ht="14.25" customHeight="1"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BE677" s="3"/>
      <c r="BF677" s="3"/>
      <c r="BG677" s="3"/>
      <c r="BH677" s="3"/>
    </row>
    <row r="678" ht="14.25" customHeight="1"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BE678" s="3"/>
      <c r="BF678" s="3"/>
      <c r="BG678" s="3"/>
      <c r="BH678" s="3"/>
    </row>
    <row r="679" ht="14.25" customHeight="1"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BE679" s="3"/>
      <c r="BF679" s="3"/>
      <c r="BG679" s="3"/>
      <c r="BH679" s="3"/>
    </row>
    <row r="680" ht="14.25" customHeight="1"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BE680" s="3"/>
      <c r="BF680" s="3"/>
      <c r="BG680" s="3"/>
      <c r="BH680" s="3"/>
    </row>
    <row r="681" ht="14.25" customHeight="1"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BE681" s="3"/>
      <c r="BF681" s="3"/>
      <c r="BG681" s="3"/>
      <c r="BH681" s="3"/>
    </row>
    <row r="682" ht="14.25" customHeight="1"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BE682" s="3"/>
      <c r="BF682" s="3"/>
      <c r="BG682" s="3"/>
      <c r="BH682" s="3"/>
    </row>
    <row r="683" ht="14.25" customHeight="1"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BE683" s="3"/>
      <c r="BF683" s="3"/>
      <c r="BG683" s="3"/>
      <c r="BH683" s="3"/>
    </row>
    <row r="684" ht="14.25" customHeight="1"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BE684" s="3"/>
      <c r="BF684" s="3"/>
      <c r="BG684" s="3"/>
      <c r="BH684" s="3"/>
    </row>
    <row r="685" ht="14.25" customHeight="1"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BE685" s="3"/>
      <c r="BF685" s="3"/>
      <c r="BG685" s="3"/>
      <c r="BH685" s="3"/>
    </row>
    <row r="686" ht="14.25" customHeight="1"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BE686" s="3"/>
      <c r="BF686" s="3"/>
      <c r="BG686" s="3"/>
      <c r="BH686" s="3"/>
    </row>
    <row r="687" ht="14.25" customHeight="1"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BE687" s="3"/>
      <c r="BF687" s="3"/>
      <c r="BG687" s="3"/>
      <c r="BH687" s="3"/>
    </row>
    <row r="688" ht="14.25" customHeight="1"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BE688" s="3"/>
      <c r="BF688" s="3"/>
      <c r="BG688" s="3"/>
      <c r="BH688" s="3"/>
    </row>
    <row r="689" ht="14.25" customHeight="1"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BE689" s="3"/>
      <c r="BF689" s="3"/>
      <c r="BG689" s="3"/>
      <c r="BH689" s="3"/>
    </row>
    <row r="690" ht="14.25" customHeight="1"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BE690" s="3"/>
      <c r="BF690" s="3"/>
      <c r="BG690" s="3"/>
      <c r="BH690" s="3"/>
    </row>
    <row r="691" ht="14.25" customHeight="1"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BE691" s="3"/>
      <c r="BF691" s="3"/>
      <c r="BG691" s="3"/>
      <c r="BH691" s="3"/>
    </row>
    <row r="692" ht="14.25" customHeight="1"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BE692" s="3"/>
      <c r="BF692" s="3"/>
      <c r="BG692" s="3"/>
      <c r="BH692" s="3"/>
    </row>
    <row r="693" ht="14.25" customHeight="1"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BE693" s="3"/>
      <c r="BF693" s="3"/>
      <c r="BG693" s="3"/>
      <c r="BH693" s="3"/>
    </row>
    <row r="694" ht="14.25" customHeight="1"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BE694" s="3"/>
      <c r="BF694" s="3"/>
      <c r="BG694" s="3"/>
      <c r="BH694" s="3"/>
    </row>
    <row r="695" ht="14.25" customHeight="1"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BE695" s="3"/>
      <c r="BF695" s="3"/>
      <c r="BG695" s="3"/>
      <c r="BH695" s="3"/>
    </row>
    <row r="696" ht="14.25" customHeight="1"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BE696" s="3"/>
      <c r="BF696" s="3"/>
      <c r="BG696" s="3"/>
      <c r="BH696" s="3"/>
    </row>
    <row r="697" ht="14.25" customHeight="1"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BE697" s="3"/>
      <c r="BF697" s="3"/>
      <c r="BG697" s="3"/>
      <c r="BH697" s="3"/>
    </row>
    <row r="698" ht="14.25" customHeight="1"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BE698" s="3"/>
      <c r="BF698" s="3"/>
      <c r="BG698" s="3"/>
      <c r="BH698" s="3"/>
    </row>
    <row r="699" ht="14.25" customHeight="1"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BE699" s="3"/>
      <c r="BF699" s="3"/>
      <c r="BG699" s="3"/>
      <c r="BH699" s="3"/>
    </row>
    <row r="700" ht="14.25" customHeight="1"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BE700" s="3"/>
      <c r="BF700" s="3"/>
      <c r="BG700" s="3"/>
      <c r="BH700" s="3"/>
    </row>
    <row r="701" ht="14.25" customHeight="1"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BE701" s="3"/>
      <c r="BF701" s="3"/>
      <c r="BG701" s="3"/>
      <c r="BH701" s="3"/>
    </row>
    <row r="702" ht="14.25" customHeight="1"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BE702" s="3"/>
      <c r="BF702" s="3"/>
      <c r="BG702" s="3"/>
      <c r="BH702" s="3"/>
    </row>
    <row r="703" ht="14.25" customHeight="1"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BE703" s="3"/>
      <c r="BF703" s="3"/>
      <c r="BG703" s="3"/>
      <c r="BH703" s="3"/>
    </row>
    <row r="704" ht="14.25" customHeight="1"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BE704" s="3"/>
      <c r="BF704" s="3"/>
      <c r="BG704" s="3"/>
      <c r="BH704" s="3"/>
    </row>
    <row r="705" ht="14.25" customHeight="1"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BE705" s="3"/>
      <c r="BF705" s="3"/>
      <c r="BG705" s="3"/>
      <c r="BH705" s="3"/>
    </row>
    <row r="706" ht="14.25" customHeight="1"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BE706" s="3"/>
      <c r="BF706" s="3"/>
      <c r="BG706" s="3"/>
      <c r="BH706" s="3"/>
    </row>
    <row r="707" ht="14.25" customHeight="1"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BE707" s="3"/>
      <c r="BF707" s="3"/>
      <c r="BG707" s="3"/>
      <c r="BH707" s="3"/>
    </row>
    <row r="708" ht="14.25" customHeight="1"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BE708" s="3"/>
      <c r="BF708" s="3"/>
      <c r="BG708" s="3"/>
      <c r="BH708" s="3"/>
    </row>
    <row r="709" ht="14.25" customHeight="1"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BE709" s="3"/>
      <c r="BF709" s="3"/>
      <c r="BG709" s="3"/>
      <c r="BH709" s="3"/>
    </row>
    <row r="710" ht="14.25" customHeight="1"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BE710" s="3"/>
      <c r="BF710" s="3"/>
      <c r="BG710" s="3"/>
      <c r="BH710" s="3"/>
    </row>
    <row r="711" ht="14.25" customHeight="1"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BE711" s="3"/>
      <c r="BF711" s="3"/>
      <c r="BG711" s="3"/>
      <c r="BH711" s="3"/>
    </row>
    <row r="712" ht="14.25" customHeight="1"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BE712" s="3"/>
      <c r="BF712" s="3"/>
      <c r="BG712" s="3"/>
      <c r="BH712" s="3"/>
    </row>
    <row r="713" ht="14.25" customHeight="1"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BE713" s="3"/>
      <c r="BF713" s="3"/>
      <c r="BG713" s="3"/>
      <c r="BH713" s="3"/>
    </row>
    <row r="714" ht="14.25" customHeight="1"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BE714" s="3"/>
      <c r="BF714" s="3"/>
      <c r="BG714" s="3"/>
      <c r="BH714" s="3"/>
    </row>
    <row r="715" ht="14.25" customHeight="1"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BE715" s="3"/>
      <c r="BF715" s="3"/>
      <c r="BG715" s="3"/>
      <c r="BH715" s="3"/>
    </row>
    <row r="716" ht="14.25" customHeight="1"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BE716" s="3"/>
      <c r="BF716" s="3"/>
      <c r="BG716" s="3"/>
      <c r="BH716" s="3"/>
    </row>
    <row r="717" ht="14.25" customHeight="1"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BE717" s="3"/>
      <c r="BF717" s="3"/>
      <c r="BG717" s="3"/>
      <c r="BH717" s="3"/>
    </row>
    <row r="718" ht="14.25" customHeight="1"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BE718" s="3"/>
      <c r="BF718" s="3"/>
      <c r="BG718" s="3"/>
      <c r="BH718" s="3"/>
    </row>
    <row r="719" ht="14.25" customHeight="1"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BE719" s="3"/>
      <c r="BF719" s="3"/>
      <c r="BG719" s="3"/>
      <c r="BH719" s="3"/>
    </row>
    <row r="720" ht="14.25" customHeight="1"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BE720" s="3"/>
      <c r="BF720" s="3"/>
      <c r="BG720" s="3"/>
      <c r="BH720" s="3"/>
    </row>
    <row r="721" ht="14.25" customHeight="1"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BE721" s="3"/>
      <c r="BF721" s="3"/>
      <c r="BG721" s="3"/>
      <c r="BH721" s="3"/>
    </row>
    <row r="722" ht="14.25" customHeight="1"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BE722" s="3"/>
      <c r="BF722" s="3"/>
      <c r="BG722" s="3"/>
      <c r="BH722" s="3"/>
    </row>
    <row r="723" ht="14.25" customHeight="1"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BE723" s="3"/>
      <c r="BF723" s="3"/>
      <c r="BG723" s="3"/>
      <c r="BH723" s="3"/>
    </row>
    <row r="724" ht="14.25" customHeight="1"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BE724" s="3"/>
      <c r="BF724" s="3"/>
      <c r="BG724" s="3"/>
      <c r="BH724" s="3"/>
    </row>
    <row r="725" ht="14.25" customHeight="1"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BE725" s="3"/>
      <c r="BF725" s="3"/>
      <c r="BG725" s="3"/>
      <c r="BH725" s="3"/>
    </row>
    <row r="726" ht="14.25" customHeight="1"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BE726" s="3"/>
      <c r="BF726" s="3"/>
      <c r="BG726" s="3"/>
      <c r="BH726" s="3"/>
    </row>
    <row r="727" ht="14.25" customHeight="1"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BE727" s="3"/>
      <c r="BF727" s="3"/>
      <c r="BG727" s="3"/>
      <c r="BH727" s="3"/>
    </row>
    <row r="728" ht="14.25" customHeight="1"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BE728" s="3"/>
      <c r="BF728" s="3"/>
      <c r="BG728" s="3"/>
      <c r="BH728" s="3"/>
    </row>
    <row r="729" ht="14.25" customHeight="1"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BE729" s="3"/>
      <c r="BF729" s="3"/>
      <c r="BG729" s="3"/>
      <c r="BH729" s="3"/>
    </row>
    <row r="730" ht="14.25" customHeight="1"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BE730" s="3"/>
      <c r="BF730" s="3"/>
      <c r="BG730" s="3"/>
      <c r="BH730" s="3"/>
    </row>
    <row r="731" ht="14.25" customHeight="1"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BE731" s="3"/>
      <c r="BF731" s="3"/>
      <c r="BG731" s="3"/>
      <c r="BH731" s="3"/>
    </row>
    <row r="732" ht="14.25" customHeight="1"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BE732" s="3"/>
      <c r="BF732" s="3"/>
      <c r="BG732" s="3"/>
      <c r="BH732" s="3"/>
    </row>
    <row r="733" ht="14.25" customHeight="1"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BE733" s="3"/>
      <c r="BF733" s="3"/>
      <c r="BG733" s="3"/>
      <c r="BH733" s="3"/>
    </row>
    <row r="734" ht="14.25" customHeight="1"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BE734" s="3"/>
      <c r="BF734" s="3"/>
      <c r="BG734" s="3"/>
      <c r="BH734" s="3"/>
    </row>
    <row r="735" ht="14.25" customHeight="1"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BE735" s="3"/>
      <c r="BF735" s="3"/>
      <c r="BG735" s="3"/>
      <c r="BH735" s="3"/>
    </row>
    <row r="736" ht="14.25" customHeight="1"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BE736" s="3"/>
      <c r="BF736" s="3"/>
      <c r="BG736" s="3"/>
      <c r="BH736" s="3"/>
    </row>
    <row r="737" ht="14.25" customHeight="1"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BE737" s="3"/>
      <c r="BF737" s="3"/>
      <c r="BG737" s="3"/>
      <c r="BH737" s="3"/>
    </row>
    <row r="738" ht="14.25" customHeight="1"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BE738" s="3"/>
      <c r="BF738" s="3"/>
      <c r="BG738" s="3"/>
      <c r="BH738" s="3"/>
    </row>
    <row r="739" ht="14.25" customHeight="1"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BE739" s="3"/>
      <c r="BF739" s="3"/>
      <c r="BG739" s="3"/>
      <c r="BH739" s="3"/>
    </row>
    <row r="740" ht="14.25" customHeight="1"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BE740" s="3"/>
      <c r="BF740" s="3"/>
      <c r="BG740" s="3"/>
      <c r="BH740" s="3"/>
    </row>
    <row r="741" ht="14.25" customHeight="1"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BE741" s="3"/>
      <c r="BF741" s="3"/>
      <c r="BG741" s="3"/>
      <c r="BH741" s="3"/>
    </row>
    <row r="742" ht="14.25" customHeight="1"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BE742" s="3"/>
      <c r="BF742" s="3"/>
      <c r="BG742" s="3"/>
      <c r="BH742" s="3"/>
    </row>
    <row r="743" ht="14.25" customHeight="1"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BE743" s="3"/>
      <c r="BF743" s="3"/>
      <c r="BG743" s="3"/>
      <c r="BH743" s="3"/>
    </row>
    <row r="744" ht="14.25" customHeight="1"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BE744" s="3"/>
      <c r="BF744" s="3"/>
      <c r="BG744" s="3"/>
      <c r="BH744" s="3"/>
    </row>
    <row r="745" ht="14.25" customHeight="1"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BE745" s="3"/>
      <c r="BF745" s="3"/>
      <c r="BG745" s="3"/>
      <c r="BH745" s="3"/>
    </row>
    <row r="746" ht="14.25" customHeight="1"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BE746" s="3"/>
      <c r="BF746" s="3"/>
      <c r="BG746" s="3"/>
      <c r="BH746" s="3"/>
    </row>
    <row r="747" ht="14.25" customHeight="1"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BE747" s="3"/>
      <c r="BF747" s="3"/>
      <c r="BG747" s="3"/>
      <c r="BH747" s="3"/>
    </row>
    <row r="748" ht="14.25" customHeight="1"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BE748" s="3"/>
      <c r="BF748" s="3"/>
      <c r="BG748" s="3"/>
      <c r="BH748" s="3"/>
    </row>
    <row r="749" ht="14.25" customHeight="1"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BE749" s="3"/>
      <c r="BF749" s="3"/>
      <c r="BG749" s="3"/>
      <c r="BH749" s="3"/>
    </row>
    <row r="750" ht="14.25" customHeight="1"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BE750" s="3"/>
      <c r="BF750" s="3"/>
      <c r="BG750" s="3"/>
      <c r="BH750" s="3"/>
    </row>
    <row r="751" ht="14.25" customHeight="1"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BE751" s="3"/>
      <c r="BF751" s="3"/>
      <c r="BG751" s="3"/>
      <c r="BH751" s="3"/>
    </row>
    <row r="752" ht="14.25" customHeight="1"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BE752" s="3"/>
      <c r="BF752" s="3"/>
      <c r="BG752" s="3"/>
      <c r="BH752" s="3"/>
    </row>
    <row r="753" ht="14.25" customHeight="1"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BE753" s="3"/>
      <c r="BF753" s="3"/>
      <c r="BG753" s="3"/>
      <c r="BH753" s="3"/>
    </row>
    <row r="754" ht="14.25" customHeight="1"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BE754" s="3"/>
      <c r="BF754" s="3"/>
      <c r="BG754" s="3"/>
      <c r="BH754" s="3"/>
    </row>
    <row r="755" ht="14.25" customHeight="1"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BE755" s="3"/>
      <c r="BF755" s="3"/>
      <c r="BG755" s="3"/>
      <c r="BH755" s="3"/>
    </row>
    <row r="756" ht="14.25" customHeight="1"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BE756" s="3"/>
      <c r="BF756" s="3"/>
      <c r="BG756" s="3"/>
      <c r="BH756" s="3"/>
    </row>
    <row r="757" ht="14.25" customHeight="1"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BE757" s="3"/>
      <c r="BF757" s="3"/>
      <c r="BG757" s="3"/>
      <c r="BH757" s="3"/>
    </row>
    <row r="758" ht="14.25" customHeight="1"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BE758" s="3"/>
      <c r="BF758" s="3"/>
      <c r="BG758" s="3"/>
      <c r="BH758" s="3"/>
    </row>
    <row r="759" ht="14.25" customHeight="1"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BE759" s="3"/>
      <c r="BF759" s="3"/>
      <c r="BG759" s="3"/>
      <c r="BH759" s="3"/>
    </row>
    <row r="760" ht="14.25" customHeight="1"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BE760" s="3"/>
      <c r="BF760" s="3"/>
      <c r="BG760" s="3"/>
      <c r="BH760" s="3"/>
    </row>
    <row r="761" ht="14.25" customHeight="1"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BE761" s="3"/>
      <c r="BF761" s="3"/>
      <c r="BG761" s="3"/>
      <c r="BH761" s="3"/>
    </row>
    <row r="762" ht="14.25" customHeight="1"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BE762" s="3"/>
      <c r="BF762" s="3"/>
      <c r="BG762" s="3"/>
      <c r="BH762" s="3"/>
    </row>
    <row r="763" ht="14.25" customHeight="1"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BE763" s="3"/>
      <c r="BF763" s="3"/>
      <c r="BG763" s="3"/>
      <c r="BH763" s="3"/>
    </row>
    <row r="764" ht="14.25" customHeight="1"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BE764" s="3"/>
      <c r="BF764" s="3"/>
      <c r="BG764" s="3"/>
      <c r="BH764" s="3"/>
    </row>
    <row r="765" ht="14.25" customHeight="1"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BE765" s="3"/>
      <c r="BF765" s="3"/>
      <c r="BG765" s="3"/>
      <c r="BH765" s="3"/>
    </row>
    <row r="766" ht="14.25" customHeight="1"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BE766" s="3"/>
      <c r="BF766" s="3"/>
      <c r="BG766" s="3"/>
      <c r="BH766" s="3"/>
    </row>
    <row r="767" ht="14.25" customHeight="1"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BE767" s="3"/>
      <c r="BF767" s="3"/>
      <c r="BG767" s="3"/>
      <c r="BH767" s="3"/>
    </row>
    <row r="768" ht="14.25" customHeight="1"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BE768" s="3"/>
      <c r="BF768" s="3"/>
      <c r="BG768" s="3"/>
      <c r="BH768" s="3"/>
    </row>
    <row r="769" ht="14.25" customHeight="1"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BE769" s="3"/>
      <c r="BF769" s="3"/>
      <c r="BG769" s="3"/>
      <c r="BH769" s="3"/>
    </row>
    <row r="770" ht="14.25" customHeight="1"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BE770" s="3"/>
      <c r="BF770" s="3"/>
      <c r="BG770" s="3"/>
      <c r="BH770" s="3"/>
    </row>
    <row r="771" ht="14.25" customHeight="1"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BE771" s="3"/>
      <c r="BF771" s="3"/>
      <c r="BG771" s="3"/>
      <c r="BH771" s="3"/>
    </row>
    <row r="772" ht="14.25" customHeight="1"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BE772" s="3"/>
      <c r="BF772" s="3"/>
      <c r="BG772" s="3"/>
      <c r="BH772" s="3"/>
    </row>
    <row r="773" ht="14.25" customHeight="1"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BE773" s="3"/>
      <c r="BF773" s="3"/>
      <c r="BG773" s="3"/>
      <c r="BH773" s="3"/>
    </row>
    <row r="774" ht="14.25" customHeight="1"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BE774" s="3"/>
      <c r="BF774" s="3"/>
      <c r="BG774" s="3"/>
      <c r="BH774" s="3"/>
    </row>
    <row r="775" ht="14.25" customHeight="1"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BE775" s="3"/>
      <c r="BF775" s="3"/>
      <c r="BG775" s="3"/>
      <c r="BH775" s="3"/>
    </row>
    <row r="776" ht="14.25" customHeight="1"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BE776" s="3"/>
      <c r="BF776" s="3"/>
      <c r="BG776" s="3"/>
      <c r="BH776" s="3"/>
    </row>
    <row r="777" ht="14.25" customHeight="1"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BE777" s="3"/>
      <c r="BF777" s="3"/>
      <c r="BG777" s="3"/>
      <c r="BH777" s="3"/>
    </row>
    <row r="778" ht="14.25" customHeight="1"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BE778" s="3"/>
      <c r="BF778" s="3"/>
      <c r="BG778" s="3"/>
      <c r="BH778" s="3"/>
    </row>
    <row r="779" ht="14.25" customHeight="1"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BE779" s="3"/>
      <c r="BF779" s="3"/>
      <c r="BG779" s="3"/>
      <c r="BH779" s="3"/>
    </row>
    <row r="780" ht="14.25" customHeight="1"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BE780" s="3"/>
      <c r="BF780" s="3"/>
      <c r="BG780" s="3"/>
      <c r="BH780" s="3"/>
    </row>
    <row r="781" ht="14.25" customHeight="1"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BE781" s="3"/>
      <c r="BF781" s="3"/>
      <c r="BG781" s="3"/>
      <c r="BH781" s="3"/>
    </row>
    <row r="782" ht="14.25" customHeight="1"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BE782" s="3"/>
      <c r="BF782" s="3"/>
      <c r="BG782" s="3"/>
      <c r="BH782" s="3"/>
    </row>
    <row r="783" ht="14.25" customHeight="1"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BE783" s="3"/>
      <c r="BF783" s="3"/>
      <c r="BG783" s="3"/>
      <c r="BH783" s="3"/>
    </row>
    <row r="784" ht="14.25" customHeight="1"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BE784" s="3"/>
      <c r="BF784" s="3"/>
      <c r="BG784" s="3"/>
      <c r="BH784" s="3"/>
    </row>
    <row r="785" ht="14.25" customHeight="1"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BE785" s="3"/>
      <c r="BF785" s="3"/>
      <c r="BG785" s="3"/>
      <c r="BH785" s="3"/>
    </row>
    <row r="786" ht="14.25" customHeight="1"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BE786" s="3"/>
      <c r="BF786" s="3"/>
      <c r="BG786" s="3"/>
      <c r="BH786" s="3"/>
    </row>
    <row r="787" ht="14.25" customHeight="1"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BE787" s="3"/>
      <c r="BF787" s="3"/>
      <c r="BG787" s="3"/>
      <c r="BH787" s="3"/>
    </row>
    <row r="788" ht="14.25" customHeight="1"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BE788" s="3"/>
      <c r="BF788" s="3"/>
      <c r="BG788" s="3"/>
      <c r="BH788" s="3"/>
    </row>
    <row r="789" ht="14.25" customHeight="1"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BE789" s="3"/>
      <c r="BF789" s="3"/>
      <c r="BG789" s="3"/>
      <c r="BH789" s="3"/>
    </row>
    <row r="790" ht="14.25" customHeight="1"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BE790" s="3"/>
      <c r="BF790" s="3"/>
      <c r="BG790" s="3"/>
      <c r="BH790" s="3"/>
    </row>
    <row r="791" ht="14.25" customHeight="1"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BE791" s="3"/>
      <c r="BF791" s="3"/>
      <c r="BG791" s="3"/>
      <c r="BH791" s="3"/>
    </row>
    <row r="792" ht="14.25" customHeight="1"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BE792" s="3"/>
      <c r="BF792" s="3"/>
      <c r="BG792" s="3"/>
      <c r="BH792" s="3"/>
    </row>
    <row r="793" ht="14.25" customHeight="1"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BE793" s="3"/>
      <c r="BF793" s="3"/>
      <c r="BG793" s="3"/>
      <c r="BH793" s="3"/>
    </row>
    <row r="794" ht="14.25" customHeight="1"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BE794" s="3"/>
      <c r="BF794" s="3"/>
      <c r="BG794" s="3"/>
      <c r="BH794" s="3"/>
    </row>
    <row r="795" ht="14.25" customHeight="1"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BE795" s="3"/>
      <c r="BF795" s="3"/>
      <c r="BG795" s="3"/>
      <c r="BH795" s="3"/>
    </row>
    <row r="796" ht="14.25" customHeight="1"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BE796" s="3"/>
      <c r="BF796" s="3"/>
      <c r="BG796" s="3"/>
      <c r="BH796" s="3"/>
    </row>
    <row r="797" ht="14.25" customHeight="1"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BE797" s="3"/>
      <c r="BF797" s="3"/>
      <c r="BG797" s="3"/>
      <c r="BH797" s="3"/>
    </row>
    <row r="798" ht="14.25" customHeight="1"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BE798" s="3"/>
      <c r="BF798" s="3"/>
      <c r="BG798" s="3"/>
      <c r="BH798" s="3"/>
    </row>
    <row r="799" ht="14.25" customHeight="1"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BE799" s="3"/>
      <c r="BF799" s="3"/>
      <c r="BG799" s="3"/>
      <c r="BH799" s="3"/>
    </row>
    <row r="800" ht="14.25" customHeight="1"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BE800" s="3"/>
      <c r="BF800" s="3"/>
      <c r="BG800" s="3"/>
      <c r="BH800" s="3"/>
    </row>
    <row r="801" ht="14.25" customHeight="1"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BE801" s="3"/>
      <c r="BF801" s="3"/>
      <c r="BG801" s="3"/>
      <c r="BH801" s="3"/>
    </row>
    <row r="802" ht="14.25" customHeight="1"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BE802" s="3"/>
      <c r="BF802" s="3"/>
      <c r="BG802" s="3"/>
      <c r="BH802" s="3"/>
    </row>
    <row r="803" ht="14.25" customHeight="1"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BE803" s="3"/>
      <c r="BF803" s="3"/>
      <c r="BG803" s="3"/>
      <c r="BH803" s="3"/>
    </row>
    <row r="804" ht="14.25" customHeight="1"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BE804" s="3"/>
      <c r="BF804" s="3"/>
      <c r="BG804" s="3"/>
      <c r="BH804" s="3"/>
    </row>
    <row r="805" ht="14.25" customHeight="1"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BE805" s="3"/>
      <c r="BF805" s="3"/>
      <c r="BG805" s="3"/>
      <c r="BH805" s="3"/>
    </row>
    <row r="806" ht="14.25" customHeight="1"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BE806" s="3"/>
      <c r="BF806" s="3"/>
      <c r="BG806" s="3"/>
      <c r="BH806" s="3"/>
    </row>
    <row r="807" ht="14.25" customHeight="1"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BE807" s="3"/>
      <c r="BF807" s="3"/>
      <c r="BG807" s="3"/>
      <c r="BH807" s="3"/>
    </row>
    <row r="808" ht="14.25" customHeight="1"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BE808" s="3"/>
      <c r="BF808" s="3"/>
      <c r="BG808" s="3"/>
      <c r="BH808" s="3"/>
    </row>
    <row r="809" ht="14.25" customHeight="1"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BE809" s="3"/>
      <c r="BF809" s="3"/>
      <c r="BG809" s="3"/>
      <c r="BH809" s="3"/>
    </row>
    <row r="810" ht="14.25" customHeight="1"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BE810" s="3"/>
      <c r="BF810" s="3"/>
      <c r="BG810" s="3"/>
      <c r="BH810" s="3"/>
    </row>
    <row r="811" ht="14.25" customHeight="1"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BE811" s="3"/>
      <c r="BF811" s="3"/>
      <c r="BG811" s="3"/>
      <c r="BH811" s="3"/>
    </row>
    <row r="812" ht="14.25" customHeight="1"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BE812" s="3"/>
      <c r="BF812" s="3"/>
      <c r="BG812" s="3"/>
      <c r="BH812" s="3"/>
    </row>
    <row r="813" ht="14.25" customHeight="1"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BE813" s="3"/>
      <c r="BF813" s="3"/>
      <c r="BG813" s="3"/>
      <c r="BH813" s="3"/>
    </row>
    <row r="814" ht="14.25" customHeight="1"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BE814" s="3"/>
      <c r="BF814" s="3"/>
      <c r="BG814" s="3"/>
      <c r="BH814" s="3"/>
    </row>
    <row r="815" ht="14.25" customHeight="1"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BE815" s="3"/>
      <c r="BF815" s="3"/>
      <c r="BG815" s="3"/>
      <c r="BH815" s="3"/>
    </row>
    <row r="816" ht="14.25" customHeight="1"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BE816" s="3"/>
      <c r="BF816" s="3"/>
      <c r="BG816" s="3"/>
      <c r="BH816" s="3"/>
    </row>
    <row r="817" ht="14.25" customHeight="1"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BE817" s="3"/>
      <c r="BF817" s="3"/>
      <c r="BG817" s="3"/>
      <c r="BH817" s="3"/>
    </row>
    <row r="818" ht="14.25" customHeight="1"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BE818" s="3"/>
      <c r="BF818" s="3"/>
      <c r="BG818" s="3"/>
      <c r="BH818" s="3"/>
    </row>
    <row r="819" ht="14.25" customHeight="1"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BE819" s="3"/>
      <c r="BF819" s="3"/>
      <c r="BG819" s="3"/>
      <c r="BH819" s="3"/>
    </row>
    <row r="820" ht="14.25" customHeight="1"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BE820" s="3"/>
      <c r="BF820" s="3"/>
      <c r="BG820" s="3"/>
      <c r="BH820" s="3"/>
    </row>
    <row r="821" ht="14.25" customHeight="1"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BE821" s="3"/>
      <c r="BF821" s="3"/>
      <c r="BG821" s="3"/>
      <c r="BH821" s="3"/>
    </row>
    <row r="822" ht="14.25" customHeight="1"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BE822" s="3"/>
      <c r="BF822" s="3"/>
      <c r="BG822" s="3"/>
      <c r="BH822" s="3"/>
    </row>
    <row r="823" ht="14.25" customHeight="1"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BE823" s="3"/>
      <c r="BF823" s="3"/>
      <c r="BG823" s="3"/>
      <c r="BH823" s="3"/>
    </row>
    <row r="824" ht="14.25" customHeight="1"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BE824" s="3"/>
      <c r="BF824" s="3"/>
      <c r="BG824" s="3"/>
      <c r="BH824" s="3"/>
    </row>
    <row r="825" ht="14.25" customHeight="1"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BE825" s="3"/>
      <c r="BF825" s="3"/>
      <c r="BG825" s="3"/>
      <c r="BH825" s="3"/>
    </row>
    <row r="826" ht="14.25" customHeight="1"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BE826" s="3"/>
      <c r="BF826" s="3"/>
      <c r="BG826" s="3"/>
      <c r="BH826" s="3"/>
    </row>
    <row r="827" ht="14.25" customHeight="1"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BE827" s="3"/>
      <c r="BF827" s="3"/>
      <c r="BG827" s="3"/>
      <c r="BH827" s="3"/>
    </row>
    <row r="828" ht="14.25" customHeight="1"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BE828" s="3"/>
      <c r="BF828" s="3"/>
      <c r="BG828" s="3"/>
      <c r="BH828" s="3"/>
    </row>
    <row r="829" ht="14.25" customHeight="1"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BE829" s="3"/>
      <c r="BF829" s="3"/>
      <c r="BG829" s="3"/>
      <c r="BH829" s="3"/>
    </row>
    <row r="830" ht="14.25" customHeight="1"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BE830" s="3"/>
      <c r="BF830" s="3"/>
      <c r="BG830" s="3"/>
      <c r="BH830" s="3"/>
    </row>
    <row r="831" ht="14.25" customHeight="1"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BE831" s="3"/>
      <c r="BF831" s="3"/>
      <c r="BG831" s="3"/>
      <c r="BH831" s="3"/>
    </row>
    <row r="832" ht="14.25" customHeight="1"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BE832" s="3"/>
      <c r="BF832" s="3"/>
      <c r="BG832" s="3"/>
      <c r="BH832" s="3"/>
    </row>
    <row r="833" ht="14.25" customHeight="1"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BE833" s="3"/>
      <c r="BF833" s="3"/>
      <c r="BG833" s="3"/>
      <c r="BH833" s="3"/>
    </row>
    <row r="834" ht="14.25" customHeight="1"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BE834" s="3"/>
      <c r="BF834" s="3"/>
      <c r="BG834" s="3"/>
      <c r="BH834" s="3"/>
    </row>
    <row r="835" ht="14.25" customHeight="1"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BE835" s="3"/>
      <c r="BF835" s="3"/>
      <c r="BG835" s="3"/>
      <c r="BH835" s="3"/>
    </row>
    <row r="836" ht="14.25" customHeight="1"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BE836" s="3"/>
      <c r="BF836" s="3"/>
      <c r="BG836" s="3"/>
      <c r="BH836" s="3"/>
    </row>
    <row r="837" ht="14.25" customHeight="1"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BE837" s="3"/>
      <c r="BF837" s="3"/>
      <c r="BG837" s="3"/>
      <c r="BH837" s="3"/>
    </row>
    <row r="838" ht="14.25" customHeight="1"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BE838" s="3"/>
      <c r="BF838" s="3"/>
      <c r="BG838" s="3"/>
      <c r="BH838" s="3"/>
    </row>
    <row r="839" ht="14.25" customHeight="1"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BE839" s="3"/>
      <c r="BF839" s="3"/>
      <c r="BG839" s="3"/>
      <c r="BH839" s="3"/>
    </row>
    <row r="840" ht="14.25" customHeight="1"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BE840" s="3"/>
      <c r="BF840" s="3"/>
      <c r="BG840" s="3"/>
      <c r="BH840" s="3"/>
    </row>
    <row r="841" ht="14.25" customHeight="1"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BE841" s="3"/>
      <c r="BF841" s="3"/>
      <c r="BG841" s="3"/>
      <c r="BH841" s="3"/>
    </row>
    <row r="842" ht="14.25" customHeight="1"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BE842" s="3"/>
      <c r="BF842" s="3"/>
      <c r="BG842" s="3"/>
      <c r="BH842" s="3"/>
    </row>
    <row r="843" ht="14.25" customHeight="1"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BE843" s="3"/>
      <c r="BF843" s="3"/>
      <c r="BG843" s="3"/>
      <c r="BH843" s="3"/>
    </row>
    <row r="844" ht="14.25" customHeight="1"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BE844" s="3"/>
      <c r="BF844" s="3"/>
      <c r="BG844" s="3"/>
      <c r="BH844" s="3"/>
    </row>
    <row r="845" ht="14.25" customHeight="1"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BE845" s="3"/>
      <c r="BF845" s="3"/>
      <c r="BG845" s="3"/>
      <c r="BH845" s="3"/>
    </row>
    <row r="846" ht="14.25" customHeight="1"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BE846" s="3"/>
      <c r="BF846" s="3"/>
      <c r="BG846" s="3"/>
      <c r="BH846" s="3"/>
    </row>
    <row r="847" ht="14.25" customHeight="1"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BE847" s="3"/>
      <c r="BF847" s="3"/>
      <c r="BG847" s="3"/>
      <c r="BH847" s="3"/>
    </row>
    <row r="848" ht="14.25" customHeight="1"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BE848" s="3"/>
      <c r="BF848" s="3"/>
      <c r="BG848" s="3"/>
      <c r="BH848" s="3"/>
    </row>
    <row r="849" ht="14.25" customHeight="1"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BE849" s="3"/>
      <c r="BF849" s="3"/>
      <c r="BG849" s="3"/>
      <c r="BH849" s="3"/>
    </row>
    <row r="850" ht="14.25" customHeight="1"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BE850" s="3"/>
      <c r="BF850" s="3"/>
      <c r="BG850" s="3"/>
      <c r="BH850" s="3"/>
    </row>
    <row r="851" ht="14.25" customHeight="1"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BE851" s="3"/>
      <c r="BF851" s="3"/>
      <c r="BG851" s="3"/>
      <c r="BH851" s="3"/>
    </row>
    <row r="852" ht="14.25" customHeight="1"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BE852" s="3"/>
      <c r="BF852" s="3"/>
      <c r="BG852" s="3"/>
      <c r="BH852" s="3"/>
    </row>
    <row r="853" ht="14.25" customHeight="1"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BE853" s="3"/>
      <c r="BF853" s="3"/>
      <c r="BG853" s="3"/>
      <c r="BH853" s="3"/>
    </row>
    <row r="854" ht="14.25" customHeight="1"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BE854" s="3"/>
      <c r="BF854" s="3"/>
      <c r="BG854" s="3"/>
      <c r="BH854" s="3"/>
    </row>
    <row r="855" ht="14.25" customHeight="1"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BE855" s="3"/>
      <c r="BF855" s="3"/>
      <c r="BG855" s="3"/>
      <c r="BH855" s="3"/>
    </row>
    <row r="856" ht="14.25" customHeight="1"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BE856" s="3"/>
      <c r="BF856" s="3"/>
      <c r="BG856" s="3"/>
      <c r="BH856" s="3"/>
    </row>
    <row r="857" ht="14.25" customHeight="1"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BE857" s="3"/>
      <c r="BF857" s="3"/>
      <c r="BG857" s="3"/>
      <c r="BH857" s="3"/>
    </row>
    <row r="858" ht="14.25" customHeight="1"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BE858" s="3"/>
      <c r="BF858" s="3"/>
      <c r="BG858" s="3"/>
      <c r="BH858" s="3"/>
    </row>
    <row r="859" ht="14.25" customHeight="1"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BE859" s="3"/>
      <c r="BF859" s="3"/>
      <c r="BG859" s="3"/>
      <c r="BH859" s="3"/>
    </row>
    <row r="860" ht="14.25" customHeight="1"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BE860" s="3"/>
      <c r="BF860" s="3"/>
      <c r="BG860" s="3"/>
      <c r="BH860" s="3"/>
    </row>
    <row r="861" ht="14.25" customHeight="1"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BE861" s="3"/>
      <c r="BF861" s="3"/>
      <c r="BG861" s="3"/>
      <c r="BH861" s="3"/>
    </row>
    <row r="862" ht="14.25" customHeight="1"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BE862" s="3"/>
      <c r="BF862" s="3"/>
      <c r="BG862" s="3"/>
      <c r="BH862" s="3"/>
    </row>
    <row r="863" ht="14.25" customHeight="1"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BE863" s="3"/>
      <c r="BF863" s="3"/>
      <c r="BG863" s="3"/>
      <c r="BH863" s="3"/>
    </row>
    <row r="864" ht="14.25" customHeight="1"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BE864" s="3"/>
      <c r="BF864" s="3"/>
      <c r="BG864" s="3"/>
      <c r="BH864" s="3"/>
    </row>
    <row r="865" ht="14.25" customHeight="1"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BE865" s="3"/>
      <c r="BF865" s="3"/>
      <c r="BG865" s="3"/>
      <c r="BH865" s="3"/>
    </row>
    <row r="866" ht="14.25" customHeight="1"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BE866" s="3"/>
      <c r="BF866" s="3"/>
      <c r="BG866" s="3"/>
      <c r="BH866" s="3"/>
    </row>
    <row r="867" ht="14.25" customHeight="1"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BE867" s="3"/>
      <c r="BF867" s="3"/>
      <c r="BG867" s="3"/>
      <c r="BH867" s="3"/>
    </row>
    <row r="868" ht="14.25" customHeight="1"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BE868" s="3"/>
      <c r="BF868" s="3"/>
      <c r="BG868" s="3"/>
      <c r="BH868" s="3"/>
    </row>
    <row r="869" ht="14.25" customHeight="1"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BE869" s="3"/>
      <c r="BF869" s="3"/>
      <c r="BG869" s="3"/>
      <c r="BH869" s="3"/>
    </row>
    <row r="870" ht="14.25" customHeight="1"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BE870" s="3"/>
      <c r="BF870" s="3"/>
      <c r="BG870" s="3"/>
      <c r="BH870" s="3"/>
    </row>
    <row r="871" ht="14.25" customHeight="1"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BE871" s="3"/>
      <c r="BF871" s="3"/>
      <c r="BG871" s="3"/>
      <c r="BH871" s="3"/>
    </row>
    <row r="872" ht="14.25" customHeight="1"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BE872" s="3"/>
      <c r="BF872" s="3"/>
      <c r="BG872" s="3"/>
      <c r="BH872" s="3"/>
    </row>
    <row r="873" ht="14.25" customHeight="1"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BE873" s="3"/>
      <c r="BF873" s="3"/>
      <c r="BG873" s="3"/>
      <c r="BH873" s="3"/>
    </row>
    <row r="874" ht="14.25" customHeight="1"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BE874" s="3"/>
      <c r="BF874" s="3"/>
      <c r="BG874" s="3"/>
      <c r="BH874" s="3"/>
    </row>
    <row r="875" ht="14.25" customHeight="1"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BE875" s="3"/>
      <c r="BF875" s="3"/>
      <c r="BG875" s="3"/>
      <c r="BH875" s="3"/>
    </row>
    <row r="876" ht="14.25" customHeight="1"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BE876" s="3"/>
      <c r="BF876" s="3"/>
      <c r="BG876" s="3"/>
      <c r="BH876" s="3"/>
    </row>
    <row r="877" ht="14.25" customHeight="1"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BE877" s="3"/>
      <c r="BF877" s="3"/>
      <c r="BG877" s="3"/>
      <c r="BH877" s="3"/>
    </row>
    <row r="878" ht="14.25" customHeight="1"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BE878" s="3"/>
      <c r="BF878" s="3"/>
      <c r="BG878" s="3"/>
      <c r="BH878" s="3"/>
    </row>
    <row r="879" ht="14.25" customHeight="1"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BE879" s="3"/>
      <c r="BF879" s="3"/>
      <c r="BG879" s="3"/>
      <c r="BH879" s="3"/>
    </row>
    <row r="880" ht="14.25" customHeight="1"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BE880" s="3"/>
      <c r="BF880" s="3"/>
      <c r="BG880" s="3"/>
      <c r="BH880" s="3"/>
    </row>
    <row r="881" ht="14.25" customHeight="1"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BE881" s="3"/>
      <c r="BF881" s="3"/>
      <c r="BG881" s="3"/>
      <c r="BH881" s="3"/>
    </row>
    <row r="882" ht="14.25" customHeight="1"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BE882" s="3"/>
      <c r="BF882" s="3"/>
      <c r="BG882" s="3"/>
      <c r="BH882" s="3"/>
    </row>
    <row r="883" ht="14.25" customHeight="1"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BE883" s="3"/>
      <c r="BF883" s="3"/>
      <c r="BG883" s="3"/>
      <c r="BH883" s="3"/>
    </row>
    <row r="884" ht="14.25" customHeight="1"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BE884" s="3"/>
      <c r="BF884" s="3"/>
      <c r="BG884" s="3"/>
      <c r="BH884" s="3"/>
    </row>
    <row r="885" ht="14.25" customHeight="1"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BE885" s="3"/>
      <c r="BF885" s="3"/>
      <c r="BG885" s="3"/>
      <c r="BH885" s="3"/>
    </row>
    <row r="886" ht="14.25" customHeight="1"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BE886" s="3"/>
      <c r="BF886" s="3"/>
      <c r="BG886" s="3"/>
      <c r="BH886" s="3"/>
    </row>
    <row r="887" ht="14.25" customHeight="1"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BE887" s="3"/>
      <c r="BF887" s="3"/>
      <c r="BG887" s="3"/>
      <c r="BH887" s="3"/>
    </row>
    <row r="888" ht="14.25" customHeight="1"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BE888" s="3"/>
      <c r="BF888" s="3"/>
      <c r="BG888" s="3"/>
      <c r="BH888" s="3"/>
    </row>
    <row r="889" ht="14.25" customHeight="1"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BE889" s="3"/>
      <c r="BF889" s="3"/>
      <c r="BG889" s="3"/>
      <c r="BH889" s="3"/>
    </row>
    <row r="890" ht="14.25" customHeight="1"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BE890" s="3"/>
      <c r="BF890" s="3"/>
      <c r="BG890" s="3"/>
      <c r="BH890" s="3"/>
    </row>
    <row r="891" ht="14.25" customHeight="1"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BE891" s="3"/>
      <c r="BF891" s="3"/>
      <c r="BG891" s="3"/>
      <c r="BH891" s="3"/>
    </row>
    <row r="892" ht="14.25" customHeight="1"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BE892" s="3"/>
      <c r="BF892" s="3"/>
      <c r="BG892" s="3"/>
      <c r="BH892" s="3"/>
    </row>
    <row r="893" ht="14.25" customHeight="1"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BE893" s="3"/>
      <c r="BF893" s="3"/>
      <c r="BG893" s="3"/>
      <c r="BH893" s="3"/>
    </row>
    <row r="894" ht="14.25" customHeight="1"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BE894" s="3"/>
      <c r="BF894" s="3"/>
      <c r="BG894" s="3"/>
      <c r="BH894" s="3"/>
    </row>
    <row r="895" ht="14.25" customHeight="1"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BE895" s="3"/>
      <c r="BF895" s="3"/>
      <c r="BG895" s="3"/>
      <c r="BH895" s="3"/>
    </row>
    <row r="896" ht="14.25" customHeight="1"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BE896" s="3"/>
      <c r="BF896" s="3"/>
      <c r="BG896" s="3"/>
      <c r="BH896" s="3"/>
    </row>
    <row r="897" ht="14.25" customHeight="1"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BE897" s="3"/>
      <c r="BF897" s="3"/>
      <c r="BG897" s="3"/>
      <c r="BH897" s="3"/>
    </row>
    <row r="898" ht="14.25" customHeight="1"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BE898" s="3"/>
      <c r="BF898" s="3"/>
      <c r="BG898" s="3"/>
      <c r="BH898" s="3"/>
    </row>
    <row r="899" ht="14.25" customHeight="1"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BE899" s="3"/>
      <c r="BF899" s="3"/>
      <c r="BG899" s="3"/>
      <c r="BH899" s="3"/>
    </row>
    <row r="900" ht="14.25" customHeight="1"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BE900" s="3"/>
      <c r="BF900" s="3"/>
      <c r="BG900" s="3"/>
      <c r="BH900" s="3"/>
    </row>
    <row r="901" ht="14.25" customHeight="1"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BE901" s="3"/>
      <c r="BF901" s="3"/>
      <c r="BG901" s="3"/>
      <c r="BH901" s="3"/>
    </row>
    <row r="902" ht="14.25" customHeight="1"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BE902" s="3"/>
      <c r="BF902" s="3"/>
      <c r="BG902" s="3"/>
      <c r="BH902" s="3"/>
    </row>
    <row r="903" ht="14.25" customHeight="1"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BE903" s="3"/>
      <c r="BF903" s="3"/>
      <c r="BG903" s="3"/>
      <c r="BH903" s="3"/>
    </row>
    <row r="904" ht="14.25" customHeight="1"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BE904" s="3"/>
      <c r="BF904" s="3"/>
      <c r="BG904" s="3"/>
      <c r="BH904" s="3"/>
    </row>
    <row r="905" ht="14.25" customHeight="1"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BE905" s="3"/>
      <c r="BF905" s="3"/>
      <c r="BG905" s="3"/>
      <c r="BH905" s="3"/>
    </row>
    <row r="906" ht="14.25" customHeight="1"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BE906" s="3"/>
      <c r="BF906" s="3"/>
      <c r="BG906" s="3"/>
      <c r="BH906" s="3"/>
    </row>
    <row r="907" ht="14.25" customHeight="1"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BE907" s="3"/>
      <c r="BF907" s="3"/>
      <c r="BG907" s="3"/>
      <c r="BH907" s="3"/>
    </row>
    <row r="908" ht="14.25" customHeight="1"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BE908" s="3"/>
      <c r="BF908" s="3"/>
      <c r="BG908" s="3"/>
      <c r="BH908" s="3"/>
    </row>
    <row r="909" ht="14.25" customHeight="1"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BE909" s="3"/>
      <c r="BF909" s="3"/>
      <c r="BG909" s="3"/>
      <c r="BH909" s="3"/>
    </row>
    <row r="910" ht="14.25" customHeight="1"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BE910" s="3"/>
      <c r="BF910" s="3"/>
      <c r="BG910" s="3"/>
      <c r="BH910" s="3"/>
    </row>
    <row r="911" ht="14.25" customHeight="1"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BE911" s="3"/>
      <c r="BF911" s="3"/>
      <c r="BG911" s="3"/>
      <c r="BH911" s="3"/>
    </row>
    <row r="912" ht="14.25" customHeight="1"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BE912" s="3"/>
      <c r="BF912" s="3"/>
      <c r="BG912" s="3"/>
      <c r="BH912" s="3"/>
    </row>
    <row r="913" ht="14.25" customHeight="1"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BE913" s="3"/>
      <c r="BF913" s="3"/>
      <c r="BG913" s="3"/>
      <c r="BH913" s="3"/>
    </row>
    <row r="914" ht="14.25" customHeight="1"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BE914" s="3"/>
      <c r="BF914" s="3"/>
      <c r="BG914" s="3"/>
      <c r="BH914" s="3"/>
    </row>
    <row r="915" ht="14.25" customHeight="1"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BE915" s="3"/>
      <c r="BF915" s="3"/>
      <c r="BG915" s="3"/>
      <c r="BH915" s="3"/>
    </row>
    <row r="916" ht="14.25" customHeight="1"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BE916" s="3"/>
      <c r="BF916" s="3"/>
      <c r="BG916" s="3"/>
      <c r="BH916" s="3"/>
    </row>
    <row r="917" ht="14.25" customHeight="1"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BE917" s="3"/>
      <c r="BF917" s="3"/>
      <c r="BG917" s="3"/>
      <c r="BH917" s="3"/>
    </row>
    <row r="918" ht="14.25" customHeight="1"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BE918" s="3"/>
      <c r="BF918" s="3"/>
      <c r="BG918" s="3"/>
      <c r="BH918" s="3"/>
    </row>
    <row r="919" ht="14.25" customHeight="1"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BE919" s="3"/>
      <c r="BF919" s="3"/>
      <c r="BG919" s="3"/>
      <c r="BH919" s="3"/>
    </row>
    <row r="920" ht="14.25" customHeight="1"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BE920" s="3"/>
      <c r="BF920" s="3"/>
      <c r="BG920" s="3"/>
      <c r="BH920" s="3"/>
    </row>
    <row r="921" ht="14.25" customHeight="1"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BE921" s="3"/>
      <c r="BF921" s="3"/>
      <c r="BG921" s="3"/>
      <c r="BH921" s="3"/>
    </row>
    <row r="922" ht="14.25" customHeight="1"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BE922" s="3"/>
      <c r="BF922" s="3"/>
      <c r="BG922" s="3"/>
      <c r="BH922" s="3"/>
    </row>
    <row r="923" ht="14.25" customHeight="1"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BE923" s="3"/>
      <c r="BF923" s="3"/>
      <c r="BG923" s="3"/>
      <c r="BH923" s="3"/>
    </row>
    <row r="924" ht="14.25" customHeight="1"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BE924" s="3"/>
      <c r="BF924" s="3"/>
      <c r="BG924" s="3"/>
      <c r="BH924" s="3"/>
    </row>
    <row r="925" ht="14.25" customHeight="1"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BE925" s="3"/>
      <c r="BF925" s="3"/>
      <c r="BG925" s="3"/>
      <c r="BH925" s="3"/>
    </row>
    <row r="926" ht="14.25" customHeight="1"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BE926" s="3"/>
      <c r="BF926" s="3"/>
      <c r="BG926" s="3"/>
      <c r="BH926" s="3"/>
    </row>
    <row r="927" ht="14.25" customHeight="1"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BE927" s="3"/>
      <c r="BF927" s="3"/>
      <c r="BG927" s="3"/>
      <c r="BH927" s="3"/>
    </row>
    <row r="928" ht="14.25" customHeight="1"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BE928" s="3"/>
      <c r="BF928" s="3"/>
      <c r="BG928" s="3"/>
      <c r="BH928" s="3"/>
    </row>
    <row r="929" ht="14.25" customHeight="1"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BE929" s="3"/>
      <c r="BF929" s="3"/>
      <c r="BG929" s="3"/>
      <c r="BH929" s="3"/>
    </row>
    <row r="930" ht="14.25" customHeight="1"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BE930" s="3"/>
      <c r="BF930" s="3"/>
      <c r="BG930" s="3"/>
      <c r="BH930" s="3"/>
    </row>
    <row r="931" ht="14.25" customHeight="1"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BE931" s="3"/>
      <c r="BF931" s="3"/>
      <c r="BG931" s="3"/>
      <c r="BH931" s="3"/>
    </row>
    <row r="932" ht="14.25" customHeight="1"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BE932" s="3"/>
      <c r="BF932" s="3"/>
      <c r="BG932" s="3"/>
      <c r="BH932" s="3"/>
    </row>
    <row r="933" ht="14.25" customHeight="1"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BE933" s="3"/>
      <c r="BF933" s="3"/>
      <c r="BG933" s="3"/>
      <c r="BH933" s="3"/>
    </row>
    <row r="934" ht="14.25" customHeight="1"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BE934" s="3"/>
      <c r="BF934" s="3"/>
      <c r="BG934" s="3"/>
      <c r="BH934" s="3"/>
    </row>
    <row r="935" ht="14.25" customHeight="1"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BE935" s="3"/>
      <c r="BF935" s="3"/>
      <c r="BG935" s="3"/>
      <c r="BH935" s="3"/>
    </row>
    <row r="936" ht="14.25" customHeight="1"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BE936" s="3"/>
      <c r="BF936" s="3"/>
      <c r="BG936" s="3"/>
      <c r="BH936" s="3"/>
    </row>
    <row r="937" ht="14.25" customHeight="1"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BE937" s="3"/>
      <c r="BF937" s="3"/>
      <c r="BG937" s="3"/>
      <c r="BH937" s="3"/>
    </row>
    <row r="938" ht="14.25" customHeight="1"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BE938" s="3"/>
      <c r="BF938" s="3"/>
      <c r="BG938" s="3"/>
      <c r="BH938" s="3"/>
    </row>
    <row r="939" ht="14.25" customHeight="1"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BE939" s="3"/>
      <c r="BF939" s="3"/>
      <c r="BG939" s="3"/>
      <c r="BH939" s="3"/>
    </row>
    <row r="940" ht="14.25" customHeight="1"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BE940" s="3"/>
      <c r="BF940" s="3"/>
      <c r="BG940" s="3"/>
      <c r="BH940" s="3"/>
    </row>
    <row r="941" ht="14.25" customHeight="1"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BE941" s="3"/>
      <c r="BF941" s="3"/>
      <c r="BG941" s="3"/>
      <c r="BH941" s="3"/>
    </row>
    <row r="942" ht="14.25" customHeight="1"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BE942" s="3"/>
      <c r="BF942" s="3"/>
      <c r="BG942" s="3"/>
      <c r="BH942" s="3"/>
    </row>
    <row r="943" ht="14.25" customHeight="1"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BE943" s="3"/>
      <c r="BF943" s="3"/>
      <c r="BG943" s="3"/>
      <c r="BH943" s="3"/>
    </row>
    <row r="944" ht="14.25" customHeight="1"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BE944" s="3"/>
      <c r="BF944" s="3"/>
      <c r="BG944" s="3"/>
      <c r="BH944" s="3"/>
    </row>
    <row r="945" ht="14.25" customHeight="1"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BE945" s="3"/>
      <c r="BF945" s="3"/>
      <c r="BG945" s="3"/>
      <c r="BH945" s="3"/>
    </row>
    <row r="946" ht="14.25" customHeight="1"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BE946" s="3"/>
      <c r="BF946" s="3"/>
      <c r="BG946" s="3"/>
      <c r="BH946" s="3"/>
    </row>
    <row r="947" ht="14.25" customHeight="1"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BE947" s="3"/>
      <c r="BF947" s="3"/>
      <c r="BG947" s="3"/>
      <c r="BH947" s="3"/>
    </row>
    <row r="948" ht="14.25" customHeight="1"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BE948" s="3"/>
      <c r="BF948" s="3"/>
      <c r="BG948" s="3"/>
      <c r="BH948" s="3"/>
    </row>
    <row r="949" ht="14.25" customHeight="1"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BE949" s="3"/>
      <c r="BF949" s="3"/>
      <c r="BG949" s="3"/>
      <c r="BH949" s="3"/>
    </row>
    <row r="950" ht="14.25" customHeight="1"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BE950" s="3"/>
      <c r="BF950" s="3"/>
      <c r="BG950" s="3"/>
      <c r="BH950" s="3"/>
    </row>
    <row r="951" ht="14.25" customHeight="1"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BE951" s="3"/>
      <c r="BF951" s="3"/>
      <c r="BG951" s="3"/>
      <c r="BH951" s="3"/>
    </row>
    <row r="952" ht="14.25" customHeight="1"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BE952" s="3"/>
      <c r="BF952" s="3"/>
      <c r="BG952" s="3"/>
      <c r="BH952" s="3"/>
    </row>
    <row r="953" ht="14.25" customHeight="1"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BE953" s="3"/>
      <c r="BF953" s="3"/>
      <c r="BG953" s="3"/>
      <c r="BH953" s="3"/>
    </row>
    <row r="954" ht="14.25" customHeight="1"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BE954" s="3"/>
      <c r="BF954" s="3"/>
      <c r="BG954" s="3"/>
      <c r="BH954" s="3"/>
    </row>
    <row r="955" ht="14.25" customHeight="1"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BE955" s="3"/>
      <c r="BF955" s="3"/>
      <c r="BG955" s="3"/>
      <c r="BH955" s="3"/>
    </row>
    <row r="956" ht="14.25" customHeight="1"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BE956" s="3"/>
      <c r="BF956" s="3"/>
      <c r="BG956" s="3"/>
      <c r="BH956" s="3"/>
    </row>
    <row r="957" ht="14.25" customHeight="1"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BE957" s="3"/>
      <c r="BF957" s="3"/>
      <c r="BG957" s="3"/>
      <c r="BH957" s="3"/>
    </row>
    <row r="958" ht="14.25" customHeight="1"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BE958" s="3"/>
      <c r="BF958" s="3"/>
      <c r="BG958" s="3"/>
      <c r="BH958" s="3"/>
    </row>
    <row r="959" ht="14.25" customHeight="1"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BE959" s="3"/>
      <c r="BF959" s="3"/>
      <c r="BG959" s="3"/>
      <c r="BH959" s="3"/>
    </row>
    <row r="960" ht="14.25" customHeight="1"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BE960" s="3"/>
      <c r="BF960" s="3"/>
      <c r="BG960" s="3"/>
      <c r="BH960" s="3"/>
    </row>
    <row r="961" ht="14.25" customHeight="1"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BE961" s="3"/>
      <c r="BF961" s="3"/>
      <c r="BG961" s="3"/>
      <c r="BH961" s="3"/>
    </row>
    <row r="962" ht="14.25" customHeight="1"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BE962" s="3"/>
      <c r="BF962" s="3"/>
      <c r="BG962" s="3"/>
      <c r="BH962" s="3"/>
    </row>
    <row r="963" ht="14.25" customHeight="1"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BE963" s="3"/>
      <c r="BF963" s="3"/>
      <c r="BG963" s="3"/>
      <c r="BH963" s="3"/>
    </row>
    <row r="964" ht="14.25" customHeight="1"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BE964" s="3"/>
      <c r="BF964" s="3"/>
      <c r="BG964" s="3"/>
      <c r="BH964" s="3"/>
    </row>
    <row r="965" ht="14.25" customHeight="1"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BE965" s="3"/>
      <c r="BF965" s="3"/>
      <c r="BG965" s="3"/>
      <c r="BH965" s="3"/>
    </row>
    <row r="966" ht="14.25" customHeight="1"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BE966" s="3"/>
      <c r="BF966" s="3"/>
      <c r="BG966" s="3"/>
      <c r="BH966" s="3"/>
    </row>
    <row r="967" ht="14.25" customHeight="1"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BE967" s="3"/>
      <c r="BF967" s="3"/>
      <c r="BG967" s="3"/>
      <c r="BH967" s="3"/>
    </row>
    <row r="968" ht="14.25" customHeight="1"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BE968" s="3"/>
      <c r="BF968" s="3"/>
      <c r="BG968" s="3"/>
      <c r="BH968" s="3"/>
    </row>
    <row r="969" ht="14.25" customHeight="1"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BE969" s="3"/>
      <c r="BF969" s="3"/>
      <c r="BG969" s="3"/>
      <c r="BH969" s="3"/>
    </row>
    <row r="970" ht="14.25" customHeight="1"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BE970" s="3"/>
      <c r="BF970" s="3"/>
      <c r="BG970" s="3"/>
      <c r="BH970" s="3"/>
    </row>
    <row r="971" ht="14.25" customHeight="1"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BE971" s="3"/>
      <c r="BF971" s="3"/>
      <c r="BG971" s="3"/>
      <c r="BH971" s="3"/>
    </row>
    <row r="972" ht="14.25" customHeight="1"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BE972" s="3"/>
      <c r="BF972" s="3"/>
      <c r="BG972" s="3"/>
      <c r="BH972" s="3"/>
    </row>
    <row r="973" ht="14.25" customHeight="1"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BE973" s="3"/>
      <c r="BF973" s="3"/>
      <c r="BG973" s="3"/>
      <c r="BH973" s="3"/>
    </row>
    <row r="974" ht="14.25" customHeight="1"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BE974" s="3"/>
      <c r="BF974" s="3"/>
      <c r="BG974" s="3"/>
      <c r="BH974" s="3"/>
    </row>
    <row r="975" ht="14.25" customHeight="1"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BE975" s="3"/>
      <c r="BF975" s="3"/>
      <c r="BG975" s="3"/>
      <c r="BH975" s="3"/>
    </row>
    <row r="976" ht="14.25" customHeight="1"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BE976" s="3"/>
      <c r="BF976" s="3"/>
      <c r="BG976" s="3"/>
      <c r="BH976" s="3"/>
    </row>
    <row r="977" ht="14.25" customHeight="1"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BE977" s="3"/>
      <c r="BF977" s="3"/>
      <c r="BG977" s="3"/>
      <c r="BH977" s="3"/>
    </row>
    <row r="978" ht="14.25" customHeight="1"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BE978" s="3"/>
      <c r="BF978" s="3"/>
      <c r="BG978" s="3"/>
      <c r="BH978" s="3"/>
    </row>
    <row r="979" ht="14.25" customHeight="1"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BE979" s="3"/>
      <c r="BF979" s="3"/>
      <c r="BG979" s="3"/>
      <c r="BH979" s="3"/>
    </row>
    <row r="980" ht="14.25" customHeight="1"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BE980" s="3"/>
      <c r="BF980" s="3"/>
      <c r="BG980" s="3"/>
      <c r="BH980" s="3"/>
    </row>
    <row r="981" ht="14.25" customHeight="1"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BE981" s="3"/>
      <c r="BF981" s="3"/>
      <c r="BG981" s="3"/>
      <c r="BH981" s="3"/>
    </row>
    <row r="982" ht="14.25" customHeight="1"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BE982" s="3"/>
      <c r="BF982" s="3"/>
      <c r="BG982" s="3"/>
      <c r="BH982" s="3"/>
    </row>
    <row r="983" ht="14.25" customHeight="1"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BE983" s="3"/>
      <c r="BF983" s="3"/>
      <c r="BG983" s="3"/>
      <c r="BH983" s="3"/>
    </row>
    <row r="984" ht="14.25" customHeight="1"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BE984" s="3"/>
      <c r="BF984" s="3"/>
      <c r="BG984" s="3"/>
      <c r="BH984" s="3"/>
    </row>
    <row r="985" ht="14.25" customHeight="1"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BE985" s="3"/>
      <c r="BF985" s="3"/>
      <c r="BG985" s="3"/>
      <c r="BH985" s="3"/>
    </row>
    <row r="986" ht="14.25" customHeight="1"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BE986" s="3"/>
      <c r="BF986" s="3"/>
      <c r="BG986" s="3"/>
      <c r="BH986" s="3"/>
    </row>
    <row r="987" ht="14.25" customHeight="1"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BE987" s="3"/>
      <c r="BF987" s="3"/>
      <c r="BG987" s="3"/>
      <c r="BH987" s="3"/>
    </row>
    <row r="988" ht="14.25" customHeight="1"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BE988" s="3"/>
      <c r="BF988" s="3"/>
      <c r="BG988" s="3"/>
      <c r="BH988" s="3"/>
    </row>
    <row r="989" ht="14.25" customHeight="1"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BE989" s="3"/>
      <c r="BF989" s="3"/>
      <c r="BG989" s="3"/>
      <c r="BH989" s="3"/>
    </row>
    <row r="990" ht="14.25" customHeight="1"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BE990" s="3"/>
      <c r="BF990" s="3"/>
      <c r="BG990" s="3"/>
      <c r="BH990" s="3"/>
    </row>
    <row r="991" ht="14.25" customHeight="1"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BE991" s="3"/>
      <c r="BF991" s="3"/>
      <c r="BG991" s="3"/>
      <c r="BH991" s="3"/>
    </row>
    <row r="992" ht="14.25" customHeight="1"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BE992" s="3"/>
      <c r="BF992" s="3"/>
      <c r="BG992" s="3"/>
      <c r="BH992" s="3"/>
    </row>
    <row r="993" ht="14.25" customHeight="1"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BE993" s="3"/>
      <c r="BF993" s="3"/>
      <c r="BG993" s="3"/>
      <c r="BH993" s="3"/>
    </row>
    <row r="994" ht="14.25" customHeight="1"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BE994" s="3"/>
      <c r="BF994" s="3"/>
      <c r="BG994" s="3"/>
      <c r="BH994" s="3"/>
    </row>
    <row r="995" ht="14.25" customHeight="1"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BE995" s="3"/>
      <c r="BF995" s="3"/>
      <c r="BG995" s="3"/>
      <c r="BH995" s="3"/>
    </row>
    <row r="996" ht="14.25" customHeight="1"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BE996" s="3"/>
      <c r="BF996" s="3"/>
      <c r="BG996" s="3"/>
      <c r="BH996" s="3"/>
    </row>
    <row r="997" ht="14.25" customHeight="1"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BE997" s="3"/>
      <c r="BF997" s="3"/>
      <c r="BG997" s="3"/>
      <c r="BH997" s="3"/>
    </row>
    <row r="998" ht="14.25" customHeight="1"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BE998" s="3"/>
      <c r="BF998" s="3"/>
      <c r="BG998" s="3"/>
      <c r="BH998" s="3"/>
    </row>
    <row r="999" ht="14.25" customHeight="1"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BE999" s="3"/>
      <c r="BF999" s="3"/>
      <c r="BG999" s="3"/>
      <c r="BH999" s="3"/>
    </row>
    <row r="1000" ht="14.25" customHeight="1"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BE1000" s="3"/>
      <c r="BF1000" s="3"/>
      <c r="BG1000" s="3"/>
      <c r="BH1000" s="3"/>
    </row>
  </sheetData>
  <conditionalFormatting sqref="P7:AS11 P13:AS17 P25:AS29 P31:AS35">
    <cfRule type="colorScale" priority="1">
      <colorScale>
        <cfvo type="min"/>
        <cfvo type="max"/>
        <color rgb="FFFFFFFF"/>
        <color rgb="FFD9EAD3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0.0"/>
    <col customWidth="1" min="4" max="14" width="9.0"/>
    <col customWidth="1" min="15" max="26" width="8.71"/>
  </cols>
  <sheetData>
    <row r="1" ht="15.75" customHeight="1">
      <c r="A1" s="34" t="s">
        <v>68</v>
      </c>
    </row>
    <row r="2" ht="14.25" customHeight="1"/>
    <row r="3" ht="15.0" customHeight="1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.0" customHeight="1">
      <c r="A4" s="35" t="s">
        <v>70</v>
      </c>
      <c r="B4" s="35" t="s">
        <v>71</v>
      </c>
      <c r="C4" s="35" t="s">
        <v>72</v>
      </c>
      <c r="D4" s="35" t="s">
        <v>73</v>
      </c>
      <c r="E4" s="35" t="s">
        <v>74</v>
      </c>
      <c r="F4" s="35" t="s">
        <v>75</v>
      </c>
      <c r="G4" s="35" t="s">
        <v>76</v>
      </c>
      <c r="H4" s="35" t="s">
        <v>77</v>
      </c>
      <c r="I4" s="35" t="s">
        <v>78</v>
      </c>
      <c r="J4" s="35" t="s">
        <v>79</v>
      </c>
      <c r="K4" s="35" t="s">
        <v>80</v>
      </c>
      <c r="L4" s="35" t="s">
        <v>81</v>
      </c>
      <c r="M4" s="35" t="s">
        <v>82</v>
      </c>
      <c r="N4" s="35" t="s">
        <v>83</v>
      </c>
    </row>
    <row r="5" ht="15.0" customHeight="1">
      <c r="A5" s="22">
        <f>milestone_3day_new!A4</f>
        <v>1</v>
      </c>
      <c r="B5" s="36">
        <f>milestone_3day_new!B4</f>
        <v>130</v>
      </c>
      <c r="C5" s="37">
        <f>milestone_3day_new!C4</f>
        <v>130</v>
      </c>
      <c r="D5" s="38" t="b">
        <f>milestone_3day_new!D4</f>
        <v>0</v>
      </c>
      <c r="E5" s="39" t="str">
        <f>IFERROR(IF(CEILING($C5*3/data_raw_3_day!$F$3,1)&gt;3,"X","D"&amp;CEILING($C5*3/data_raw_3_day!$F$3,1)),"X")</f>
        <v>D1</v>
      </c>
      <c r="F5" s="39" t="str">
        <f>IFERROR(IF(CEILING($C5*3/data_raw_3_day!$F$4,1)&gt;3,"X","D"&amp;CEILING($C5*3/data_raw_3_day!$F$4,1)),"X")</f>
        <v>D1</v>
      </c>
      <c r="G5" s="39" t="str">
        <f>IFERROR(IF(CEILING($C5*3/data_raw_3_day!$F$5,1)&gt;3,"X","D"&amp;CEILING($C5*3/data_raw_3_day!$F$5,1)),"X")</f>
        <v>D1</v>
      </c>
      <c r="H5" s="39" t="str">
        <f>IFERROR(IF(CEILING($C5*3/data_raw_3_day!$F$6,1)&gt;3,"X","D"&amp;CEILING($C5*3/data_raw_3_day!$F$6,1)),"X")</f>
        <v>D1</v>
      </c>
      <c r="I5" s="39" t="str">
        <f>IFERROR(IF(CEILING($C5*3/data_raw_3_day!$F$7,1)&gt;3,"X","D"&amp;CEILING($C5*3/data_raw_3_day!$F$7,1)),"X")</f>
        <v>D1</v>
      </c>
      <c r="J5" s="39" t="str">
        <f>IFERROR(IF(CEILING($C5*3/data_raw_3_day!$F$9,1)&gt;3,"X","D"&amp;CEILING($C5*3/data_raw_3_day!$F$9,1)),"X")</f>
        <v>D1</v>
      </c>
      <c r="K5" s="39" t="str">
        <f>IFERROR(IF(CEILING($C5*3/data_raw_3_day!$F$10,1)&gt;3,"X","D"&amp;CEILING($C5*3/data_raw_3_day!$F$10,1)),"X")</f>
        <v>D1</v>
      </c>
      <c r="L5" s="39" t="str">
        <f>IFERROR(IF(CEILING($C5*3/data_raw_3_day!$F$11,1)&gt;3,"X","D"&amp;CEILING($C5*3/data_raw_3_day!$F$11,1)),"X")</f>
        <v>D1</v>
      </c>
      <c r="M5" s="39" t="str">
        <f>IFERROR(IF(CEILING($C5*3/data_raw_3_day!$F$12,1)&gt;3,"X","D"&amp;CEILING($C5*3/data_raw_3_day!$F$12,1)),"X")</f>
        <v>D1</v>
      </c>
      <c r="N5" s="39" t="str">
        <f>IFERROR(IF(CEILING($C5*3/data_raw_3_day!$F$13,1)&gt;3,"X","D"&amp;CEILING($C5*3/data_raw_3_day!$F$13,1)),"X")</f>
        <v>D1</v>
      </c>
    </row>
    <row r="6" ht="15.0" customHeight="1">
      <c r="A6" s="22">
        <f>milestone_3day_new!A5</f>
        <v>2</v>
      </c>
      <c r="B6" s="36">
        <f>milestone_3day_new!B5</f>
        <v>250</v>
      </c>
      <c r="C6" s="37">
        <f>milestone_3day_new!C5</f>
        <v>380</v>
      </c>
      <c r="D6" s="38" t="b">
        <f>milestone_3day_new!D5</f>
        <v>0</v>
      </c>
      <c r="E6" s="39" t="str">
        <f>IFERROR(IF(CEILING($C6*3/data_raw_3_day!$F$3,1)&gt;3,"X","D"&amp;CEILING($C6*3/data_raw_3_day!$F$3,1)),"X")</f>
        <v>D1</v>
      </c>
      <c r="F6" s="39" t="str">
        <f>IFERROR(IF(CEILING($C6*3/data_raw_3_day!$F$4,1)&gt;3,"X","D"&amp;CEILING($C6*3/data_raw_3_day!$F$4,1)),"X")</f>
        <v>D1</v>
      </c>
      <c r="G6" s="39" t="str">
        <f>IFERROR(IF(CEILING($C6*3/data_raw_3_day!$F$5,1)&gt;3,"X","D"&amp;CEILING($C6*3/data_raw_3_day!$F$5,1)),"X")</f>
        <v>D1</v>
      </c>
      <c r="H6" s="39" t="str">
        <f>IFERROR(IF(CEILING($C6*3/data_raw_3_day!$F$6,1)&gt;3,"X","D"&amp;CEILING($C6*3/data_raw_3_day!$F$6,1)),"X")</f>
        <v>D1</v>
      </c>
      <c r="I6" s="39" t="str">
        <f>IFERROR(IF(CEILING($C6*3/data_raw_3_day!$F$7,1)&gt;3,"X","D"&amp;CEILING($C6*3/data_raw_3_day!$F$7,1)),"X")</f>
        <v>D1</v>
      </c>
      <c r="J6" s="39" t="str">
        <f>IFERROR(IF(CEILING($C6*3/data_raw_3_day!$F$9,1)&gt;3,"X","D"&amp;CEILING($C6*3/data_raw_3_day!$F$9,1)),"X")</f>
        <v>D1</v>
      </c>
      <c r="K6" s="39" t="str">
        <f>IFERROR(IF(CEILING($C6*3/data_raw_3_day!$F$10,1)&gt;3,"X","D"&amp;CEILING($C6*3/data_raw_3_day!$F$10,1)),"X")</f>
        <v>D1</v>
      </c>
      <c r="L6" s="39" t="str">
        <f>IFERROR(IF(CEILING($C6*3/data_raw_3_day!$F$11,1)&gt;3,"X","D"&amp;CEILING($C6*3/data_raw_3_day!$F$11,1)),"X")</f>
        <v>D1</v>
      </c>
      <c r="M6" s="39" t="str">
        <f>IFERROR(IF(CEILING($C6*3/data_raw_3_day!$F$12,1)&gt;3,"X","D"&amp;CEILING($C6*3/data_raw_3_day!$F$12,1)),"X")</f>
        <v>D1</v>
      </c>
      <c r="N6" s="39" t="str">
        <f>IFERROR(IF(CEILING($C6*3/data_raw_3_day!$F$13,1)&gt;3,"X","D"&amp;CEILING($C6*3/data_raw_3_day!$F$13,1)),"X")</f>
        <v>D1</v>
      </c>
    </row>
    <row r="7" ht="15.0" customHeight="1">
      <c r="A7" s="22">
        <f>milestone_3day_new!A6</f>
        <v>3</v>
      </c>
      <c r="B7" s="36">
        <f>milestone_3day_new!B6</f>
        <v>850</v>
      </c>
      <c r="C7" s="37">
        <f>milestone_3day_new!C6</f>
        <v>1230</v>
      </c>
      <c r="D7" s="38" t="b">
        <f>milestone_3day_new!D6</f>
        <v>0</v>
      </c>
      <c r="E7" s="39" t="str">
        <f>IFERROR(IF(CEILING($C7*3/data_raw_3_day!$F$3,1)&gt;3,"X","D"&amp;CEILING($C7*3/data_raw_3_day!$F$3,1)),"X")</f>
        <v>D3</v>
      </c>
      <c r="F7" s="39" t="str">
        <f>IFERROR(IF(CEILING($C7*3/data_raw_3_day!$F$4,1)&gt;3,"X","D"&amp;CEILING($C7*3/data_raw_3_day!$F$4,1)),"X")</f>
        <v>D1</v>
      </c>
      <c r="G7" s="39" t="str">
        <f>IFERROR(IF(CEILING($C7*3/data_raw_3_day!$F$5,1)&gt;3,"X","D"&amp;CEILING($C7*3/data_raw_3_day!$F$5,1)),"X")</f>
        <v>D1</v>
      </c>
      <c r="H7" s="39" t="str">
        <f>IFERROR(IF(CEILING($C7*3/data_raw_3_day!$F$6,1)&gt;3,"X","D"&amp;CEILING($C7*3/data_raw_3_day!$F$6,1)),"X")</f>
        <v>D1</v>
      </c>
      <c r="I7" s="39" t="str">
        <f>IFERROR(IF(CEILING($C7*3/data_raw_3_day!$F$7,1)&gt;3,"X","D"&amp;CEILING($C7*3/data_raw_3_day!$F$7,1)),"X")</f>
        <v>D1</v>
      </c>
      <c r="J7" s="39" t="str">
        <f>IFERROR(IF(CEILING($C7*3/data_raw_3_day!$F$9,1)&gt;3,"X","D"&amp;CEILING($C7*3/data_raw_3_day!$F$9,1)),"X")</f>
        <v>D2</v>
      </c>
      <c r="K7" s="39" t="str">
        <f>IFERROR(IF(CEILING($C7*3/data_raw_3_day!$F$10,1)&gt;3,"X","D"&amp;CEILING($C7*3/data_raw_3_day!$F$10,1)),"X")</f>
        <v>D1</v>
      </c>
      <c r="L7" s="39" t="str">
        <f>IFERROR(IF(CEILING($C7*3/data_raw_3_day!$F$11,1)&gt;3,"X","D"&amp;CEILING($C7*3/data_raw_3_day!$F$11,1)),"X")</f>
        <v>D1</v>
      </c>
      <c r="M7" s="39" t="str">
        <f>IFERROR(IF(CEILING($C7*3/data_raw_3_day!$F$12,1)&gt;3,"X","D"&amp;CEILING($C7*3/data_raw_3_day!$F$12,1)),"X")</f>
        <v>D1</v>
      </c>
      <c r="N7" s="39" t="str">
        <f>IFERROR(IF(CEILING($C7*3/data_raw_3_day!$F$13,1)&gt;3,"X","D"&amp;CEILING($C7*3/data_raw_3_day!$F$13,1)),"X")</f>
        <v>D1</v>
      </c>
    </row>
    <row r="8" ht="15.0" customHeight="1">
      <c r="A8" s="22">
        <f>milestone_3day_new!A7</f>
        <v>4</v>
      </c>
      <c r="B8" s="36">
        <f>milestone_3day_new!B7</f>
        <v>200</v>
      </c>
      <c r="C8" s="37">
        <f>milestone_3day_new!C7</f>
        <v>1430</v>
      </c>
      <c r="D8" s="38" t="b">
        <f>milestone_3day_new!D7</f>
        <v>0</v>
      </c>
      <c r="E8" s="39" t="str">
        <f>IFERROR(IF(CEILING($C8*3/data_raw_3_day!$F$3,1)&gt;3,"X","D"&amp;CEILING($C8*3/data_raw_3_day!$F$3,1)),"X")</f>
        <v>D3</v>
      </c>
      <c r="F8" s="39" t="str">
        <f>IFERROR(IF(CEILING($C8*3/data_raw_3_day!$F$4,1)&gt;3,"X","D"&amp;CEILING($C8*3/data_raw_3_day!$F$4,1)),"X")</f>
        <v>D1</v>
      </c>
      <c r="G8" s="39" t="str">
        <f>IFERROR(IF(CEILING($C8*3/data_raw_3_day!$F$5,1)&gt;3,"X","D"&amp;CEILING($C8*3/data_raw_3_day!$F$5,1)),"X")</f>
        <v>D1</v>
      </c>
      <c r="H8" s="39" t="str">
        <f>IFERROR(IF(CEILING($C8*3/data_raw_3_day!$F$6,1)&gt;3,"X","D"&amp;CEILING($C8*3/data_raw_3_day!$F$6,1)),"X")</f>
        <v>D1</v>
      </c>
      <c r="I8" s="39" t="str">
        <f>IFERROR(IF(CEILING($C8*3/data_raw_3_day!$F$7,1)&gt;3,"X","D"&amp;CEILING($C8*3/data_raw_3_day!$F$7,1)),"X")</f>
        <v>D1</v>
      </c>
      <c r="J8" s="39" t="str">
        <f>IFERROR(IF(CEILING($C8*3/data_raw_3_day!$F$9,1)&gt;3,"X","D"&amp;CEILING($C8*3/data_raw_3_day!$F$9,1)),"X")</f>
        <v>D3</v>
      </c>
      <c r="K8" s="39" t="str">
        <f>IFERROR(IF(CEILING($C8*3/data_raw_3_day!$F$10,1)&gt;3,"X","D"&amp;CEILING($C8*3/data_raw_3_day!$F$10,1)),"X")</f>
        <v>D1</v>
      </c>
      <c r="L8" s="39" t="str">
        <f>IFERROR(IF(CEILING($C8*3/data_raw_3_day!$F$11,1)&gt;3,"X","D"&amp;CEILING($C8*3/data_raw_3_day!$F$11,1)),"X")</f>
        <v>D1</v>
      </c>
      <c r="M8" s="39" t="str">
        <f>IFERROR(IF(CEILING($C8*3/data_raw_3_day!$F$12,1)&gt;3,"X","D"&amp;CEILING($C8*3/data_raw_3_day!$F$12,1)),"X")</f>
        <v>D1</v>
      </c>
      <c r="N8" s="39" t="str">
        <f>IFERROR(IF(CEILING($C8*3/data_raw_3_day!$F$13,1)&gt;3,"X","D"&amp;CEILING($C8*3/data_raw_3_day!$F$13,1)),"X")</f>
        <v>D1</v>
      </c>
    </row>
    <row r="9" ht="15.0" customHeight="1">
      <c r="A9" s="22">
        <f>milestone_3day_new!A8</f>
        <v>5</v>
      </c>
      <c r="B9" s="36">
        <f>milestone_3day_new!B8</f>
        <v>450</v>
      </c>
      <c r="C9" s="37">
        <f>milestone_3day_new!C8</f>
        <v>1880</v>
      </c>
      <c r="D9" s="38" t="b">
        <f>milestone_3day_new!D8</f>
        <v>0</v>
      </c>
      <c r="E9" s="39" t="str">
        <f>IFERROR(IF(CEILING($C9*3/data_raw_3_day!$F$3,1)&gt;3,"X","D"&amp;CEILING($C9*3/data_raw_3_day!$F$3,1)),"X")</f>
        <v>X</v>
      </c>
      <c r="F9" s="39" t="str">
        <f>IFERROR(IF(CEILING($C9*3/data_raw_3_day!$F$4,1)&gt;3,"X","D"&amp;CEILING($C9*3/data_raw_3_day!$F$4,1)),"X")</f>
        <v>D1</v>
      </c>
      <c r="G9" s="39" t="str">
        <f>IFERROR(IF(CEILING($C9*3/data_raw_3_day!$F$5,1)&gt;3,"X","D"&amp;CEILING($C9*3/data_raw_3_day!$F$5,1)),"X")</f>
        <v>D1</v>
      </c>
      <c r="H9" s="39" t="str">
        <f>IFERROR(IF(CEILING($C9*3/data_raw_3_day!$F$6,1)&gt;3,"X","D"&amp;CEILING($C9*3/data_raw_3_day!$F$6,1)),"X")</f>
        <v>D1</v>
      </c>
      <c r="I9" s="39" t="str">
        <f>IFERROR(IF(CEILING($C9*3/data_raw_3_day!$F$7,1)&gt;3,"X","D"&amp;CEILING($C9*3/data_raw_3_day!$F$7,1)),"X")</f>
        <v>D1</v>
      </c>
      <c r="J9" s="39" t="str">
        <f>IFERROR(IF(CEILING($C9*3/data_raw_3_day!$F$9,1)&gt;3,"X","D"&amp;CEILING($C9*3/data_raw_3_day!$F$9,1)),"X")</f>
        <v>D3</v>
      </c>
      <c r="K9" s="39" t="str">
        <f>IFERROR(IF(CEILING($C9*3/data_raw_3_day!$F$10,1)&gt;3,"X","D"&amp;CEILING($C9*3/data_raw_3_day!$F$10,1)),"X")</f>
        <v>D1</v>
      </c>
      <c r="L9" s="39" t="str">
        <f>IFERROR(IF(CEILING($C9*3/data_raw_3_day!$F$11,1)&gt;3,"X","D"&amp;CEILING($C9*3/data_raw_3_day!$F$11,1)),"X")</f>
        <v>D1</v>
      </c>
      <c r="M9" s="39" t="str">
        <f>IFERROR(IF(CEILING($C9*3/data_raw_3_day!$F$12,1)&gt;3,"X","D"&amp;CEILING($C9*3/data_raw_3_day!$F$12,1)),"X")</f>
        <v>D1</v>
      </c>
      <c r="N9" s="39" t="str">
        <f>IFERROR(IF(CEILING($C9*3/data_raw_3_day!$F$13,1)&gt;3,"X","D"&amp;CEILING($C9*3/data_raw_3_day!$F$13,1)),"X")</f>
        <v>D1</v>
      </c>
    </row>
    <row r="10" ht="15.0" customHeight="1">
      <c r="A10" s="22">
        <f>milestone_3day_new!A9</f>
        <v>6</v>
      </c>
      <c r="B10" s="36">
        <f>milestone_3day_new!B9</f>
        <v>1300</v>
      </c>
      <c r="C10" s="37">
        <f>milestone_3day_new!C9</f>
        <v>3180</v>
      </c>
      <c r="D10" s="38" t="b">
        <f>milestone_3day_new!D9</f>
        <v>1</v>
      </c>
      <c r="E10" s="39" t="str">
        <f>IFERROR(IF(CEILING($C10*3/data_raw_3_day!$F$3,1)&gt;3,"X","D"&amp;CEILING($C10*3/data_raw_3_day!$F$3,1)),"X")</f>
        <v>X</v>
      </c>
      <c r="F10" s="39" t="str">
        <f>IFERROR(IF(CEILING($C10*3/data_raw_3_day!$F$4,1)&gt;3,"X","D"&amp;CEILING($C10*3/data_raw_3_day!$F$4,1)),"X")</f>
        <v>D2</v>
      </c>
      <c r="G10" s="39" t="str">
        <f>IFERROR(IF(CEILING($C10*3/data_raw_3_day!$F$5,1)&gt;3,"X","D"&amp;CEILING($C10*3/data_raw_3_day!$F$5,1)),"X")</f>
        <v>D1</v>
      </c>
      <c r="H10" s="39" t="str">
        <f>IFERROR(IF(CEILING($C10*3/data_raw_3_day!$F$6,1)&gt;3,"X","D"&amp;CEILING($C10*3/data_raw_3_day!$F$6,1)),"X")</f>
        <v>D1</v>
      </c>
      <c r="I10" s="39" t="str">
        <f>IFERROR(IF(CEILING($C10*3/data_raw_3_day!$F$7,1)&gt;3,"X","D"&amp;CEILING($C10*3/data_raw_3_day!$F$7,1)),"X")</f>
        <v>D1</v>
      </c>
      <c r="J10" s="39" t="str">
        <f>IFERROR(IF(CEILING($C10*3/data_raw_3_day!$F$9,1)&gt;3,"X","D"&amp;CEILING($C10*3/data_raw_3_day!$F$9,1)),"X")</f>
        <v>X</v>
      </c>
      <c r="K10" s="39" t="str">
        <f>IFERROR(IF(CEILING($C10*3/data_raw_3_day!$F$10,1)&gt;3,"X","D"&amp;CEILING($C10*3/data_raw_3_day!$F$10,1)),"X")</f>
        <v>D2</v>
      </c>
      <c r="L10" s="39" t="str">
        <f>IFERROR(IF(CEILING($C10*3/data_raw_3_day!$F$11,1)&gt;3,"X","D"&amp;CEILING($C10*3/data_raw_3_day!$F$11,1)),"X")</f>
        <v>D1</v>
      </c>
      <c r="M10" s="39" t="str">
        <f>IFERROR(IF(CEILING($C10*3/data_raw_3_day!$F$12,1)&gt;3,"X","D"&amp;CEILING($C10*3/data_raw_3_day!$F$12,1)),"X")</f>
        <v>D1</v>
      </c>
      <c r="N10" s="39" t="str">
        <f>IFERROR(IF(CEILING($C10*3/data_raw_3_day!$F$13,1)&gt;3,"X","D"&amp;CEILING($C10*3/data_raw_3_day!$F$13,1)),"X")</f>
        <v>D1</v>
      </c>
    </row>
    <row r="11" ht="15.0" customHeight="1">
      <c r="A11" s="22">
        <f>milestone_3day_new!A10</f>
        <v>7</v>
      </c>
      <c r="B11" s="36">
        <f>milestone_3day_new!B10</f>
        <v>450</v>
      </c>
      <c r="C11" s="37">
        <f>milestone_3day_new!C10</f>
        <v>3630</v>
      </c>
      <c r="D11" s="38" t="b">
        <f>milestone_3day_new!D10</f>
        <v>0</v>
      </c>
      <c r="E11" s="39" t="str">
        <f>IFERROR(IF(CEILING($C11*3/data_raw_3_day!$F$3,1)&gt;3,"X","D"&amp;CEILING($C11*3/data_raw_3_day!$F$3,1)),"X")</f>
        <v>X</v>
      </c>
      <c r="F11" s="39" t="str">
        <f>IFERROR(IF(CEILING($C11*3/data_raw_3_day!$F$4,1)&gt;3,"X","D"&amp;CEILING($C11*3/data_raw_3_day!$F$4,1)),"X")</f>
        <v>D2</v>
      </c>
      <c r="G11" s="39" t="str">
        <f>IFERROR(IF(CEILING($C11*3/data_raw_3_day!$F$5,1)&gt;3,"X","D"&amp;CEILING($C11*3/data_raw_3_day!$F$5,1)),"X")</f>
        <v>D1</v>
      </c>
      <c r="H11" s="39" t="str">
        <f>IFERROR(IF(CEILING($C11*3/data_raw_3_day!$F$6,1)&gt;3,"X","D"&amp;CEILING($C11*3/data_raw_3_day!$F$6,1)),"X")</f>
        <v>D1</v>
      </c>
      <c r="I11" s="39" t="str">
        <f>IFERROR(IF(CEILING($C11*3/data_raw_3_day!$F$7,1)&gt;3,"X","D"&amp;CEILING($C11*3/data_raw_3_day!$F$7,1)),"X")</f>
        <v>D1</v>
      </c>
      <c r="J11" s="39" t="str">
        <f>IFERROR(IF(CEILING($C11*3/data_raw_3_day!$F$9,1)&gt;3,"X","D"&amp;CEILING($C11*3/data_raw_3_day!$F$9,1)),"X")</f>
        <v>X</v>
      </c>
      <c r="K11" s="39" t="str">
        <f>IFERROR(IF(CEILING($C11*3/data_raw_3_day!$F$10,1)&gt;3,"X","D"&amp;CEILING($C11*3/data_raw_3_day!$F$10,1)),"X")</f>
        <v>D2</v>
      </c>
      <c r="L11" s="39" t="str">
        <f>IFERROR(IF(CEILING($C11*3/data_raw_3_day!$F$11,1)&gt;3,"X","D"&amp;CEILING($C11*3/data_raw_3_day!$F$11,1)),"X")</f>
        <v>D1</v>
      </c>
      <c r="M11" s="39" t="str">
        <f>IFERROR(IF(CEILING($C11*3/data_raw_3_day!$F$12,1)&gt;3,"X","D"&amp;CEILING($C11*3/data_raw_3_day!$F$12,1)),"X")</f>
        <v>D1</v>
      </c>
      <c r="N11" s="39" t="str">
        <f>IFERROR(IF(CEILING($C11*3/data_raw_3_day!$F$13,1)&gt;3,"X","D"&amp;CEILING($C11*3/data_raw_3_day!$F$13,1)),"X")</f>
        <v>D1</v>
      </c>
    </row>
    <row r="12" ht="15.0" customHeight="1">
      <c r="A12" s="22">
        <f>milestone_3day_new!A11</f>
        <v>8</v>
      </c>
      <c r="B12" s="36">
        <f>milestone_3day_new!B11</f>
        <v>820</v>
      </c>
      <c r="C12" s="37">
        <f>milestone_3day_new!C11</f>
        <v>4450</v>
      </c>
      <c r="D12" s="38" t="b">
        <f>milestone_3day_new!D11</f>
        <v>0</v>
      </c>
      <c r="E12" s="39" t="str">
        <f>IFERROR(IF(CEILING($C12*3/data_raw_3_day!$F$3,1)&gt;3,"X","D"&amp;CEILING($C12*3/data_raw_3_day!$F$3,1)),"X")</f>
        <v>X</v>
      </c>
      <c r="F12" s="39" t="str">
        <f>IFERROR(IF(CEILING($C12*3/data_raw_3_day!$F$4,1)&gt;3,"X","D"&amp;CEILING($C12*3/data_raw_3_day!$F$4,1)),"X")</f>
        <v>D2</v>
      </c>
      <c r="G12" s="39" t="str">
        <f>IFERROR(IF(CEILING($C12*3/data_raw_3_day!$F$5,1)&gt;3,"X","D"&amp;CEILING($C12*3/data_raw_3_day!$F$5,1)),"X")</f>
        <v>D1</v>
      </c>
      <c r="H12" s="39" t="str">
        <f>IFERROR(IF(CEILING($C12*3/data_raw_3_day!$F$6,1)&gt;3,"X","D"&amp;CEILING($C12*3/data_raw_3_day!$F$6,1)),"X")</f>
        <v>D1</v>
      </c>
      <c r="I12" s="39" t="str">
        <f>IFERROR(IF(CEILING($C12*3/data_raw_3_day!$F$7,1)&gt;3,"X","D"&amp;CEILING($C12*3/data_raw_3_day!$F$7,1)),"X")</f>
        <v>D1</v>
      </c>
      <c r="J12" s="39" t="str">
        <f>IFERROR(IF(CEILING($C12*3/data_raw_3_day!$F$9,1)&gt;3,"X","D"&amp;CEILING($C12*3/data_raw_3_day!$F$9,1)),"X")</f>
        <v>X</v>
      </c>
      <c r="K12" s="39" t="str">
        <f>IFERROR(IF(CEILING($C12*3/data_raw_3_day!$F$10,1)&gt;3,"X","D"&amp;CEILING($C12*3/data_raw_3_day!$F$10,1)),"X")</f>
        <v>D2</v>
      </c>
      <c r="L12" s="39" t="str">
        <f>IFERROR(IF(CEILING($C12*3/data_raw_3_day!$F$11,1)&gt;3,"X","D"&amp;CEILING($C12*3/data_raw_3_day!$F$11,1)),"X")</f>
        <v>D1</v>
      </c>
      <c r="M12" s="39" t="str">
        <f>IFERROR(IF(CEILING($C12*3/data_raw_3_day!$F$12,1)&gt;3,"X","D"&amp;CEILING($C12*3/data_raw_3_day!$F$12,1)),"X")</f>
        <v>D1</v>
      </c>
      <c r="N12" s="39" t="str">
        <f>IFERROR(IF(CEILING($C12*3/data_raw_3_day!$F$13,1)&gt;3,"X","D"&amp;CEILING($C12*3/data_raw_3_day!$F$13,1)),"X")</f>
        <v>D1</v>
      </c>
    </row>
    <row r="13" ht="15.0" customHeight="1">
      <c r="A13" s="22">
        <f>milestone_3day_new!A12</f>
        <v>9</v>
      </c>
      <c r="B13" s="36">
        <f>milestone_3day_new!B12</f>
        <v>3300</v>
      </c>
      <c r="C13" s="37">
        <f>milestone_3day_new!C12</f>
        <v>7750</v>
      </c>
      <c r="D13" s="38" t="b">
        <f>milestone_3day_new!D12</f>
        <v>1</v>
      </c>
      <c r="E13" s="39" t="str">
        <f>IFERROR(IF(CEILING($C13*3/data_raw_3_day!$F$3,1)&gt;3,"X","D"&amp;CEILING($C13*3/data_raw_3_day!$F$3,1)),"X")</f>
        <v>X</v>
      </c>
      <c r="F13" s="39" t="str">
        <f>IFERROR(IF(CEILING($C13*3/data_raw_3_day!$F$4,1)&gt;3,"X","D"&amp;CEILING($C13*3/data_raw_3_day!$F$4,1)),"X")</f>
        <v>D3</v>
      </c>
      <c r="G13" s="39" t="str">
        <f>IFERROR(IF(CEILING($C13*3/data_raw_3_day!$F$5,1)&gt;3,"X","D"&amp;CEILING($C13*3/data_raw_3_day!$F$5,1)),"X")</f>
        <v>D2</v>
      </c>
      <c r="H13" s="39" t="str">
        <f>IFERROR(IF(CEILING($C13*3/data_raw_3_day!$F$6,1)&gt;3,"X","D"&amp;CEILING($C13*3/data_raw_3_day!$F$6,1)),"X")</f>
        <v>D1</v>
      </c>
      <c r="I13" s="39" t="str">
        <f>IFERROR(IF(CEILING($C13*3/data_raw_3_day!$F$7,1)&gt;3,"X","D"&amp;CEILING($C13*3/data_raw_3_day!$F$7,1)),"X")</f>
        <v>D1</v>
      </c>
      <c r="J13" s="39" t="str">
        <f>IFERROR(IF(CEILING($C13*3/data_raw_3_day!$F$9,1)&gt;3,"X","D"&amp;CEILING($C13*3/data_raw_3_day!$F$9,1)),"X")</f>
        <v>X</v>
      </c>
      <c r="K13" s="39" t="str">
        <f>IFERROR(IF(CEILING($C13*3/data_raw_3_day!$F$10,1)&gt;3,"X","D"&amp;CEILING($C13*3/data_raw_3_day!$F$10,1)),"X")</f>
        <v>D3</v>
      </c>
      <c r="L13" s="39" t="str">
        <f>IFERROR(IF(CEILING($C13*3/data_raw_3_day!$F$11,1)&gt;3,"X","D"&amp;CEILING($C13*3/data_raw_3_day!$F$11,1)),"X")</f>
        <v>D2</v>
      </c>
      <c r="M13" s="39" t="str">
        <f>IFERROR(IF(CEILING($C13*3/data_raw_3_day!$F$12,1)&gt;3,"X","D"&amp;CEILING($C13*3/data_raw_3_day!$F$12,1)),"X")</f>
        <v>D1</v>
      </c>
      <c r="N13" s="39" t="str">
        <f>IFERROR(IF(CEILING($C13*3/data_raw_3_day!$F$13,1)&gt;3,"X","D"&amp;CEILING($C13*3/data_raw_3_day!$F$13,1)),"X")</f>
        <v>D1</v>
      </c>
    </row>
    <row r="14" ht="15.0" customHeight="1">
      <c r="A14" s="22">
        <f>milestone_3day_new!A13</f>
        <v>10</v>
      </c>
      <c r="B14" s="36">
        <f>milestone_3day_new!B13</f>
        <v>1100</v>
      </c>
      <c r="C14" s="37">
        <f>milestone_3day_new!C13</f>
        <v>8850</v>
      </c>
      <c r="D14" s="38" t="b">
        <f>milestone_3day_new!D13</f>
        <v>0</v>
      </c>
      <c r="E14" s="39" t="str">
        <f>IFERROR(IF(CEILING($C14*3/data_raw_3_day!$F$3,1)&gt;3,"X","D"&amp;CEILING($C14*3/data_raw_3_day!$F$3,1)),"X")</f>
        <v>X</v>
      </c>
      <c r="F14" s="39" t="str">
        <f>IFERROR(IF(CEILING($C14*3/data_raw_3_day!$F$4,1)&gt;3,"X","D"&amp;CEILING($C14*3/data_raw_3_day!$F$4,1)),"X")</f>
        <v>X</v>
      </c>
      <c r="G14" s="39" t="str">
        <f>IFERROR(IF(CEILING($C14*3/data_raw_3_day!$F$5,1)&gt;3,"X","D"&amp;CEILING($C14*3/data_raw_3_day!$F$5,1)),"X")</f>
        <v>D2</v>
      </c>
      <c r="H14" s="39" t="str">
        <f>IFERROR(IF(CEILING($C14*3/data_raw_3_day!$F$6,1)&gt;3,"X","D"&amp;CEILING($C14*3/data_raw_3_day!$F$6,1)),"X")</f>
        <v>D1</v>
      </c>
      <c r="I14" s="39" t="str">
        <f>IFERROR(IF(CEILING($C14*3/data_raw_3_day!$F$7,1)&gt;3,"X","D"&amp;CEILING($C14*3/data_raw_3_day!$F$7,1)),"X")</f>
        <v>D1</v>
      </c>
      <c r="J14" s="39" t="str">
        <f>IFERROR(IF(CEILING($C14*3/data_raw_3_day!$F$9,1)&gt;3,"X","D"&amp;CEILING($C14*3/data_raw_3_day!$F$9,1)),"X")</f>
        <v>X</v>
      </c>
      <c r="K14" s="39" t="str">
        <f>IFERROR(IF(CEILING($C14*3/data_raw_3_day!$F$10,1)&gt;3,"X","D"&amp;CEILING($C14*3/data_raw_3_day!$F$10,1)),"X")</f>
        <v>X</v>
      </c>
      <c r="L14" s="39" t="str">
        <f>IFERROR(IF(CEILING($C14*3/data_raw_3_day!$F$11,1)&gt;3,"X","D"&amp;CEILING($C14*3/data_raw_3_day!$F$11,1)),"X")</f>
        <v>D2</v>
      </c>
      <c r="M14" s="39" t="str">
        <f>IFERROR(IF(CEILING($C14*3/data_raw_3_day!$F$12,1)&gt;3,"X","D"&amp;CEILING($C14*3/data_raw_3_day!$F$12,1)),"X")</f>
        <v>D1</v>
      </c>
      <c r="N14" s="39" t="str">
        <f>IFERROR(IF(CEILING($C14*3/data_raw_3_day!$F$13,1)&gt;3,"X","D"&amp;CEILING($C14*3/data_raw_3_day!$F$13,1)),"X")</f>
        <v>D1</v>
      </c>
    </row>
    <row r="15" ht="15.0" customHeight="1">
      <c r="A15" s="22">
        <f>milestone_3day_new!A14</f>
        <v>11</v>
      </c>
      <c r="B15" s="36">
        <f>milestone_3day_new!B14</f>
        <v>2200</v>
      </c>
      <c r="C15" s="37">
        <f>milestone_3day_new!C14</f>
        <v>11050</v>
      </c>
      <c r="D15" s="38" t="b">
        <f>milestone_3day_new!D14</f>
        <v>0</v>
      </c>
      <c r="E15" s="39" t="str">
        <f>IFERROR(IF(CEILING($C15*3/data_raw_3_day!$F$3,1)&gt;3,"X","D"&amp;CEILING($C15*3/data_raw_3_day!$F$3,1)),"X")</f>
        <v>X</v>
      </c>
      <c r="F15" s="39" t="str">
        <f>IFERROR(IF(CEILING($C15*3/data_raw_3_day!$F$4,1)&gt;3,"X","D"&amp;CEILING($C15*3/data_raw_3_day!$F$4,1)),"X")</f>
        <v>X</v>
      </c>
      <c r="G15" s="39" t="str">
        <f>IFERROR(IF(CEILING($C15*3/data_raw_3_day!$F$5,1)&gt;3,"X","D"&amp;CEILING($C15*3/data_raw_3_day!$F$5,1)),"X")</f>
        <v>D3</v>
      </c>
      <c r="H15" s="39" t="str">
        <f>IFERROR(IF(CEILING($C15*3/data_raw_3_day!$F$6,1)&gt;3,"X","D"&amp;CEILING($C15*3/data_raw_3_day!$F$6,1)),"X")</f>
        <v>D1</v>
      </c>
      <c r="I15" s="39" t="str">
        <f>IFERROR(IF(CEILING($C15*3/data_raw_3_day!$F$7,1)&gt;3,"X","D"&amp;CEILING($C15*3/data_raw_3_day!$F$7,1)),"X")</f>
        <v>D1</v>
      </c>
      <c r="J15" s="39" t="str">
        <f>IFERROR(IF(CEILING($C15*3/data_raw_3_day!$F$9,1)&gt;3,"X","D"&amp;CEILING($C15*3/data_raw_3_day!$F$9,1)),"X")</f>
        <v>X</v>
      </c>
      <c r="K15" s="39" t="str">
        <f>IFERROR(IF(CEILING($C15*3/data_raw_3_day!$F$10,1)&gt;3,"X","D"&amp;CEILING($C15*3/data_raw_3_day!$F$10,1)),"X")</f>
        <v>X</v>
      </c>
      <c r="L15" s="39" t="str">
        <f>IFERROR(IF(CEILING($C15*3/data_raw_3_day!$F$11,1)&gt;3,"X","D"&amp;CEILING($C15*3/data_raw_3_day!$F$11,1)),"X")</f>
        <v>D2</v>
      </c>
      <c r="M15" s="39" t="str">
        <f>IFERROR(IF(CEILING($C15*3/data_raw_3_day!$F$12,1)&gt;3,"X","D"&amp;CEILING($C15*3/data_raw_3_day!$F$12,1)),"X")</f>
        <v>D1</v>
      </c>
      <c r="N15" s="39" t="str">
        <f>IFERROR(IF(CEILING($C15*3/data_raw_3_day!$F$13,1)&gt;3,"X","D"&amp;CEILING($C15*3/data_raw_3_day!$F$13,1)),"X")</f>
        <v>D1</v>
      </c>
    </row>
    <row r="16" ht="15.0" customHeight="1">
      <c r="A16" s="22">
        <f>milestone_3day_new!A15</f>
        <v>12</v>
      </c>
      <c r="B16" s="36">
        <f>milestone_3day_new!B15</f>
        <v>6500</v>
      </c>
      <c r="C16" s="37">
        <f>milestone_3day_new!C15</f>
        <v>17550</v>
      </c>
      <c r="D16" s="38" t="b">
        <f>milestone_3day_new!D15</f>
        <v>1</v>
      </c>
      <c r="E16" s="39" t="str">
        <f>IFERROR(IF(CEILING($C16*3/data_raw_3_day!$F$3,1)&gt;3,"X","D"&amp;CEILING($C16*3/data_raw_3_day!$F$3,1)),"X")</f>
        <v>X</v>
      </c>
      <c r="F16" s="39" t="str">
        <f>IFERROR(IF(CEILING($C16*3/data_raw_3_day!$F$4,1)&gt;3,"X","D"&amp;CEILING($C16*3/data_raw_3_day!$F$4,1)),"X")</f>
        <v>X</v>
      </c>
      <c r="G16" s="39" t="str">
        <f>IFERROR(IF(CEILING($C16*3/data_raw_3_day!$F$5,1)&gt;3,"X","D"&amp;CEILING($C16*3/data_raw_3_day!$F$5,1)),"X")</f>
        <v>X</v>
      </c>
      <c r="H16" s="39" t="str">
        <f>IFERROR(IF(CEILING($C16*3/data_raw_3_day!$F$6,1)&gt;3,"X","D"&amp;CEILING($C16*3/data_raw_3_day!$F$6,1)),"X")</f>
        <v>D2</v>
      </c>
      <c r="I16" s="39" t="str">
        <f>IFERROR(IF(CEILING($C16*3/data_raw_3_day!$F$7,1)&gt;3,"X","D"&amp;CEILING($C16*3/data_raw_3_day!$F$7,1)),"X")</f>
        <v>D1</v>
      </c>
      <c r="J16" s="39" t="str">
        <f>IFERROR(IF(CEILING($C16*3/data_raw_3_day!$F$9,1)&gt;3,"X","D"&amp;CEILING($C16*3/data_raw_3_day!$F$9,1)),"X")</f>
        <v>X</v>
      </c>
      <c r="K16" s="39" t="str">
        <f>IFERROR(IF(CEILING($C16*3/data_raw_3_day!$F$10,1)&gt;3,"X","D"&amp;CEILING($C16*3/data_raw_3_day!$F$10,1)),"X")</f>
        <v>X</v>
      </c>
      <c r="L16" s="39" t="str">
        <f>IFERROR(IF(CEILING($C16*3/data_raw_3_day!$F$11,1)&gt;3,"X","D"&amp;CEILING($C16*3/data_raw_3_day!$F$11,1)),"X")</f>
        <v>X</v>
      </c>
      <c r="M16" s="39" t="str">
        <f>IFERROR(IF(CEILING($C16*3/data_raw_3_day!$F$12,1)&gt;3,"X","D"&amp;CEILING($C16*3/data_raw_3_day!$F$12,1)),"X")</f>
        <v>D2</v>
      </c>
      <c r="N16" s="39" t="str">
        <f>IFERROR(IF(CEILING($C16*3/data_raw_3_day!$F$13,1)&gt;3,"X","D"&amp;CEILING($C16*3/data_raw_3_day!$F$13,1)),"X")</f>
        <v>D1</v>
      </c>
    </row>
    <row r="17" ht="15.0" customHeight="1">
      <c r="A17" s="22">
        <f>milestone_3day_new!A16</f>
        <v>13</v>
      </c>
      <c r="B17" s="36">
        <f>milestone_3day_new!B16</f>
        <v>2200</v>
      </c>
      <c r="C17" s="37">
        <f>milestone_3day_new!C16</f>
        <v>19750</v>
      </c>
      <c r="D17" s="38" t="b">
        <f>milestone_3day_new!D16</f>
        <v>0</v>
      </c>
      <c r="E17" s="39" t="str">
        <f>IFERROR(IF(CEILING($C17*3/data_raw_3_day!$F$3,1)&gt;3,"X","D"&amp;CEILING($C17*3/data_raw_3_day!$F$3,1)),"X")</f>
        <v>X</v>
      </c>
      <c r="F17" s="39" t="str">
        <f>IFERROR(IF(CEILING($C17*3/data_raw_3_day!$F$4,1)&gt;3,"X","D"&amp;CEILING($C17*3/data_raw_3_day!$F$4,1)),"X")</f>
        <v>X</v>
      </c>
      <c r="G17" s="39" t="str">
        <f>IFERROR(IF(CEILING($C17*3/data_raw_3_day!$F$5,1)&gt;3,"X","D"&amp;CEILING($C17*3/data_raw_3_day!$F$5,1)),"X")</f>
        <v>X</v>
      </c>
      <c r="H17" s="39" t="str">
        <f>IFERROR(IF(CEILING($C17*3/data_raw_3_day!$F$6,1)&gt;3,"X","D"&amp;CEILING($C17*3/data_raw_3_day!$F$6,1)),"X")</f>
        <v>D2</v>
      </c>
      <c r="I17" s="39" t="str">
        <f>IFERROR(IF(CEILING($C17*3/data_raw_3_day!$F$7,1)&gt;3,"X","D"&amp;CEILING($C17*3/data_raw_3_day!$F$7,1)),"X")</f>
        <v>D1</v>
      </c>
      <c r="J17" s="39" t="str">
        <f>IFERROR(IF(CEILING($C17*3/data_raw_3_day!$F$9,1)&gt;3,"X","D"&amp;CEILING($C17*3/data_raw_3_day!$F$9,1)),"X")</f>
        <v>X</v>
      </c>
      <c r="K17" s="39" t="str">
        <f>IFERROR(IF(CEILING($C17*3/data_raw_3_day!$F$10,1)&gt;3,"X","D"&amp;CEILING($C17*3/data_raw_3_day!$F$10,1)),"X")</f>
        <v>X</v>
      </c>
      <c r="L17" s="39" t="str">
        <f>IFERROR(IF(CEILING($C17*3/data_raw_3_day!$F$11,1)&gt;3,"X","D"&amp;CEILING($C17*3/data_raw_3_day!$F$11,1)),"X")</f>
        <v>X</v>
      </c>
      <c r="M17" s="39" t="str">
        <f>IFERROR(IF(CEILING($C17*3/data_raw_3_day!$F$12,1)&gt;3,"X","D"&amp;CEILING($C17*3/data_raw_3_day!$F$12,1)),"X")</f>
        <v>D2</v>
      </c>
      <c r="N17" s="39" t="str">
        <f>IFERROR(IF(CEILING($C17*3/data_raw_3_day!$F$13,1)&gt;3,"X","D"&amp;CEILING($C17*3/data_raw_3_day!$F$13,1)),"X")</f>
        <v>D1</v>
      </c>
    </row>
    <row r="18" ht="15.0" customHeight="1">
      <c r="A18" s="22">
        <f>milestone_3day_new!A17</f>
        <v>14</v>
      </c>
      <c r="B18" s="36">
        <f>milestone_3day_new!B17</f>
        <v>4300</v>
      </c>
      <c r="C18" s="37">
        <f>milestone_3day_new!C17</f>
        <v>24050</v>
      </c>
      <c r="D18" s="38" t="b">
        <f>milestone_3day_new!D17</f>
        <v>0</v>
      </c>
      <c r="E18" s="39" t="str">
        <f>IFERROR(IF(CEILING($C18*3/data_raw_3_day!$F$3,1)&gt;3,"X","D"&amp;CEILING($C18*3/data_raw_3_day!$F$3,1)),"X")</f>
        <v>X</v>
      </c>
      <c r="F18" s="39" t="str">
        <f>IFERROR(IF(CEILING($C18*3/data_raw_3_day!$F$4,1)&gt;3,"X","D"&amp;CEILING($C18*3/data_raw_3_day!$F$4,1)),"X")</f>
        <v>X</v>
      </c>
      <c r="G18" s="39" t="str">
        <f>IFERROR(IF(CEILING($C18*3/data_raw_3_day!$F$5,1)&gt;3,"X","D"&amp;CEILING($C18*3/data_raw_3_day!$F$5,1)),"X")</f>
        <v>X</v>
      </c>
      <c r="H18" s="39" t="str">
        <f>IFERROR(IF(CEILING($C18*3/data_raw_3_day!$F$6,1)&gt;3,"X","D"&amp;CEILING($C18*3/data_raw_3_day!$F$6,1)),"X")</f>
        <v>D2</v>
      </c>
      <c r="I18" s="39" t="str">
        <f>IFERROR(IF(CEILING($C18*3/data_raw_3_day!$F$7,1)&gt;3,"X","D"&amp;CEILING($C18*3/data_raw_3_day!$F$7,1)),"X")</f>
        <v>D1</v>
      </c>
      <c r="J18" s="39" t="str">
        <f>IFERROR(IF(CEILING($C18*3/data_raw_3_day!$F$9,1)&gt;3,"X","D"&amp;CEILING($C18*3/data_raw_3_day!$F$9,1)),"X")</f>
        <v>X</v>
      </c>
      <c r="K18" s="39" t="str">
        <f>IFERROR(IF(CEILING($C18*3/data_raw_3_day!$F$10,1)&gt;3,"X","D"&amp;CEILING($C18*3/data_raw_3_day!$F$10,1)),"X")</f>
        <v>X</v>
      </c>
      <c r="L18" s="39" t="str">
        <f>IFERROR(IF(CEILING($C18*3/data_raw_3_day!$F$11,1)&gt;3,"X","D"&amp;CEILING($C18*3/data_raw_3_day!$F$11,1)),"X")</f>
        <v>X</v>
      </c>
      <c r="M18" s="39" t="str">
        <f>IFERROR(IF(CEILING($C18*3/data_raw_3_day!$F$12,1)&gt;3,"X","D"&amp;CEILING($C18*3/data_raw_3_day!$F$12,1)),"X")</f>
        <v>D3</v>
      </c>
      <c r="N18" s="39" t="str">
        <f>IFERROR(IF(CEILING($C18*3/data_raw_3_day!$F$13,1)&gt;3,"X","D"&amp;CEILING($C18*3/data_raw_3_day!$F$13,1)),"X")</f>
        <v>D1</v>
      </c>
    </row>
    <row r="19" ht="15.0" customHeight="1">
      <c r="A19" s="22">
        <f>milestone_3day_new!A18</f>
        <v>15</v>
      </c>
      <c r="B19" s="36">
        <f>milestone_3day_new!B18</f>
        <v>13000</v>
      </c>
      <c r="C19" s="37">
        <f>milestone_3day_new!C18</f>
        <v>37050</v>
      </c>
      <c r="D19" s="38" t="b">
        <f>milestone_3day_new!D18</f>
        <v>1</v>
      </c>
      <c r="E19" s="39" t="str">
        <f>IFERROR(IF(CEILING($C19*3/data_raw_3_day!$F$3,1)&gt;3,"X","D"&amp;CEILING($C19*3/data_raw_3_day!$F$3,1)),"X")</f>
        <v>X</v>
      </c>
      <c r="F19" s="39" t="str">
        <f>IFERROR(IF(CEILING($C19*3/data_raw_3_day!$F$4,1)&gt;3,"X","D"&amp;CEILING($C19*3/data_raw_3_day!$F$4,1)),"X")</f>
        <v>X</v>
      </c>
      <c r="G19" s="39" t="str">
        <f>IFERROR(IF(CEILING($C19*3/data_raw_3_day!$F$5,1)&gt;3,"X","D"&amp;CEILING($C19*3/data_raw_3_day!$F$5,1)),"X")</f>
        <v>X</v>
      </c>
      <c r="H19" s="39" t="str">
        <f>IFERROR(IF(CEILING($C19*3/data_raw_3_day!$F$6,1)&gt;3,"X","D"&amp;CEILING($C19*3/data_raw_3_day!$F$6,1)),"X")</f>
        <v>D3</v>
      </c>
      <c r="I19" s="39" t="str">
        <f>IFERROR(IF(CEILING($C19*3/data_raw_3_day!$F$7,1)&gt;3,"X","D"&amp;CEILING($C19*3/data_raw_3_day!$F$7,1)),"X")</f>
        <v>D2</v>
      </c>
      <c r="J19" s="39" t="str">
        <f>IFERROR(IF(CEILING($C19*3/data_raw_3_day!$F$9,1)&gt;3,"X","D"&amp;CEILING($C19*3/data_raw_3_day!$F$9,1)),"X")</f>
        <v>X</v>
      </c>
      <c r="K19" s="39" t="str">
        <f>IFERROR(IF(CEILING($C19*3/data_raw_3_day!$F$10,1)&gt;3,"X","D"&amp;CEILING($C19*3/data_raw_3_day!$F$10,1)),"X")</f>
        <v>X</v>
      </c>
      <c r="L19" s="39" t="str">
        <f>IFERROR(IF(CEILING($C19*3/data_raw_3_day!$F$11,1)&gt;3,"X","D"&amp;CEILING($C19*3/data_raw_3_day!$F$11,1)),"X")</f>
        <v>X</v>
      </c>
      <c r="M19" s="39" t="str">
        <f>IFERROR(IF(CEILING($C19*3/data_raw_3_day!$F$12,1)&gt;3,"X","D"&amp;CEILING($C19*3/data_raw_3_day!$F$12,1)),"X")</f>
        <v>X</v>
      </c>
      <c r="N19" s="39" t="str">
        <f>IFERROR(IF(CEILING($C19*3/data_raw_3_day!$F$13,1)&gt;3,"X","D"&amp;CEILING($C19*3/data_raw_3_day!$F$13,1)),"X")</f>
        <v>D2</v>
      </c>
    </row>
    <row r="20" ht="15.0" customHeight="1">
      <c r="A20" s="22">
        <f>milestone_3day_new!A19</f>
        <v>16</v>
      </c>
      <c r="B20" s="36">
        <f>milestone_3day_new!B19</f>
        <v>3300</v>
      </c>
      <c r="C20" s="37">
        <f>milestone_3day_new!C19</f>
        <v>40350</v>
      </c>
      <c r="D20" s="38" t="b">
        <f>milestone_3day_new!D19</f>
        <v>0</v>
      </c>
      <c r="E20" s="39" t="str">
        <f>IFERROR(IF(CEILING($C20*3/data_raw_3_day!$F$3,1)&gt;3,"X","D"&amp;CEILING($C20*3/data_raw_3_day!$F$3,1)),"X")</f>
        <v>X</v>
      </c>
      <c r="F20" s="39" t="str">
        <f>IFERROR(IF(CEILING($C20*3/data_raw_3_day!$F$4,1)&gt;3,"X","D"&amp;CEILING($C20*3/data_raw_3_day!$F$4,1)),"X")</f>
        <v>X</v>
      </c>
      <c r="G20" s="39" t="str">
        <f>IFERROR(IF(CEILING($C20*3/data_raw_3_day!$F$5,1)&gt;3,"X","D"&amp;CEILING($C20*3/data_raw_3_day!$F$5,1)),"X")</f>
        <v>X</v>
      </c>
      <c r="H20" s="39" t="str">
        <f>IFERROR(IF(CEILING($C20*3/data_raw_3_day!$F$6,1)&gt;3,"X","D"&amp;CEILING($C20*3/data_raw_3_day!$F$6,1)),"X")</f>
        <v>X</v>
      </c>
      <c r="I20" s="39" t="str">
        <f>IFERROR(IF(CEILING($C20*3/data_raw_3_day!$F$7,1)&gt;3,"X","D"&amp;CEILING($C20*3/data_raw_3_day!$F$7,1)),"X")</f>
        <v>D2</v>
      </c>
      <c r="J20" s="39" t="str">
        <f>IFERROR(IF(CEILING($C20*3/data_raw_3_day!$F$9,1)&gt;3,"X","D"&amp;CEILING($C20*3/data_raw_3_day!$F$9,1)),"X")</f>
        <v>X</v>
      </c>
      <c r="K20" s="39" t="str">
        <f>IFERROR(IF(CEILING($C20*3/data_raw_3_day!$F$10,1)&gt;3,"X","D"&amp;CEILING($C20*3/data_raw_3_day!$F$10,1)),"X")</f>
        <v>X</v>
      </c>
      <c r="L20" s="39" t="str">
        <f>IFERROR(IF(CEILING($C20*3/data_raw_3_day!$F$11,1)&gt;3,"X","D"&amp;CEILING($C20*3/data_raw_3_day!$F$11,1)),"X")</f>
        <v>X</v>
      </c>
      <c r="M20" s="39" t="str">
        <f>IFERROR(IF(CEILING($C20*3/data_raw_3_day!$F$12,1)&gt;3,"X","D"&amp;CEILING($C20*3/data_raw_3_day!$F$12,1)),"X")</f>
        <v>X</v>
      </c>
      <c r="N20" s="39" t="str">
        <f>IFERROR(IF(CEILING($C20*3/data_raw_3_day!$F$13,1)&gt;3,"X","D"&amp;CEILING($C20*3/data_raw_3_day!$F$13,1)),"X")</f>
        <v>D2</v>
      </c>
    </row>
    <row r="21" ht="15.0" customHeight="1">
      <c r="A21" s="22">
        <f>milestone_3day_new!A20</f>
        <v>17</v>
      </c>
      <c r="B21" s="36">
        <f>milestone_3day_new!B20</f>
        <v>5500</v>
      </c>
      <c r="C21" s="37">
        <f>milestone_3day_new!C20</f>
        <v>45850</v>
      </c>
      <c r="D21" s="38" t="b">
        <f>milestone_3day_new!D20</f>
        <v>0</v>
      </c>
      <c r="E21" s="39" t="str">
        <f>IFERROR(IF(CEILING($C21*3/data_raw_3_day!$F$3,1)&gt;3,"X","D"&amp;CEILING($C21*3/data_raw_3_day!$F$3,1)),"X")</f>
        <v>X</v>
      </c>
      <c r="F21" s="39" t="str">
        <f>IFERROR(IF(CEILING($C21*3/data_raw_3_day!$F$4,1)&gt;3,"X","D"&amp;CEILING($C21*3/data_raw_3_day!$F$4,1)),"X")</f>
        <v>X</v>
      </c>
      <c r="G21" s="39" t="str">
        <f>IFERROR(IF(CEILING($C21*3/data_raw_3_day!$F$5,1)&gt;3,"X","D"&amp;CEILING($C21*3/data_raw_3_day!$F$5,1)),"X")</f>
        <v>X</v>
      </c>
      <c r="H21" s="39" t="str">
        <f>IFERROR(IF(CEILING($C21*3/data_raw_3_day!$F$6,1)&gt;3,"X","D"&amp;CEILING($C21*3/data_raw_3_day!$F$6,1)),"X")</f>
        <v>X</v>
      </c>
      <c r="I21" s="39" t="str">
        <f>IFERROR(IF(CEILING($C21*3/data_raw_3_day!$F$7,1)&gt;3,"X","D"&amp;CEILING($C21*3/data_raw_3_day!$F$7,1)),"X")</f>
        <v>D2</v>
      </c>
      <c r="J21" s="39" t="str">
        <f>IFERROR(IF(CEILING($C21*3/data_raw_3_day!$F$9,1)&gt;3,"X","D"&amp;CEILING($C21*3/data_raw_3_day!$F$9,1)),"X")</f>
        <v>X</v>
      </c>
      <c r="K21" s="39" t="str">
        <f>IFERROR(IF(CEILING($C21*3/data_raw_3_day!$F$10,1)&gt;3,"X","D"&amp;CEILING($C21*3/data_raw_3_day!$F$10,1)),"X")</f>
        <v>X</v>
      </c>
      <c r="L21" s="39" t="str">
        <f>IFERROR(IF(CEILING($C21*3/data_raw_3_day!$F$11,1)&gt;3,"X","D"&amp;CEILING($C21*3/data_raw_3_day!$F$11,1)),"X")</f>
        <v>X</v>
      </c>
      <c r="M21" s="39" t="str">
        <f>IFERROR(IF(CEILING($C21*3/data_raw_3_day!$F$12,1)&gt;3,"X","D"&amp;CEILING($C21*3/data_raw_3_day!$F$12,1)),"X")</f>
        <v>X</v>
      </c>
      <c r="N21" s="39" t="str">
        <f>IFERROR(IF(CEILING($C21*3/data_raw_3_day!$F$13,1)&gt;3,"X","D"&amp;CEILING($C21*3/data_raw_3_day!$F$13,1)),"X")</f>
        <v>D2</v>
      </c>
    </row>
    <row r="22" ht="15.0" customHeight="1">
      <c r="A22" s="22">
        <f>milestone_3day_new!A21</f>
        <v>18</v>
      </c>
      <c r="B22" s="36">
        <f>milestone_3day_new!B21</f>
        <v>16250</v>
      </c>
      <c r="C22" s="37">
        <f>milestone_3day_new!C21</f>
        <v>62100</v>
      </c>
      <c r="D22" s="38" t="b">
        <f>milestone_3day_new!D21</f>
        <v>1</v>
      </c>
      <c r="E22" s="39" t="str">
        <f>IFERROR(IF(CEILING($C22*3/data_raw_3_day!$F$3,1)&gt;3,"X","D"&amp;CEILING($C22*3/data_raw_3_day!$F$3,1)),"X")</f>
        <v>X</v>
      </c>
      <c r="F22" s="39" t="str">
        <f>IFERROR(IF(CEILING($C22*3/data_raw_3_day!$F$4,1)&gt;3,"X","D"&amp;CEILING($C22*3/data_raw_3_day!$F$4,1)),"X")</f>
        <v>X</v>
      </c>
      <c r="G22" s="39" t="str">
        <f>IFERROR(IF(CEILING($C22*3/data_raw_3_day!$F$5,1)&gt;3,"X","D"&amp;CEILING($C22*3/data_raw_3_day!$F$5,1)),"X")</f>
        <v>X</v>
      </c>
      <c r="H22" s="39" t="str">
        <f>IFERROR(IF(CEILING($C22*3/data_raw_3_day!$F$6,1)&gt;3,"X","D"&amp;CEILING($C22*3/data_raw_3_day!$F$6,1)),"X")</f>
        <v>X</v>
      </c>
      <c r="I22" s="39" t="str">
        <f>IFERROR(IF(CEILING($C22*3/data_raw_3_day!$F$7,1)&gt;3,"X","D"&amp;CEILING($C22*3/data_raw_3_day!$F$7,1)),"X")</f>
        <v>D3</v>
      </c>
      <c r="J22" s="39" t="str">
        <f>IFERROR(IF(CEILING($C22*3/data_raw_3_day!$F$9,1)&gt;3,"X","D"&amp;CEILING($C22*3/data_raw_3_day!$F$9,1)),"X")</f>
        <v>X</v>
      </c>
      <c r="K22" s="39" t="str">
        <f>IFERROR(IF(CEILING($C22*3/data_raw_3_day!$F$10,1)&gt;3,"X","D"&amp;CEILING($C22*3/data_raw_3_day!$F$10,1)),"X")</f>
        <v>X</v>
      </c>
      <c r="L22" s="39" t="str">
        <f>IFERROR(IF(CEILING($C22*3/data_raw_3_day!$F$11,1)&gt;3,"X","D"&amp;CEILING($C22*3/data_raw_3_day!$F$11,1)),"X")</f>
        <v>X</v>
      </c>
      <c r="M22" s="39" t="str">
        <f>IFERROR(IF(CEILING($C22*3/data_raw_3_day!$F$12,1)&gt;3,"X","D"&amp;CEILING($C22*3/data_raw_3_day!$F$12,1)),"X")</f>
        <v>X</v>
      </c>
      <c r="N22" s="39" t="str">
        <f>IFERROR(IF(CEILING($C22*3/data_raw_3_day!$F$13,1)&gt;3,"X","D"&amp;CEILING($C22*3/data_raw_3_day!$F$13,1)),"X")</f>
        <v>D3</v>
      </c>
    </row>
    <row r="23" ht="15.0" customHeight="1">
      <c r="A23" s="22">
        <f>milestone_3day_new!A22</f>
        <v>19</v>
      </c>
      <c r="B23" s="36">
        <f>milestone_3day_new!B22</f>
        <v>3800</v>
      </c>
      <c r="C23" s="37">
        <f>milestone_3day_new!C22</f>
        <v>65900</v>
      </c>
      <c r="D23" s="38" t="b">
        <f>milestone_3day_new!D22</f>
        <v>0</v>
      </c>
      <c r="E23" s="39" t="str">
        <f>IFERROR(IF(CEILING($C23*3/data_raw_3_day!$F$3,1)&gt;3,"X","D"&amp;CEILING($C23*3/data_raw_3_day!$F$3,1)),"X")</f>
        <v>X</v>
      </c>
      <c r="F23" s="39" t="str">
        <f>IFERROR(IF(CEILING($C23*3/data_raw_3_day!$F$4,1)&gt;3,"X","D"&amp;CEILING($C23*3/data_raw_3_day!$F$4,1)),"X")</f>
        <v>X</v>
      </c>
      <c r="G23" s="39" t="str">
        <f>IFERROR(IF(CEILING($C23*3/data_raw_3_day!$F$5,1)&gt;3,"X","D"&amp;CEILING($C23*3/data_raw_3_day!$F$5,1)),"X")</f>
        <v>X</v>
      </c>
      <c r="H23" s="39" t="str">
        <f>IFERROR(IF(CEILING($C23*3/data_raw_3_day!$F$6,1)&gt;3,"X","D"&amp;CEILING($C23*3/data_raw_3_day!$F$6,1)),"X")</f>
        <v>X</v>
      </c>
      <c r="I23" s="39" t="str">
        <f>IFERROR(IF(CEILING($C23*3/data_raw_3_day!$F$7,1)&gt;3,"X","D"&amp;CEILING($C23*3/data_raw_3_day!$F$7,1)),"X")</f>
        <v>D3</v>
      </c>
      <c r="J23" s="39" t="str">
        <f>IFERROR(IF(CEILING($C23*3/data_raw_3_day!$F$9,1)&gt;3,"X","D"&amp;CEILING($C23*3/data_raw_3_day!$F$9,1)),"X")</f>
        <v>X</v>
      </c>
      <c r="K23" s="39" t="str">
        <f>IFERROR(IF(CEILING($C23*3/data_raw_3_day!$F$10,1)&gt;3,"X","D"&amp;CEILING($C23*3/data_raw_3_day!$F$10,1)),"X")</f>
        <v>X</v>
      </c>
      <c r="L23" s="39" t="str">
        <f>IFERROR(IF(CEILING($C23*3/data_raw_3_day!$F$11,1)&gt;3,"X","D"&amp;CEILING($C23*3/data_raw_3_day!$F$11,1)),"X")</f>
        <v>X</v>
      </c>
      <c r="M23" s="39" t="str">
        <f>IFERROR(IF(CEILING($C23*3/data_raw_3_day!$F$12,1)&gt;3,"X","D"&amp;CEILING($C23*3/data_raw_3_day!$F$12,1)),"X")</f>
        <v>X</v>
      </c>
      <c r="N23" s="39" t="str">
        <f>IFERROR(IF(CEILING($C23*3/data_raw_3_day!$F$13,1)&gt;3,"X","D"&amp;CEILING($C23*3/data_raw_3_day!$F$13,1)),"X")</f>
        <v>D3</v>
      </c>
    </row>
    <row r="24" ht="15.0" customHeight="1">
      <c r="A24" s="22">
        <f>milestone_3day_new!A23</f>
        <v>20</v>
      </c>
      <c r="B24" s="36">
        <f>milestone_3day_new!B23</f>
        <v>7000</v>
      </c>
      <c r="C24" s="37">
        <f>milestone_3day_new!C23</f>
        <v>72900</v>
      </c>
      <c r="D24" s="38" t="b">
        <f>milestone_3day_new!D23</f>
        <v>0</v>
      </c>
      <c r="E24" s="39" t="str">
        <f>IFERROR(IF(CEILING($C24*3/data_raw_3_day!$F$3,1)&gt;3,"X","D"&amp;CEILING($C24*3/data_raw_3_day!$F$3,1)),"X")</f>
        <v>X</v>
      </c>
      <c r="F24" s="39" t="str">
        <f>IFERROR(IF(CEILING($C24*3/data_raw_3_day!$F$4,1)&gt;3,"X","D"&amp;CEILING($C24*3/data_raw_3_day!$F$4,1)),"X")</f>
        <v>X</v>
      </c>
      <c r="G24" s="39" t="str">
        <f>IFERROR(IF(CEILING($C24*3/data_raw_3_day!$F$5,1)&gt;3,"X","D"&amp;CEILING($C24*3/data_raw_3_day!$F$5,1)),"X")</f>
        <v>X</v>
      </c>
      <c r="H24" s="39" t="str">
        <f>IFERROR(IF(CEILING($C24*3/data_raw_3_day!$F$6,1)&gt;3,"X","D"&amp;CEILING($C24*3/data_raw_3_day!$F$6,1)),"X")</f>
        <v>X</v>
      </c>
      <c r="I24" s="39" t="str">
        <f>IFERROR(IF(CEILING($C24*3/data_raw_3_day!$F$7,1)&gt;3,"X","D"&amp;CEILING($C24*3/data_raw_3_day!$F$7,1)),"X")</f>
        <v>D3</v>
      </c>
      <c r="J24" s="39" t="str">
        <f>IFERROR(IF(CEILING($C24*3/data_raw_3_day!$F$9,1)&gt;3,"X","D"&amp;CEILING($C24*3/data_raw_3_day!$F$9,1)),"X")</f>
        <v>X</v>
      </c>
      <c r="K24" s="39" t="str">
        <f>IFERROR(IF(CEILING($C24*3/data_raw_3_day!$F$10,1)&gt;3,"X","D"&amp;CEILING($C24*3/data_raw_3_day!$F$10,1)),"X")</f>
        <v>X</v>
      </c>
      <c r="L24" s="39" t="str">
        <f>IFERROR(IF(CEILING($C24*3/data_raw_3_day!$F$11,1)&gt;3,"X","D"&amp;CEILING($C24*3/data_raw_3_day!$F$11,1)),"X")</f>
        <v>X</v>
      </c>
      <c r="M24" s="39" t="str">
        <f>IFERROR(IF(CEILING($C24*3/data_raw_3_day!$F$12,1)&gt;3,"X","D"&amp;CEILING($C24*3/data_raw_3_day!$F$12,1)),"X")</f>
        <v>X</v>
      </c>
      <c r="N24" s="39" t="str">
        <f>IFERROR(IF(CEILING($C24*3/data_raw_3_day!$F$13,1)&gt;3,"X","D"&amp;CEILING($C24*3/data_raw_3_day!$F$13,1)),"X")</f>
        <v>D3</v>
      </c>
    </row>
    <row r="25" ht="15.0" customHeight="1">
      <c r="A25" s="22">
        <f>milestone_3day_new!A24</f>
        <v>21</v>
      </c>
      <c r="B25" s="36">
        <f>milestone_3day_new!B24</f>
        <v>19500</v>
      </c>
      <c r="C25" s="37">
        <f>milestone_3day_new!C24</f>
        <v>92400</v>
      </c>
      <c r="D25" s="38" t="b">
        <f>milestone_3day_new!D24</f>
        <v>1</v>
      </c>
      <c r="E25" s="39" t="str">
        <f>IFERROR(IF(CEILING($C25*3/data_raw_3_day!$F$3,1)&gt;3,"X","D"&amp;CEILING($C25*3/data_raw_3_day!$F$3,1)),"X")</f>
        <v>X</v>
      </c>
      <c r="F25" s="39" t="str">
        <f>IFERROR(IF(CEILING($C25*3/data_raw_3_day!$F$4,1)&gt;3,"X","D"&amp;CEILING($C25*3/data_raw_3_day!$F$4,1)),"X")</f>
        <v>X</v>
      </c>
      <c r="G25" s="39" t="str">
        <f>IFERROR(IF(CEILING($C25*3/data_raw_3_day!$F$5,1)&gt;3,"X","D"&amp;CEILING($C25*3/data_raw_3_day!$F$5,1)),"X")</f>
        <v>X</v>
      </c>
      <c r="H25" s="39" t="str">
        <f>IFERROR(IF(CEILING($C25*3/data_raw_3_day!$F$6,1)&gt;3,"X","D"&amp;CEILING($C25*3/data_raw_3_day!$F$6,1)),"X")</f>
        <v>X</v>
      </c>
      <c r="I25" s="39" t="str">
        <f>IFERROR(IF(CEILING($C25*3/data_raw_3_day!$F$7,1)&gt;3,"X","D"&amp;CEILING($C25*3/data_raw_3_day!$F$7,1)),"X")</f>
        <v>X</v>
      </c>
      <c r="J25" s="39" t="str">
        <f>IFERROR(IF(CEILING($C25*3/data_raw_3_day!$F$9,1)&gt;3,"X","D"&amp;CEILING($C25*3/data_raw_3_day!$F$9,1)),"X")</f>
        <v>X</v>
      </c>
      <c r="K25" s="39" t="str">
        <f>IFERROR(IF(CEILING($C25*3/data_raw_3_day!$F$10,1)&gt;3,"X","D"&amp;CEILING($C25*3/data_raw_3_day!$F$10,1)),"X")</f>
        <v>X</v>
      </c>
      <c r="L25" s="39" t="str">
        <f>IFERROR(IF(CEILING($C25*3/data_raw_3_day!$F$11,1)&gt;3,"X","D"&amp;CEILING($C25*3/data_raw_3_day!$F$11,1)),"X")</f>
        <v>X</v>
      </c>
      <c r="M25" s="39" t="str">
        <f>IFERROR(IF(CEILING($C25*3/data_raw_3_day!$F$12,1)&gt;3,"X","D"&amp;CEILING($C25*3/data_raw_3_day!$F$12,1)),"X")</f>
        <v>X</v>
      </c>
      <c r="N25" s="39" t="str">
        <f>IFERROR(IF(CEILING($C25*3/data_raw_3_day!$F$13,1)&gt;3,"X","D"&amp;CEILING($C25*3/data_raw_3_day!$F$13,1)),"X")</f>
        <v>X</v>
      </c>
    </row>
    <row r="26" ht="15.0" customHeight="1">
      <c r="A26" s="22">
        <f>milestone_3day_new!A25</f>
        <v>22</v>
      </c>
      <c r="B26" s="36">
        <f>milestone_3day_new!B25</f>
        <v>4900</v>
      </c>
      <c r="C26" s="37">
        <f>milestone_3day_new!C25</f>
        <v>97300</v>
      </c>
      <c r="D26" s="38" t="b">
        <f>milestone_3day_new!D25</f>
        <v>0</v>
      </c>
      <c r="E26" s="39" t="str">
        <f>IFERROR(IF(CEILING($C26*3/data_raw_3_day!$F$3,1)&gt;3,"X","D"&amp;CEILING($C26*3/data_raw_3_day!$F$3,1)),"X")</f>
        <v>X</v>
      </c>
      <c r="F26" s="39" t="str">
        <f>IFERROR(IF(CEILING($C26*3/data_raw_3_day!$F$4,1)&gt;3,"X","D"&amp;CEILING($C26*3/data_raw_3_day!$F$4,1)),"X")</f>
        <v>X</v>
      </c>
      <c r="G26" s="39" t="str">
        <f>IFERROR(IF(CEILING($C26*3/data_raw_3_day!$F$5,1)&gt;3,"X","D"&amp;CEILING($C26*3/data_raw_3_day!$F$5,1)),"X")</f>
        <v>X</v>
      </c>
      <c r="H26" s="39" t="str">
        <f>IFERROR(IF(CEILING($C26*3/data_raw_3_day!$F$6,1)&gt;3,"X","D"&amp;CEILING($C26*3/data_raw_3_day!$F$6,1)),"X")</f>
        <v>X</v>
      </c>
      <c r="I26" s="39" t="str">
        <f>IFERROR(IF(CEILING($C26*3/data_raw_3_day!$F$7,1)&gt;3,"X","D"&amp;CEILING($C26*3/data_raw_3_day!$F$7,1)),"X")</f>
        <v>X</v>
      </c>
      <c r="J26" s="39" t="str">
        <f>IFERROR(IF(CEILING($C26*3/data_raw_3_day!$F$9,1)&gt;3,"X","D"&amp;CEILING($C26*3/data_raw_3_day!$F$9,1)),"X")</f>
        <v>X</v>
      </c>
      <c r="K26" s="39" t="str">
        <f>IFERROR(IF(CEILING($C26*3/data_raw_3_day!$F$10,1)&gt;3,"X","D"&amp;CEILING($C26*3/data_raw_3_day!$F$10,1)),"X")</f>
        <v>X</v>
      </c>
      <c r="L26" s="39" t="str">
        <f>IFERROR(IF(CEILING($C26*3/data_raw_3_day!$F$11,1)&gt;3,"X","D"&amp;CEILING($C26*3/data_raw_3_day!$F$11,1)),"X")</f>
        <v>X</v>
      </c>
      <c r="M26" s="39" t="str">
        <f>IFERROR(IF(CEILING($C26*3/data_raw_3_day!$F$12,1)&gt;3,"X","D"&amp;CEILING($C26*3/data_raw_3_day!$F$12,1)),"X")</f>
        <v>X</v>
      </c>
      <c r="N26" s="39" t="str">
        <f>IFERROR(IF(CEILING($C26*3/data_raw_3_day!$F$13,1)&gt;3,"X","D"&amp;CEILING($C26*3/data_raw_3_day!$F$13,1)),"X")</f>
        <v>X</v>
      </c>
    </row>
    <row r="27" ht="15.0" customHeight="1">
      <c r="A27" s="22">
        <f>milestone_3day_new!A26</f>
        <v>23</v>
      </c>
      <c r="B27" s="36">
        <f>milestone_3day_new!B26</f>
        <v>8750</v>
      </c>
      <c r="C27" s="37">
        <f>milestone_3day_new!C26</f>
        <v>106050</v>
      </c>
      <c r="D27" s="38" t="b">
        <f>milestone_3day_new!D26</f>
        <v>0</v>
      </c>
      <c r="E27" s="39" t="str">
        <f>IFERROR(IF(CEILING($C27*3/data_raw_3_day!$F$3,1)&gt;3,"X","D"&amp;CEILING($C27*3/data_raw_3_day!$F$3,1)),"X")</f>
        <v>X</v>
      </c>
      <c r="F27" s="39" t="str">
        <f>IFERROR(IF(CEILING($C27*3/data_raw_3_day!$F$4,1)&gt;3,"X","D"&amp;CEILING($C27*3/data_raw_3_day!$F$4,1)),"X")</f>
        <v>X</v>
      </c>
      <c r="G27" s="39" t="str">
        <f>IFERROR(IF(CEILING($C27*3/data_raw_3_day!$F$5,1)&gt;3,"X","D"&amp;CEILING($C27*3/data_raw_3_day!$F$5,1)),"X")</f>
        <v>X</v>
      </c>
      <c r="H27" s="39" t="str">
        <f>IFERROR(IF(CEILING($C27*3/data_raw_3_day!$F$6,1)&gt;3,"X","D"&amp;CEILING($C27*3/data_raw_3_day!$F$6,1)),"X")</f>
        <v>X</v>
      </c>
      <c r="I27" s="39" t="str">
        <f>IFERROR(IF(CEILING($C27*3/data_raw_3_day!$F$7,1)&gt;3,"X","D"&amp;CEILING($C27*3/data_raw_3_day!$F$7,1)),"X")</f>
        <v>X</v>
      </c>
      <c r="J27" s="39" t="str">
        <f>IFERROR(IF(CEILING($C27*3/data_raw_3_day!$F$9,1)&gt;3,"X","D"&amp;CEILING($C27*3/data_raw_3_day!$F$9,1)),"X")</f>
        <v>X</v>
      </c>
      <c r="K27" s="39" t="str">
        <f>IFERROR(IF(CEILING($C27*3/data_raw_3_day!$F$10,1)&gt;3,"X","D"&amp;CEILING($C27*3/data_raw_3_day!$F$10,1)),"X")</f>
        <v>X</v>
      </c>
      <c r="L27" s="39" t="str">
        <f>IFERROR(IF(CEILING($C27*3/data_raw_3_day!$F$11,1)&gt;3,"X","D"&amp;CEILING($C27*3/data_raw_3_day!$F$11,1)),"X")</f>
        <v>X</v>
      </c>
      <c r="M27" s="39" t="str">
        <f>IFERROR(IF(CEILING($C27*3/data_raw_3_day!$F$12,1)&gt;3,"X","D"&amp;CEILING($C27*3/data_raw_3_day!$F$12,1)),"X")</f>
        <v>X</v>
      </c>
      <c r="N27" s="39" t="str">
        <f>IFERROR(IF(CEILING($C27*3/data_raw_3_day!$F$13,1)&gt;3,"X","D"&amp;CEILING($C27*3/data_raw_3_day!$F$13,1)),"X")</f>
        <v>X</v>
      </c>
    </row>
    <row r="28" ht="15.0" customHeight="1">
      <c r="A28" s="22">
        <f>milestone_3day_new!A27</f>
        <v>24</v>
      </c>
      <c r="B28" s="36">
        <f>milestone_3day_new!B27</f>
        <v>22000</v>
      </c>
      <c r="C28" s="37">
        <f>milestone_3day_new!C27</f>
        <v>128050</v>
      </c>
      <c r="D28" s="38" t="b">
        <f>milestone_3day_new!D27</f>
        <v>1</v>
      </c>
      <c r="E28" s="39" t="str">
        <f>IFERROR(IF(CEILING($C28*3/data_raw_3_day!$F$3,1)&gt;3,"X","D"&amp;CEILING($C28*3/data_raw_3_day!$F$3,1)),"X")</f>
        <v>X</v>
      </c>
      <c r="F28" s="39" t="str">
        <f>IFERROR(IF(CEILING($C28*3/data_raw_3_day!$F$4,1)&gt;3,"X","D"&amp;CEILING($C28*3/data_raw_3_day!$F$4,1)),"X")</f>
        <v>X</v>
      </c>
      <c r="G28" s="39" t="str">
        <f>IFERROR(IF(CEILING($C28*3/data_raw_3_day!$F$5,1)&gt;3,"X","D"&amp;CEILING($C28*3/data_raw_3_day!$F$5,1)),"X")</f>
        <v>X</v>
      </c>
      <c r="H28" s="39" t="str">
        <f>IFERROR(IF(CEILING($C28*3/data_raw_3_day!$F$6,1)&gt;3,"X","D"&amp;CEILING($C28*3/data_raw_3_day!$F$6,1)),"X")</f>
        <v>X</v>
      </c>
      <c r="I28" s="39" t="str">
        <f>IFERROR(IF(CEILING($C28*3/data_raw_3_day!$F$7,1)&gt;3,"X","D"&amp;CEILING($C28*3/data_raw_3_day!$F$7,1)),"X")</f>
        <v>X</v>
      </c>
      <c r="J28" s="39" t="str">
        <f>IFERROR(IF(CEILING($C28*3/data_raw_3_day!$F$9,1)&gt;3,"X","D"&amp;CEILING($C28*3/data_raw_3_day!$F$9,1)),"X")</f>
        <v>X</v>
      </c>
      <c r="K28" s="39" t="str">
        <f>IFERROR(IF(CEILING($C28*3/data_raw_3_day!$F$10,1)&gt;3,"X","D"&amp;CEILING($C28*3/data_raw_3_day!$F$10,1)),"X")</f>
        <v>X</v>
      </c>
      <c r="L28" s="39" t="str">
        <f>IFERROR(IF(CEILING($C28*3/data_raw_3_day!$F$11,1)&gt;3,"X","D"&amp;CEILING($C28*3/data_raw_3_day!$F$11,1)),"X")</f>
        <v>X</v>
      </c>
      <c r="M28" s="39" t="str">
        <f>IFERROR(IF(CEILING($C28*3/data_raw_3_day!$F$12,1)&gt;3,"X","D"&amp;CEILING($C28*3/data_raw_3_day!$F$12,1)),"X")</f>
        <v>X</v>
      </c>
      <c r="N28" s="39" t="str">
        <f>IFERROR(IF(CEILING($C28*3/data_raw_3_day!$F$13,1)&gt;3,"X","D"&amp;CEILING($C28*3/data_raw_3_day!$F$13,1)),"X")</f>
        <v>X</v>
      </c>
    </row>
    <row r="29" ht="15.0" customHeight="1">
      <c r="A29" s="22">
        <f>milestone_3day_new!A28</f>
        <v>25</v>
      </c>
      <c r="B29" s="36">
        <f>milestone_3day_new!B28</f>
        <v>5500</v>
      </c>
      <c r="C29" s="37">
        <f>milestone_3day_new!C28</f>
        <v>133550</v>
      </c>
      <c r="D29" s="38" t="b">
        <f>milestone_3day_new!D28</f>
        <v>0</v>
      </c>
      <c r="E29" s="39" t="str">
        <f>IFERROR(IF(CEILING($C29*3/data_raw_3_day!$F$3,1)&gt;3,"X","D"&amp;CEILING($C29*3/data_raw_3_day!$F$3,1)),"X")</f>
        <v>X</v>
      </c>
      <c r="F29" s="39" t="str">
        <f>IFERROR(IF(CEILING($C29*3/data_raw_3_day!$F$4,1)&gt;3,"X","D"&amp;CEILING($C29*3/data_raw_3_day!$F$4,1)),"X")</f>
        <v>X</v>
      </c>
      <c r="G29" s="39" t="str">
        <f>IFERROR(IF(CEILING($C29*3/data_raw_3_day!$F$5,1)&gt;3,"X","D"&amp;CEILING($C29*3/data_raw_3_day!$F$5,1)),"X")</f>
        <v>X</v>
      </c>
      <c r="H29" s="39" t="str">
        <f>IFERROR(IF(CEILING($C29*3/data_raw_3_day!$F$6,1)&gt;3,"X","D"&amp;CEILING($C29*3/data_raw_3_day!$F$6,1)),"X")</f>
        <v>X</v>
      </c>
      <c r="I29" s="39" t="str">
        <f>IFERROR(IF(CEILING($C29*3/data_raw_3_day!$F$7,1)&gt;3,"X","D"&amp;CEILING($C29*3/data_raw_3_day!$F$7,1)),"X")</f>
        <v>X</v>
      </c>
      <c r="J29" s="39" t="str">
        <f>IFERROR(IF(CEILING($C29*3/data_raw_3_day!$F$9,1)&gt;3,"X","D"&amp;CEILING($C29*3/data_raw_3_day!$F$9,1)),"X")</f>
        <v>X</v>
      </c>
      <c r="K29" s="39" t="str">
        <f>IFERROR(IF(CEILING($C29*3/data_raw_3_day!$F$10,1)&gt;3,"X","D"&amp;CEILING($C29*3/data_raw_3_day!$F$10,1)),"X")</f>
        <v>X</v>
      </c>
      <c r="L29" s="39" t="str">
        <f>IFERROR(IF(CEILING($C29*3/data_raw_3_day!$F$11,1)&gt;3,"X","D"&amp;CEILING($C29*3/data_raw_3_day!$F$11,1)),"X")</f>
        <v>X</v>
      </c>
      <c r="M29" s="39" t="str">
        <f>IFERROR(IF(CEILING($C29*3/data_raw_3_day!$F$12,1)&gt;3,"X","D"&amp;CEILING($C29*3/data_raw_3_day!$F$12,1)),"X")</f>
        <v>X</v>
      </c>
      <c r="N29" s="39" t="str">
        <f>IFERROR(IF(CEILING($C29*3/data_raw_3_day!$F$13,1)&gt;3,"X","D"&amp;CEILING($C29*3/data_raw_3_day!$F$13,1)),"X")</f>
        <v>X</v>
      </c>
    </row>
    <row r="30" ht="15.0" customHeight="1">
      <c r="A30" s="22">
        <f>milestone_3day_new!A29</f>
        <v>26</v>
      </c>
      <c r="B30" s="36">
        <f>milestone_3day_new!B29</f>
        <v>8210</v>
      </c>
      <c r="C30" s="37">
        <f>milestone_3day_new!C29</f>
        <v>141760</v>
      </c>
      <c r="D30" s="38" t="b">
        <f>milestone_3day_new!D29</f>
        <v>0</v>
      </c>
      <c r="E30" s="39" t="str">
        <f>IFERROR(IF(CEILING($C30*3/data_raw_3_day!$F$3,1)&gt;3,"X","D"&amp;CEILING($C30*3/data_raw_3_day!$F$3,1)),"X")</f>
        <v>X</v>
      </c>
      <c r="F30" s="39" t="str">
        <f>IFERROR(IF(CEILING($C30*3/data_raw_3_day!$F$4,1)&gt;3,"X","D"&amp;CEILING($C30*3/data_raw_3_day!$F$4,1)),"X")</f>
        <v>X</v>
      </c>
      <c r="G30" s="39" t="str">
        <f>IFERROR(IF(CEILING($C30*3/data_raw_3_day!$F$5,1)&gt;3,"X","D"&amp;CEILING($C30*3/data_raw_3_day!$F$5,1)),"X")</f>
        <v>X</v>
      </c>
      <c r="H30" s="39" t="str">
        <f>IFERROR(IF(CEILING($C30*3/data_raw_3_day!$F$6,1)&gt;3,"X","D"&amp;CEILING($C30*3/data_raw_3_day!$F$6,1)),"X")</f>
        <v>X</v>
      </c>
      <c r="I30" s="39" t="str">
        <f>IFERROR(IF(CEILING($C30*3/data_raw_3_day!$F$7,1)&gt;3,"X","D"&amp;CEILING($C30*3/data_raw_3_day!$F$7,1)),"X")</f>
        <v>X</v>
      </c>
      <c r="J30" s="39" t="str">
        <f>IFERROR(IF(CEILING($C30*3/data_raw_3_day!$F$9,1)&gt;3,"X","D"&amp;CEILING($C30*3/data_raw_3_day!$F$9,1)),"X")</f>
        <v>X</v>
      </c>
      <c r="K30" s="39" t="str">
        <f>IFERROR(IF(CEILING($C30*3/data_raw_3_day!$F$10,1)&gt;3,"X","D"&amp;CEILING($C30*3/data_raw_3_day!$F$10,1)),"X")</f>
        <v>X</v>
      </c>
      <c r="L30" s="39" t="str">
        <f>IFERROR(IF(CEILING($C30*3/data_raw_3_day!$F$11,1)&gt;3,"X","D"&amp;CEILING($C30*3/data_raw_3_day!$F$11,1)),"X")</f>
        <v>X</v>
      </c>
      <c r="M30" s="39" t="str">
        <f>IFERROR(IF(CEILING($C30*3/data_raw_3_day!$F$12,1)&gt;3,"X","D"&amp;CEILING($C30*3/data_raw_3_day!$F$12,1)),"X")</f>
        <v>X</v>
      </c>
      <c r="N30" s="39" t="str">
        <f>IFERROR(IF(CEILING($C30*3/data_raw_3_day!$F$13,1)&gt;3,"X","D"&amp;CEILING($C30*3/data_raw_3_day!$F$13,1)),"X")</f>
        <v>X</v>
      </c>
    </row>
    <row r="31" ht="15.0" customHeight="1">
      <c r="A31" s="22">
        <f>milestone_3day_new!A30</f>
        <v>27</v>
      </c>
      <c r="B31" s="36">
        <f>milestone_3day_new!B30</f>
        <v>49000</v>
      </c>
      <c r="C31" s="37">
        <f>milestone_3day_new!C30</f>
        <v>190760</v>
      </c>
      <c r="D31" s="38" t="b">
        <f>milestone_3day_new!D30</f>
        <v>1</v>
      </c>
      <c r="E31" s="39" t="str">
        <f>IFERROR(IF(CEILING($C31*3/data_raw_3_day!$F$3,1)&gt;3,"X","D"&amp;CEILING($C31*3/data_raw_3_day!$F$3,1)),"X")</f>
        <v>X</v>
      </c>
      <c r="F31" s="39" t="str">
        <f>IFERROR(IF(CEILING($C31*3/data_raw_3_day!$F$4,1)&gt;3,"X","D"&amp;CEILING($C31*3/data_raw_3_day!$F$4,1)),"X")</f>
        <v>X</v>
      </c>
      <c r="G31" s="39" t="str">
        <f>IFERROR(IF(CEILING($C31*3/data_raw_3_day!$F$5,1)&gt;3,"X","D"&amp;CEILING($C31*3/data_raw_3_day!$F$5,1)),"X")</f>
        <v>X</v>
      </c>
      <c r="H31" s="39" t="str">
        <f>IFERROR(IF(CEILING($C31*3/data_raw_3_day!$F$6,1)&gt;3,"X","D"&amp;CEILING($C31*3/data_raw_3_day!$F$6,1)),"X")</f>
        <v>X</v>
      </c>
      <c r="I31" s="39" t="str">
        <f>IFERROR(IF(CEILING($C31*3/data_raw_3_day!$F$7,1)&gt;3,"X","D"&amp;CEILING($C31*3/data_raw_3_day!$F$7,1)),"X")</f>
        <v>X</v>
      </c>
      <c r="J31" s="39" t="str">
        <f>IFERROR(IF(CEILING($C31*3/data_raw_3_day!$F$9,1)&gt;3,"X","D"&amp;CEILING($C31*3/data_raw_3_day!$F$9,1)),"X")</f>
        <v>X</v>
      </c>
      <c r="K31" s="39" t="str">
        <f>IFERROR(IF(CEILING($C31*3/data_raw_3_day!$F$10,1)&gt;3,"X","D"&amp;CEILING($C31*3/data_raw_3_day!$F$10,1)),"X")</f>
        <v>X</v>
      </c>
      <c r="L31" s="39" t="str">
        <f>IFERROR(IF(CEILING($C31*3/data_raw_3_day!$F$11,1)&gt;3,"X","D"&amp;CEILING($C31*3/data_raw_3_day!$F$11,1)),"X")</f>
        <v>X</v>
      </c>
      <c r="M31" s="39" t="str">
        <f>IFERROR(IF(CEILING($C31*3/data_raw_3_day!$F$12,1)&gt;3,"X","D"&amp;CEILING($C31*3/data_raw_3_day!$F$12,1)),"X")</f>
        <v>X</v>
      </c>
      <c r="N31" s="39" t="str">
        <f>IFERROR(IF(CEILING($C31*3/data_raw_3_day!$F$13,1)&gt;3,"X","D"&amp;CEILING($C31*3/data_raw_3_day!$F$13,1)),"X")</f>
        <v>X</v>
      </c>
    </row>
    <row r="32" ht="15.0" customHeight="1">
      <c r="A32" s="22">
        <f>milestone_3day_new!A31</f>
        <v>28</v>
      </c>
      <c r="B32" s="36">
        <f>milestone_3day_new!B31</f>
        <v>12250</v>
      </c>
      <c r="C32" s="37">
        <f>milestone_3day_new!C31</f>
        <v>203010</v>
      </c>
      <c r="D32" s="38" t="b">
        <f>milestone_3day_new!D31</f>
        <v>0</v>
      </c>
      <c r="E32" s="39" t="str">
        <f>IFERROR(IF(CEILING($C32*3/data_raw_3_day!$F$3,1)&gt;3,"X","D"&amp;CEILING($C32*3/data_raw_3_day!$F$3,1)),"X")</f>
        <v>X</v>
      </c>
      <c r="F32" s="39" t="str">
        <f>IFERROR(IF(CEILING($C32*3/data_raw_3_day!$F$4,1)&gt;3,"X","D"&amp;CEILING($C32*3/data_raw_3_day!$F$4,1)),"X")</f>
        <v>X</v>
      </c>
      <c r="G32" s="39" t="str">
        <f>IFERROR(IF(CEILING($C32*3/data_raw_3_day!$F$5,1)&gt;3,"X","D"&amp;CEILING($C32*3/data_raw_3_day!$F$5,1)),"X")</f>
        <v>X</v>
      </c>
      <c r="H32" s="39" t="str">
        <f>IFERROR(IF(CEILING($C32*3/data_raw_3_day!$F$6,1)&gt;3,"X","D"&amp;CEILING($C32*3/data_raw_3_day!$F$6,1)),"X")</f>
        <v>X</v>
      </c>
      <c r="I32" s="39" t="str">
        <f>IFERROR(IF(CEILING($C32*3/data_raw_3_day!$F$7,1)&gt;3,"X","D"&amp;CEILING($C32*3/data_raw_3_day!$F$7,1)),"X")</f>
        <v>X</v>
      </c>
      <c r="J32" s="39" t="str">
        <f>IFERROR(IF(CEILING($C32*3/data_raw_3_day!$F$9,1)&gt;3,"X","D"&amp;CEILING($C32*3/data_raw_3_day!$F$9,1)),"X")</f>
        <v>X</v>
      </c>
      <c r="K32" s="39" t="str">
        <f>IFERROR(IF(CEILING($C32*3/data_raw_3_day!$F$10,1)&gt;3,"X","D"&amp;CEILING($C32*3/data_raw_3_day!$F$10,1)),"X")</f>
        <v>X</v>
      </c>
      <c r="L32" s="39" t="str">
        <f>IFERROR(IF(CEILING($C32*3/data_raw_3_day!$F$11,1)&gt;3,"X","D"&amp;CEILING($C32*3/data_raw_3_day!$F$11,1)),"X")</f>
        <v>X</v>
      </c>
      <c r="M32" s="39" t="str">
        <f>IFERROR(IF(CEILING($C32*3/data_raw_3_day!$F$12,1)&gt;3,"X","D"&amp;CEILING($C32*3/data_raw_3_day!$F$12,1)),"X")</f>
        <v>X</v>
      </c>
      <c r="N32" s="39" t="str">
        <f>IFERROR(IF(CEILING($C32*3/data_raw_3_day!$F$13,1)&gt;3,"X","D"&amp;CEILING($C32*3/data_raw_3_day!$F$13,1)),"X")</f>
        <v>X</v>
      </c>
    </row>
    <row r="33" ht="15.0" customHeight="1">
      <c r="A33" s="22">
        <f>milestone_3day_new!A32</f>
        <v>29</v>
      </c>
      <c r="B33" s="36">
        <f>milestone_3day_new!B32</f>
        <v>22000</v>
      </c>
      <c r="C33" s="37">
        <f>milestone_3day_new!C32</f>
        <v>225010</v>
      </c>
      <c r="D33" s="38" t="b">
        <f>milestone_3day_new!D32</f>
        <v>0</v>
      </c>
      <c r="E33" s="39" t="str">
        <f>IFERROR(IF(CEILING($C33*3/data_raw_3_day!$F$3,1)&gt;3,"X","D"&amp;CEILING($C33*3/data_raw_3_day!$F$3,1)),"X")</f>
        <v>X</v>
      </c>
      <c r="F33" s="39" t="str">
        <f>IFERROR(IF(CEILING($C33*3/data_raw_3_day!$F$4,1)&gt;3,"X","D"&amp;CEILING($C33*3/data_raw_3_day!$F$4,1)),"X")</f>
        <v>X</v>
      </c>
      <c r="G33" s="39" t="str">
        <f>IFERROR(IF(CEILING($C33*3/data_raw_3_day!$F$5,1)&gt;3,"X","D"&amp;CEILING($C33*3/data_raw_3_day!$F$5,1)),"X")</f>
        <v>X</v>
      </c>
      <c r="H33" s="39" t="str">
        <f>IFERROR(IF(CEILING($C33*3/data_raw_3_day!$F$6,1)&gt;3,"X","D"&amp;CEILING($C33*3/data_raw_3_day!$F$6,1)),"X")</f>
        <v>X</v>
      </c>
      <c r="I33" s="39" t="str">
        <f>IFERROR(IF(CEILING($C33*3/data_raw_3_day!$F$7,1)&gt;3,"X","D"&amp;CEILING($C33*3/data_raw_3_day!$F$7,1)),"X")</f>
        <v>X</v>
      </c>
      <c r="J33" s="39" t="str">
        <f>IFERROR(IF(CEILING($C33*3/data_raw_3_day!$F$9,1)&gt;3,"X","D"&amp;CEILING($C33*3/data_raw_3_day!$F$9,1)),"X")</f>
        <v>X</v>
      </c>
      <c r="K33" s="39" t="str">
        <f>IFERROR(IF(CEILING($C33*3/data_raw_3_day!$F$10,1)&gt;3,"X","D"&amp;CEILING($C33*3/data_raw_3_day!$F$10,1)),"X")</f>
        <v>X</v>
      </c>
      <c r="L33" s="39" t="str">
        <f>IFERROR(IF(CEILING($C33*3/data_raw_3_day!$F$11,1)&gt;3,"X","D"&amp;CEILING($C33*3/data_raw_3_day!$F$11,1)),"X")</f>
        <v>X</v>
      </c>
      <c r="M33" s="39" t="str">
        <f>IFERROR(IF(CEILING($C33*3/data_raw_3_day!$F$12,1)&gt;3,"X","D"&amp;CEILING($C33*3/data_raw_3_day!$F$12,1)),"X")</f>
        <v>X</v>
      </c>
      <c r="N33" s="39" t="str">
        <f>IFERROR(IF(CEILING($C33*3/data_raw_3_day!$F$13,1)&gt;3,"X","D"&amp;CEILING($C33*3/data_raw_3_day!$F$13,1)),"X")</f>
        <v>X</v>
      </c>
    </row>
    <row r="34" ht="15.0" customHeight="1">
      <c r="A34" s="22">
        <f>milestone_3day_new!A33</f>
        <v>30</v>
      </c>
      <c r="B34" s="36">
        <f>milestone_3day_new!B33</f>
        <v>67000</v>
      </c>
      <c r="C34" s="37">
        <f>milestone_3day_new!C33</f>
        <v>292010</v>
      </c>
      <c r="D34" s="38" t="b">
        <f>milestone_3day_new!D33</f>
        <v>1</v>
      </c>
      <c r="E34" s="39" t="str">
        <f>IFERROR(IF(CEILING($C34*3/data_raw_3_day!$F$3,1)&gt;3,"X","D"&amp;CEILING($C34*3/data_raw_3_day!$F$3,1)),"X")</f>
        <v>X</v>
      </c>
      <c r="F34" s="39" t="str">
        <f>IFERROR(IF(CEILING($C34*3/data_raw_3_day!$F$4,1)&gt;3,"X","D"&amp;CEILING($C34*3/data_raw_3_day!$F$4,1)),"X")</f>
        <v>X</v>
      </c>
      <c r="G34" s="39" t="str">
        <f>IFERROR(IF(CEILING($C34*3/data_raw_3_day!$F$5,1)&gt;3,"X","D"&amp;CEILING($C34*3/data_raw_3_day!$F$5,1)),"X")</f>
        <v>X</v>
      </c>
      <c r="H34" s="39" t="str">
        <f>IFERROR(IF(CEILING($C34*3/data_raw_3_day!$F$6,1)&gt;3,"X","D"&amp;CEILING($C34*3/data_raw_3_day!$F$6,1)),"X")</f>
        <v>X</v>
      </c>
      <c r="I34" s="39" t="str">
        <f>IFERROR(IF(CEILING($C34*3/data_raw_3_day!$F$7,1)&gt;3,"X","D"&amp;CEILING($C34*3/data_raw_3_day!$F$7,1)),"X")</f>
        <v>X</v>
      </c>
      <c r="J34" s="39" t="str">
        <f>IFERROR(IF(CEILING($C34*3/data_raw_3_day!$F$9,1)&gt;3,"X","D"&amp;CEILING($C34*3/data_raw_3_day!$F$9,1)),"X")</f>
        <v>X</v>
      </c>
      <c r="K34" s="39" t="str">
        <f>IFERROR(IF(CEILING($C34*3/data_raw_3_day!$F$10,1)&gt;3,"X","D"&amp;CEILING($C34*3/data_raw_3_day!$F$10,1)),"X")</f>
        <v>X</v>
      </c>
      <c r="L34" s="39" t="str">
        <f>IFERROR(IF(CEILING($C34*3/data_raw_3_day!$F$11,1)&gt;3,"X","D"&amp;CEILING($C34*3/data_raw_3_day!$F$11,1)),"X")</f>
        <v>X</v>
      </c>
      <c r="M34" s="39" t="str">
        <f>IFERROR(IF(CEILING($C34*3/data_raw_3_day!$F$12,1)&gt;3,"X","D"&amp;CEILING($C34*3/data_raw_3_day!$F$12,1)),"X")</f>
        <v>X</v>
      </c>
      <c r="N34" s="39" t="str">
        <f>IFERROR(IF(CEILING($C34*3/data_raw_3_day!$F$13,1)&gt;3,"X","D"&amp;CEILING($C34*3/data_raw_3_day!$F$13,1)),"X")</f>
        <v>X</v>
      </c>
    </row>
    <row r="35" ht="14.25" customHeight="1"/>
    <row r="36" ht="15.0" customHeight="1">
      <c r="A36" s="5" t="s">
        <v>84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0" customHeight="1">
      <c r="A37" s="35" t="s">
        <v>70</v>
      </c>
      <c r="B37" s="35" t="s">
        <v>71</v>
      </c>
      <c r="C37" s="35" t="s">
        <v>72</v>
      </c>
      <c r="D37" s="35" t="s">
        <v>73</v>
      </c>
      <c r="E37" s="35" t="s">
        <v>74</v>
      </c>
      <c r="F37" s="35" t="s">
        <v>75</v>
      </c>
      <c r="G37" s="35" t="s">
        <v>76</v>
      </c>
      <c r="H37" s="35" t="s">
        <v>77</v>
      </c>
      <c r="I37" s="35" t="s">
        <v>78</v>
      </c>
      <c r="J37" s="35" t="s">
        <v>79</v>
      </c>
      <c r="K37" s="35" t="s">
        <v>80</v>
      </c>
      <c r="L37" s="35" t="s">
        <v>81</v>
      </c>
      <c r="M37" s="35" t="s">
        <v>82</v>
      </c>
      <c r="N37" s="35" t="s">
        <v>83</v>
      </c>
    </row>
    <row r="38" ht="15.0" customHeight="1">
      <c r="A38" s="22">
        <f>milestone_4day_new!A4</f>
        <v>1</v>
      </c>
      <c r="B38" s="36">
        <f>milestone_4day_new!B4</f>
        <v>160</v>
      </c>
      <c r="C38" s="37">
        <f>milestone_4day_new!C4</f>
        <v>160</v>
      </c>
      <c r="D38" s="38" t="b">
        <f>milestone_4day_new!D4</f>
        <v>0</v>
      </c>
      <c r="E38" s="39" t="str">
        <f>IFERROR(IF(CEILING($C38*4/data_raw_4_day!$F$3,1)&gt;4,"X","D"&amp;CEILING($C38*4/data_raw_4_day!$F$3,1)),"X")</f>
        <v>D1</v>
      </c>
      <c r="F38" s="39" t="str">
        <f>IFERROR(IF(CEILING($C38*4/data_raw_4_day!$F$4,1)&gt;4,"X","D"&amp;CEILING($C38*4/data_raw_4_day!$F$4,1)),"X")</f>
        <v>D1</v>
      </c>
      <c r="G38" s="39" t="str">
        <f>IFERROR(IF(CEILING($C38*4/data_raw_4_day!$F$5,1)&gt;4,"X","D"&amp;CEILING($C38*4/data_raw_4_day!$F$5,1)),"X")</f>
        <v>D1</v>
      </c>
      <c r="H38" s="39" t="str">
        <f>IFERROR(IF(CEILING($C38*4/data_raw_4_day!$F$6,1)&gt;4,"X","D"&amp;CEILING($C38*4/data_raw_4_day!$F$6,1)),"X")</f>
        <v>D1</v>
      </c>
      <c r="I38" s="39" t="str">
        <f>IFERROR(IF(CEILING($C38*4/data_raw_4_day!$F$7,1)&gt;4,"X","D"&amp;CEILING($C38*4/data_raw_4_day!$F$7,1)),"X")</f>
        <v>D1</v>
      </c>
      <c r="J38" s="39" t="str">
        <f>IFERROR(IF(CEILING($C38*4/data_raw_4_day!$F$9,1)&gt;4,"X","D"&amp;CEILING($C38*4/data_raw_4_day!$F$9,1)),"X")</f>
        <v>D1</v>
      </c>
      <c r="K38" s="39" t="str">
        <f>IFERROR(IF(CEILING($C38*4/data_raw_4_day!$F$10,1)&gt;4,"X","D"&amp;CEILING($C38*4/data_raw_4_day!$F$10,1)),"X")</f>
        <v>D1</v>
      </c>
      <c r="L38" s="39" t="str">
        <f>IFERROR(IF(CEILING($C38*4/data_raw_4_day!$F$11,1)&gt;4,"X","D"&amp;CEILING($C38*4/data_raw_4_day!$F$11,1)),"X")</f>
        <v>D1</v>
      </c>
      <c r="M38" s="39" t="str">
        <f>IFERROR(IF(CEILING($C38*4/data_raw_4_day!$F$12,1)&gt;4,"X","D"&amp;CEILING($C38*4/data_raw_4_day!$F$12,1)),"X")</f>
        <v>D1</v>
      </c>
      <c r="N38" s="39" t="str">
        <f>IFERROR(IF(CEILING($C38*4/data_raw_4_day!$F$13,1)&gt;4,"X","D"&amp;CEILING($C38*4/data_raw_4_day!$F$13,1)),"X")</f>
        <v>D1</v>
      </c>
    </row>
    <row r="39" ht="15.0" customHeight="1">
      <c r="A39" s="22">
        <f>milestone_4day_new!A5</f>
        <v>2</v>
      </c>
      <c r="B39" s="36">
        <f>milestone_4day_new!B5</f>
        <v>300</v>
      </c>
      <c r="C39" s="37">
        <f>milestone_4day_new!C5</f>
        <v>460</v>
      </c>
      <c r="D39" s="38" t="b">
        <f>milestone_4day_new!D5</f>
        <v>0</v>
      </c>
      <c r="E39" s="39" t="str">
        <f>IFERROR(IF(CEILING($C39*4/data_raw_4_day!$F$3,1)&gt;4,"X","D"&amp;CEILING($C39*4/data_raw_4_day!$F$3,1)),"X")</f>
        <v>D1</v>
      </c>
      <c r="F39" s="39" t="str">
        <f>IFERROR(IF(CEILING($C39*4/data_raw_4_day!$F$4,1)&gt;4,"X","D"&amp;CEILING($C39*4/data_raw_4_day!$F$4,1)),"X")</f>
        <v>D1</v>
      </c>
      <c r="G39" s="39" t="str">
        <f>IFERROR(IF(CEILING($C39*4/data_raw_4_day!$F$5,1)&gt;4,"X","D"&amp;CEILING($C39*4/data_raw_4_day!$F$5,1)),"X")</f>
        <v>D1</v>
      </c>
      <c r="H39" s="39" t="str">
        <f>IFERROR(IF(CEILING($C39*4/data_raw_4_day!$F$6,1)&gt;4,"X","D"&amp;CEILING($C39*4/data_raw_4_day!$F$6,1)),"X")</f>
        <v>D1</v>
      </c>
      <c r="I39" s="39" t="str">
        <f>IFERROR(IF(CEILING($C39*4/data_raw_4_day!$F$7,1)&gt;4,"X","D"&amp;CEILING($C39*4/data_raw_4_day!$F$7,1)),"X")</f>
        <v>D1</v>
      </c>
      <c r="J39" s="39" t="str">
        <f>IFERROR(IF(CEILING($C39*4/data_raw_4_day!$F$9,1)&gt;4,"X","D"&amp;CEILING($C39*4/data_raw_4_day!$F$9,1)),"X")</f>
        <v>D1</v>
      </c>
      <c r="K39" s="39" t="str">
        <f>IFERROR(IF(CEILING($C39*4/data_raw_4_day!$F$10,1)&gt;4,"X","D"&amp;CEILING($C39*4/data_raw_4_day!$F$10,1)),"X")</f>
        <v>D1</v>
      </c>
      <c r="L39" s="39" t="str">
        <f>IFERROR(IF(CEILING($C39*4/data_raw_4_day!$F$11,1)&gt;4,"X","D"&amp;CEILING($C39*4/data_raw_4_day!$F$11,1)),"X")</f>
        <v>D1</v>
      </c>
      <c r="M39" s="39" t="str">
        <f>IFERROR(IF(CEILING($C39*4/data_raw_4_day!$F$12,1)&gt;4,"X","D"&amp;CEILING($C39*4/data_raw_4_day!$F$12,1)),"X")</f>
        <v>D1</v>
      </c>
      <c r="N39" s="39" t="str">
        <f>IFERROR(IF(CEILING($C39*4/data_raw_4_day!$F$13,1)&gt;4,"X","D"&amp;CEILING($C39*4/data_raw_4_day!$F$13,1)),"X")</f>
        <v>D1</v>
      </c>
    </row>
    <row r="40" ht="15.0" customHeight="1">
      <c r="A40" s="22">
        <f>milestone_4day_new!A6</f>
        <v>3</v>
      </c>
      <c r="B40" s="36">
        <f>milestone_4day_new!B6</f>
        <v>1000</v>
      </c>
      <c r="C40" s="37">
        <f>milestone_4day_new!C6</f>
        <v>1460</v>
      </c>
      <c r="D40" s="38" t="b">
        <f>milestone_4day_new!D6</f>
        <v>0</v>
      </c>
      <c r="E40" s="39" t="str">
        <f>IFERROR(IF(CEILING($C40*4/data_raw_4_day!$F$3,1)&gt;4,"X","D"&amp;CEILING($C40*4/data_raw_4_day!$F$3,1)),"X")</f>
        <v>D4</v>
      </c>
      <c r="F40" s="39" t="str">
        <f>IFERROR(IF(CEILING($C40*4/data_raw_4_day!$F$4,1)&gt;4,"X","D"&amp;CEILING($C40*4/data_raw_4_day!$F$4,1)),"X")</f>
        <v>D1</v>
      </c>
      <c r="G40" s="39" t="str">
        <f>IFERROR(IF(CEILING($C40*4/data_raw_4_day!$F$5,1)&gt;4,"X","D"&amp;CEILING($C40*4/data_raw_4_day!$F$5,1)),"X")</f>
        <v>D1</v>
      </c>
      <c r="H40" s="39" t="str">
        <f>IFERROR(IF(CEILING($C40*4/data_raw_4_day!$F$6,1)&gt;4,"X","D"&amp;CEILING($C40*4/data_raw_4_day!$F$6,1)),"X")</f>
        <v>D1</v>
      </c>
      <c r="I40" s="39" t="str">
        <f>IFERROR(IF(CEILING($C40*4/data_raw_4_day!$F$7,1)&gt;4,"X","D"&amp;CEILING($C40*4/data_raw_4_day!$F$7,1)),"X")</f>
        <v>D1</v>
      </c>
      <c r="J40" s="39" t="str">
        <f>IFERROR(IF(CEILING($C40*4/data_raw_4_day!$F$9,1)&gt;4,"X","D"&amp;CEILING($C40*4/data_raw_4_day!$F$9,1)),"X")</f>
        <v>D3</v>
      </c>
      <c r="K40" s="39" t="str">
        <f>IFERROR(IF(CEILING($C40*4/data_raw_4_day!$F$10,1)&gt;4,"X","D"&amp;CEILING($C40*4/data_raw_4_day!$F$10,1)),"X")</f>
        <v>D1</v>
      </c>
      <c r="L40" s="39" t="str">
        <f>IFERROR(IF(CEILING($C40*4/data_raw_4_day!$F$11,1)&gt;4,"X","D"&amp;CEILING($C40*4/data_raw_4_day!$F$11,1)),"X")</f>
        <v>D1</v>
      </c>
      <c r="M40" s="39" t="str">
        <f>IFERROR(IF(CEILING($C40*4/data_raw_4_day!$F$12,1)&gt;4,"X","D"&amp;CEILING($C40*4/data_raw_4_day!$F$12,1)),"X")</f>
        <v>D1</v>
      </c>
      <c r="N40" s="39" t="str">
        <f>IFERROR(IF(CEILING($C40*4/data_raw_4_day!$F$13,1)&gt;4,"X","D"&amp;CEILING($C40*4/data_raw_4_day!$F$13,1)),"X")</f>
        <v>D1</v>
      </c>
    </row>
    <row r="41" ht="15.0" customHeight="1">
      <c r="A41" s="22">
        <f>milestone_4day_new!A7</f>
        <v>4</v>
      </c>
      <c r="B41" s="36">
        <f>milestone_4day_new!B7</f>
        <v>250</v>
      </c>
      <c r="C41" s="37">
        <f>milestone_4day_new!C7</f>
        <v>1710</v>
      </c>
      <c r="D41" s="38" t="b">
        <f>milestone_4day_new!D7</f>
        <v>0</v>
      </c>
      <c r="E41" s="39" t="str">
        <f>IFERROR(IF(CEILING($C41*4/data_raw_4_day!$F$3,1)&gt;4,"X","D"&amp;CEILING($C41*4/data_raw_4_day!$F$3,1)),"X")</f>
        <v>D4</v>
      </c>
      <c r="F41" s="39" t="str">
        <f>IFERROR(IF(CEILING($C41*4/data_raw_4_day!$F$4,1)&gt;4,"X","D"&amp;CEILING($C41*4/data_raw_4_day!$F$4,1)),"X")</f>
        <v>D1</v>
      </c>
      <c r="G41" s="39" t="str">
        <f>IFERROR(IF(CEILING($C41*4/data_raw_4_day!$F$5,1)&gt;4,"X","D"&amp;CEILING($C41*4/data_raw_4_day!$F$5,1)),"X")</f>
        <v>D1</v>
      </c>
      <c r="H41" s="39" t="str">
        <f>IFERROR(IF(CEILING($C41*4/data_raw_4_day!$F$6,1)&gt;4,"X","D"&amp;CEILING($C41*4/data_raw_4_day!$F$6,1)),"X")</f>
        <v>D1</v>
      </c>
      <c r="I41" s="39" t="str">
        <f>IFERROR(IF(CEILING($C41*4/data_raw_4_day!$F$7,1)&gt;4,"X","D"&amp;CEILING($C41*4/data_raw_4_day!$F$7,1)),"X")</f>
        <v>D1</v>
      </c>
      <c r="J41" s="39" t="str">
        <f>IFERROR(IF(CEILING($C41*4/data_raw_4_day!$F$9,1)&gt;4,"X","D"&amp;CEILING($C41*4/data_raw_4_day!$F$9,1)),"X")</f>
        <v>D3</v>
      </c>
      <c r="K41" s="39" t="str">
        <f>IFERROR(IF(CEILING($C41*4/data_raw_4_day!$F$10,1)&gt;4,"X","D"&amp;CEILING($C41*4/data_raw_4_day!$F$10,1)),"X")</f>
        <v>D1</v>
      </c>
      <c r="L41" s="39" t="str">
        <f>IFERROR(IF(CEILING($C41*4/data_raw_4_day!$F$11,1)&gt;4,"X","D"&amp;CEILING($C41*4/data_raw_4_day!$F$11,1)),"X")</f>
        <v>D1</v>
      </c>
      <c r="M41" s="39" t="str">
        <f>IFERROR(IF(CEILING($C41*4/data_raw_4_day!$F$12,1)&gt;4,"X","D"&amp;CEILING($C41*4/data_raw_4_day!$F$12,1)),"X")</f>
        <v>D1</v>
      </c>
      <c r="N41" s="39" t="str">
        <f>IFERROR(IF(CEILING($C41*4/data_raw_4_day!$F$13,1)&gt;4,"X","D"&amp;CEILING($C41*4/data_raw_4_day!$F$13,1)),"X")</f>
        <v>D1</v>
      </c>
    </row>
    <row r="42" ht="15.0" customHeight="1">
      <c r="A42" s="22">
        <f>milestone_4day_new!A8</f>
        <v>5</v>
      </c>
      <c r="B42" s="36">
        <f>milestone_4day_new!B8</f>
        <v>500</v>
      </c>
      <c r="C42" s="37">
        <f>milestone_4day_new!C8</f>
        <v>2210</v>
      </c>
      <c r="D42" s="38" t="b">
        <f>milestone_4day_new!D8</f>
        <v>0</v>
      </c>
      <c r="E42" s="39" t="str">
        <f>IFERROR(IF(CEILING($C42*4/data_raw_4_day!$F$3,1)&gt;4,"X","D"&amp;CEILING($C42*4/data_raw_4_day!$F$3,1)),"X")</f>
        <v>X</v>
      </c>
      <c r="F42" s="39" t="str">
        <f>IFERROR(IF(CEILING($C42*4/data_raw_4_day!$F$4,1)&gt;4,"X","D"&amp;CEILING($C42*4/data_raw_4_day!$F$4,1)),"X")</f>
        <v>D1</v>
      </c>
      <c r="G42" s="39" t="str">
        <f>IFERROR(IF(CEILING($C42*4/data_raw_4_day!$F$5,1)&gt;4,"X","D"&amp;CEILING($C42*4/data_raw_4_day!$F$5,1)),"X")</f>
        <v>D1</v>
      </c>
      <c r="H42" s="39" t="str">
        <f>IFERROR(IF(CEILING($C42*4/data_raw_4_day!$F$6,1)&gt;4,"X","D"&amp;CEILING($C42*4/data_raw_4_day!$F$6,1)),"X")</f>
        <v>D1</v>
      </c>
      <c r="I42" s="39" t="str">
        <f>IFERROR(IF(CEILING($C42*4/data_raw_4_day!$F$7,1)&gt;4,"X","D"&amp;CEILING($C42*4/data_raw_4_day!$F$7,1)),"X")</f>
        <v>D1</v>
      </c>
      <c r="J42" s="39" t="str">
        <f>IFERROR(IF(CEILING($C42*4/data_raw_4_day!$F$9,1)&gt;4,"X","D"&amp;CEILING($C42*4/data_raw_4_day!$F$9,1)),"X")</f>
        <v>D4</v>
      </c>
      <c r="K42" s="39" t="str">
        <f>IFERROR(IF(CEILING($C42*4/data_raw_4_day!$F$10,1)&gt;4,"X","D"&amp;CEILING($C42*4/data_raw_4_day!$F$10,1)),"X")</f>
        <v>D1</v>
      </c>
      <c r="L42" s="39" t="str">
        <f>IFERROR(IF(CEILING($C42*4/data_raw_4_day!$F$11,1)&gt;4,"X","D"&amp;CEILING($C42*4/data_raw_4_day!$F$11,1)),"X")</f>
        <v>D1</v>
      </c>
      <c r="M42" s="39" t="str">
        <f>IFERROR(IF(CEILING($C42*4/data_raw_4_day!$F$12,1)&gt;4,"X","D"&amp;CEILING($C42*4/data_raw_4_day!$F$12,1)),"X")</f>
        <v>D1</v>
      </c>
      <c r="N42" s="39" t="str">
        <f>IFERROR(IF(CEILING($C42*4/data_raw_4_day!$F$13,1)&gt;4,"X","D"&amp;CEILING($C42*4/data_raw_4_day!$F$13,1)),"X")</f>
        <v>D1</v>
      </c>
    </row>
    <row r="43" ht="15.0" customHeight="1">
      <c r="A43" s="22">
        <f>milestone_4day_new!A9</f>
        <v>6</v>
      </c>
      <c r="B43" s="36">
        <f>milestone_4day_new!B9</f>
        <v>1600</v>
      </c>
      <c r="C43" s="37">
        <f>milestone_4day_new!C9</f>
        <v>3810</v>
      </c>
      <c r="D43" s="38" t="b">
        <f>milestone_4day_new!D9</f>
        <v>1</v>
      </c>
      <c r="E43" s="39" t="str">
        <f>IFERROR(IF(CEILING($C43*4/data_raw_4_day!$F$3,1)&gt;4,"X","D"&amp;CEILING($C43*4/data_raw_4_day!$F$3,1)),"X")</f>
        <v>X</v>
      </c>
      <c r="F43" s="39" t="str">
        <f>IFERROR(IF(CEILING($C43*4/data_raw_4_day!$F$4,1)&gt;4,"X","D"&amp;CEILING($C43*4/data_raw_4_day!$F$4,1)),"X")</f>
        <v>D2</v>
      </c>
      <c r="G43" s="39" t="str">
        <f>IFERROR(IF(CEILING($C43*4/data_raw_4_day!$F$5,1)&gt;4,"X","D"&amp;CEILING($C43*4/data_raw_4_day!$F$5,1)),"X")</f>
        <v>D1</v>
      </c>
      <c r="H43" s="39" t="str">
        <f>IFERROR(IF(CEILING($C43*4/data_raw_4_day!$F$6,1)&gt;4,"X","D"&amp;CEILING($C43*4/data_raw_4_day!$F$6,1)),"X")</f>
        <v>D1</v>
      </c>
      <c r="I43" s="39" t="str">
        <f>IFERROR(IF(CEILING($C43*4/data_raw_4_day!$F$7,1)&gt;4,"X","D"&amp;CEILING($C43*4/data_raw_4_day!$F$7,1)),"X")</f>
        <v>D1</v>
      </c>
      <c r="J43" s="39" t="str">
        <f>IFERROR(IF(CEILING($C43*4/data_raw_4_day!$F$9,1)&gt;4,"X","D"&amp;CEILING($C43*4/data_raw_4_day!$F$9,1)),"X")</f>
        <v>X</v>
      </c>
      <c r="K43" s="39" t="str">
        <f>IFERROR(IF(CEILING($C43*4/data_raw_4_day!$F$10,1)&gt;4,"X","D"&amp;CEILING($C43*4/data_raw_4_day!$F$10,1)),"X")</f>
        <v>D2</v>
      </c>
      <c r="L43" s="39" t="str">
        <f>IFERROR(IF(CEILING($C43*4/data_raw_4_day!$F$11,1)&gt;4,"X","D"&amp;CEILING($C43*4/data_raw_4_day!$F$11,1)),"X")</f>
        <v>D1</v>
      </c>
      <c r="M43" s="39" t="str">
        <f>IFERROR(IF(CEILING($C43*4/data_raw_4_day!$F$12,1)&gt;4,"X","D"&amp;CEILING($C43*4/data_raw_4_day!$F$12,1)),"X")</f>
        <v>D1</v>
      </c>
      <c r="N43" s="39" t="str">
        <f>IFERROR(IF(CEILING($C43*4/data_raw_4_day!$F$13,1)&gt;4,"X","D"&amp;CEILING($C43*4/data_raw_4_day!$F$13,1)),"X")</f>
        <v>D1</v>
      </c>
    </row>
    <row r="44" ht="15.0" customHeight="1">
      <c r="A44" s="22">
        <f>milestone_4day_new!A10</f>
        <v>7</v>
      </c>
      <c r="B44" s="36">
        <f>milestone_4day_new!B10</f>
        <v>500</v>
      </c>
      <c r="C44" s="37">
        <f>milestone_4day_new!C10</f>
        <v>4310</v>
      </c>
      <c r="D44" s="38" t="b">
        <f>milestone_4day_new!D10</f>
        <v>0</v>
      </c>
      <c r="E44" s="39" t="str">
        <f>IFERROR(IF(CEILING($C44*4/data_raw_4_day!$F$3,1)&gt;4,"X","D"&amp;CEILING($C44*4/data_raw_4_day!$F$3,1)),"X")</f>
        <v>X</v>
      </c>
      <c r="F44" s="39" t="str">
        <f>IFERROR(IF(CEILING($C44*4/data_raw_4_day!$F$4,1)&gt;4,"X","D"&amp;CEILING($C44*4/data_raw_4_day!$F$4,1)),"X")</f>
        <v>D2</v>
      </c>
      <c r="G44" s="39" t="str">
        <f>IFERROR(IF(CEILING($C44*4/data_raw_4_day!$F$5,1)&gt;4,"X","D"&amp;CEILING($C44*4/data_raw_4_day!$F$5,1)),"X")</f>
        <v>D1</v>
      </c>
      <c r="H44" s="39" t="str">
        <f>IFERROR(IF(CEILING($C44*4/data_raw_4_day!$F$6,1)&gt;4,"X","D"&amp;CEILING($C44*4/data_raw_4_day!$F$6,1)),"X")</f>
        <v>D1</v>
      </c>
      <c r="I44" s="39" t="str">
        <f>IFERROR(IF(CEILING($C44*4/data_raw_4_day!$F$7,1)&gt;4,"X","D"&amp;CEILING($C44*4/data_raw_4_day!$F$7,1)),"X")</f>
        <v>D1</v>
      </c>
      <c r="J44" s="39" t="str">
        <f>IFERROR(IF(CEILING($C44*4/data_raw_4_day!$F$9,1)&gt;4,"X","D"&amp;CEILING($C44*4/data_raw_4_day!$F$9,1)),"X")</f>
        <v>X</v>
      </c>
      <c r="K44" s="39" t="str">
        <f>IFERROR(IF(CEILING($C44*4/data_raw_4_day!$F$10,1)&gt;4,"X","D"&amp;CEILING($C44*4/data_raw_4_day!$F$10,1)),"X")</f>
        <v>D2</v>
      </c>
      <c r="L44" s="39" t="str">
        <f>IFERROR(IF(CEILING($C44*4/data_raw_4_day!$F$11,1)&gt;4,"X","D"&amp;CEILING($C44*4/data_raw_4_day!$F$11,1)),"X")</f>
        <v>D1</v>
      </c>
      <c r="M44" s="39" t="str">
        <f>IFERROR(IF(CEILING($C44*4/data_raw_4_day!$F$12,1)&gt;4,"X","D"&amp;CEILING($C44*4/data_raw_4_day!$F$12,1)),"X")</f>
        <v>D1</v>
      </c>
      <c r="N44" s="39" t="str">
        <f>IFERROR(IF(CEILING($C44*4/data_raw_4_day!$F$13,1)&gt;4,"X","D"&amp;CEILING($C44*4/data_raw_4_day!$F$13,1)),"X")</f>
        <v>D1</v>
      </c>
    </row>
    <row r="45" ht="15.0" customHeight="1">
      <c r="A45" s="22">
        <f>milestone_4day_new!A11</f>
        <v>8</v>
      </c>
      <c r="B45" s="36">
        <f>milestone_4day_new!B11</f>
        <v>1000</v>
      </c>
      <c r="C45" s="37">
        <f>milestone_4day_new!C11</f>
        <v>5310</v>
      </c>
      <c r="D45" s="38" t="b">
        <f>milestone_4day_new!D11</f>
        <v>0</v>
      </c>
      <c r="E45" s="39" t="str">
        <f>IFERROR(IF(CEILING($C45*4/data_raw_4_day!$F$3,1)&gt;4,"X","D"&amp;CEILING($C45*4/data_raw_4_day!$F$3,1)),"X")</f>
        <v>X</v>
      </c>
      <c r="F45" s="39" t="str">
        <f>IFERROR(IF(CEILING($C45*4/data_raw_4_day!$F$4,1)&gt;4,"X","D"&amp;CEILING($C45*4/data_raw_4_day!$F$4,1)),"X")</f>
        <v>D3</v>
      </c>
      <c r="G45" s="39" t="str">
        <f>IFERROR(IF(CEILING($C45*4/data_raw_4_day!$F$5,1)&gt;4,"X","D"&amp;CEILING($C45*4/data_raw_4_day!$F$5,1)),"X")</f>
        <v>D2</v>
      </c>
      <c r="H45" s="39" t="str">
        <f>IFERROR(IF(CEILING($C45*4/data_raw_4_day!$F$6,1)&gt;4,"X","D"&amp;CEILING($C45*4/data_raw_4_day!$F$6,1)),"X")</f>
        <v>D1</v>
      </c>
      <c r="I45" s="39" t="str">
        <f>IFERROR(IF(CEILING($C45*4/data_raw_4_day!$F$7,1)&gt;4,"X","D"&amp;CEILING($C45*4/data_raw_4_day!$F$7,1)),"X")</f>
        <v>D1</v>
      </c>
      <c r="J45" s="39" t="str">
        <f>IFERROR(IF(CEILING($C45*4/data_raw_4_day!$F$9,1)&gt;4,"X","D"&amp;CEILING($C45*4/data_raw_4_day!$F$9,1)),"X")</f>
        <v>X</v>
      </c>
      <c r="K45" s="39" t="str">
        <f>IFERROR(IF(CEILING($C45*4/data_raw_4_day!$F$10,1)&gt;4,"X","D"&amp;CEILING($C45*4/data_raw_4_day!$F$10,1)),"X")</f>
        <v>D3</v>
      </c>
      <c r="L45" s="39" t="str">
        <f>IFERROR(IF(CEILING($C45*4/data_raw_4_day!$F$11,1)&gt;4,"X","D"&amp;CEILING($C45*4/data_raw_4_day!$F$11,1)),"X")</f>
        <v>D2</v>
      </c>
      <c r="M45" s="39" t="str">
        <f>IFERROR(IF(CEILING($C45*4/data_raw_4_day!$F$12,1)&gt;4,"X","D"&amp;CEILING($C45*4/data_raw_4_day!$F$12,1)),"X")</f>
        <v>D1</v>
      </c>
      <c r="N45" s="39" t="str">
        <f>IFERROR(IF(CEILING($C45*4/data_raw_4_day!$F$13,1)&gt;4,"X","D"&amp;CEILING($C45*4/data_raw_4_day!$F$13,1)),"X")</f>
        <v>D1</v>
      </c>
    </row>
    <row r="46" ht="15.0" customHeight="1">
      <c r="A46" s="22">
        <f>milestone_4day_new!A12</f>
        <v>9</v>
      </c>
      <c r="B46" s="36">
        <f>milestone_4day_new!B12</f>
        <v>3300</v>
      </c>
      <c r="C46" s="37">
        <f>milestone_4day_new!C12</f>
        <v>8610</v>
      </c>
      <c r="D46" s="38" t="b">
        <f>milestone_4day_new!D12</f>
        <v>1</v>
      </c>
      <c r="E46" s="39" t="str">
        <f>IFERROR(IF(CEILING($C46*4/data_raw_4_day!$F$3,1)&gt;4,"X","D"&amp;CEILING($C46*4/data_raw_4_day!$F$3,1)),"X")</f>
        <v>X</v>
      </c>
      <c r="F46" s="39" t="str">
        <f>IFERROR(IF(CEILING($C46*4/data_raw_4_day!$F$4,1)&gt;4,"X","D"&amp;CEILING($C46*4/data_raw_4_day!$F$4,1)),"X")</f>
        <v>D4</v>
      </c>
      <c r="G46" s="39" t="str">
        <f>IFERROR(IF(CEILING($C46*4/data_raw_4_day!$F$5,1)&gt;4,"X","D"&amp;CEILING($C46*4/data_raw_4_day!$F$5,1)),"X")</f>
        <v>D2</v>
      </c>
      <c r="H46" s="39" t="str">
        <f>IFERROR(IF(CEILING($C46*4/data_raw_4_day!$F$6,1)&gt;4,"X","D"&amp;CEILING($C46*4/data_raw_4_day!$F$6,1)),"X")</f>
        <v>D1</v>
      </c>
      <c r="I46" s="39" t="str">
        <f>IFERROR(IF(CEILING($C46*4/data_raw_4_day!$F$7,1)&gt;4,"X","D"&amp;CEILING($C46*4/data_raw_4_day!$F$7,1)),"X")</f>
        <v>D1</v>
      </c>
      <c r="J46" s="39" t="str">
        <f>IFERROR(IF(CEILING($C46*4/data_raw_4_day!$F$9,1)&gt;4,"X","D"&amp;CEILING($C46*4/data_raw_4_day!$F$9,1)),"X")</f>
        <v>X</v>
      </c>
      <c r="K46" s="39" t="str">
        <f>IFERROR(IF(CEILING($C46*4/data_raw_4_day!$F$10,1)&gt;4,"X","D"&amp;CEILING($C46*4/data_raw_4_day!$F$10,1)),"X")</f>
        <v>D4</v>
      </c>
      <c r="L46" s="39" t="str">
        <f>IFERROR(IF(CEILING($C46*4/data_raw_4_day!$F$11,1)&gt;4,"X","D"&amp;CEILING($C46*4/data_raw_4_day!$F$11,1)),"X")</f>
        <v>D2</v>
      </c>
      <c r="M46" s="39" t="str">
        <f>IFERROR(IF(CEILING($C46*4/data_raw_4_day!$F$12,1)&gt;4,"X","D"&amp;CEILING($C46*4/data_raw_4_day!$F$12,1)),"X")</f>
        <v>D1</v>
      </c>
      <c r="N46" s="39" t="str">
        <f>IFERROR(IF(CEILING($C46*4/data_raw_4_day!$F$13,1)&gt;4,"X","D"&amp;CEILING($C46*4/data_raw_4_day!$F$13,1)),"X")</f>
        <v>D1</v>
      </c>
    </row>
    <row r="47" ht="15.0" customHeight="1">
      <c r="A47" s="22">
        <f>milestone_4day_new!A13</f>
        <v>10</v>
      </c>
      <c r="B47" s="36">
        <f>milestone_4day_new!B13</f>
        <v>1100</v>
      </c>
      <c r="C47" s="37">
        <f>milestone_4day_new!C13</f>
        <v>9710</v>
      </c>
      <c r="D47" s="38" t="b">
        <f>milestone_4day_new!D13</f>
        <v>0</v>
      </c>
      <c r="E47" s="39" t="str">
        <f>IFERROR(IF(CEILING($C47*4/data_raw_4_day!$F$3,1)&gt;4,"X","D"&amp;CEILING($C47*4/data_raw_4_day!$F$3,1)),"X")</f>
        <v>X</v>
      </c>
      <c r="F47" s="39" t="str">
        <f>IFERROR(IF(CEILING($C47*4/data_raw_4_day!$F$4,1)&gt;4,"X","D"&amp;CEILING($C47*4/data_raw_4_day!$F$4,1)),"X")</f>
        <v>X</v>
      </c>
      <c r="G47" s="39" t="str">
        <f>IFERROR(IF(CEILING($C47*4/data_raw_4_day!$F$5,1)&gt;4,"X","D"&amp;CEILING($C47*4/data_raw_4_day!$F$5,1)),"X")</f>
        <v>D3</v>
      </c>
      <c r="H47" s="39" t="str">
        <f>IFERROR(IF(CEILING($C47*4/data_raw_4_day!$F$6,1)&gt;4,"X","D"&amp;CEILING($C47*4/data_raw_4_day!$F$6,1)),"X")</f>
        <v>D1</v>
      </c>
      <c r="I47" s="39" t="str">
        <f>IFERROR(IF(CEILING($C47*4/data_raw_4_day!$F$7,1)&gt;4,"X","D"&amp;CEILING($C47*4/data_raw_4_day!$F$7,1)),"X")</f>
        <v>D1</v>
      </c>
      <c r="J47" s="39" t="str">
        <f>IFERROR(IF(CEILING($C47*4/data_raw_4_day!$F$9,1)&gt;4,"X","D"&amp;CEILING($C47*4/data_raw_4_day!$F$9,1)),"X")</f>
        <v>X</v>
      </c>
      <c r="K47" s="39" t="str">
        <f>IFERROR(IF(CEILING($C47*4/data_raw_4_day!$F$10,1)&gt;4,"X","D"&amp;CEILING($C47*4/data_raw_4_day!$F$10,1)),"X")</f>
        <v>D4</v>
      </c>
      <c r="L47" s="39" t="str">
        <f>IFERROR(IF(CEILING($C47*4/data_raw_4_day!$F$11,1)&gt;4,"X","D"&amp;CEILING($C47*4/data_raw_4_day!$F$11,1)),"X")</f>
        <v>D2</v>
      </c>
      <c r="M47" s="39" t="str">
        <f>IFERROR(IF(CEILING($C47*4/data_raw_4_day!$F$12,1)&gt;4,"X","D"&amp;CEILING($C47*4/data_raw_4_day!$F$12,1)),"X")</f>
        <v>D1</v>
      </c>
      <c r="N47" s="39" t="str">
        <f>IFERROR(IF(CEILING($C47*4/data_raw_4_day!$F$13,1)&gt;4,"X","D"&amp;CEILING($C47*4/data_raw_4_day!$F$13,1)),"X")</f>
        <v>D1</v>
      </c>
    </row>
    <row r="48" ht="15.0" customHeight="1">
      <c r="A48" s="22">
        <f>milestone_4day_new!A14</f>
        <v>11</v>
      </c>
      <c r="B48" s="36">
        <f>milestone_4day_new!B14</f>
        <v>2200</v>
      </c>
      <c r="C48" s="37">
        <f>milestone_4day_new!C14</f>
        <v>11910</v>
      </c>
      <c r="D48" s="38" t="b">
        <f>milestone_4day_new!D14</f>
        <v>0</v>
      </c>
      <c r="E48" s="39" t="str">
        <f>IFERROR(IF(CEILING($C48*4/data_raw_4_day!$F$3,1)&gt;4,"X","D"&amp;CEILING($C48*4/data_raw_4_day!$F$3,1)),"X")</f>
        <v>X</v>
      </c>
      <c r="F48" s="39" t="str">
        <f>IFERROR(IF(CEILING($C48*4/data_raw_4_day!$F$4,1)&gt;4,"X","D"&amp;CEILING($C48*4/data_raw_4_day!$F$4,1)),"X")</f>
        <v>X</v>
      </c>
      <c r="G48" s="39" t="str">
        <f>IFERROR(IF(CEILING($C48*4/data_raw_4_day!$F$5,1)&gt;4,"X","D"&amp;CEILING($C48*4/data_raw_4_day!$F$5,1)),"X")</f>
        <v>D3</v>
      </c>
      <c r="H48" s="39" t="str">
        <f>IFERROR(IF(CEILING($C48*4/data_raw_4_day!$F$6,1)&gt;4,"X","D"&amp;CEILING($C48*4/data_raw_4_day!$F$6,1)),"X")</f>
        <v>D2</v>
      </c>
      <c r="I48" s="39" t="str">
        <f>IFERROR(IF(CEILING($C48*4/data_raw_4_day!$F$7,1)&gt;4,"X","D"&amp;CEILING($C48*4/data_raw_4_day!$F$7,1)),"X")</f>
        <v>D1</v>
      </c>
      <c r="J48" s="39" t="str">
        <f>IFERROR(IF(CEILING($C48*4/data_raw_4_day!$F$9,1)&gt;4,"X","D"&amp;CEILING($C48*4/data_raw_4_day!$F$9,1)),"X")</f>
        <v>X</v>
      </c>
      <c r="K48" s="39" t="str">
        <f>IFERROR(IF(CEILING($C48*4/data_raw_4_day!$F$10,1)&gt;4,"X","D"&amp;CEILING($C48*4/data_raw_4_day!$F$10,1)),"X")</f>
        <v>X</v>
      </c>
      <c r="L48" s="39" t="str">
        <f>IFERROR(IF(CEILING($C48*4/data_raw_4_day!$F$11,1)&gt;4,"X","D"&amp;CEILING($C48*4/data_raw_4_day!$F$11,1)),"X")</f>
        <v>D3</v>
      </c>
      <c r="M48" s="39" t="str">
        <f>IFERROR(IF(CEILING($C48*4/data_raw_4_day!$F$12,1)&gt;4,"X","D"&amp;CEILING($C48*4/data_raw_4_day!$F$12,1)),"X")</f>
        <v>D2</v>
      </c>
      <c r="N48" s="39" t="str">
        <f>IFERROR(IF(CEILING($C48*4/data_raw_4_day!$F$13,1)&gt;4,"X","D"&amp;CEILING($C48*4/data_raw_4_day!$F$13,1)),"X")</f>
        <v>D1</v>
      </c>
    </row>
    <row r="49" ht="15.0" customHeight="1">
      <c r="A49" s="22">
        <f>milestone_4day_new!A15</f>
        <v>12</v>
      </c>
      <c r="B49" s="36">
        <f>milestone_4day_new!B15</f>
        <v>6500</v>
      </c>
      <c r="C49" s="37">
        <f>milestone_4day_new!C15</f>
        <v>18410</v>
      </c>
      <c r="D49" s="38" t="b">
        <f>milestone_4day_new!D15</f>
        <v>1</v>
      </c>
      <c r="E49" s="39" t="str">
        <f>IFERROR(IF(CEILING($C49*4/data_raw_4_day!$F$3,1)&gt;4,"X","D"&amp;CEILING($C49*4/data_raw_4_day!$F$3,1)),"X")</f>
        <v>X</v>
      </c>
      <c r="F49" s="39" t="str">
        <f>IFERROR(IF(CEILING($C49*4/data_raw_4_day!$F$4,1)&gt;4,"X","D"&amp;CEILING($C49*4/data_raw_4_day!$F$4,1)),"X")</f>
        <v>X</v>
      </c>
      <c r="G49" s="39" t="str">
        <f>IFERROR(IF(CEILING($C49*4/data_raw_4_day!$F$5,1)&gt;4,"X","D"&amp;CEILING($C49*4/data_raw_4_day!$F$5,1)),"X")</f>
        <v>D4</v>
      </c>
      <c r="H49" s="39" t="str">
        <f>IFERROR(IF(CEILING($C49*4/data_raw_4_day!$F$6,1)&gt;4,"X","D"&amp;CEILING($C49*4/data_raw_4_day!$F$6,1)),"X")</f>
        <v>D2</v>
      </c>
      <c r="I49" s="39" t="str">
        <f>IFERROR(IF(CEILING($C49*4/data_raw_4_day!$F$7,1)&gt;4,"X","D"&amp;CEILING($C49*4/data_raw_4_day!$F$7,1)),"X")</f>
        <v>D1</v>
      </c>
      <c r="J49" s="39" t="str">
        <f>IFERROR(IF(CEILING($C49*4/data_raw_4_day!$F$9,1)&gt;4,"X","D"&amp;CEILING($C49*4/data_raw_4_day!$F$9,1)),"X")</f>
        <v>X</v>
      </c>
      <c r="K49" s="39" t="str">
        <f>IFERROR(IF(CEILING($C49*4/data_raw_4_day!$F$10,1)&gt;4,"X","D"&amp;CEILING($C49*4/data_raw_4_day!$F$10,1)),"X")</f>
        <v>X</v>
      </c>
      <c r="L49" s="39" t="str">
        <f>IFERROR(IF(CEILING($C49*4/data_raw_4_day!$F$11,1)&gt;4,"X","D"&amp;CEILING($C49*4/data_raw_4_day!$F$11,1)),"X")</f>
        <v>D4</v>
      </c>
      <c r="M49" s="39" t="str">
        <f>IFERROR(IF(CEILING($C49*4/data_raw_4_day!$F$12,1)&gt;4,"X","D"&amp;CEILING($C49*4/data_raw_4_day!$F$12,1)),"X")</f>
        <v>D2</v>
      </c>
      <c r="N49" s="39" t="str">
        <f>IFERROR(IF(CEILING($C49*4/data_raw_4_day!$F$13,1)&gt;4,"X","D"&amp;CEILING($C49*4/data_raw_4_day!$F$13,1)),"X")</f>
        <v>D1</v>
      </c>
    </row>
    <row r="50" ht="15.0" customHeight="1">
      <c r="A50" s="22">
        <f>milestone_4day_new!A16</f>
        <v>13</v>
      </c>
      <c r="B50" s="36">
        <f>milestone_4day_new!B16</f>
        <v>2200</v>
      </c>
      <c r="C50" s="37">
        <f>milestone_4day_new!C16</f>
        <v>20610</v>
      </c>
      <c r="D50" s="38" t="b">
        <f>milestone_4day_new!D16</f>
        <v>0</v>
      </c>
      <c r="E50" s="39" t="str">
        <f>IFERROR(IF(CEILING($C50*4/data_raw_4_day!$F$3,1)&gt;4,"X","D"&amp;CEILING($C50*4/data_raw_4_day!$F$3,1)),"X")</f>
        <v>X</v>
      </c>
      <c r="F50" s="39" t="str">
        <f>IFERROR(IF(CEILING($C50*4/data_raw_4_day!$F$4,1)&gt;4,"X","D"&amp;CEILING($C50*4/data_raw_4_day!$F$4,1)),"X")</f>
        <v>X</v>
      </c>
      <c r="G50" s="39" t="str">
        <f>IFERROR(IF(CEILING($C50*4/data_raw_4_day!$F$5,1)&gt;4,"X","D"&amp;CEILING($C50*4/data_raw_4_day!$F$5,1)),"X")</f>
        <v>X</v>
      </c>
      <c r="H50" s="39" t="str">
        <f>IFERROR(IF(CEILING($C50*4/data_raw_4_day!$F$6,1)&gt;4,"X","D"&amp;CEILING($C50*4/data_raw_4_day!$F$6,1)),"X")</f>
        <v>D2</v>
      </c>
      <c r="I50" s="39" t="str">
        <f>IFERROR(IF(CEILING($C50*4/data_raw_4_day!$F$7,1)&gt;4,"X","D"&amp;CEILING($C50*4/data_raw_4_day!$F$7,1)),"X")</f>
        <v>D1</v>
      </c>
      <c r="J50" s="39" t="str">
        <f>IFERROR(IF(CEILING($C50*4/data_raw_4_day!$F$9,1)&gt;4,"X","D"&amp;CEILING($C50*4/data_raw_4_day!$F$9,1)),"X")</f>
        <v>X</v>
      </c>
      <c r="K50" s="39" t="str">
        <f>IFERROR(IF(CEILING($C50*4/data_raw_4_day!$F$10,1)&gt;4,"X","D"&amp;CEILING($C50*4/data_raw_4_day!$F$10,1)),"X")</f>
        <v>X</v>
      </c>
      <c r="L50" s="39" t="str">
        <f>IFERROR(IF(CEILING($C50*4/data_raw_4_day!$F$11,1)&gt;4,"X","D"&amp;CEILING($C50*4/data_raw_4_day!$F$11,1)),"X")</f>
        <v>X</v>
      </c>
      <c r="M50" s="39" t="str">
        <f>IFERROR(IF(CEILING($C50*4/data_raw_4_day!$F$12,1)&gt;4,"X","D"&amp;CEILING($C50*4/data_raw_4_day!$F$12,1)),"X")</f>
        <v>D2</v>
      </c>
      <c r="N50" s="39" t="str">
        <f>IFERROR(IF(CEILING($C50*4/data_raw_4_day!$F$13,1)&gt;4,"X","D"&amp;CEILING($C50*4/data_raw_4_day!$F$13,1)),"X")</f>
        <v>D1</v>
      </c>
    </row>
    <row r="51" ht="15.0" customHeight="1">
      <c r="A51" s="22">
        <f>milestone_4day_new!A17</f>
        <v>14</v>
      </c>
      <c r="B51" s="36">
        <f>milestone_4day_new!B17</f>
        <v>4400</v>
      </c>
      <c r="C51" s="37">
        <f>milestone_4day_new!C17</f>
        <v>25010</v>
      </c>
      <c r="D51" s="38" t="b">
        <f>milestone_4day_new!D17</f>
        <v>0</v>
      </c>
      <c r="E51" s="39" t="str">
        <f>IFERROR(IF(CEILING($C51*4/data_raw_4_day!$F$3,1)&gt;4,"X","D"&amp;CEILING($C51*4/data_raw_4_day!$F$3,1)),"X")</f>
        <v>X</v>
      </c>
      <c r="F51" s="39" t="str">
        <f>IFERROR(IF(CEILING($C51*4/data_raw_4_day!$F$4,1)&gt;4,"X","D"&amp;CEILING($C51*4/data_raw_4_day!$F$4,1)),"X")</f>
        <v>X</v>
      </c>
      <c r="G51" s="39" t="str">
        <f>IFERROR(IF(CEILING($C51*4/data_raw_4_day!$F$5,1)&gt;4,"X","D"&amp;CEILING($C51*4/data_raw_4_day!$F$5,1)),"X")</f>
        <v>X</v>
      </c>
      <c r="H51" s="39" t="str">
        <f>IFERROR(IF(CEILING($C51*4/data_raw_4_day!$F$6,1)&gt;4,"X","D"&amp;CEILING($C51*4/data_raw_4_day!$F$6,1)),"X")</f>
        <v>D3</v>
      </c>
      <c r="I51" s="39" t="str">
        <f>IFERROR(IF(CEILING($C51*4/data_raw_4_day!$F$7,1)&gt;4,"X","D"&amp;CEILING($C51*4/data_raw_4_day!$F$7,1)),"X")</f>
        <v>D2</v>
      </c>
      <c r="J51" s="39" t="str">
        <f>IFERROR(IF(CEILING($C51*4/data_raw_4_day!$F$9,1)&gt;4,"X","D"&amp;CEILING($C51*4/data_raw_4_day!$F$9,1)),"X")</f>
        <v>X</v>
      </c>
      <c r="K51" s="39" t="str">
        <f>IFERROR(IF(CEILING($C51*4/data_raw_4_day!$F$10,1)&gt;4,"X","D"&amp;CEILING($C51*4/data_raw_4_day!$F$10,1)),"X")</f>
        <v>X</v>
      </c>
      <c r="L51" s="39" t="str">
        <f>IFERROR(IF(CEILING($C51*4/data_raw_4_day!$F$11,1)&gt;4,"X","D"&amp;CEILING($C51*4/data_raw_4_day!$F$11,1)),"X")</f>
        <v>X</v>
      </c>
      <c r="M51" s="39" t="str">
        <f>IFERROR(IF(CEILING($C51*4/data_raw_4_day!$F$12,1)&gt;4,"X","D"&amp;CEILING($C51*4/data_raw_4_day!$F$12,1)),"X")</f>
        <v>D3</v>
      </c>
      <c r="N51" s="39" t="str">
        <f>IFERROR(IF(CEILING($C51*4/data_raw_4_day!$F$13,1)&gt;4,"X","D"&amp;CEILING($C51*4/data_raw_4_day!$F$13,1)),"X")</f>
        <v>D2</v>
      </c>
    </row>
    <row r="52" ht="15.0" customHeight="1">
      <c r="A52" s="22">
        <f>milestone_4day_new!A18</f>
        <v>15</v>
      </c>
      <c r="B52" s="36">
        <f>milestone_4day_new!B18</f>
        <v>13250</v>
      </c>
      <c r="C52" s="37">
        <f>milestone_4day_new!C18</f>
        <v>38260</v>
      </c>
      <c r="D52" s="38" t="b">
        <f>milestone_4day_new!D18</f>
        <v>1</v>
      </c>
      <c r="E52" s="39" t="str">
        <f>IFERROR(IF(CEILING($C52*4/data_raw_4_day!$F$3,1)&gt;4,"X","D"&amp;CEILING($C52*4/data_raw_4_day!$F$3,1)),"X")</f>
        <v>X</v>
      </c>
      <c r="F52" s="39" t="str">
        <f>IFERROR(IF(CEILING($C52*4/data_raw_4_day!$F$4,1)&gt;4,"X","D"&amp;CEILING($C52*4/data_raw_4_day!$F$4,1)),"X")</f>
        <v>X</v>
      </c>
      <c r="G52" s="39" t="str">
        <f>IFERROR(IF(CEILING($C52*4/data_raw_4_day!$F$5,1)&gt;4,"X","D"&amp;CEILING($C52*4/data_raw_4_day!$F$5,1)),"X")</f>
        <v>X</v>
      </c>
      <c r="H52" s="39" t="str">
        <f>IFERROR(IF(CEILING($C52*4/data_raw_4_day!$F$6,1)&gt;4,"X","D"&amp;CEILING($C52*4/data_raw_4_day!$F$6,1)),"X")</f>
        <v>D4</v>
      </c>
      <c r="I52" s="39" t="str">
        <f>IFERROR(IF(CEILING($C52*4/data_raw_4_day!$F$7,1)&gt;4,"X","D"&amp;CEILING($C52*4/data_raw_4_day!$F$7,1)),"X")</f>
        <v>D2</v>
      </c>
      <c r="J52" s="39" t="str">
        <f>IFERROR(IF(CEILING($C52*4/data_raw_4_day!$F$9,1)&gt;4,"X","D"&amp;CEILING($C52*4/data_raw_4_day!$F$9,1)),"X")</f>
        <v>X</v>
      </c>
      <c r="K52" s="39" t="str">
        <f>IFERROR(IF(CEILING($C52*4/data_raw_4_day!$F$10,1)&gt;4,"X","D"&amp;CEILING($C52*4/data_raw_4_day!$F$10,1)),"X")</f>
        <v>X</v>
      </c>
      <c r="L52" s="39" t="str">
        <f>IFERROR(IF(CEILING($C52*4/data_raw_4_day!$F$11,1)&gt;4,"X","D"&amp;CEILING($C52*4/data_raw_4_day!$F$11,1)),"X")</f>
        <v>X</v>
      </c>
      <c r="M52" s="39" t="str">
        <f>IFERROR(IF(CEILING($C52*4/data_raw_4_day!$F$12,1)&gt;4,"X","D"&amp;CEILING($C52*4/data_raw_4_day!$F$12,1)),"X")</f>
        <v>D4</v>
      </c>
      <c r="N52" s="39" t="str">
        <f>IFERROR(IF(CEILING($C52*4/data_raw_4_day!$F$13,1)&gt;4,"X","D"&amp;CEILING($C52*4/data_raw_4_day!$F$13,1)),"X")</f>
        <v>D2</v>
      </c>
    </row>
    <row r="53" ht="15.0" customHeight="1">
      <c r="A53" s="22">
        <f>milestone_4day_new!A19</f>
        <v>16</v>
      </c>
      <c r="B53" s="36">
        <f>milestone_4day_new!B19</f>
        <v>3300</v>
      </c>
      <c r="C53" s="37">
        <f>milestone_4day_new!C19</f>
        <v>41560</v>
      </c>
      <c r="D53" s="38" t="b">
        <f>milestone_4day_new!D19</f>
        <v>0</v>
      </c>
      <c r="E53" s="39" t="str">
        <f>IFERROR(IF(CEILING($C53*4/data_raw_4_day!$F$3,1)&gt;4,"X","D"&amp;CEILING($C53*4/data_raw_4_day!$F$3,1)),"X")</f>
        <v>X</v>
      </c>
      <c r="F53" s="39" t="str">
        <f>IFERROR(IF(CEILING($C53*4/data_raw_4_day!$F$4,1)&gt;4,"X","D"&amp;CEILING($C53*4/data_raw_4_day!$F$4,1)),"X")</f>
        <v>X</v>
      </c>
      <c r="G53" s="39" t="str">
        <f>IFERROR(IF(CEILING($C53*4/data_raw_4_day!$F$5,1)&gt;4,"X","D"&amp;CEILING($C53*4/data_raw_4_day!$F$5,1)),"X")</f>
        <v>X</v>
      </c>
      <c r="H53" s="39" t="str">
        <f>IFERROR(IF(CEILING($C53*4/data_raw_4_day!$F$6,1)&gt;4,"X","D"&amp;CEILING($C53*4/data_raw_4_day!$F$6,1)),"X")</f>
        <v>D4</v>
      </c>
      <c r="I53" s="39" t="str">
        <f>IFERROR(IF(CEILING($C53*4/data_raw_4_day!$F$7,1)&gt;4,"X","D"&amp;CEILING($C53*4/data_raw_4_day!$F$7,1)),"X")</f>
        <v>D3</v>
      </c>
      <c r="J53" s="39" t="str">
        <f>IFERROR(IF(CEILING($C53*4/data_raw_4_day!$F$9,1)&gt;4,"X","D"&amp;CEILING($C53*4/data_raw_4_day!$F$9,1)),"X")</f>
        <v>X</v>
      </c>
      <c r="K53" s="39" t="str">
        <f>IFERROR(IF(CEILING($C53*4/data_raw_4_day!$F$10,1)&gt;4,"X","D"&amp;CEILING($C53*4/data_raw_4_day!$F$10,1)),"X")</f>
        <v>X</v>
      </c>
      <c r="L53" s="39" t="str">
        <f>IFERROR(IF(CEILING($C53*4/data_raw_4_day!$F$11,1)&gt;4,"X","D"&amp;CEILING($C53*4/data_raw_4_day!$F$11,1)),"X")</f>
        <v>X</v>
      </c>
      <c r="M53" s="39" t="str">
        <f>IFERROR(IF(CEILING($C53*4/data_raw_4_day!$F$12,1)&gt;4,"X","D"&amp;CEILING($C53*4/data_raw_4_day!$F$12,1)),"X")</f>
        <v>D4</v>
      </c>
      <c r="N53" s="39" t="str">
        <f>IFERROR(IF(CEILING($C53*4/data_raw_4_day!$F$13,1)&gt;4,"X","D"&amp;CEILING($C53*4/data_raw_4_day!$F$13,1)),"X")</f>
        <v>D2</v>
      </c>
    </row>
    <row r="54" ht="15.0" customHeight="1">
      <c r="A54" s="22">
        <f>milestone_4day_new!A20</f>
        <v>17</v>
      </c>
      <c r="B54" s="36">
        <f>milestone_4day_new!B20</f>
        <v>6500</v>
      </c>
      <c r="C54" s="37">
        <f>milestone_4day_new!C20</f>
        <v>48060</v>
      </c>
      <c r="D54" s="38" t="b">
        <f>milestone_4day_new!D20</f>
        <v>0</v>
      </c>
      <c r="E54" s="39" t="str">
        <f>IFERROR(IF(CEILING($C54*4/data_raw_4_day!$F$3,1)&gt;4,"X","D"&amp;CEILING($C54*4/data_raw_4_day!$F$3,1)),"X")</f>
        <v>X</v>
      </c>
      <c r="F54" s="39" t="str">
        <f>IFERROR(IF(CEILING($C54*4/data_raw_4_day!$F$4,1)&gt;4,"X","D"&amp;CEILING($C54*4/data_raw_4_day!$F$4,1)),"X")</f>
        <v>X</v>
      </c>
      <c r="G54" s="39" t="str">
        <f>IFERROR(IF(CEILING($C54*4/data_raw_4_day!$F$5,1)&gt;4,"X","D"&amp;CEILING($C54*4/data_raw_4_day!$F$5,1)),"X")</f>
        <v>X</v>
      </c>
      <c r="H54" s="39" t="str">
        <f>IFERROR(IF(CEILING($C54*4/data_raw_4_day!$F$6,1)&gt;4,"X","D"&amp;CEILING($C54*4/data_raw_4_day!$F$6,1)),"X")</f>
        <v>X</v>
      </c>
      <c r="I54" s="39" t="str">
        <f>IFERROR(IF(CEILING($C54*4/data_raw_4_day!$F$7,1)&gt;4,"X","D"&amp;CEILING($C54*4/data_raw_4_day!$F$7,1)),"X")</f>
        <v>D3</v>
      </c>
      <c r="J54" s="39" t="str">
        <f>IFERROR(IF(CEILING($C54*4/data_raw_4_day!$F$9,1)&gt;4,"X","D"&amp;CEILING($C54*4/data_raw_4_day!$F$9,1)),"X")</f>
        <v>X</v>
      </c>
      <c r="K54" s="39" t="str">
        <f>IFERROR(IF(CEILING($C54*4/data_raw_4_day!$F$10,1)&gt;4,"X","D"&amp;CEILING($C54*4/data_raw_4_day!$F$10,1)),"X")</f>
        <v>X</v>
      </c>
      <c r="L54" s="39" t="str">
        <f>IFERROR(IF(CEILING($C54*4/data_raw_4_day!$F$11,1)&gt;4,"X","D"&amp;CEILING($C54*4/data_raw_4_day!$F$11,1)),"X")</f>
        <v>X</v>
      </c>
      <c r="M54" s="39" t="str">
        <f>IFERROR(IF(CEILING($C54*4/data_raw_4_day!$F$12,1)&gt;4,"X","D"&amp;CEILING($C54*4/data_raw_4_day!$F$12,1)),"X")</f>
        <v>X</v>
      </c>
      <c r="N54" s="39" t="str">
        <f>IFERROR(IF(CEILING($C54*4/data_raw_4_day!$F$13,1)&gt;4,"X","D"&amp;CEILING($C54*4/data_raw_4_day!$F$13,1)),"X")</f>
        <v>D3</v>
      </c>
    </row>
    <row r="55" ht="15.0" customHeight="1">
      <c r="A55" s="22">
        <f>milestone_4day_new!A21</f>
        <v>18</v>
      </c>
      <c r="B55" s="36">
        <f>milestone_4day_new!B21</f>
        <v>19750</v>
      </c>
      <c r="C55" s="37">
        <f>milestone_4day_new!C21</f>
        <v>67810</v>
      </c>
      <c r="D55" s="38" t="b">
        <f>milestone_4day_new!D21</f>
        <v>1</v>
      </c>
      <c r="E55" s="39" t="str">
        <f>IFERROR(IF(CEILING($C55*4/data_raw_4_day!$F$3,1)&gt;4,"X","D"&amp;CEILING($C55*4/data_raw_4_day!$F$3,1)),"X")</f>
        <v>X</v>
      </c>
      <c r="F55" s="39" t="str">
        <f>IFERROR(IF(CEILING($C55*4/data_raw_4_day!$F$4,1)&gt;4,"X","D"&amp;CEILING($C55*4/data_raw_4_day!$F$4,1)),"X")</f>
        <v>X</v>
      </c>
      <c r="G55" s="39" t="str">
        <f>IFERROR(IF(CEILING($C55*4/data_raw_4_day!$F$5,1)&gt;4,"X","D"&amp;CEILING($C55*4/data_raw_4_day!$F$5,1)),"X")</f>
        <v>X</v>
      </c>
      <c r="H55" s="39" t="str">
        <f>IFERROR(IF(CEILING($C55*4/data_raw_4_day!$F$6,1)&gt;4,"X","D"&amp;CEILING($C55*4/data_raw_4_day!$F$6,1)),"X")</f>
        <v>X</v>
      </c>
      <c r="I55" s="39" t="str">
        <f>IFERROR(IF(CEILING($C55*4/data_raw_4_day!$F$7,1)&gt;4,"X","D"&amp;CEILING($C55*4/data_raw_4_day!$F$7,1)),"X")</f>
        <v>D4</v>
      </c>
      <c r="J55" s="39" t="str">
        <f>IFERROR(IF(CEILING($C55*4/data_raw_4_day!$F$9,1)&gt;4,"X","D"&amp;CEILING($C55*4/data_raw_4_day!$F$9,1)),"X")</f>
        <v>X</v>
      </c>
      <c r="K55" s="39" t="str">
        <f>IFERROR(IF(CEILING($C55*4/data_raw_4_day!$F$10,1)&gt;4,"X","D"&amp;CEILING($C55*4/data_raw_4_day!$F$10,1)),"X")</f>
        <v>X</v>
      </c>
      <c r="L55" s="39" t="str">
        <f>IFERROR(IF(CEILING($C55*4/data_raw_4_day!$F$11,1)&gt;4,"X","D"&amp;CEILING($C55*4/data_raw_4_day!$F$11,1)),"X")</f>
        <v>X</v>
      </c>
      <c r="M55" s="39" t="str">
        <f>IFERROR(IF(CEILING($C55*4/data_raw_4_day!$F$12,1)&gt;4,"X","D"&amp;CEILING($C55*4/data_raw_4_day!$F$12,1)),"X")</f>
        <v>X</v>
      </c>
      <c r="N55" s="39" t="str">
        <f>IFERROR(IF(CEILING($C55*4/data_raw_4_day!$F$13,1)&gt;4,"X","D"&amp;CEILING($C55*4/data_raw_4_day!$F$13,1)),"X")</f>
        <v>D3</v>
      </c>
    </row>
    <row r="56" ht="15.0" customHeight="1">
      <c r="A56" s="22">
        <f>milestone_4day_new!A22</f>
        <v>19</v>
      </c>
      <c r="B56" s="36">
        <f>milestone_4day_new!B22</f>
        <v>4200</v>
      </c>
      <c r="C56" s="37">
        <f>milestone_4day_new!C22</f>
        <v>72010</v>
      </c>
      <c r="D56" s="38" t="b">
        <f>milestone_4day_new!D22</f>
        <v>0</v>
      </c>
      <c r="E56" s="39" t="str">
        <f>IFERROR(IF(CEILING($C56*4/data_raw_4_day!$F$3,1)&gt;4,"X","D"&amp;CEILING($C56*4/data_raw_4_day!$F$3,1)),"X")</f>
        <v>X</v>
      </c>
      <c r="F56" s="39" t="str">
        <f>IFERROR(IF(CEILING($C56*4/data_raw_4_day!$F$4,1)&gt;4,"X","D"&amp;CEILING($C56*4/data_raw_4_day!$F$4,1)),"X")</f>
        <v>X</v>
      </c>
      <c r="G56" s="39" t="str">
        <f>IFERROR(IF(CEILING($C56*4/data_raw_4_day!$F$5,1)&gt;4,"X","D"&amp;CEILING($C56*4/data_raw_4_day!$F$5,1)),"X")</f>
        <v>X</v>
      </c>
      <c r="H56" s="39" t="str">
        <f>IFERROR(IF(CEILING($C56*4/data_raw_4_day!$F$6,1)&gt;4,"X","D"&amp;CEILING($C56*4/data_raw_4_day!$F$6,1)),"X")</f>
        <v>X</v>
      </c>
      <c r="I56" s="39" t="str">
        <f>IFERROR(IF(CEILING($C56*4/data_raw_4_day!$F$7,1)&gt;4,"X","D"&amp;CEILING($C56*4/data_raw_4_day!$F$7,1)),"X")</f>
        <v>D4</v>
      </c>
      <c r="J56" s="39" t="str">
        <f>IFERROR(IF(CEILING($C56*4/data_raw_4_day!$F$9,1)&gt;4,"X","D"&amp;CEILING($C56*4/data_raw_4_day!$F$9,1)),"X")</f>
        <v>X</v>
      </c>
      <c r="K56" s="39" t="str">
        <f>IFERROR(IF(CEILING($C56*4/data_raw_4_day!$F$10,1)&gt;4,"X","D"&amp;CEILING($C56*4/data_raw_4_day!$F$10,1)),"X")</f>
        <v>X</v>
      </c>
      <c r="L56" s="39" t="str">
        <f>IFERROR(IF(CEILING($C56*4/data_raw_4_day!$F$11,1)&gt;4,"X","D"&amp;CEILING($C56*4/data_raw_4_day!$F$11,1)),"X")</f>
        <v>X</v>
      </c>
      <c r="M56" s="39" t="str">
        <f>IFERROR(IF(CEILING($C56*4/data_raw_4_day!$F$12,1)&gt;4,"X","D"&amp;CEILING($C56*4/data_raw_4_day!$F$12,1)),"X")</f>
        <v>X</v>
      </c>
      <c r="N56" s="39" t="str">
        <f>IFERROR(IF(CEILING($C56*4/data_raw_4_day!$F$13,1)&gt;4,"X","D"&amp;CEILING($C56*4/data_raw_4_day!$F$13,1)),"X")</f>
        <v>D4</v>
      </c>
    </row>
    <row r="57" ht="15.0" customHeight="1">
      <c r="A57" s="22">
        <f>milestone_4day_new!A23</f>
        <v>20</v>
      </c>
      <c r="B57" s="36">
        <f>milestone_4day_new!B23</f>
        <v>8250</v>
      </c>
      <c r="C57" s="37">
        <f>milestone_4day_new!C23</f>
        <v>80260</v>
      </c>
      <c r="D57" s="38" t="b">
        <f>milestone_4day_new!D23</f>
        <v>0</v>
      </c>
      <c r="E57" s="39" t="str">
        <f>IFERROR(IF(CEILING($C57*4/data_raw_4_day!$F$3,1)&gt;4,"X","D"&amp;CEILING($C57*4/data_raw_4_day!$F$3,1)),"X")</f>
        <v>X</v>
      </c>
      <c r="F57" s="39" t="str">
        <f>IFERROR(IF(CEILING($C57*4/data_raw_4_day!$F$4,1)&gt;4,"X","D"&amp;CEILING($C57*4/data_raw_4_day!$F$4,1)),"X")</f>
        <v>X</v>
      </c>
      <c r="G57" s="39" t="str">
        <f>IFERROR(IF(CEILING($C57*4/data_raw_4_day!$F$5,1)&gt;4,"X","D"&amp;CEILING($C57*4/data_raw_4_day!$F$5,1)),"X")</f>
        <v>X</v>
      </c>
      <c r="H57" s="39" t="str">
        <f>IFERROR(IF(CEILING($C57*4/data_raw_4_day!$F$6,1)&gt;4,"X","D"&amp;CEILING($C57*4/data_raw_4_day!$F$6,1)),"X")</f>
        <v>X</v>
      </c>
      <c r="I57" s="39" t="str">
        <f>IFERROR(IF(CEILING($C57*4/data_raw_4_day!$F$7,1)&gt;4,"X","D"&amp;CEILING($C57*4/data_raw_4_day!$F$7,1)),"X")</f>
        <v>D4</v>
      </c>
      <c r="J57" s="39" t="str">
        <f>IFERROR(IF(CEILING($C57*4/data_raw_4_day!$F$9,1)&gt;4,"X","D"&amp;CEILING($C57*4/data_raw_4_day!$F$9,1)),"X")</f>
        <v>X</v>
      </c>
      <c r="K57" s="39" t="str">
        <f>IFERROR(IF(CEILING($C57*4/data_raw_4_day!$F$10,1)&gt;4,"X","D"&amp;CEILING($C57*4/data_raw_4_day!$F$10,1)),"X")</f>
        <v>X</v>
      </c>
      <c r="L57" s="39" t="str">
        <f>IFERROR(IF(CEILING($C57*4/data_raw_4_day!$F$11,1)&gt;4,"X","D"&amp;CEILING($C57*4/data_raw_4_day!$F$11,1)),"X")</f>
        <v>X</v>
      </c>
      <c r="M57" s="39" t="str">
        <f>IFERROR(IF(CEILING($C57*4/data_raw_4_day!$F$12,1)&gt;4,"X","D"&amp;CEILING($C57*4/data_raw_4_day!$F$12,1)),"X")</f>
        <v>X</v>
      </c>
      <c r="N57" s="39" t="str">
        <f>IFERROR(IF(CEILING($C57*4/data_raw_4_day!$F$13,1)&gt;4,"X","D"&amp;CEILING($C57*4/data_raw_4_day!$F$13,1)),"X")</f>
        <v>D4</v>
      </c>
    </row>
    <row r="58" ht="15.0" customHeight="1">
      <c r="A58" s="22">
        <f>milestone_4day_new!A24</f>
        <v>21</v>
      </c>
      <c r="B58" s="36">
        <f>milestone_4day_new!B24</f>
        <v>22000</v>
      </c>
      <c r="C58" s="37">
        <f>milestone_4day_new!C24</f>
        <v>102260</v>
      </c>
      <c r="D58" s="38" t="b">
        <f>milestone_4day_new!D24</f>
        <v>1</v>
      </c>
      <c r="E58" s="39" t="str">
        <f>IFERROR(IF(CEILING($C58*4/data_raw_4_day!$F$3,1)&gt;4,"X","D"&amp;CEILING($C58*4/data_raw_4_day!$F$3,1)),"X")</f>
        <v>X</v>
      </c>
      <c r="F58" s="39" t="str">
        <f>IFERROR(IF(CEILING($C58*4/data_raw_4_day!$F$4,1)&gt;4,"X","D"&amp;CEILING($C58*4/data_raw_4_day!$F$4,1)),"X")</f>
        <v>X</v>
      </c>
      <c r="G58" s="39" t="str">
        <f>IFERROR(IF(CEILING($C58*4/data_raw_4_day!$F$5,1)&gt;4,"X","D"&amp;CEILING($C58*4/data_raw_4_day!$F$5,1)),"X")</f>
        <v>X</v>
      </c>
      <c r="H58" s="39" t="str">
        <f>IFERROR(IF(CEILING($C58*4/data_raw_4_day!$F$6,1)&gt;4,"X","D"&amp;CEILING($C58*4/data_raw_4_day!$F$6,1)),"X")</f>
        <v>X</v>
      </c>
      <c r="I58" s="39" t="str">
        <f>IFERROR(IF(CEILING($C58*4/data_raw_4_day!$F$7,1)&gt;4,"X","D"&amp;CEILING($C58*4/data_raw_4_day!$F$7,1)),"X")</f>
        <v>X</v>
      </c>
      <c r="J58" s="39" t="str">
        <f>IFERROR(IF(CEILING($C58*4/data_raw_4_day!$F$9,1)&gt;4,"X","D"&amp;CEILING($C58*4/data_raw_4_day!$F$9,1)),"X")</f>
        <v>X</v>
      </c>
      <c r="K58" s="39" t="str">
        <f>IFERROR(IF(CEILING($C58*4/data_raw_4_day!$F$10,1)&gt;4,"X","D"&amp;CEILING($C58*4/data_raw_4_day!$F$10,1)),"X")</f>
        <v>X</v>
      </c>
      <c r="L58" s="39" t="str">
        <f>IFERROR(IF(CEILING($C58*4/data_raw_4_day!$F$11,1)&gt;4,"X","D"&amp;CEILING($C58*4/data_raw_4_day!$F$11,1)),"X")</f>
        <v>X</v>
      </c>
      <c r="M58" s="39" t="str">
        <f>IFERROR(IF(CEILING($C58*4/data_raw_4_day!$F$12,1)&gt;4,"X","D"&amp;CEILING($C58*4/data_raw_4_day!$F$12,1)),"X")</f>
        <v>X</v>
      </c>
      <c r="N58" s="39" t="str">
        <f>IFERROR(IF(CEILING($C58*4/data_raw_4_day!$F$13,1)&gt;4,"X","D"&amp;CEILING($C58*4/data_raw_4_day!$F$13,1)),"X")</f>
        <v>X</v>
      </c>
    </row>
    <row r="59" ht="15.0" customHeight="1">
      <c r="A59" s="22">
        <f>milestone_4day_new!A25</f>
        <v>22</v>
      </c>
      <c r="B59" s="36">
        <f>milestone_4day_new!B25</f>
        <v>6000</v>
      </c>
      <c r="C59" s="37">
        <f>milestone_4day_new!C25</f>
        <v>108260</v>
      </c>
      <c r="D59" s="38" t="b">
        <f>milestone_4day_new!D25</f>
        <v>0</v>
      </c>
      <c r="E59" s="39" t="str">
        <f>IFERROR(IF(CEILING($C59*4/data_raw_4_day!$F$3,1)&gt;4,"X","D"&amp;CEILING($C59*4/data_raw_4_day!$F$3,1)),"X")</f>
        <v>X</v>
      </c>
      <c r="F59" s="39" t="str">
        <f>IFERROR(IF(CEILING($C59*4/data_raw_4_day!$F$4,1)&gt;4,"X","D"&amp;CEILING($C59*4/data_raw_4_day!$F$4,1)),"X")</f>
        <v>X</v>
      </c>
      <c r="G59" s="39" t="str">
        <f>IFERROR(IF(CEILING($C59*4/data_raw_4_day!$F$5,1)&gt;4,"X","D"&amp;CEILING($C59*4/data_raw_4_day!$F$5,1)),"X")</f>
        <v>X</v>
      </c>
      <c r="H59" s="39" t="str">
        <f>IFERROR(IF(CEILING($C59*4/data_raw_4_day!$F$6,1)&gt;4,"X","D"&amp;CEILING($C59*4/data_raw_4_day!$F$6,1)),"X")</f>
        <v>X</v>
      </c>
      <c r="I59" s="39" t="str">
        <f>IFERROR(IF(CEILING($C59*4/data_raw_4_day!$F$7,1)&gt;4,"X","D"&amp;CEILING($C59*4/data_raw_4_day!$F$7,1)),"X")</f>
        <v>X</v>
      </c>
      <c r="J59" s="39" t="str">
        <f>IFERROR(IF(CEILING($C59*4/data_raw_4_day!$F$9,1)&gt;4,"X","D"&amp;CEILING($C59*4/data_raw_4_day!$F$9,1)),"X")</f>
        <v>X</v>
      </c>
      <c r="K59" s="39" t="str">
        <f>IFERROR(IF(CEILING($C59*4/data_raw_4_day!$F$10,1)&gt;4,"X","D"&amp;CEILING($C59*4/data_raw_4_day!$F$10,1)),"X")</f>
        <v>X</v>
      </c>
      <c r="L59" s="39" t="str">
        <f>IFERROR(IF(CEILING($C59*4/data_raw_4_day!$F$11,1)&gt;4,"X","D"&amp;CEILING($C59*4/data_raw_4_day!$F$11,1)),"X")</f>
        <v>X</v>
      </c>
      <c r="M59" s="39" t="str">
        <f>IFERROR(IF(CEILING($C59*4/data_raw_4_day!$F$12,1)&gt;4,"X","D"&amp;CEILING($C59*4/data_raw_4_day!$F$12,1)),"X")</f>
        <v>X</v>
      </c>
      <c r="N59" s="39" t="str">
        <f>IFERROR(IF(CEILING($C59*4/data_raw_4_day!$F$13,1)&gt;4,"X","D"&amp;CEILING($C59*4/data_raw_4_day!$F$13,1)),"X")</f>
        <v>X</v>
      </c>
    </row>
    <row r="60" ht="15.0" customHeight="1">
      <c r="A60" s="22">
        <f>milestone_4day_new!A26</f>
        <v>23</v>
      </c>
      <c r="B60" s="36">
        <f>milestone_4day_new!B26</f>
        <v>10500</v>
      </c>
      <c r="C60" s="37">
        <f>milestone_4day_new!C26</f>
        <v>118760</v>
      </c>
      <c r="D60" s="38" t="b">
        <f>milestone_4day_new!D26</f>
        <v>0</v>
      </c>
      <c r="E60" s="39" t="str">
        <f>IFERROR(IF(CEILING($C60*4/data_raw_4_day!$F$3,1)&gt;4,"X","D"&amp;CEILING($C60*4/data_raw_4_day!$F$3,1)),"X")</f>
        <v>X</v>
      </c>
      <c r="F60" s="39" t="str">
        <f>IFERROR(IF(CEILING($C60*4/data_raw_4_day!$F$4,1)&gt;4,"X","D"&amp;CEILING($C60*4/data_raw_4_day!$F$4,1)),"X")</f>
        <v>X</v>
      </c>
      <c r="G60" s="39" t="str">
        <f>IFERROR(IF(CEILING($C60*4/data_raw_4_day!$F$5,1)&gt;4,"X","D"&amp;CEILING($C60*4/data_raw_4_day!$F$5,1)),"X")</f>
        <v>X</v>
      </c>
      <c r="H60" s="39" t="str">
        <f>IFERROR(IF(CEILING($C60*4/data_raw_4_day!$F$6,1)&gt;4,"X","D"&amp;CEILING($C60*4/data_raw_4_day!$F$6,1)),"X")</f>
        <v>X</v>
      </c>
      <c r="I60" s="39" t="str">
        <f>IFERROR(IF(CEILING($C60*4/data_raw_4_day!$F$7,1)&gt;4,"X","D"&amp;CEILING($C60*4/data_raw_4_day!$F$7,1)),"X")</f>
        <v>X</v>
      </c>
      <c r="J60" s="39" t="str">
        <f>IFERROR(IF(CEILING($C60*4/data_raw_4_day!$F$9,1)&gt;4,"X","D"&amp;CEILING($C60*4/data_raw_4_day!$F$9,1)),"X")</f>
        <v>X</v>
      </c>
      <c r="K60" s="39" t="str">
        <f>IFERROR(IF(CEILING($C60*4/data_raw_4_day!$F$10,1)&gt;4,"X","D"&amp;CEILING($C60*4/data_raw_4_day!$F$10,1)),"X")</f>
        <v>X</v>
      </c>
      <c r="L60" s="39" t="str">
        <f>IFERROR(IF(CEILING($C60*4/data_raw_4_day!$F$11,1)&gt;4,"X","D"&amp;CEILING($C60*4/data_raw_4_day!$F$11,1)),"X")</f>
        <v>X</v>
      </c>
      <c r="M60" s="39" t="str">
        <f>IFERROR(IF(CEILING($C60*4/data_raw_4_day!$F$12,1)&gt;4,"X","D"&amp;CEILING($C60*4/data_raw_4_day!$F$12,1)),"X")</f>
        <v>X</v>
      </c>
      <c r="N60" s="39" t="str">
        <f>IFERROR(IF(CEILING($C60*4/data_raw_4_day!$F$13,1)&gt;4,"X","D"&amp;CEILING($C60*4/data_raw_4_day!$F$13,1)),"X")</f>
        <v>X</v>
      </c>
    </row>
    <row r="61" ht="15.0" customHeight="1">
      <c r="A61" s="22">
        <f>milestone_4day_new!A27</f>
        <v>24</v>
      </c>
      <c r="B61" s="36">
        <f>milestone_4day_new!B27</f>
        <v>33000</v>
      </c>
      <c r="C61" s="37">
        <f>milestone_4day_new!C27</f>
        <v>151760</v>
      </c>
      <c r="D61" s="38" t="b">
        <f>milestone_4day_new!D27</f>
        <v>1</v>
      </c>
      <c r="E61" s="39" t="str">
        <f>IFERROR(IF(CEILING($C61*4/data_raw_4_day!$F$3,1)&gt;4,"X","D"&amp;CEILING($C61*4/data_raw_4_day!$F$3,1)),"X")</f>
        <v>X</v>
      </c>
      <c r="F61" s="39" t="str">
        <f>IFERROR(IF(CEILING($C61*4/data_raw_4_day!$F$4,1)&gt;4,"X","D"&amp;CEILING($C61*4/data_raw_4_day!$F$4,1)),"X")</f>
        <v>X</v>
      </c>
      <c r="G61" s="39" t="str">
        <f>IFERROR(IF(CEILING($C61*4/data_raw_4_day!$F$5,1)&gt;4,"X","D"&amp;CEILING($C61*4/data_raw_4_day!$F$5,1)),"X")</f>
        <v>X</v>
      </c>
      <c r="H61" s="39" t="str">
        <f>IFERROR(IF(CEILING($C61*4/data_raw_4_day!$F$6,1)&gt;4,"X","D"&amp;CEILING($C61*4/data_raw_4_day!$F$6,1)),"X")</f>
        <v>X</v>
      </c>
      <c r="I61" s="39" t="str">
        <f>IFERROR(IF(CEILING($C61*4/data_raw_4_day!$F$7,1)&gt;4,"X","D"&amp;CEILING($C61*4/data_raw_4_day!$F$7,1)),"X")</f>
        <v>X</v>
      </c>
      <c r="J61" s="39" t="str">
        <f>IFERROR(IF(CEILING($C61*4/data_raw_4_day!$F$9,1)&gt;4,"X","D"&amp;CEILING($C61*4/data_raw_4_day!$F$9,1)),"X")</f>
        <v>X</v>
      </c>
      <c r="K61" s="39" t="str">
        <f>IFERROR(IF(CEILING($C61*4/data_raw_4_day!$F$10,1)&gt;4,"X","D"&amp;CEILING($C61*4/data_raw_4_day!$F$10,1)),"X")</f>
        <v>X</v>
      </c>
      <c r="L61" s="39" t="str">
        <f>IFERROR(IF(CEILING($C61*4/data_raw_4_day!$F$11,1)&gt;4,"X","D"&amp;CEILING($C61*4/data_raw_4_day!$F$11,1)),"X")</f>
        <v>X</v>
      </c>
      <c r="M61" s="39" t="str">
        <f>IFERROR(IF(CEILING($C61*4/data_raw_4_day!$F$12,1)&gt;4,"X","D"&amp;CEILING($C61*4/data_raw_4_day!$F$12,1)),"X")</f>
        <v>X</v>
      </c>
      <c r="N61" s="39" t="str">
        <f>IFERROR(IF(CEILING($C61*4/data_raw_4_day!$F$13,1)&gt;4,"X","D"&amp;CEILING($C61*4/data_raw_4_day!$F$13,1)),"X")</f>
        <v>X</v>
      </c>
    </row>
    <row r="62" ht="15.0" customHeight="1">
      <c r="A62" s="22">
        <f>milestone_4day_new!A28</f>
        <v>25</v>
      </c>
      <c r="B62" s="36">
        <f>milestone_4day_new!B28</f>
        <v>8750</v>
      </c>
      <c r="C62" s="37">
        <f>milestone_4day_new!C28</f>
        <v>160510</v>
      </c>
      <c r="D62" s="38" t="b">
        <f>milestone_4day_new!D28</f>
        <v>0</v>
      </c>
      <c r="E62" s="39" t="str">
        <f>IFERROR(IF(CEILING($C62*4/data_raw_4_day!$F$3,1)&gt;4,"X","D"&amp;CEILING($C62*4/data_raw_4_day!$F$3,1)),"X")</f>
        <v>X</v>
      </c>
      <c r="F62" s="39" t="str">
        <f>IFERROR(IF(CEILING($C62*4/data_raw_4_day!$F$4,1)&gt;4,"X","D"&amp;CEILING($C62*4/data_raw_4_day!$F$4,1)),"X")</f>
        <v>X</v>
      </c>
      <c r="G62" s="39" t="str">
        <f>IFERROR(IF(CEILING($C62*4/data_raw_4_day!$F$5,1)&gt;4,"X","D"&amp;CEILING($C62*4/data_raw_4_day!$F$5,1)),"X")</f>
        <v>X</v>
      </c>
      <c r="H62" s="39" t="str">
        <f>IFERROR(IF(CEILING($C62*4/data_raw_4_day!$F$6,1)&gt;4,"X","D"&amp;CEILING($C62*4/data_raw_4_day!$F$6,1)),"X")</f>
        <v>X</v>
      </c>
      <c r="I62" s="39" t="str">
        <f>IFERROR(IF(CEILING($C62*4/data_raw_4_day!$F$7,1)&gt;4,"X","D"&amp;CEILING($C62*4/data_raw_4_day!$F$7,1)),"X")</f>
        <v>X</v>
      </c>
      <c r="J62" s="39" t="str">
        <f>IFERROR(IF(CEILING($C62*4/data_raw_4_day!$F$9,1)&gt;4,"X","D"&amp;CEILING($C62*4/data_raw_4_day!$F$9,1)),"X")</f>
        <v>X</v>
      </c>
      <c r="K62" s="39" t="str">
        <f>IFERROR(IF(CEILING($C62*4/data_raw_4_day!$F$10,1)&gt;4,"X","D"&amp;CEILING($C62*4/data_raw_4_day!$F$10,1)),"X")</f>
        <v>X</v>
      </c>
      <c r="L62" s="39" t="str">
        <f>IFERROR(IF(CEILING($C62*4/data_raw_4_day!$F$11,1)&gt;4,"X","D"&amp;CEILING($C62*4/data_raw_4_day!$F$11,1)),"X")</f>
        <v>X</v>
      </c>
      <c r="M62" s="39" t="str">
        <f>IFERROR(IF(CEILING($C62*4/data_raw_4_day!$F$12,1)&gt;4,"X","D"&amp;CEILING($C62*4/data_raw_4_day!$F$12,1)),"X")</f>
        <v>X</v>
      </c>
      <c r="N62" s="39" t="str">
        <f>IFERROR(IF(CEILING($C62*4/data_raw_4_day!$F$13,1)&gt;4,"X","D"&amp;CEILING($C62*4/data_raw_4_day!$F$13,1)),"X")</f>
        <v>X</v>
      </c>
    </row>
    <row r="63" ht="15.0" customHeight="1">
      <c r="A63" s="22">
        <f>milestone_4day_new!A29</f>
        <v>26</v>
      </c>
      <c r="B63" s="36">
        <f>milestone_4day_new!B29</f>
        <v>14250</v>
      </c>
      <c r="C63" s="37">
        <f>milestone_4day_new!C29</f>
        <v>174760</v>
      </c>
      <c r="D63" s="38" t="b">
        <f>milestone_4day_new!D29</f>
        <v>0</v>
      </c>
      <c r="E63" s="39" t="str">
        <f>IFERROR(IF(CEILING($C63*4/data_raw_4_day!$F$3,1)&gt;4,"X","D"&amp;CEILING($C63*4/data_raw_4_day!$F$3,1)),"X")</f>
        <v>X</v>
      </c>
      <c r="F63" s="39" t="str">
        <f>IFERROR(IF(CEILING($C63*4/data_raw_4_day!$F$4,1)&gt;4,"X","D"&amp;CEILING($C63*4/data_raw_4_day!$F$4,1)),"X")</f>
        <v>X</v>
      </c>
      <c r="G63" s="39" t="str">
        <f>IFERROR(IF(CEILING($C63*4/data_raw_4_day!$F$5,1)&gt;4,"X","D"&amp;CEILING($C63*4/data_raw_4_day!$F$5,1)),"X")</f>
        <v>X</v>
      </c>
      <c r="H63" s="39" t="str">
        <f>IFERROR(IF(CEILING($C63*4/data_raw_4_day!$F$6,1)&gt;4,"X","D"&amp;CEILING($C63*4/data_raw_4_day!$F$6,1)),"X")</f>
        <v>X</v>
      </c>
      <c r="I63" s="39" t="str">
        <f>IFERROR(IF(CEILING($C63*4/data_raw_4_day!$F$7,1)&gt;4,"X","D"&amp;CEILING($C63*4/data_raw_4_day!$F$7,1)),"X")</f>
        <v>X</v>
      </c>
      <c r="J63" s="39" t="str">
        <f>IFERROR(IF(CEILING($C63*4/data_raw_4_day!$F$9,1)&gt;4,"X","D"&amp;CEILING($C63*4/data_raw_4_day!$F$9,1)),"X")</f>
        <v>X</v>
      </c>
      <c r="K63" s="39" t="str">
        <f>IFERROR(IF(CEILING($C63*4/data_raw_4_day!$F$10,1)&gt;4,"X","D"&amp;CEILING($C63*4/data_raw_4_day!$F$10,1)),"X")</f>
        <v>X</v>
      </c>
      <c r="L63" s="39" t="str">
        <f>IFERROR(IF(CEILING($C63*4/data_raw_4_day!$F$11,1)&gt;4,"X","D"&amp;CEILING($C63*4/data_raw_4_day!$F$11,1)),"X")</f>
        <v>X</v>
      </c>
      <c r="M63" s="39" t="str">
        <f>IFERROR(IF(CEILING($C63*4/data_raw_4_day!$F$12,1)&gt;4,"X","D"&amp;CEILING($C63*4/data_raw_4_day!$F$12,1)),"X")</f>
        <v>X</v>
      </c>
      <c r="N63" s="39" t="str">
        <f>IFERROR(IF(CEILING($C63*4/data_raw_4_day!$F$13,1)&gt;4,"X","D"&amp;CEILING($C63*4/data_raw_4_day!$F$13,1)),"X")</f>
        <v>X</v>
      </c>
    </row>
    <row r="64" ht="15.0" customHeight="1">
      <c r="A64" s="22">
        <f>milestone_4day_new!A30</f>
        <v>27</v>
      </c>
      <c r="B64" s="36">
        <f>milestone_4day_new!B30</f>
        <v>44000</v>
      </c>
      <c r="C64" s="37">
        <f>milestone_4day_new!C30</f>
        <v>218760</v>
      </c>
      <c r="D64" s="38" t="b">
        <f>milestone_4day_new!D30</f>
        <v>1</v>
      </c>
      <c r="E64" s="39" t="str">
        <f>IFERROR(IF(CEILING($C64*4/data_raw_4_day!$F$3,1)&gt;4,"X","D"&amp;CEILING($C64*4/data_raw_4_day!$F$3,1)),"X")</f>
        <v>X</v>
      </c>
      <c r="F64" s="39" t="str">
        <f>IFERROR(IF(CEILING($C64*4/data_raw_4_day!$F$4,1)&gt;4,"X","D"&amp;CEILING($C64*4/data_raw_4_day!$F$4,1)),"X")</f>
        <v>X</v>
      </c>
      <c r="G64" s="39" t="str">
        <f>IFERROR(IF(CEILING($C64*4/data_raw_4_day!$F$5,1)&gt;4,"X","D"&amp;CEILING($C64*4/data_raw_4_day!$F$5,1)),"X")</f>
        <v>X</v>
      </c>
      <c r="H64" s="39" t="str">
        <f>IFERROR(IF(CEILING($C64*4/data_raw_4_day!$F$6,1)&gt;4,"X","D"&amp;CEILING($C64*4/data_raw_4_day!$F$6,1)),"X")</f>
        <v>X</v>
      </c>
      <c r="I64" s="39" t="str">
        <f>IFERROR(IF(CEILING($C64*4/data_raw_4_day!$F$7,1)&gt;4,"X","D"&amp;CEILING($C64*4/data_raw_4_day!$F$7,1)),"X")</f>
        <v>X</v>
      </c>
      <c r="J64" s="39" t="str">
        <f>IFERROR(IF(CEILING($C64*4/data_raw_4_day!$F$9,1)&gt;4,"X","D"&amp;CEILING($C64*4/data_raw_4_day!$F$9,1)),"X")</f>
        <v>X</v>
      </c>
      <c r="K64" s="39" t="str">
        <f>IFERROR(IF(CEILING($C64*4/data_raw_4_day!$F$10,1)&gt;4,"X","D"&amp;CEILING($C64*4/data_raw_4_day!$F$10,1)),"X")</f>
        <v>X</v>
      </c>
      <c r="L64" s="39" t="str">
        <f>IFERROR(IF(CEILING($C64*4/data_raw_4_day!$F$11,1)&gt;4,"X","D"&amp;CEILING($C64*4/data_raw_4_day!$F$11,1)),"X")</f>
        <v>X</v>
      </c>
      <c r="M64" s="39" t="str">
        <f>IFERROR(IF(CEILING($C64*4/data_raw_4_day!$F$12,1)&gt;4,"X","D"&amp;CEILING($C64*4/data_raw_4_day!$F$12,1)),"X")</f>
        <v>X</v>
      </c>
      <c r="N64" s="39" t="str">
        <f>IFERROR(IF(CEILING($C64*4/data_raw_4_day!$F$13,1)&gt;4,"X","D"&amp;CEILING($C64*4/data_raw_4_day!$F$13,1)),"X")</f>
        <v>X</v>
      </c>
    </row>
    <row r="65" ht="15.0" customHeight="1">
      <c r="A65" s="22">
        <f>milestone_4day_new!A31</f>
        <v>28</v>
      </c>
      <c r="B65" s="36">
        <f>milestone_4day_new!B31</f>
        <v>16500</v>
      </c>
      <c r="C65" s="37">
        <f>milestone_4day_new!C31</f>
        <v>235260</v>
      </c>
      <c r="D65" s="38" t="b">
        <f>milestone_4day_new!D31</f>
        <v>0</v>
      </c>
      <c r="E65" s="39" t="str">
        <f>IFERROR(IF(CEILING($C65*4/data_raw_4_day!$F$3,1)&gt;4,"X","D"&amp;CEILING($C65*4/data_raw_4_day!$F$3,1)),"X")</f>
        <v>X</v>
      </c>
      <c r="F65" s="39" t="str">
        <f>IFERROR(IF(CEILING($C65*4/data_raw_4_day!$F$4,1)&gt;4,"X","D"&amp;CEILING($C65*4/data_raw_4_day!$F$4,1)),"X")</f>
        <v>X</v>
      </c>
      <c r="G65" s="39" t="str">
        <f>IFERROR(IF(CEILING($C65*4/data_raw_4_day!$F$5,1)&gt;4,"X","D"&amp;CEILING($C65*4/data_raw_4_day!$F$5,1)),"X")</f>
        <v>X</v>
      </c>
      <c r="H65" s="39" t="str">
        <f>IFERROR(IF(CEILING($C65*4/data_raw_4_day!$F$6,1)&gt;4,"X","D"&amp;CEILING($C65*4/data_raw_4_day!$F$6,1)),"X")</f>
        <v>X</v>
      </c>
      <c r="I65" s="39" t="str">
        <f>IFERROR(IF(CEILING($C65*4/data_raw_4_day!$F$7,1)&gt;4,"X","D"&amp;CEILING($C65*4/data_raw_4_day!$F$7,1)),"X")</f>
        <v>X</v>
      </c>
      <c r="J65" s="39" t="str">
        <f>IFERROR(IF(CEILING($C65*4/data_raw_4_day!$F$9,1)&gt;4,"X","D"&amp;CEILING($C65*4/data_raw_4_day!$F$9,1)),"X")</f>
        <v>X</v>
      </c>
      <c r="K65" s="39" t="str">
        <f>IFERROR(IF(CEILING($C65*4/data_raw_4_day!$F$10,1)&gt;4,"X","D"&amp;CEILING($C65*4/data_raw_4_day!$F$10,1)),"X")</f>
        <v>X</v>
      </c>
      <c r="L65" s="39" t="str">
        <f>IFERROR(IF(CEILING($C65*4/data_raw_4_day!$F$11,1)&gt;4,"X","D"&amp;CEILING($C65*4/data_raw_4_day!$F$11,1)),"X")</f>
        <v>X</v>
      </c>
      <c r="M65" s="39" t="str">
        <f>IFERROR(IF(CEILING($C65*4/data_raw_4_day!$F$12,1)&gt;4,"X","D"&amp;CEILING($C65*4/data_raw_4_day!$F$12,1)),"X")</f>
        <v>X</v>
      </c>
      <c r="N65" s="39" t="str">
        <f>IFERROR(IF(CEILING($C65*4/data_raw_4_day!$F$13,1)&gt;4,"X","D"&amp;CEILING($C65*4/data_raw_4_day!$F$13,1)),"X")</f>
        <v>X</v>
      </c>
    </row>
    <row r="66" ht="15.0" customHeight="1">
      <c r="A66" s="22">
        <f>milestone_4day_new!A32</f>
        <v>29</v>
      </c>
      <c r="B66" s="36">
        <f>milestone_4day_new!B32</f>
        <v>34000</v>
      </c>
      <c r="C66" s="37">
        <f>milestone_4day_new!C32</f>
        <v>269260</v>
      </c>
      <c r="D66" s="38" t="b">
        <f>milestone_4day_new!D32</f>
        <v>0</v>
      </c>
      <c r="E66" s="39" t="str">
        <f>IFERROR(IF(CEILING($C66*4/data_raw_4_day!$F$3,1)&gt;4,"X","D"&amp;CEILING($C66*4/data_raw_4_day!$F$3,1)),"X")</f>
        <v>X</v>
      </c>
      <c r="F66" s="39" t="str">
        <f>IFERROR(IF(CEILING($C66*4/data_raw_4_day!$F$4,1)&gt;4,"X","D"&amp;CEILING($C66*4/data_raw_4_day!$F$4,1)),"X")</f>
        <v>X</v>
      </c>
      <c r="G66" s="39" t="str">
        <f>IFERROR(IF(CEILING($C66*4/data_raw_4_day!$F$5,1)&gt;4,"X","D"&amp;CEILING($C66*4/data_raw_4_day!$F$5,1)),"X")</f>
        <v>X</v>
      </c>
      <c r="H66" s="39" t="str">
        <f>IFERROR(IF(CEILING($C66*4/data_raw_4_day!$F$6,1)&gt;4,"X","D"&amp;CEILING($C66*4/data_raw_4_day!$F$6,1)),"X")</f>
        <v>X</v>
      </c>
      <c r="I66" s="39" t="str">
        <f>IFERROR(IF(CEILING($C66*4/data_raw_4_day!$F$7,1)&gt;4,"X","D"&amp;CEILING($C66*4/data_raw_4_day!$F$7,1)),"X")</f>
        <v>X</v>
      </c>
      <c r="J66" s="39" t="str">
        <f>IFERROR(IF(CEILING($C66*4/data_raw_4_day!$F$9,1)&gt;4,"X","D"&amp;CEILING($C66*4/data_raw_4_day!$F$9,1)),"X")</f>
        <v>X</v>
      </c>
      <c r="K66" s="39" t="str">
        <f>IFERROR(IF(CEILING($C66*4/data_raw_4_day!$F$10,1)&gt;4,"X","D"&amp;CEILING($C66*4/data_raw_4_day!$F$10,1)),"X")</f>
        <v>X</v>
      </c>
      <c r="L66" s="39" t="str">
        <f>IFERROR(IF(CEILING($C66*4/data_raw_4_day!$F$11,1)&gt;4,"X","D"&amp;CEILING($C66*4/data_raw_4_day!$F$11,1)),"X")</f>
        <v>X</v>
      </c>
      <c r="M66" s="39" t="str">
        <f>IFERROR(IF(CEILING($C66*4/data_raw_4_day!$F$12,1)&gt;4,"X","D"&amp;CEILING($C66*4/data_raw_4_day!$F$12,1)),"X")</f>
        <v>X</v>
      </c>
      <c r="N66" s="39" t="str">
        <f>IFERROR(IF(CEILING($C66*4/data_raw_4_day!$F$13,1)&gt;4,"X","D"&amp;CEILING($C66*4/data_raw_4_day!$F$13,1)),"X")</f>
        <v>X</v>
      </c>
    </row>
    <row r="67" ht="15.0" customHeight="1">
      <c r="A67" s="22">
        <f>milestone_4day_new!A33</f>
        <v>30</v>
      </c>
      <c r="B67" s="36">
        <f>milestone_4day_new!B33</f>
        <v>83000</v>
      </c>
      <c r="C67" s="37">
        <f>milestone_4day_new!C33</f>
        <v>352260</v>
      </c>
      <c r="D67" s="38" t="b">
        <f>milestone_4day_new!D33</f>
        <v>1</v>
      </c>
      <c r="E67" s="39" t="str">
        <f>IFERROR(IF(CEILING($C67*4/data_raw_4_day!$F$3,1)&gt;4,"X","D"&amp;CEILING($C67*4/data_raw_4_day!$F$3,1)),"X")</f>
        <v>X</v>
      </c>
      <c r="F67" s="39" t="str">
        <f>IFERROR(IF(CEILING($C67*4/data_raw_4_day!$F$4,1)&gt;4,"X","D"&amp;CEILING($C67*4/data_raw_4_day!$F$4,1)),"X")</f>
        <v>X</v>
      </c>
      <c r="G67" s="39" t="str">
        <f>IFERROR(IF(CEILING($C67*4/data_raw_4_day!$F$5,1)&gt;4,"X","D"&amp;CEILING($C67*4/data_raw_4_day!$F$5,1)),"X")</f>
        <v>X</v>
      </c>
      <c r="H67" s="39" t="str">
        <f>IFERROR(IF(CEILING($C67*4/data_raw_4_day!$F$6,1)&gt;4,"X","D"&amp;CEILING($C67*4/data_raw_4_day!$F$6,1)),"X")</f>
        <v>X</v>
      </c>
      <c r="I67" s="39" t="str">
        <f>IFERROR(IF(CEILING($C67*4/data_raw_4_day!$F$7,1)&gt;4,"X","D"&amp;CEILING($C67*4/data_raw_4_day!$F$7,1)),"X")</f>
        <v>X</v>
      </c>
      <c r="J67" s="39" t="str">
        <f>IFERROR(IF(CEILING($C67*4/data_raw_4_day!$F$9,1)&gt;4,"X","D"&amp;CEILING($C67*4/data_raw_4_day!$F$9,1)),"X")</f>
        <v>X</v>
      </c>
      <c r="K67" s="39" t="str">
        <f>IFERROR(IF(CEILING($C67*4/data_raw_4_day!$F$10,1)&gt;4,"X","D"&amp;CEILING($C67*4/data_raw_4_day!$F$10,1)),"X")</f>
        <v>X</v>
      </c>
      <c r="L67" s="39" t="str">
        <f>IFERROR(IF(CEILING($C67*4/data_raw_4_day!$F$11,1)&gt;4,"X","D"&amp;CEILING($C67*4/data_raw_4_day!$F$11,1)),"X")</f>
        <v>X</v>
      </c>
      <c r="M67" s="39" t="str">
        <f>IFERROR(IF(CEILING($C67*4/data_raw_4_day!$F$12,1)&gt;4,"X","D"&amp;CEILING($C67*4/data_raw_4_day!$F$12,1)),"X")</f>
        <v>X</v>
      </c>
      <c r="N67" s="39" t="str">
        <f>IFERROR(IF(CEILING($C67*4/data_raw_4_day!$F$13,1)&gt;4,"X","D"&amp;CEILING($C67*4/data_raw_4_day!$F$13,1)),"X")</f>
        <v>X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5:N34 E38:N67">
    <cfRule type="containsText" dxfId="0" priority="1" operator="containsText" text="D1">
      <formula>NOT(ISERROR(SEARCH(("D1"),(E5))))</formula>
    </cfRule>
  </conditionalFormatting>
  <conditionalFormatting sqref="E5:N34 E38:N67">
    <cfRule type="cellIs" dxfId="1" priority="2" operator="equal">
      <formula>"D2"</formula>
    </cfRule>
  </conditionalFormatting>
  <conditionalFormatting sqref="E5:N34 E38:N67">
    <cfRule type="cellIs" dxfId="2" priority="3" operator="equal">
      <formula>"D3"</formula>
    </cfRule>
  </conditionalFormatting>
  <conditionalFormatting sqref="E5:N34 E38:N67">
    <cfRule type="cellIs" dxfId="3" priority="4" operator="equal">
      <formula>"D4"</formula>
    </cfRule>
  </conditionalFormatting>
  <conditionalFormatting sqref="E5:N34 E38:N67">
    <cfRule type="cellIs" dxfId="4" priority="5" operator="equal">
      <formula>"X"</formula>
    </cfRule>
  </conditionalFormatting>
  <conditionalFormatting sqref="D5:D34 D38:D67">
    <cfRule type="cellIs" dxfId="5" priority="6" operator="equal">
      <formula>"TRUE"</formula>
    </cfRule>
  </conditionalFormatting>
  <conditionalFormatting sqref="D5:D34 D38:D67">
    <cfRule type="cellIs" dxfId="5" priority="7" operator="equal">
      <formula>"TRUE"</formula>
    </cfRule>
  </conditionalFormatting>
  <conditionalFormatting sqref="E5:N34 E38:N67">
    <cfRule type="containsText" dxfId="0" priority="8" operator="containsText" text="D1">
      <formula>NOT(ISERROR(SEARCH(("D1"),(E5))))</formula>
    </cfRule>
  </conditionalFormatting>
  <conditionalFormatting sqref="E5:N34 E38:N67">
    <cfRule type="cellIs" dxfId="1" priority="9" operator="equal">
      <formula>"D2"</formula>
    </cfRule>
  </conditionalFormatting>
  <conditionalFormatting sqref="E5:N34 E38:N67">
    <cfRule type="cellIs" dxfId="2" priority="10" operator="equal">
      <formula>"D3"</formula>
    </cfRule>
  </conditionalFormatting>
  <conditionalFormatting sqref="E5:N34 E38:N67">
    <cfRule type="cellIs" dxfId="3" priority="11" operator="equal">
      <formula>"D4"</formula>
    </cfRule>
  </conditionalFormatting>
  <conditionalFormatting sqref="E5:N34 E38:N67">
    <cfRule type="cellIs" dxfId="4" priority="12" operator="equal">
      <formula>"X"</formula>
    </cfRule>
  </conditionalFormatting>
  <conditionalFormatting sqref="E5:N34 E38:N67">
    <cfRule type="expression" dxfId="4" priority="13">
      <formula>ISNUMBER(SEARCH("X",E5))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0.0"/>
    <col customWidth="1" min="4" max="4" width="9.0"/>
    <col customWidth="1" min="5" max="14" width="15.29"/>
    <col customWidth="1" min="15" max="26" width="8.71"/>
  </cols>
  <sheetData>
    <row r="1" ht="15.75" customHeight="1">
      <c r="A1" s="34" t="s">
        <v>85</v>
      </c>
    </row>
    <row r="2" ht="14.25" customHeight="1"/>
    <row r="3" ht="15.0" customHeight="1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.0" customHeight="1">
      <c r="A4" s="35" t="s">
        <v>70</v>
      </c>
      <c r="B4" s="35" t="s">
        <v>71</v>
      </c>
      <c r="C4" s="35" t="s">
        <v>72</v>
      </c>
      <c r="D4" s="35" t="s">
        <v>73</v>
      </c>
      <c r="E4" s="35" t="s">
        <v>74</v>
      </c>
      <c r="F4" s="35" t="s">
        <v>75</v>
      </c>
      <c r="G4" s="35" t="s">
        <v>76</v>
      </c>
      <c r="H4" s="35" t="s">
        <v>77</v>
      </c>
      <c r="I4" s="35" t="s">
        <v>78</v>
      </c>
      <c r="J4" s="35" t="s">
        <v>79</v>
      </c>
      <c r="K4" s="35" t="s">
        <v>80</v>
      </c>
      <c r="L4" s="35" t="s">
        <v>81</v>
      </c>
      <c r="M4" s="35" t="s">
        <v>82</v>
      </c>
      <c r="N4" s="35" t="s">
        <v>83</v>
      </c>
    </row>
    <row r="5" ht="15.0" customHeight="1">
      <c r="A5" s="22">
        <f>milestone_3day_new!A4</f>
        <v>1</v>
      </c>
      <c r="B5" s="36">
        <f>milestone_3day_new!B4</f>
        <v>130</v>
      </c>
      <c r="C5" s="37">
        <f>milestone_3day_new!C4</f>
        <v>130</v>
      </c>
      <c r="D5" s="38" t="b">
        <f>milestone_3day_new!D4</f>
        <v>0</v>
      </c>
      <c r="E5" s="39" t="str">
        <f>IFERROR(IF(CEILING($C5*3/data_raw_3_day!$H$3,1)&gt;3,"X","D"&amp;CEILING($C5*3/data_raw_3_day!$H$3,1)&amp;" net: "&amp;round(milestone_3day_new!AC4, 1)),"X")</f>
        <v>D1 net: 0</v>
      </c>
      <c r="F5" s="39" t="str">
        <f>IFERROR(IF(CEILING($C5*3/data_raw_3_day!$H$4,1)&gt;3,"X","D"&amp;CEILING($C5*3/data_raw_3_day!$H$4,1)&amp;" net: "&amp;round(milestone_3day_new!AD4, 1)),"X")</f>
        <v>D1 net: 0</v>
      </c>
      <c r="G5" s="39" t="str">
        <f>IFERROR(IF(CEILING($C5*3/data_raw_3_day!$H$5,1)&gt;3,"X","D"&amp;CEILING($C5*3/data_raw_3_day!$H$5,1)&amp;" net: "&amp;round(milestone_3day_new!AE4, 1)),"X")</f>
        <v>D1 net: 0</v>
      </c>
      <c r="H5" s="39" t="str">
        <f>IFERROR(IF(CEILING($C5*3/data_raw_3_day!$H$6,1)&gt;3,"X","D"&amp;CEILING($C5*3/data_raw_3_day!$H$6,1)&amp;" net: "&amp;round(milestone_3day_new!AF4, 1)),"X")</f>
        <v>D1 net: 0</v>
      </c>
      <c r="I5" s="39" t="str">
        <f>IFERROR(IF(CEILING($C5*3/data_raw_3_day!$H$7,1)&gt;3,"X","D"&amp;CEILING($C5*3/data_raw_3_day!$H$7,1)),"X")</f>
        <v>D1</v>
      </c>
      <c r="J5" s="39" t="str">
        <f>IFERROR(IF(CEILING($C5*3/data_raw_3_day!$H$9,1)&gt;3,"X","D"&amp;CEILING($C5*3/data_raw_3_day!$H$9,1)&amp;" net: "&amp;round(milestone_3day_new!AG4, 1)),"X")</f>
        <v>D1 net: 0</v>
      </c>
      <c r="K5" s="39" t="str">
        <f>IFERROR(IF(CEILING($C5*3/data_raw_3_day!$H$10,1)&gt;3,"X","D"&amp;CEILING($C5*3/data_raw_3_day!$H$10,1)&amp;" net: "&amp;round(milestone_3day_new!AH4, 1)),"X")</f>
        <v>D1 net: 0</v>
      </c>
      <c r="L5" s="39" t="str">
        <f>IFERROR(IF(CEILING($C5*3/data_raw_3_day!$H$11,1)&gt;3,"X","D"&amp;CEILING($C5*3/data_raw_3_day!$H$11,1)&amp;" net: "&amp;round(milestone_3day_new!AI4, 1)),"X")</f>
        <v>D1 net: 0</v>
      </c>
      <c r="M5" s="39" t="str">
        <f>IFERROR(IF(CEILING($C5*3/data_raw_3_day!$H$12,1)&gt;3,"X","D"&amp;CEILING($C5*3/data_raw_3_day!$H$12,1)&amp;" net: "&amp;round(milestone_3day_new!AJ4, 1)),"X")</f>
        <v>D1 net: 0</v>
      </c>
      <c r="N5" s="39" t="str">
        <f>IFERROR(IF(CEILING($C5*3/data_raw_3_day!$H$13,1)&gt;3,"X","D"&amp;CEILING($C5*3/data_raw_3_day!$H$13,1)),"X")</f>
        <v>D1</v>
      </c>
    </row>
    <row r="6" ht="15.0" customHeight="1">
      <c r="A6" s="22">
        <f>milestone_3day_new!A5</f>
        <v>2</v>
      </c>
      <c r="B6" s="36">
        <f>milestone_3day_new!B5</f>
        <v>250</v>
      </c>
      <c r="C6" s="37">
        <f>milestone_3day_new!C5</f>
        <v>380</v>
      </c>
      <c r="D6" s="38" t="b">
        <f>milestone_3day_new!D5</f>
        <v>0</v>
      </c>
      <c r="E6" s="39" t="str">
        <f>IFERROR(IF(CEILING($C6*3/data_raw_3_day!$H$3,1)&gt;3,"X","D"&amp;CEILING($C6*3/data_raw_3_day!$H$3,1)&amp;" net: "&amp;round(milestone_3day_new!AC5, 1)),"X")</f>
        <v>D1 net: 10</v>
      </c>
      <c r="F6" s="39" t="str">
        <f>IFERROR(IF(CEILING($C6*3/data_raw_3_day!$H$4,1)&gt;3,"X","D"&amp;CEILING($C6*3/data_raw_3_day!$H$4,1)&amp;" net: "&amp;round(milestone_3day_new!AD5, 1)),"X")</f>
        <v>D1 net: 10</v>
      </c>
      <c r="G6" s="39" t="str">
        <f>IFERROR(IF(CEILING($C6*3/data_raw_3_day!$H$5,1)&gt;3,"X","D"&amp;CEILING($C6*3/data_raw_3_day!$H$5,1)&amp;" net: "&amp;round(milestone_3day_new!AE5, 1)),"X")</f>
        <v>D1 net: 10</v>
      </c>
      <c r="H6" s="39" t="str">
        <f>IFERROR(IF(CEILING($C6*3/data_raw_3_day!$H$6,1)&gt;3,"X","D"&amp;CEILING($C6*3/data_raw_3_day!$H$6,1)&amp;" net: "&amp;round(milestone_3day_new!AF5, 1)),"X")</f>
        <v>D1 net: 10</v>
      </c>
      <c r="I6" s="39" t="str">
        <f>IFERROR(IF(CEILING($C6*3/data_raw_3_day!$H$7,1)&gt;3,"X","D"&amp;CEILING($C6*3/data_raw_3_day!$H$7,1)),"X")</f>
        <v>D1</v>
      </c>
      <c r="J6" s="39" t="str">
        <f>IFERROR(IF(CEILING($C6*3/data_raw_3_day!$H$9,1)&gt;3,"X","D"&amp;CEILING($C6*3/data_raw_3_day!$H$9,1)&amp;" net: "&amp;round(milestone_3day_new!AG5, 1)),"X")</f>
        <v>D1 net: 10</v>
      </c>
      <c r="K6" s="39" t="str">
        <f>IFERROR(IF(CEILING($C6*3/data_raw_3_day!$H$10,1)&gt;3,"X","D"&amp;CEILING($C6*3/data_raw_3_day!$H$10,1)&amp;" net: "&amp;round(milestone_3day_new!AH5, 1)),"X")</f>
        <v>D1 net: 10</v>
      </c>
      <c r="L6" s="39" t="str">
        <f>IFERROR(IF(CEILING($C6*3/data_raw_3_day!$H$11,1)&gt;3,"X","D"&amp;CEILING($C6*3/data_raw_3_day!$H$11,1)&amp;" net: "&amp;round(milestone_3day_new!AI5, 1)),"X")</f>
        <v>D1 net: 10</v>
      </c>
      <c r="M6" s="39" t="str">
        <f>IFERROR(IF(CEILING($C6*3/data_raw_3_day!$H$12,1)&gt;3,"X","D"&amp;CEILING($C6*3/data_raw_3_day!$H$12,1)&amp;" net: "&amp;round(milestone_3day_new!AJ5, 1)),"X")</f>
        <v>D1 net: 10</v>
      </c>
      <c r="N6" s="39" t="str">
        <f>IFERROR(IF(CEILING($C6*3/data_raw_3_day!$H$13,1)&gt;3,"X","D"&amp;CEILING($C6*3/data_raw_3_day!$H$13,1)),"X")</f>
        <v>D1</v>
      </c>
    </row>
    <row r="7" ht="15.0" customHeight="1">
      <c r="A7" s="22">
        <f>milestone_3day_new!A6</f>
        <v>3</v>
      </c>
      <c r="B7" s="36">
        <f>milestone_3day_new!B6</f>
        <v>850</v>
      </c>
      <c r="C7" s="37">
        <f>milestone_3day_new!C6</f>
        <v>1230</v>
      </c>
      <c r="D7" s="38" t="b">
        <f>milestone_3day_new!D6</f>
        <v>0</v>
      </c>
      <c r="E7" s="39" t="str">
        <f>IFERROR(IF(CEILING($C7*3/data_raw_3_day!$H$3,1)&gt;3,"X","D"&amp;CEILING($C7*3/data_raw_3_day!$H$3,1)&amp;" net: "&amp;round(milestone_3day_new!AC6, 1)),"X")</f>
        <v>D1 net: 9.7</v>
      </c>
      <c r="F7" s="39" t="str">
        <f>IFERROR(IF(CEILING($C7*3/data_raw_3_day!$H$4,1)&gt;3,"X","D"&amp;CEILING($C7*3/data_raw_3_day!$H$4,1)&amp;" net: "&amp;round(milestone_3day_new!AD6, 1)),"X")</f>
        <v>D1 net: 10</v>
      </c>
      <c r="G7" s="39" t="str">
        <f>IFERROR(IF(CEILING($C7*3/data_raw_3_day!$H$5,1)&gt;3,"X","D"&amp;CEILING($C7*3/data_raw_3_day!$H$5,1)&amp;" net: "&amp;round(milestone_3day_new!AE6, 1)),"X")</f>
        <v>D1 net: 10</v>
      </c>
      <c r="H7" s="39" t="str">
        <f>IFERROR(IF(CEILING($C7*3/data_raw_3_day!$H$6,1)&gt;3,"X","D"&amp;CEILING($C7*3/data_raw_3_day!$H$6,1)&amp;" net: "&amp;round(milestone_3day_new!AF6, 1)),"X")</f>
        <v>D1 net: 10</v>
      </c>
      <c r="I7" s="39" t="str">
        <f>IFERROR(IF(CEILING($C7*3/data_raw_3_day!$H$7,1)&gt;3,"X","D"&amp;CEILING($C7*3/data_raw_3_day!$H$7,1)),"X")</f>
        <v>D1</v>
      </c>
      <c r="J7" s="39" t="str">
        <f>IFERROR(IF(CEILING($C7*3/data_raw_3_day!$H$9,1)&gt;3,"X","D"&amp;CEILING($C7*3/data_raw_3_day!$H$9,1)&amp;" net: "&amp;round(milestone_3day_new!AG6, 1)),"X")</f>
        <v>D1 net: 10</v>
      </c>
      <c r="K7" s="39" t="str">
        <f>IFERROR(IF(CEILING($C7*3/data_raw_3_day!$H$10,1)&gt;3,"X","D"&amp;CEILING($C7*3/data_raw_3_day!$H$10,1)&amp;" net: "&amp;round(milestone_3day_new!AH6, 1)),"X")</f>
        <v>D1 net: 10</v>
      </c>
      <c r="L7" s="39" t="str">
        <f>IFERROR(IF(CEILING($C7*3/data_raw_3_day!$H$11,1)&gt;3,"X","D"&amp;CEILING($C7*3/data_raw_3_day!$H$11,1)&amp;" net: "&amp;round(milestone_3day_new!AI6, 1)),"X")</f>
        <v>D1 net: 10</v>
      </c>
      <c r="M7" s="39" t="str">
        <f>IFERROR(IF(CEILING($C7*3/data_raw_3_day!$H$12,1)&gt;3,"X","D"&amp;CEILING($C7*3/data_raw_3_day!$H$12,1)&amp;" net: "&amp;round(milestone_3day_new!AJ6, 1)),"X")</f>
        <v>D1 net: 10</v>
      </c>
      <c r="N7" s="39" t="str">
        <f>IFERROR(IF(CEILING($C7*3/data_raw_3_day!$H$13,1)&gt;3,"X","D"&amp;CEILING($C7*3/data_raw_3_day!$H$13,1)),"X")</f>
        <v>D1</v>
      </c>
    </row>
    <row r="8" ht="15.0" customHeight="1">
      <c r="A8" s="22">
        <f>milestone_3day_new!A7</f>
        <v>4</v>
      </c>
      <c r="B8" s="36">
        <f>milestone_3day_new!B7</f>
        <v>200</v>
      </c>
      <c r="C8" s="37">
        <f>milestone_3day_new!C7</f>
        <v>1430</v>
      </c>
      <c r="D8" s="38" t="b">
        <f>milestone_3day_new!D7</f>
        <v>0</v>
      </c>
      <c r="E8" s="39" t="str">
        <f>IFERROR(IF(CEILING($C8*3/data_raw_3_day!$H$3,1)&gt;3,"X","D"&amp;CEILING($C8*3/data_raw_3_day!$H$3,1)&amp;" net: "&amp;round(milestone_3day_new!AC7, 1)),"X")</f>
        <v>D1 net: -3.3</v>
      </c>
      <c r="F8" s="39" t="str">
        <f>IFERROR(IF(CEILING($C8*3/data_raw_3_day!$H$4,1)&gt;3,"X","D"&amp;CEILING($C8*3/data_raw_3_day!$H$4,1)&amp;" net: "&amp;round(milestone_3day_new!AD7, 1)),"X")</f>
        <v>D1 net: 10</v>
      </c>
      <c r="G8" s="39" t="str">
        <f>IFERROR(IF(CEILING($C8*3/data_raw_3_day!$H$5,1)&gt;3,"X","D"&amp;CEILING($C8*3/data_raw_3_day!$H$5,1)&amp;" net: "&amp;round(milestone_3day_new!AE7, 1)),"X")</f>
        <v>D1 net: 10</v>
      </c>
      <c r="H8" s="39" t="str">
        <f>IFERROR(IF(CEILING($C8*3/data_raw_3_day!$H$6,1)&gt;3,"X","D"&amp;CEILING($C8*3/data_raw_3_day!$H$6,1)&amp;" net: "&amp;round(milestone_3day_new!AF7, 1)),"X")</f>
        <v>D1 net: 10</v>
      </c>
      <c r="I8" s="39" t="str">
        <f>IFERROR(IF(CEILING($C8*3/data_raw_3_day!$H$7,1)&gt;3,"X","D"&amp;CEILING($C8*3/data_raw_3_day!$H$7,1)),"X")</f>
        <v>D1</v>
      </c>
      <c r="J8" s="39" t="str">
        <f>IFERROR(IF(CEILING($C8*3/data_raw_3_day!$H$9,1)&gt;3,"X","D"&amp;CEILING($C8*3/data_raw_3_day!$H$9,1)&amp;" net: "&amp;round(milestone_3day_new!AG7, 1)),"X")</f>
        <v>D1 net: 10</v>
      </c>
      <c r="K8" s="39" t="str">
        <f>IFERROR(IF(CEILING($C8*3/data_raw_3_day!$H$10,1)&gt;3,"X","D"&amp;CEILING($C8*3/data_raw_3_day!$H$10,1)&amp;" net: "&amp;round(milestone_3day_new!AH7, 1)),"X")</f>
        <v>D1 net: 10</v>
      </c>
      <c r="L8" s="39" t="str">
        <f>IFERROR(IF(CEILING($C8*3/data_raw_3_day!$H$11,1)&gt;3,"X","D"&amp;CEILING($C8*3/data_raw_3_day!$H$11,1)&amp;" net: "&amp;round(milestone_3day_new!AI7, 1)),"X")</f>
        <v>D1 net: 10</v>
      </c>
      <c r="M8" s="39" t="str">
        <f>IFERROR(IF(CEILING($C8*3/data_raw_3_day!$H$12,1)&gt;3,"X","D"&amp;CEILING($C8*3/data_raw_3_day!$H$12,1)&amp;" net: "&amp;round(milestone_3day_new!AJ7, 1)),"X")</f>
        <v>D1 net: 10</v>
      </c>
      <c r="N8" s="39" t="str">
        <f>IFERROR(IF(CEILING($C8*3/data_raw_3_day!$H$13,1)&gt;3,"X","D"&amp;CEILING($C8*3/data_raw_3_day!$H$13,1)),"X")</f>
        <v>D1</v>
      </c>
    </row>
    <row r="9" ht="15.0" customHeight="1">
      <c r="A9" s="22">
        <f>milestone_3day_new!A8</f>
        <v>5</v>
      </c>
      <c r="B9" s="36">
        <f>milestone_3day_new!B8</f>
        <v>450</v>
      </c>
      <c r="C9" s="37">
        <f>milestone_3day_new!C8</f>
        <v>1880</v>
      </c>
      <c r="D9" s="38" t="b">
        <f>milestone_3day_new!D8</f>
        <v>0</v>
      </c>
      <c r="E9" s="39" t="str">
        <f>IFERROR(IF(CEILING($C9*3/data_raw_3_day!$H$3,1)&gt;3,"X","D"&amp;CEILING($C9*3/data_raw_3_day!$H$3,1)&amp;" net: "&amp;round(milestone_3day_new!AC8, 1)),"X")</f>
        <v>D1 net: -26.9</v>
      </c>
      <c r="F9" s="39" t="str">
        <f>IFERROR(IF(CEILING($C9*3/data_raw_3_day!$H$4,1)&gt;3,"X","D"&amp;CEILING($C9*3/data_raw_3_day!$H$4,1)&amp;" net: "&amp;round(milestone_3day_new!AD8, 1)),"X")</f>
        <v>D1 net: 10</v>
      </c>
      <c r="G9" s="39" t="str">
        <f>IFERROR(IF(CEILING($C9*3/data_raw_3_day!$H$5,1)&gt;3,"X","D"&amp;CEILING($C9*3/data_raw_3_day!$H$5,1)&amp;" net: "&amp;round(milestone_3day_new!AE8, 1)),"X")</f>
        <v>D1 net: 10</v>
      </c>
      <c r="H9" s="39" t="str">
        <f>IFERROR(IF(CEILING($C9*3/data_raw_3_day!$H$6,1)&gt;3,"X","D"&amp;CEILING($C9*3/data_raw_3_day!$H$6,1)&amp;" net: "&amp;round(milestone_3day_new!AF8, 1)),"X")</f>
        <v>D1 net: 10</v>
      </c>
      <c r="I9" s="39" t="str">
        <f>IFERROR(IF(CEILING($C9*3/data_raw_3_day!$H$7,1)&gt;3,"X","D"&amp;CEILING($C9*3/data_raw_3_day!$H$7,1)),"X")</f>
        <v>D1</v>
      </c>
      <c r="J9" s="39" t="str">
        <f>IFERROR(IF(CEILING($C9*3/data_raw_3_day!$H$9,1)&gt;3,"X","D"&amp;CEILING($C9*3/data_raw_3_day!$H$9,1)&amp;" net: "&amp;round(milestone_3day_new!AG8, 1)),"X")</f>
        <v>D1 net: -28.2</v>
      </c>
      <c r="K9" s="39" t="str">
        <f>IFERROR(IF(CEILING($C9*3/data_raw_3_day!$H$10,1)&gt;3,"X","D"&amp;CEILING($C9*3/data_raw_3_day!$H$10,1)&amp;" net: "&amp;round(milestone_3day_new!AH8, 1)),"X")</f>
        <v>D1 net: 10</v>
      </c>
      <c r="L9" s="39" t="str">
        <f>IFERROR(IF(CEILING($C9*3/data_raw_3_day!$H$11,1)&gt;3,"X","D"&amp;CEILING($C9*3/data_raw_3_day!$H$11,1)&amp;" net: "&amp;round(milestone_3day_new!AI8, 1)),"X")</f>
        <v>D1 net: 10</v>
      </c>
      <c r="M9" s="39" t="str">
        <f>IFERROR(IF(CEILING($C9*3/data_raw_3_day!$H$12,1)&gt;3,"X","D"&amp;CEILING($C9*3/data_raw_3_day!$H$12,1)&amp;" net: "&amp;round(milestone_3day_new!AJ8, 1)),"X")</f>
        <v>D1 net: 10</v>
      </c>
      <c r="N9" s="39" t="str">
        <f>IFERROR(IF(CEILING($C9*3/data_raw_3_day!$H$13,1)&gt;3,"X","D"&amp;CEILING($C9*3/data_raw_3_day!$H$13,1)),"X")</f>
        <v>D1</v>
      </c>
    </row>
    <row r="10" ht="15.0" customHeight="1">
      <c r="A10" s="22">
        <f>milestone_3day_new!A9</f>
        <v>6</v>
      </c>
      <c r="B10" s="36">
        <f>milestone_3day_new!B9</f>
        <v>1300</v>
      </c>
      <c r="C10" s="37">
        <f>milestone_3day_new!C9</f>
        <v>3180</v>
      </c>
      <c r="D10" s="38" t="b">
        <f>milestone_3day_new!D9</f>
        <v>1</v>
      </c>
      <c r="E10" s="39" t="str">
        <f>IFERROR(IF(CEILING($C10*3/data_raw_3_day!$H$3,1)&gt;3,"X","D"&amp;CEILING($C10*3/data_raw_3_day!$H$3,1)&amp;" net: "&amp;round(milestone_3day_new!AC9, 1)),"X")</f>
        <v>D2 net: -72.2</v>
      </c>
      <c r="F10" s="39" t="str">
        <f>IFERROR(IF(CEILING($C10*3/data_raw_3_day!$H$4,1)&gt;3,"X","D"&amp;CEILING($C10*3/data_raw_3_day!$H$4,1)&amp;" net: "&amp;round(milestone_3day_new!AD9, 1)),"X")</f>
        <v>D1 net: -7.8</v>
      </c>
      <c r="G10" s="39" t="str">
        <f>IFERROR(IF(CEILING($C10*3/data_raw_3_day!$H$5,1)&gt;3,"X","D"&amp;CEILING($C10*3/data_raw_3_day!$H$5,1)&amp;" net: "&amp;round(milestone_3day_new!AE9, 1)),"X")</f>
        <v>D1 net: 10</v>
      </c>
      <c r="H10" s="39" t="str">
        <f>IFERROR(IF(CEILING($C10*3/data_raw_3_day!$H$6,1)&gt;3,"X","D"&amp;CEILING($C10*3/data_raw_3_day!$H$6,1)&amp;" net: "&amp;round(milestone_3day_new!AF9, 1)),"X")</f>
        <v>D1 net: 10</v>
      </c>
      <c r="I10" s="39" t="str">
        <f>IFERROR(IF(CEILING($C10*3/data_raw_3_day!$H$7,1)&gt;3,"X","D"&amp;CEILING($C10*3/data_raw_3_day!$H$7,1)),"X")</f>
        <v>D1</v>
      </c>
      <c r="J10" s="39" t="str">
        <f>IFERROR(IF(CEILING($C10*3/data_raw_3_day!$H$9,1)&gt;3,"X","D"&amp;CEILING($C10*3/data_raw_3_day!$H$9,1)&amp;" net: "&amp;round(milestone_3day_new!AG9, 1)),"X")</f>
        <v>D2 net: -107.7</v>
      </c>
      <c r="K10" s="39" t="str">
        <f>IFERROR(IF(CEILING($C10*3/data_raw_3_day!$H$10,1)&gt;3,"X","D"&amp;CEILING($C10*3/data_raw_3_day!$H$10,1)&amp;" net: "&amp;round(milestone_3day_new!AH9, 1)),"X")</f>
        <v>D1 net: 6</v>
      </c>
      <c r="L10" s="39" t="str">
        <f>IFERROR(IF(CEILING($C10*3/data_raw_3_day!$H$11,1)&gt;3,"X","D"&amp;CEILING($C10*3/data_raw_3_day!$H$11,1)&amp;" net: "&amp;round(milestone_3day_new!AI9, 1)),"X")</f>
        <v>D1 net: 10</v>
      </c>
      <c r="M10" s="39" t="str">
        <f>IFERROR(IF(CEILING($C10*3/data_raw_3_day!$H$12,1)&gt;3,"X","D"&amp;CEILING($C10*3/data_raw_3_day!$H$12,1)&amp;" net: "&amp;round(milestone_3day_new!AJ9, 1)),"X")</f>
        <v>D1 net: 10</v>
      </c>
      <c r="N10" s="39" t="str">
        <f>IFERROR(IF(CEILING($C10*3/data_raw_3_day!$H$13,1)&gt;3,"X","D"&amp;CEILING($C10*3/data_raw_3_day!$H$13,1)),"X")</f>
        <v>D1</v>
      </c>
    </row>
    <row r="11" ht="15.0" customHeight="1">
      <c r="A11" s="22">
        <f>milestone_3day_new!A10</f>
        <v>7</v>
      </c>
      <c r="B11" s="36">
        <f>milestone_3day_new!B10</f>
        <v>450</v>
      </c>
      <c r="C11" s="37">
        <f>milestone_3day_new!C10</f>
        <v>3630</v>
      </c>
      <c r="D11" s="38" t="b">
        <f>milestone_3day_new!D10</f>
        <v>0</v>
      </c>
      <c r="E11" s="39" t="str">
        <f>IFERROR(IF(CEILING($C11*3/data_raw_3_day!$H$3,1)&gt;3,"X","D"&amp;CEILING($C11*3/data_raw_3_day!$H$3,1)&amp;" net: "&amp;round(milestone_3day_new!AC10, 1)),"X")</f>
        <v>D2 net: -83.6</v>
      </c>
      <c r="F11" s="39" t="str">
        <f>IFERROR(IF(CEILING($C11*3/data_raw_3_day!$H$4,1)&gt;3,"X","D"&amp;CEILING($C11*3/data_raw_3_day!$H$4,1)&amp;" net: "&amp;round(milestone_3day_new!AD10, 1)),"X")</f>
        <v>D1 net: -28.6</v>
      </c>
      <c r="G11" s="39" t="str">
        <f>IFERROR(IF(CEILING($C11*3/data_raw_3_day!$H$5,1)&gt;3,"X","D"&amp;CEILING($C11*3/data_raw_3_day!$H$5,1)&amp;" net: "&amp;round(milestone_3day_new!AE10, 1)),"X")</f>
        <v>D1 net: 10</v>
      </c>
      <c r="H11" s="39" t="str">
        <f>IFERROR(IF(CEILING($C11*3/data_raw_3_day!$H$6,1)&gt;3,"X","D"&amp;CEILING($C11*3/data_raw_3_day!$H$6,1)&amp;" net: "&amp;round(milestone_3day_new!AF10, 1)),"X")</f>
        <v>D1 net: 10</v>
      </c>
      <c r="I11" s="39" t="str">
        <f>IFERROR(IF(CEILING($C11*3/data_raw_3_day!$H$7,1)&gt;3,"X","D"&amp;CEILING($C11*3/data_raw_3_day!$H$7,1)),"X")</f>
        <v>D1</v>
      </c>
      <c r="J11" s="39" t="str">
        <f>IFERROR(IF(CEILING($C11*3/data_raw_3_day!$H$9,1)&gt;3,"X","D"&amp;CEILING($C11*3/data_raw_3_day!$H$9,1)&amp;" net: "&amp;round(milestone_3day_new!AG10, 1)),"X")</f>
        <v>D2 net: -127.7</v>
      </c>
      <c r="K11" s="39" t="str">
        <f>IFERROR(IF(CEILING($C11*3/data_raw_3_day!$H$10,1)&gt;3,"X","D"&amp;CEILING($C11*3/data_raw_3_day!$H$10,1)&amp;" net: "&amp;round(milestone_3day_new!AH10, 1)),"X")</f>
        <v>D1 net: -35.4</v>
      </c>
      <c r="L11" s="39" t="str">
        <f>IFERROR(IF(CEILING($C11*3/data_raw_3_day!$H$11,1)&gt;3,"X","D"&amp;CEILING($C11*3/data_raw_3_day!$H$11,1)&amp;" net: "&amp;round(milestone_3day_new!AI10, 1)),"X")</f>
        <v>D1 net: 10</v>
      </c>
      <c r="M11" s="39" t="str">
        <f>IFERROR(IF(CEILING($C11*3/data_raw_3_day!$H$12,1)&gt;3,"X","D"&amp;CEILING($C11*3/data_raw_3_day!$H$12,1)&amp;" net: "&amp;round(milestone_3day_new!AJ10, 1)),"X")</f>
        <v>D1 net: 10</v>
      </c>
      <c r="N11" s="39" t="str">
        <f>IFERROR(IF(CEILING($C11*3/data_raw_3_day!$H$13,1)&gt;3,"X","D"&amp;CEILING($C11*3/data_raw_3_day!$H$13,1)),"X")</f>
        <v>D1</v>
      </c>
    </row>
    <row r="12" ht="15.0" customHeight="1">
      <c r="A12" s="22">
        <f>milestone_3day_new!A11</f>
        <v>8</v>
      </c>
      <c r="B12" s="36">
        <f>milestone_3day_new!B11</f>
        <v>820</v>
      </c>
      <c r="C12" s="37">
        <f>milestone_3day_new!C11</f>
        <v>4450</v>
      </c>
      <c r="D12" s="38" t="b">
        <f>milestone_3day_new!D11</f>
        <v>0</v>
      </c>
      <c r="E12" s="39" t="str">
        <f>IFERROR(IF(CEILING($C12*3/data_raw_3_day!$H$3,1)&gt;3,"X","D"&amp;CEILING($C12*3/data_raw_3_day!$H$3,1)&amp;" net: "&amp;round(milestone_3day_new!AC11, 1)),"X")</f>
        <v>D2 net: -101.2</v>
      </c>
      <c r="F12" s="39" t="str">
        <f>IFERROR(IF(CEILING($C12*3/data_raw_3_day!$H$4,1)&gt;3,"X","D"&amp;CEILING($C12*3/data_raw_3_day!$H$4,1)&amp;" net: "&amp;round(milestone_3day_new!AD11, 1)),"X")</f>
        <v>D1 net: -60.6</v>
      </c>
      <c r="G12" s="39" t="str">
        <f>IFERROR(IF(CEILING($C12*3/data_raw_3_day!$H$5,1)&gt;3,"X","D"&amp;CEILING($C12*3/data_raw_3_day!$H$5,1)&amp;" net: "&amp;round(milestone_3day_new!AE11, 1)),"X")</f>
        <v>D1 net: 10</v>
      </c>
      <c r="H12" s="39" t="str">
        <f>IFERROR(IF(CEILING($C12*3/data_raw_3_day!$H$6,1)&gt;3,"X","D"&amp;CEILING($C12*3/data_raw_3_day!$H$6,1)&amp;" net: "&amp;round(milestone_3day_new!AF11, 1)),"X")</f>
        <v>D1 net: 10</v>
      </c>
      <c r="I12" s="39" t="str">
        <f>IFERROR(IF(CEILING($C12*3/data_raw_3_day!$H$7,1)&gt;3,"X","D"&amp;CEILING($C12*3/data_raw_3_day!$H$7,1)),"X")</f>
        <v>D1</v>
      </c>
      <c r="J12" s="39" t="str">
        <f>IFERROR(IF(CEILING($C12*3/data_raw_3_day!$H$9,1)&gt;3,"X","D"&amp;CEILING($C12*3/data_raw_3_day!$H$9,1)&amp;" net: "&amp;round(milestone_3day_new!AG11, 1)),"X")</f>
        <v>D2 net: -158.5</v>
      </c>
      <c r="K12" s="39" t="str">
        <f>IFERROR(IF(CEILING($C12*3/data_raw_3_day!$H$10,1)&gt;3,"X","D"&amp;CEILING($C12*3/data_raw_3_day!$H$10,1)&amp;" net: "&amp;round(milestone_3day_new!AH11, 1)),"X")</f>
        <v>D1 net: -99.2</v>
      </c>
      <c r="L12" s="39" t="str">
        <f>IFERROR(IF(CEILING($C12*3/data_raw_3_day!$H$11,1)&gt;3,"X","D"&amp;CEILING($C12*3/data_raw_3_day!$H$11,1)&amp;" net: "&amp;round(milestone_3day_new!AI11, 1)),"X")</f>
        <v>D1 net: 10</v>
      </c>
      <c r="M12" s="39" t="str">
        <f>IFERROR(IF(CEILING($C12*3/data_raw_3_day!$H$12,1)&gt;3,"X","D"&amp;CEILING($C12*3/data_raw_3_day!$H$12,1)&amp;" net: "&amp;round(milestone_3day_new!AJ11, 1)),"X")</f>
        <v>D1 net: 10</v>
      </c>
      <c r="N12" s="39" t="str">
        <f>IFERROR(IF(CEILING($C12*3/data_raw_3_day!$H$13,1)&gt;3,"X","D"&amp;CEILING($C12*3/data_raw_3_day!$H$13,1)),"X")</f>
        <v>D1</v>
      </c>
    </row>
    <row r="13" ht="15.0" customHeight="1">
      <c r="A13" s="22">
        <f>milestone_3day_new!A12</f>
        <v>9</v>
      </c>
      <c r="B13" s="36">
        <f>milestone_3day_new!B12</f>
        <v>3300</v>
      </c>
      <c r="C13" s="37">
        <f>milestone_3day_new!C12</f>
        <v>7750</v>
      </c>
      <c r="D13" s="38" t="b">
        <f>milestone_3day_new!D12</f>
        <v>1</v>
      </c>
      <c r="E13" s="39" t="str">
        <f>IFERROR(IF(CEILING($C13*3/data_raw_3_day!$H$3,1)&gt;3,"X","D"&amp;CEILING($C13*3/data_raw_3_day!$H$3,1)&amp;" net: "&amp;round(milestone_3day_new!AC12, 1)),"X")</f>
        <v>D3 net: -129</v>
      </c>
      <c r="F13" s="39" t="str">
        <f>IFERROR(IF(CEILING($C13*3/data_raw_3_day!$H$4,1)&gt;3,"X","D"&amp;CEILING($C13*3/data_raw_3_day!$H$4,1)&amp;" net: "&amp;round(milestone_3day_new!AD12, 1)),"X")</f>
        <v>D1 net: -127.7</v>
      </c>
      <c r="G13" s="39" t="str">
        <f>IFERROR(IF(CEILING($C13*3/data_raw_3_day!$H$5,1)&gt;3,"X","D"&amp;CEILING($C13*3/data_raw_3_day!$H$5,1)&amp;" net: "&amp;round(milestone_3day_new!AE12, 1)),"X")</f>
        <v>D1 net: -97.6</v>
      </c>
      <c r="H13" s="39" t="str">
        <f>IFERROR(IF(CEILING($C13*3/data_raw_3_day!$H$6,1)&gt;3,"X","D"&amp;CEILING($C13*3/data_raw_3_day!$H$6,1)&amp;" net: "&amp;round(milestone_3day_new!AF12, 1)),"X")</f>
        <v>D1 net: 30</v>
      </c>
      <c r="I13" s="39" t="str">
        <f>IFERROR(IF(CEILING($C13*3/data_raw_3_day!$H$7,1)&gt;3,"X","D"&amp;CEILING($C13*3/data_raw_3_day!$H$7,1)),"X")</f>
        <v>D1</v>
      </c>
      <c r="J13" s="39" t="str">
        <f>IFERROR(IF(CEILING($C13*3/data_raw_3_day!$H$9,1)&gt;3,"X","D"&amp;CEILING($C13*3/data_raw_3_day!$H$9,1)&amp;" net: "&amp;round(milestone_3day_new!AG12, 1)),"X")</f>
        <v>D3 net: -222.3</v>
      </c>
      <c r="K13" s="39" t="str">
        <f>IFERROR(IF(CEILING($C13*3/data_raw_3_day!$H$10,1)&gt;3,"X","D"&amp;CEILING($C13*3/data_raw_3_day!$H$10,1)&amp;" net: "&amp;round(milestone_3day_new!AH12, 1)),"X")</f>
        <v>D1 net: -252.8</v>
      </c>
      <c r="L13" s="39" t="str">
        <f>IFERROR(IF(CEILING($C13*3/data_raw_3_day!$H$11,1)&gt;3,"X","D"&amp;CEILING($C13*3/data_raw_3_day!$H$11,1)&amp;" net: "&amp;round(milestone_3day_new!AI12, 1)),"X")</f>
        <v>D1 net: -204.3</v>
      </c>
      <c r="M13" s="39" t="str">
        <f>IFERROR(IF(CEILING($C13*3/data_raw_3_day!$H$12,1)&gt;3,"X","D"&amp;CEILING($C13*3/data_raw_3_day!$H$12,1)&amp;" net: "&amp;round(milestone_3day_new!AJ12, 1)),"X")</f>
        <v>D1 net: 30</v>
      </c>
      <c r="N13" s="39" t="str">
        <f>IFERROR(IF(CEILING($C13*3/data_raw_3_day!$H$13,1)&gt;3,"X","D"&amp;CEILING($C13*3/data_raw_3_day!$H$13,1)),"X")</f>
        <v>D1</v>
      </c>
    </row>
    <row r="14" ht="15.0" customHeight="1">
      <c r="A14" s="22">
        <f>milestone_3day_new!A13</f>
        <v>10</v>
      </c>
      <c r="B14" s="36">
        <f>milestone_3day_new!B13</f>
        <v>1100</v>
      </c>
      <c r="C14" s="37">
        <f>milestone_3day_new!C13</f>
        <v>8850</v>
      </c>
      <c r="D14" s="38" t="b">
        <f>milestone_3day_new!D13</f>
        <v>0</v>
      </c>
      <c r="E14" s="39" t="str">
        <f>IFERROR(IF(CEILING($C14*3/data_raw_3_day!$H$3,1)&gt;3,"X","D"&amp;CEILING($C14*3/data_raw_3_day!$H$3,1)&amp;" net: "&amp;round(milestone_3day_new!AC13, 1)),"X")</f>
        <v>X</v>
      </c>
      <c r="F14" s="39" t="str">
        <f>IFERROR(IF(CEILING($C14*3/data_raw_3_day!$H$4,1)&gt;3,"X","D"&amp;CEILING($C14*3/data_raw_3_day!$H$4,1)&amp;" net: "&amp;round(milestone_3day_new!AD13, 1)),"X")</f>
        <v>D2 net: -148.5</v>
      </c>
      <c r="G14" s="39" t="str">
        <f>IFERROR(IF(CEILING($C14*3/data_raw_3_day!$H$5,1)&gt;3,"X","D"&amp;CEILING($C14*3/data_raw_3_day!$H$5,1)&amp;" net: "&amp;round(milestone_3day_new!AE13, 1)),"X")</f>
        <v>D1 net: -128.1</v>
      </c>
      <c r="H14" s="39" t="str">
        <f>IFERROR(IF(CEILING($C14*3/data_raw_3_day!$H$6,1)&gt;3,"X","D"&amp;CEILING($C14*3/data_raw_3_day!$H$6,1)&amp;" net: "&amp;round(milestone_3day_new!AF13, 1)),"X")</f>
        <v>D1 net: 30</v>
      </c>
      <c r="I14" s="39" t="str">
        <f>IFERROR(IF(CEILING($C14*3/data_raw_3_day!$H$7,1)&gt;3,"X","D"&amp;CEILING($C14*3/data_raw_3_day!$H$7,1)),"X")</f>
        <v>D1</v>
      </c>
      <c r="J14" s="39" t="str">
        <f>IFERROR(IF(CEILING($C14*3/data_raw_3_day!$H$9,1)&gt;3,"X","D"&amp;CEILING($C14*3/data_raw_3_day!$H$9,1)&amp;" net: "&amp;round(milestone_3day_new!AG13, 1)),"X")</f>
        <v>D3 net: -242.4</v>
      </c>
      <c r="K14" s="39" t="str">
        <f>IFERROR(IF(CEILING($C14*3/data_raw_3_day!$H$10,1)&gt;3,"X","D"&amp;CEILING($C14*3/data_raw_3_day!$H$10,1)&amp;" net: "&amp;round(milestone_3day_new!AH13, 1)),"X")</f>
        <v>D2 net: -294.4</v>
      </c>
      <c r="L14" s="39" t="str">
        <f>IFERROR(IF(CEILING($C14*3/data_raw_3_day!$H$11,1)&gt;3,"X","D"&amp;CEILING($C14*3/data_raw_3_day!$H$11,1)&amp;" net: "&amp;round(milestone_3day_new!AI13, 1)),"X")</f>
        <v>D1 net: -269.2</v>
      </c>
      <c r="M14" s="39" t="str">
        <f>IFERROR(IF(CEILING($C14*3/data_raw_3_day!$H$12,1)&gt;3,"X","D"&amp;CEILING($C14*3/data_raw_3_day!$H$12,1)&amp;" net: "&amp;round(milestone_3day_new!AJ13, 1)),"X")</f>
        <v>D1 net: 30</v>
      </c>
      <c r="N14" s="39" t="str">
        <f>IFERROR(IF(CEILING($C14*3/data_raw_3_day!$H$13,1)&gt;3,"X","D"&amp;CEILING($C14*3/data_raw_3_day!$H$13,1)),"X")</f>
        <v>D1</v>
      </c>
    </row>
    <row r="15" ht="15.0" customHeight="1">
      <c r="A15" s="22">
        <f>milestone_3day_new!A14</f>
        <v>11</v>
      </c>
      <c r="B15" s="36">
        <f>milestone_3day_new!B14</f>
        <v>2200</v>
      </c>
      <c r="C15" s="37">
        <f>milestone_3day_new!C14</f>
        <v>11050</v>
      </c>
      <c r="D15" s="38" t="b">
        <f>milestone_3day_new!D14</f>
        <v>0</v>
      </c>
      <c r="E15" s="39" t="str">
        <f>IFERROR(IF(CEILING($C15*3/data_raw_3_day!$H$3,1)&gt;3,"X","D"&amp;CEILING($C15*3/data_raw_3_day!$H$3,1)&amp;" net: "&amp;round(milestone_3day_new!AC14, 1)),"X")</f>
        <v>X</v>
      </c>
      <c r="F15" s="39" t="str">
        <f>IFERROR(IF(CEILING($C15*3/data_raw_3_day!$H$4,1)&gt;3,"X","D"&amp;CEILING($C15*3/data_raw_3_day!$H$4,1)&amp;" net: "&amp;round(milestone_3day_new!AD14, 1)),"X")</f>
        <v>D2 net: -183.4</v>
      </c>
      <c r="G15" s="39" t="str">
        <f>IFERROR(IF(CEILING($C15*3/data_raw_3_day!$H$5,1)&gt;3,"X","D"&amp;CEILING($C15*3/data_raw_3_day!$H$5,1)&amp;" net: "&amp;round(milestone_3day_new!AE14, 1)),"X")</f>
        <v>D1 net: -179.1</v>
      </c>
      <c r="H15" s="39" t="str">
        <f>IFERROR(IF(CEILING($C15*3/data_raw_3_day!$H$6,1)&gt;3,"X","D"&amp;CEILING($C15*3/data_raw_3_day!$H$6,1)&amp;" net: "&amp;round(milestone_3day_new!AF14, 1)),"X")</f>
        <v>D1 net: 3.5</v>
      </c>
      <c r="I15" s="39" t="str">
        <f>IFERROR(IF(CEILING($C15*3/data_raw_3_day!$H$7,1)&gt;3,"X","D"&amp;CEILING($C15*3/data_raw_3_day!$H$7,1)),"X")</f>
        <v>D1</v>
      </c>
      <c r="J15" s="39" t="str">
        <f>IFERROR(IF(CEILING($C15*3/data_raw_3_day!$H$9,1)&gt;3,"X","D"&amp;CEILING($C15*3/data_raw_3_day!$H$9,1)&amp;" net: "&amp;round(milestone_3day_new!AG14, 1)),"X")</f>
        <v>X</v>
      </c>
      <c r="K15" s="39" t="str">
        <f>IFERROR(IF(CEILING($C15*3/data_raw_3_day!$H$10,1)&gt;3,"X","D"&amp;CEILING($C15*3/data_raw_3_day!$H$10,1)&amp;" net: "&amp;round(milestone_3day_new!AH14, 1)),"X")</f>
        <v>D2 net: -363.9</v>
      </c>
      <c r="L15" s="39" t="str">
        <f>IFERROR(IF(CEILING($C15*3/data_raw_3_day!$H$11,1)&gt;3,"X","D"&amp;CEILING($C15*3/data_raw_3_day!$H$11,1)&amp;" net: "&amp;round(milestone_3day_new!AI14, 1)),"X")</f>
        <v>D1 net: -377.8</v>
      </c>
      <c r="M15" s="39" t="str">
        <f>IFERROR(IF(CEILING($C15*3/data_raw_3_day!$H$12,1)&gt;3,"X","D"&amp;CEILING($C15*3/data_raw_3_day!$H$12,1)&amp;" net: "&amp;round(milestone_3day_new!AJ14, 1)),"X")</f>
        <v>D1 net: 30</v>
      </c>
      <c r="N15" s="39" t="str">
        <f>IFERROR(IF(CEILING($C15*3/data_raw_3_day!$H$13,1)&gt;3,"X","D"&amp;CEILING($C15*3/data_raw_3_day!$H$13,1)),"X")</f>
        <v>D1</v>
      </c>
    </row>
    <row r="16" ht="15.0" customHeight="1">
      <c r="A16" s="22">
        <f>milestone_3day_new!A15</f>
        <v>12</v>
      </c>
      <c r="B16" s="36">
        <f>milestone_3day_new!B15</f>
        <v>6500</v>
      </c>
      <c r="C16" s="37">
        <f>milestone_3day_new!C15</f>
        <v>17550</v>
      </c>
      <c r="D16" s="38" t="b">
        <f>milestone_3day_new!D15</f>
        <v>1</v>
      </c>
      <c r="E16" s="39" t="str">
        <f>IFERROR(IF(CEILING($C16*3/data_raw_3_day!$H$3,1)&gt;3,"X","D"&amp;CEILING($C16*3/data_raw_3_day!$H$3,1)&amp;" net: "&amp;round(milestone_3day_new!AC15, 1)),"X")</f>
        <v>X</v>
      </c>
      <c r="F16" s="39" t="str">
        <f>IFERROR(IF(CEILING($C16*3/data_raw_3_day!$H$4,1)&gt;3,"X","D"&amp;CEILING($C16*3/data_raw_3_day!$H$4,1)&amp;" net: "&amp;round(milestone_3day_new!AD15, 1)),"X")</f>
        <v>D3 net: -221.1</v>
      </c>
      <c r="G16" s="39" t="str">
        <f>IFERROR(IF(CEILING($C16*3/data_raw_3_day!$H$5,1)&gt;3,"X","D"&amp;CEILING($C16*3/data_raw_3_day!$H$5,1)&amp;" net: "&amp;round(milestone_3day_new!AE15, 1)),"X")</f>
        <v>D2 net: -250.5</v>
      </c>
      <c r="H16" s="39" t="str">
        <f>IFERROR(IF(CEILING($C16*3/data_raw_3_day!$H$6,1)&gt;3,"X","D"&amp;CEILING($C16*3/data_raw_3_day!$H$6,1)&amp;" net: "&amp;round(milestone_3day_new!AF15, 1)),"X")</f>
        <v>D1 net: -150.3</v>
      </c>
      <c r="I16" s="39" t="str">
        <f>IFERROR(IF(CEILING($C16*3/data_raw_3_day!$H$7,1)&gt;3,"X","D"&amp;CEILING($C16*3/data_raw_3_day!$H$7,1)),"X")</f>
        <v>D1</v>
      </c>
      <c r="J16" s="39" t="str">
        <f>IFERROR(IF(CEILING($C16*3/data_raw_3_day!$H$9,1)&gt;3,"X","D"&amp;CEILING($C16*3/data_raw_3_day!$H$9,1)&amp;" net: "&amp;round(milestone_3day_new!AG15, 1)),"X")</f>
        <v>X</v>
      </c>
      <c r="K16" s="39" t="str">
        <f>IFERROR(IF(CEILING($C16*3/data_raw_3_day!$H$10,1)&gt;3,"X","D"&amp;CEILING($C16*3/data_raw_3_day!$H$10,1)&amp;" net: "&amp;round(milestone_3day_new!AH15, 1)),"X")</f>
        <v>D3 net: -473.7</v>
      </c>
      <c r="L16" s="39" t="str">
        <f>IFERROR(IF(CEILING($C16*3/data_raw_3_day!$H$11,1)&gt;3,"X","D"&amp;CEILING($C16*3/data_raw_3_day!$H$11,1)&amp;" net: "&amp;round(milestone_3day_new!AI15, 1)),"X")</f>
        <v>D2 net: -569.1</v>
      </c>
      <c r="M16" s="39" t="str">
        <f>IFERROR(IF(CEILING($C16*3/data_raw_3_day!$H$12,1)&gt;3,"X","D"&amp;CEILING($C16*3/data_raw_3_day!$H$12,1)&amp;" net: "&amp;round(milestone_3day_new!AJ15, 1)),"X")</f>
        <v>D1 net: -247.6</v>
      </c>
      <c r="N16" s="39" t="str">
        <f>IFERROR(IF(CEILING($C16*3/data_raw_3_day!$H$13,1)&gt;3,"X","D"&amp;CEILING($C16*3/data_raw_3_day!$H$13,1)),"X")</f>
        <v>D1</v>
      </c>
    </row>
    <row r="17" ht="15.0" customHeight="1">
      <c r="A17" s="22">
        <f>milestone_3day_new!A16</f>
        <v>13</v>
      </c>
      <c r="B17" s="36">
        <f>milestone_3day_new!B16</f>
        <v>2200</v>
      </c>
      <c r="C17" s="37">
        <f>milestone_3day_new!C16</f>
        <v>19750</v>
      </c>
      <c r="D17" s="38" t="b">
        <f>milestone_3day_new!D16</f>
        <v>0</v>
      </c>
      <c r="E17" s="39" t="str">
        <f>IFERROR(IF(CEILING($C17*3/data_raw_3_day!$H$3,1)&gt;3,"X","D"&amp;CEILING($C17*3/data_raw_3_day!$H$3,1)&amp;" net: "&amp;round(milestone_3day_new!AC16, 1)),"X")</f>
        <v>X</v>
      </c>
      <c r="F17" s="39" t="str">
        <f>IFERROR(IF(CEILING($C17*3/data_raw_3_day!$H$4,1)&gt;3,"X","D"&amp;CEILING($C17*3/data_raw_3_day!$H$4,1)&amp;" net: "&amp;round(milestone_3day_new!AD16, 1)),"X")</f>
        <v>D3 net: -239.6</v>
      </c>
      <c r="G17" s="39" t="str">
        <f>IFERROR(IF(CEILING($C17*3/data_raw_3_day!$H$5,1)&gt;3,"X","D"&amp;CEILING($C17*3/data_raw_3_day!$H$5,1)&amp;" net: "&amp;round(milestone_3day_new!AE16, 1)),"X")</f>
        <v>D2 net: -277.7</v>
      </c>
      <c r="H17" s="39" t="str">
        <f>IFERROR(IF(CEILING($C17*3/data_raw_3_day!$H$6,1)&gt;3,"X","D"&amp;CEILING($C17*3/data_raw_3_day!$H$6,1)&amp;" net: "&amp;round(milestone_3day_new!AF16, 1)),"X")</f>
        <v>D1 net: -198.5</v>
      </c>
      <c r="I17" s="39" t="str">
        <f>IFERROR(IF(CEILING($C17*3/data_raw_3_day!$H$7,1)&gt;3,"X","D"&amp;CEILING($C17*3/data_raw_3_day!$H$7,1)),"X")</f>
        <v>D1</v>
      </c>
      <c r="J17" s="39" t="str">
        <f>IFERROR(IF(CEILING($C17*3/data_raw_3_day!$H$9,1)&gt;3,"X","D"&amp;CEILING($C17*3/data_raw_3_day!$H$9,1)&amp;" net: "&amp;round(milestone_3day_new!AG16, 1)),"X")</f>
        <v>X</v>
      </c>
      <c r="K17" s="39" t="str">
        <f>IFERROR(IF(CEILING($C17*3/data_raw_3_day!$H$10,1)&gt;3,"X","D"&amp;CEILING($C17*3/data_raw_3_day!$H$10,1)&amp;" net: "&amp;round(milestone_3day_new!AH16, 1)),"X")</f>
        <v>D3 net: -510.7</v>
      </c>
      <c r="L17" s="39" t="str">
        <f>IFERROR(IF(CEILING($C17*3/data_raw_3_day!$H$11,1)&gt;3,"X","D"&amp;CEILING($C17*3/data_raw_3_day!$H$11,1)&amp;" net: "&amp;round(milestone_3day_new!AI16, 1)),"X")</f>
        <v>D2 net: -626.9</v>
      </c>
      <c r="M17" s="39" t="str">
        <f>IFERROR(IF(CEILING($C17*3/data_raw_3_day!$H$12,1)&gt;3,"X","D"&amp;CEILING($C17*3/data_raw_3_day!$H$12,1)&amp;" net: "&amp;round(milestone_3day_new!AJ16, 1)),"X")</f>
        <v>D1 net: -350.6</v>
      </c>
      <c r="N17" s="39" t="str">
        <f>IFERROR(IF(CEILING($C17*3/data_raw_3_day!$H$13,1)&gt;3,"X","D"&amp;CEILING($C17*3/data_raw_3_day!$H$13,1)),"X")</f>
        <v>D1</v>
      </c>
    </row>
    <row r="18" ht="15.0" customHeight="1">
      <c r="A18" s="22">
        <f>milestone_3day_new!A17</f>
        <v>14</v>
      </c>
      <c r="B18" s="36">
        <f>milestone_3day_new!B17</f>
        <v>4300</v>
      </c>
      <c r="C18" s="37">
        <f>milestone_3day_new!C17</f>
        <v>24050</v>
      </c>
      <c r="D18" s="38" t="b">
        <f>milestone_3day_new!D17</f>
        <v>0</v>
      </c>
      <c r="E18" s="39" t="str">
        <f>IFERROR(IF(CEILING($C18*3/data_raw_3_day!$H$3,1)&gt;3,"X","D"&amp;CEILING($C18*3/data_raw_3_day!$H$3,1)&amp;" net: "&amp;round(milestone_3day_new!AC17, 1)),"X")</f>
        <v>X</v>
      </c>
      <c r="F18" s="39" t="str">
        <f>IFERROR(IF(CEILING($C18*3/data_raw_3_day!$H$4,1)&gt;3,"X","D"&amp;CEILING($C18*3/data_raw_3_day!$H$4,1)&amp;" net: "&amp;round(milestone_3day_new!AD17, 1)),"X")</f>
        <v>D3 net: -270.6</v>
      </c>
      <c r="G18" s="39" t="str">
        <f>IFERROR(IF(CEILING($C18*3/data_raw_3_day!$H$5,1)&gt;3,"X","D"&amp;CEILING($C18*3/data_raw_3_day!$H$5,1)&amp;" net: "&amp;round(milestone_3day_new!AE17, 1)),"X")</f>
        <v>D2 net: -322.9</v>
      </c>
      <c r="H18" s="39" t="str">
        <f>IFERROR(IF(CEILING($C18*3/data_raw_3_day!$H$6,1)&gt;3,"X","D"&amp;CEILING($C18*3/data_raw_3_day!$H$6,1)&amp;" net: "&amp;round(milestone_3day_new!AF17, 1)),"X")</f>
        <v>D1 net: -279</v>
      </c>
      <c r="I18" s="39" t="str">
        <f>IFERROR(IF(CEILING($C18*3/data_raw_3_day!$H$7,1)&gt;3,"X","D"&amp;CEILING($C18*3/data_raw_3_day!$H$7,1)),"X")</f>
        <v>D1</v>
      </c>
      <c r="J18" s="39" t="str">
        <f>IFERROR(IF(CEILING($C18*3/data_raw_3_day!$H$9,1)&gt;3,"X","D"&amp;CEILING($C18*3/data_raw_3_day!$H$9,1)&amp;" net: "&amp;round(milestone_3day_new!AG17, 1)),"X")</f>
        <v>X</v>
      </c>
      <c r="K18" s="39" t="str">
        <f>IFERROR(IF(CEILING($C18*3/data_raw_3_day!$H$10,1)&gt;3,"X","D"&amp;CEILING($C18*3/data_raw_3_day!$H$10,1)&amp;" net: "&amp;round(milestone_3day_new!AH17, 1)),"X")</f>
        <v>D3 net: -572.3</v>
      </c>
      <c r="L18" s="39" t="str">
        <f>IFERROR(IF(CEILING($C18*3/data_raw_3_day!$H$11,1)&gt;3,"X","D"&amp;CEILING($C18*3/data_raw_3_day!$H$11,1)&amp;" net: "&amp;round(milestone_3day_new!AI17, 1)),"X")</f>
        <v>D2 net: -723.2</v>
      </c>
      <c r="M18" s="39" t="str">
        <f>IFERROR(IF(CEILING($C18*3/data_raw_3_day!$H$12,1)&gt;3,"X","D"&amp;CEILING($C18*3/data_raw_3_day!$H$12,1)&amp;" net: "&amp;round(milestone_3day_new!AJ17, 1)),"X")</f>
        <v>D1 net: -522.2</v>
      </c>
      <c r="N18" s="39" t="str">
        <f>IFERROR(IF(CEILING($C18*3/data_raw_3_day!$H$13,1)&gt;3,"X","D"&amp;CEILING($C18*3/data_raw_3_day!$H$13,1)),"X")</f>
        <v>D1</v>
      </c>
    </row>
    <row r="19" ht="15.0" customHeight="1">
      <c r="A19" s="22">
        <f>milestone_3day_new!A18</f>
        <v>15</v>
      </c>
      <c r="B19" s="36">
        <f>milestone_3day_new!B18</f>
        <v>13000</v>
      </c>
      <c r="C19" s="37">
        <f>milestone_3day_new!C18</f>
        <v>37050</v>
      </c>
      <c r="D19" s="38" t="b">
        <f>milestone_3day_new!D18</f>
        <v>1</v>
      </c>
      <c r="E19" s="39" t="str">
        <f>IFERROR(IF(CEILING($C19*3/data_raw_3_day!$H$3,1)&gt;3,"X","D"&amp;CEILING($C19*3/data_raw_3_day!$H$3,1)&amp;" net: "&amp;round(milestone_3day_new!AC18, 1)),"X")</f>
        <v>X</v>
      </c>
      <c r="F19" s="39" t="str">
        <f>IFERROR(IF(CEILING($C19*3/data_raw_3_day!$H$4,1)&gt;3,"X","D"&amp;CEILING($C19*3/data_raw_3_day!$H$4,1)&amp;" net: "&amp;round(milestone_3day_new!AD18, 1)),"X")</f>
        <v>X</v>
      </c>
      <c r="G19" s="39" t="str">
        <f>IFERROR(IF(CEILING($C19*3/data_raw_3_day!$H$5,1)&gt;3,"X","D"&amp;CEILING($C19*3/data_raw_3_day!$H$5,1)&amp;" net: "&amp;round(milestone_3day_new!AE18, 1)),"X")</f>
        <v>D3 net: -422.3</v>
      </c>
      <c r="H19" s="39" t="str">
        <f>IFERROR(IF(CEILING($C19*3/data_raw_3_day!$H$6,1)&gt;3,"X","D"&amp;CEILING($C19*3/data_raw_3_day!$H$6,1)&amp;" net: "&amp;round(milestone_3day_new!AF18, 1)),"X")</f>
        <v>D2 net: -455.4</v>
      </c>
      <c r="I19" s="39" t="str">
        <f>IFERROR(IF(CEILING($C19*3/data_raw_3_day!$H$7,1)&gt;3,"X","D"&amp;CEILING($C19*3/data_raw_3_day!$H$7,1)),"X")</f>
        <v>D1</v>
      </c>
      <c r="J19" s="39" t="str">
        <f>IFERROR(IF(CEILING($C19*3/data_raw_3_day!$H$9,1)&gt;3,"X","D"&amp;CEILING($C19*3/data_raw_3_day!$H$9,1)&amp;" net: "&amp;round(milestone_3day_new!AG18, 1)),"X")</f>
        <v>X</v>
      </c>
      <c r="K19" s="39" t="str">
        <f>IFERROR(IF(CEILING($C19*3/data_raw_3_day!$H$10,1)&gt;3,"X","D"&amp;CEILING($C19*3/data_raw_3_day!$H$10,1)&amp;" net: "&amp;round(milestone_3day_new!AH18, 1)),"X")</f>
        <v>X</v>
      </c>
      <c r="L19" s="39" t="str">
        <f>IFERROR(IF(CEILING($C19*3/data_raw_3_day!$H$11,1)&gt;3,"X","D"&amp;CEILING($C19*3/data_raw_3_day!$H$11,1)&amp;" net: "&amp;round(milestone_3day_new!AI18, 1)),"X")</f>
        <v>D3 net: -934.6</v>
      </c>
      <c r="M19" s="39" t="str">
        <f>IFERROR(IF(CEILING($C19*3/data_raw_3_day!$H$12,1)&gt;3,"X","D"&amp;CEILING($C19*3/data_raw_3_day!$H$12,1)&amp;" net: "&amp;round(milestone_3day_new!AJ18, 1)),"X")</f>
        <v>D2 net: -898.9</v>
      </c>
      <c r="N19" s="39" t="str">
        <f>IFERROR(IF(CEILING($C19*3/data_raw_3_day!$H$13,1)&gt;3,"X","D"&amp;CEILING($C19*3/data_raw_3_day!$H$13,1)),"X")</f>
        <v>D1</v>
      </c>
    </row>
    <row r="20" ht="15.0" customHeight="1">
      <c r="A20" s="22">
        <f>milestone_3day_new!A19</f>
        <v>16</v>
      </c>
      <c r="B20" s="36">
        <f>milestone_3day_new!B19</f>
        <v>3300</v>
      </c>
      <c r="C20" s="37">
        <f>milestone_3day_new!C19</f>
        <v>40350</v>
      </c>
      <c r="D20" s="38" t="b">
        <f>milestone_3day_new!D19</f>
        <v>0</v>
      </c>
      <c r="E20" s="39" t="str">
        <f>IFERROR(IF(CEILING($C20*3/data_raw_3_day!$H$3,1)&gt;3,"X","D"&amp;CEILING($C20*3/data_raw_3_day!$H$3,1)&amp;" net: "&amp;round(milestone_3day_new!AC19, 1)),"X")</f>
        <v>X</v>
      </c>
      <c r="F20" s="39" t="str">
        <f>IFERROR(IF(CEILING($C20*3/data_raw_3_day!$H$4,1)&gt;3,"X","D"&amp;CEILING($C20*3/data_raw_3_day!$H$4,1)&amp;" net: "&amp;round(milestone_3day_new!AD19, 1)),"X")</f>
        <v>X</v>
      </c>
      <c r="G20" s="39" t="str">
        <f>IFERROR(IF(CEILING($C20*3/data_raw_3_day!$H$5,1)&gt;3,"X","D"&amp;CEILING($C20*3/data_raw_3_day!$H$5,1)&amp;" net: "&amp;round(milestone_3day_new!AE19, 1)),"X")</f>
        <v>D3 net: -441.9</v>
      </c>
      <c r="H20" s="39" t="str">
        <f>IFERROR(IF(CEILING($C20*3/data_raw_3_day!$H$6,1)&gt;3,"X","D"&amp;CEILING($C20*3/data_raw_3_day!$H$6,1)&amp;" net: "&amp;round(milestone_3day_new!AF19, 1)),"X")</f>
        <v>D2 net: -490.2</v>
      </c>
      <c r="I20" s="39" t="str">
        <f>IFERROR(IF(CEILING($C20*3/data_raw_3_day!$H$7,1)&gt;3,"X","D"&amp;CEILING($C20*3/data_raw_3_day!$H$7,1)),"X")</f>
        <v>D1</v>
      </c>
      <c r="J20" s="39" t="str">
        <f>IFERROR(IF(CEILING($C20*3/data_raw_3_day!$H$9,1)&gt;3,"X","D"&amp;CEILING($C20*3/data_raw_3_day!$H$9,1)&amp;" net: "&amp;round(milestone_3day_new!AG19, 1)),"X")</f>
        <v>X</v>
      </c>
      <c r="K20" s="39" t="str">
        <f>IFERROR(IF(CEILING($C20*3/data_raw_3_day!$H$10,1)&gt;3,"X","D"&amp;CEILING($C20*3/data_raw_3_day!$H$10,1)&amp;" net: "&amp;round(milestone_3day_new!AH19, 1)),"X")</f>
        <v>X</v>
      </c>
      <c r="L20" s="39" t="str">
        <f>IFERROR(IF(CEILING($C20*3/data_raw_3_day!$H$11,1)&gt;3,"X","D"&amp;CEILING($C20*3/data_raw_3_day!$H$11,1)&amp;" net: "&amp;round(milestone_3day_new!AI19, 1)),"X")</f>
        <v>D3 net: -976.3</v>
      </c>
      <c r="M20" s="39" t="str">
        <f>IFERROR(IF(CEILING($C20*3/data_raw_3_day!$H$12,1)&gt;3,"X","D"&amp;CEILING($C20*3/data_raw_3_day!$H$12,1)&amp;" net: "&amp;round(milestone_3day_new!AJ19, 1)),"X")</f>
        <v>D2 net: -973.2</v>
      </c>
      <c r="N20" s="39" t="str">
        <f>IFERROR(IF(CEILING($C20*3/data_raw_3_day!$H$13,1)&gt;3,"X","D"&amp;CEILING($C20*3/data_raw_3_day!$H$13,1)),"X")</f>
        <v>D1</v>
      </c>
    </row>
    <row r="21" ht="15.0" customHeight="1">
      <c r="A21" s="22">
        <f>milestone_3day_new!A20</f>
        <v>17</v>
      </c>
      <c r="B21" s="36">
        <f>milestone_3day_new!B20</f>
        <v>5500</v>
      </c>
      <c r="C21" s="37">
        <f>milestone_3day_new!C20</f>
        <v>45850</v>
      </c>
      <c r="D21" s="38" t="b">
        <f>milestone_3day_new!D20</f>
        <v>0</v>
      </c>
      <c r="E21" s="39" t="str">
        <f>IFERROR(IF(CEILING($C21*3/data_raw_3_day!$H$3,1)&gt;3,"X","D"&amp;CEILING($C21*3/data_raw_3_day!$H$3,1)&amp;" net: "&amp;round(milestone_3day_new!AC20, 1)),"X")</f>
        <v>X</v>
      </c>
      <c r="F21" s="39" t="str">
        <f>IFERROR(IF(CEILING($C21*3/data_raw_3_day!$H$4,1)&gt;3,"X","D"&amp;CEILING($C21*3/data_raw_3_day!$H$4,1)&amp;" net: "&amp;round(milestone_3day_new!AD20, 1)),"X")</f>
        <v>X</v>
      </c>
      <c r="G21" s="39" t="str">
        <f>IFERROR(IF(CEILING($C21*3/data_raw_3_day!$H$5,1)&gt;3,"X","D"&amp;CEILING($C21*3/data_raw_3_day!$H$5,1)&amp;" net: "&amp;round(milestone_3day_new!AE20, 1)),"X")</f>
        <v>D3 net: -471.3</v>
      </c>
      <c r="H21" s="39" t="str">
        <f>IFERROR(IF(CEILING($C21*3/data_raw_3_day!$H$6,1)&gt;3,"X","D"&amp;CEILING($C21*3/data_raw_3_day!$H$6,1)&amp;" net: "&amp;round(milestone_3day_new!AF20, 1)),"X")</f>
        <v>D2 net: -542.4</v>
      </c>
      <c r="I21" s="39" t="str">
        <f>IFERROR(IF(CEILING($C21*3/data_raw_3_day!$H$7,1)&gt;3,"X","D"&amp;CEILING($C21*3/data_raw_3_day!$H$7,1)),"X")</f>
        <v>D1</v>
      </c>
      <c r="J21" s="39" t="str">
        <f>IFERROR(IF(CEILING($C21*3/data_raw_3_day!$H$9,1)&gt;3,"X","D"&amp;CEILING($C21*3/data_raw_3_day!$H$9,1)&amp;" net: "&amp;round(milestone_3day_new!AG20, 1)),"X")</f>
        <v>X</v>
      </c>
      <c r="K21" s="39" t="str">
        <f>IFERROR(IF(CEILING($C21*3/data_raw_3_day!$H$10,1)&gt;3,"X","D"&amp;CEILING($C21*3/data_raw_3_day!$H$10,1)&amp;" net: "&amp;round(milestone_3day_new!AH20, 1)),"X")</f>
        <v>X</v>
      </c>
      <c r="L21" s="39" t="str">
        <f>IFERROR(IF(CEILING($C21*3/data_raw_3_day!$H$11,1)&gt;3,"X","D"&amp;CEILING($C21*3/data_raw_3_day!$H$11,1)&amp;" net: "&amp;round(milestone_3day_new!AI20, 1)),"X")</f>
        <v>D3 net: -1038.8</v>
      </c>
      <c r="M21" s="39" t="str">
        <f>IFERROR(IF(CEILING($C21*3/data_raw_3_day!$H$12,1)&gt;3,"X","D"&amp;CEILING($C21*3/data_raw_3_day!$H$12,1)&amp;" net: "&amp;round(milestone_3day_new!AJ20, 1)),"X")</f>
        <v>D2 net: -1084.6</v>
      </c>
      <c r="N21" s="39" t="str">
        <f>IFERROR(IF(CEILING($C21*3/data_raw_3_day!$H$13,1)&gt;3,"X","D"&amp;CEILING($C21*3/data_raw_3_day!$H$13,1)),"X")</f>
        <v>D1</v>
      </c>
    </row>
    <row r="22" ht="15.0" customHeight="1">
      <c r="A22" s="22">
        <f>milestone_3day_new!A21</f>
        <v>18</v>
      </c>
      <c r="B22" s="36">
        <f>milestone_3day_new!B21</f>
        <v>16250</v>
      </c>
      <c r="C22" s="37">
        <f>milestone_3day_new!C21</f>
        <v>62100</v>
      </c>
      <c r="D22" s="38" t="b">
        <f>milestone_3day_new!D21</f>
        <v>1</v>
      </c>
      <c r="E22" s="39" t="str">
        <f>IFERROR(IF(CEILING($C22*3/data_raw_3_day!$H$3,1)&gt;3,"X","D"&amp;CEILING($C22*3/data_raw_3_day!$H$3,1)&amp;" net: "&amp;round(milestone_3day_new!AC21, 1)),"X")</f>
        <v>X</v>
      </c>
      <c r="F22" s="39" t="str">
        <f>IFERROR(IF(CEILING($C22*3/data_raw_3_day!$H$4,1)&gt;3,"X","D"&amp;CEILING($C22*3/data_raw_3_day!$H$4,1)&amp;" net: "&amp;round(milestone_3day_new!AD21, 1)),"X")</f>
        <v>X</v>
      </c>
      <c r="G22" s="39" t="str">
        <f>IFERROR(IF(CEILING($C22*3/data_raw_3_day!$H$5,1)&gt;3,"X","D"&amp;CEILING($C22*3/data_raw_3_day!$H$5,1)&amp;" net: "&amp;round(milestone_3day_new!AE21, 1)),"X")</f>
        <v>X</v>
      </c>
      <c r="H22" s="39" t="str">
        <f>IFERROR(IF(CEILING($C22*3/data_raw_3_day!$H$6,1)&gt;3,"X","D"&amp;CEILING($C22*3/data_raw_3_day!$H$6,1)&amp;" net: "&amp;round(milestone_3day_new!AF21, 1)),"X")</f>
        <v>D2 net: -616.3</v>
      </c>
      <c r="I22" s="39" t="str">
        <f>IFERROR(IF(CEILING($C22*3/data_raw_3_day!$H$7,1)&gt;3,"X","D"&amp;CEILING($C22*3/data_raw_3_day!$H$7,1)),"X")</f>
        <v>D1</v>
      </c>
      <c r="J22" s="39" t="str">
        <f>IFERROR(IF(CEILING($C22*3/data_raw_3_day!$H$9,1)&gt;3,"X","D"&amp;CEILING($C22*3/data_raw_3_day!$H$9,1)&amp;" net: "&amp;round(milestone_3day_new!AG21, 1)),"X")</f>
        <v>X</v>
      </c>
      <c r="K22" s="39" t="str">
        <f>IFERROR(IF(CEILING($C22*3/data_raw_3_day!$H$10,1)&gt;3,"X","D"&amp;CEILING($C22*3/data_raw_3_day!$H$10,1)&amp;" net: "&amp;round(milestone_3day_new!AH21, 1)),"X")</f>
        <v>X</v>
      </c>
      <c r="L22" s="39" t="str">
        <f>IFERROR(IF(CEILING($C22*3/data_raw_3_day!$H$11,1)&gt;3,"X","D"&amp;CEILING($C22*3/data_raw_3_day!$H$11,1)&amp;" net: "&amp;round(milestone_3day_new!AI21, 1)),"X")</f>
        <v>X</v>
      </c>
      <c r="M22" s="39" t="str">
        <f>IFERROR(IF(CEILING($C22*3/data_raw_3_day!$H$12,1)&gt;3,"X","D"&amp;CEILING($C22*3/data_raw_3_day!$H$12,1)&amp;" net: "&amp;round(milestone_3day_new!AJ21, 1)),"X")</f>
        <v>D2 net: -1299</v>
      </c>
      <c r="N22" s="39" t="str">
        <f>IFERROR(IF(CEILING($C22*3/data_raw_3_day!$H$13,1)&gt;3,"X","D"&amp;CEILING($C22*3/data_raw_3_day!$H$13,1)),"X")</f>
        <v>D1</v>
      </c>
    </row>
    <row r="23" ht="15.0" customHeight="1">
      <c r="A23" s="22">
        <f>milestone_3day_new!A22</f>
        <v>19</v>
      </c>
      <c r="B23" s="36">
        <f>milestone_3day_new!B22</f>
        <v>3800</v>
      </c>
      <c r="C23" s="37">
        <f>milestone_3day_new!C22</f>
        <v>65900</v>
      </c>
      <c r="D23" s="38" t="b">
        <f>milestone_3day_new!D22</f>
        <v>0</v>
      </c>
      <c r="E23" s="39" t="str">
        <f>IFERROR(IF(CEILING($C23*3/data_raw_3_day!$H$3,1)&gt;3,"X","D"&amp;CEILING($C23*3/data_raw_3_day!$H$3,1)&amp;" net: "&amp;round(milestone_3day_new!AC22, 1)),"X")</f>
        <v>X</v>
      </c>
      <c r="F23" s="39" t="str">
        <f>IFERROR(IF(CEILING($C23*3/data_raw_3_day!$H$4,1)&gt;3,"X","D"&amp;CEILING($C23*3/data_raw_3_day!$H$4,1)&amp;" net: "&amp;round(milestone_3day_new!AD22, 1)),"X")</f>
        <v>X</v>
      </c>
      <c r="G23" s="39" t="str">
        <f>IFERROR(IF(CEILING($C23*3/data_raw_3_day!$H$5,1)&gt;3,"X","D"&amp;CEILING($C23*3/data_raw_3_day!$H$5,1)&amp;" net: "&amp;round(milestone_3day_new!AE22, 1)),"X")</f>
        <v>X</v>
      </c>
      <c r="H23" s="39" t="str">
        <f>IFERROR(IF(CEILING($C23*3/data_raw_3_day!$H$6,1)&gt;3,"X","D"&amp;CEILING($C23*3/data_raw_3_day!$H$6,1)&amp;" net: "&amp;round(milestone_3day_new!AF22, 1)),"X")</f>
        <v>D2 net: -640.5</v>
      </c>
      <c r="I23" s="39" t="str">
        <f>IFERROR(IF(CEILING($C23*3/data_raw_3_day!$H$7,1)&gt;3,"X","D"&amp;CEILING($C23*3/data_raw_3_day!$H$7,1)),"X")</f>
        <v>D2</v>
      </c>
      <c r="J23" s="39" t="str">
        <f>IFERROR(IF(CEILING($C23*3/data_raw_3_day!$H$9,1)&gt;3,"X","D"&amp;CEILING($C23*3/data_raw_3_day!$H$9,1)&amp;" net: "&amp;round(milestone_3day_new!AG22, 1)),"X")</f>
        <v>X</v>
      </c>
      <c r="K23" s="39" t="str">
        <f>IFERROR(IF(CEILING($C23*3/data_raw_3_day!$H$10,1)&gt;3,"X","D"&amp;CEILING($C23*3/data_raw_3_day!$H$10,1)&amp;" net: "&amp;round(milestone_3day_new!AH22, 1)),"X")</f>
        <v>X</v>
      </c>
      <c r="L23" s="39" t="str">
        <f>IFERROR(IF(CEILING($C23*3/data_raw_3_day!$H$11,1)&gt;3,"X","D"&amp;CEILING($C23*3/data_raw_3_day!$H$11,1)&amp;" net: "&amp;round(milestone_3day_new!AI22, 1)),"X")</f>
        <v>X</v>
      </c>
      <c r="M23" s="39" t="str">
        <f>IFERROR(IF(CEILING($C23*3/data_raw_3_day!$H$12,1)&gt;3,"X","D"&amp;CEILING($C23*3/data_raw_3_day!$H$12,1)&amp;" net: "&amp;round(milestone_3day_new!AJ22, 1)),"X")</f>
        <v>D2 net: -1350.8</v>
      </c>
      <c r="N23" s="39" t="str">
        <f>IFERROR(IF(CEILING($C23*3/data_raw_3_day!$H$13,1)&gt;3,"X","D"&amp;CEILING($C23*3/data_raw_3_day!$H$13,1)),"X")</f>
        <v>D1</v>
      </c>
    </row>
    <row r="24" ht="15.0" customHeight="1">
      <c r="A24" s="22">
        <f>milestone_3day_new!A23</f>
        <v>20</v>
      </c>
      <c r="B24" s="36">
        <f>milestone_3day_new!B23</f>
        <v>7000</v>
      </c>
      <c r="C24" s="37">
        <f>milestone_3day_new!C23</f>
        <v>72900</v>
      </c>
      <c r="D24" s="38" t="b">
        <f>milestone_3day_new!D23</f>
        <v>0</v>
      </c>
      <c r="E24" s="39" t="str">
        <f>IFERROR(IF(CEILING($C24*3/data_raw_3_day!$H$3,1)&gt;3,"X","D"&amp;CEILING($C24*3/data_raw_3_day!$H$3,1)&amp;" net: "&amp;round(milestone_3day_new!AC23, 1)),"X")</f>
        <v>X</v>
      </c>
      <c r="F24" s="39" t="str">
        <f>IFERROR(IF(CEILING($C24*3/data_raw_3_day!$H$4,1)&gt;3,"X","D"&amp;CEILING($C24*3/data_raw_3_day!$H$4,1)&amp;" net: "&amp;round(milestone_3day_new!AD23, 1)),"X")</f>
        <v>X</v>
      </c>
      <c r="G24" s="39" t="str">
        <f>IFERROR(IF(CEILING($C24*3/data_raw_3_day!$H$5,1)&gt;3,"X","D"&amp;CEILING($C24*3/data_raw_3_day!$H$5,1)&amp;" net: "&amp;round(milestone_3day_new!AE23, 1)),"X")</f>
        <v>X</v>
      </c>
      <c r="H24" s="39" t="str">
        <f>IFERROR(IF(CEILING($C24*3/data_raw_3_day!$H$6,1)&gt;3,"X","D"&amp;CEILING($C24*3/data_raw_3_day!$H$6,1)&amp;" net: "&amp;round(milestone_3day_new!AF23, 1)),"X")</f>
        <v>D3 net: -681.7</v>
      </c>
      <c r="I24" s="39" t="str">
        <f>IFERROR(IF(CEILING($C24*3/data_raw_3_day!$H$7,1)&gt;3,"X","D"&amp;CEILING($C24*3/data_raw_3_day!$H$7,1)),"X")</f>
        <v>D2</v>
      </c>
      <c r="J24" s="39" t="str">
        <f>IFERROR(IF(CEILING($C24*3/data_raw_3_day!$H$9,1)&gt;3,"X","D"&amp;CEILING($C24*3/data_raw_3_day!$H$9,1)&amp;" net: "&amp;round(milestone_3day_new!AG23, 1)),"X")</f>
        <v>X</v>
      </c>
      <c r="K24" s="39" t="str">
        <f>IFERROR(IF(CEILING($C24*3/data_raw_3_day!$H$10,1)&gt;3,"X","D"&amp;CEILING($C24*3/data_raw_3_day!$H$10,1)&amp;" net: "&amp;round(milestone_3day_new!AH23, 1)),"X")</f>
        <v>X</v>
      </c>
      <c r="L24" s="39" t="str">
        <f>IFERROR(IF(CEILING($C24*3/data_raw_3_day!$H$11,1)&gt;3,"X","D"&amp;CEILING($C24*3/data_raw_3_day!$H$11,1)&amp;" net: "&amp;round(milestone_3day_new!AI23, 1)),"X")</f>
        <v>X</v>
      </c>
      <c r="M24" s="39" t="str">
        <f>IFERROR(IF(CEILING($C24*3/data_raw_3_day!$H$12,1)&gt;3,"X","D"&amp;CEILING($C24*3/data_raw_3_day!$H$12,1)&amp;" net: "&amp;round(milestone_3day_new!AJ23, 1)),"X")</f>
        <v>D3 net: -1438.7</v>
      </c>
      <c r="N24" s="39" t="str">
        <f>IFERROR(IF(CEILING($C24*3/data_raw_3_day!$H$13,1)&gt;3,"X","D"&amp;CEILING($C24*3/data_raw_3_day!$H$13,1)),"X")</f>
        <v>D2</v>
      </c>
    </row>
    <row r="25" ht="15.0" customHeight="1">
      <c r="A25" s="22">
        <f>milestone_3day_new!A24</f>
        <v>21</v>
      </c>
      <c r="B25" s="36">
        <f>milestone_3day_new!B24</f>
        <v>19500</v>
      </c>
      <c r="C25" s="37">
        <f>milestone_3day_new!C24</f>
        <v>92400</v>
      </c>
      <c r="D25" s="38" t="b">
        <f>milestone_3day_new!D24</f>
        <v>1</v>
      </c>
      <c r="E25" s="39" t="str">
        <f>IFERROR(IF(CEILING($C25*3/data_raw_3_day!$H$3,1)&gt;3,"X","D"&amp;CEILING($C25*3/data_raw_3_day!$H$3,1)&amp;" net: "&amp;round(milestone_3day_new!AC24, 1)),"X")</f>
        <v>X</v>
      </c>
      <c r="F25" s="39" t="str">
        <f>IFERROR(IF(CEILING($C25*3/data_raw_3_day!$H$4,1)&gt;3,"X","D"&amp;CEILING($C25*3/data_raw_3_day!$H$4,1)&amp;" net: "&amp;round(milestone_3day_new!AD24, 1)),"X")</f>
        <v>X</v>
      </c>
      <c r="G25" s="39" t="str">
        <f>IFERROR(IF(CEILING($C25*3/data_raw_3_day!$H$5,1)&gt;3,"X","D"&amp;CEILING($C25*3/data_raw_3_day!$H$5,1)&amp;" net: "&amp;round(milestone_3day_new!AE24, 1)),"X")</f>
        <v>X</v>
      </c>
      <c r="H25" s="39" t="str">
        <f>IFERROR(IF(CEILING($C25*3/data_raw_3_day!$H$6,1)&gt;3,"X","D"&amp;CEILING($C25*3/data_raw_3_day!$H$6,1)&amp;" net: "&amp;round(milestone_3day_new!AF24, 1)),"X")</f>
        <v>D3 net: -778.5</v>
      </c>
      <c r="I25" s="39" t="str">
        <f>IFERROR(IF(CEILING($C25*3/data_raw_3_day!$H$7,1)&gt;3,"X","D"&amp;CEILING($C25*3/data_raw_3_day!$H$7,1)),"X")</f>
        <v>D2</v>
      </c>
      <c r="J25" s="39" t="str">
        <f>IFERROR(IF(CEILING($C25*3/data_raw_3_day!$H$9,1)&gt;3,"X","D"&amp;CEILING($C25*3/data_raw_3_day!$H$9,1)&amp;" net: "&amp;round(milestone_3day_new!AG24, 1)),"X")</f>
        <v>X</v>
      </c>
      <c r="K25" s="39" t="str">
        <f>IFERROR(IF(CEILING($C25*3/data_raw_3_day!$H$10,1)&gt;3,"X","D"&amp;CEILING($C25*3/data_raw_3_day!$H$10,1)&amp;" net: "&amp;round(milestone_3day_new!AH24, 1)),"X")</f>
        <v>X</v>
      </c>
      <c r="L25" s="39" t="str">
        <f>IFERROR(IF(CEILING($C25*3/data_raw_3_day!$H$11,1)&gt;3,"X","D"&amp;CEILING($C25*3/data_raw_3_day!$H$11,1)&amp;" net: "&amp;round(milestone_3day_new!AI24, 1)),"X")</f>
        <v>X</v>
      </c>
      <c r="M25" s="39" t="str">
        <f>IFERROR(IF(CEILING($C25*3/data_raw_3_day!$H$12,1)&gt;3,"X","D"&amp;CEILING($C25*3/data_raw_3_day!$H$12,1)&amp;" net: "&amp;round(milestone_3day_new!AJ24, 1)),"X")</f>
        <v>D3 net: -1645.3</v>
      </c>
      <c r="N25" s="39" t="str">
        <f>IFERROR(IF(CEILING($C25*3/data_raw_3_day!$H$13,1)&gt;3,"X","D"&amp;CEILING($C25*3/data_raw_3_day!$H$13,1)),"X")</f>
        <v>D2</v>
      </c>
    </row>
    <row r="26" ht="15.0" customHeight="1">
      <c r="A26" s="22">
        <f>milestone_3day_new!A25</f>
        <v>22</v>
      </c>
      <c r="B26" s="36">
        <f>milestone_3day_new!B25</f>
        <v>4900</v>
      </c>
      <c r="C26" s="37">
        <f>milestone_3day_new!C25</f>
        <v>97300</v>
      </c>
      <c r="D26" s="38" t="b">
        <f>milestone_3day_new!D25</f>
        <v>0</v>
      </c>
      <c r="E26" s="39" t="str">
        <f>IFERROR(IF(CEILING($C26*3/data_raw_3_day!$H$3,1)&gt;3,"X","D"&amp;CEILING($C26*3/data_raw_3_day!$H$3,1)&amp;" net: "&amp;round(milestone_3day_new!AC25, 1)),"X")</f>
        <v>X</v>
      </c>
      <c r="F26" s="39" t="str">
        <f>IFERROR(IF(CEILING($C26*3/data_raw_3_day!$H$4,1)&gt;3,"X","D"&amp;CEILING($C26*3/data_raw_3_day!$H$4,1)&amp;" net: "&amp;round(milestone_3day_new!AD25, 1)),"X")</f>
        <v>X</v>
      </c>
      <c r="G26" s="39" t="str">
        <f>IFERROR(IF(CEILING($C26*3/data_raw_3_day!$H$5,1)&gt;3,"X","D"&amp;CEILING($C26*3/data_raw_3_day!$H$5,1)&amp;" net: "&amp;round(milestone_3day_new!AE25, 1)),"X")</f>
        <v>X</v>
      </c>
      <c r="H26" s="39" t="str">
        <f>IFERROR(IF(CEILING($C26*3/data_raw_3_day!$H$6,1)&gt;3,"X","D"&amp;CEILING($C26*3/data_raw_3_day!$H$6,1)&amp;" net: "&amp;round(milestone_3day_new!AF25, 1)),"X")</f>
        <v>D3 net: -799.6</v>
      </c>
      <c r="I26" s="39" t="str">
        <f>IFERROR(IF(CEILING($C26*3/data_raw_3_day!$H$7,1)&gt;3,"X","D"&amp;CEILING($C26*3/data_raw_3_day!$H$7,1)),"X")</f>
        <v>D2</v>
      </c>
      <c r="J26" s="39" t="str">
        <f>IFERROR(IF(CEILING($C26*3/data_raw_3_day!$H$9,1)&gt;3,"X","D"&amp;CEILING($C26*3/data_raw_3_day!$H$9,1)&amp;" net: "&amp;round(milestone_3day_new!AG25, 1)),"X")</f>
        <v>X</v>
      </c>
      <c r="K26" s="39" t="str">
        <f>IFERROR(IF(CEILING($C26*3/data_raw_3_day!$H$10,1)&gt;3,"X","D"&amp;CEILING($C26*3/data_raw_3_day!$H$10,1)&amp;" net: "&amp;round(milestone_3day_new!AH25, 1)),"X")</f>
        <v>X</v>
      </c>
      <c r="L26" s="39" t="str">
        <f>IFERROR(IF(CEILING($C26*3/data_raw_3_day!$H$11,1)&gt;3,"X","D"&amp;CEILING($C26*3/data_raw_3_day!$H$11,1)&amp;" net: "&amp;round(milestone_3day_new!AI25, 1)),"X")</f>
        <v>X</v>
      </c>
      <c r="M26" s="39" t="str">
        <f>IFERROR(IF(CEILING($C26*3/data_raw_3_day!$H$12,1)&gt;3,"X","D"&amp;CEILING($C26*3/data_raw_3_day!$H$12,1)&amp;" net: "&amp;round(milestone_3day_new!AJ25, 1)),"X")</f>
        <v>D3 net: -1690.4</v>
      </c>
      <c r="N26" s="39" t="str">
        <f>IFERROR(IF(CEILING($C26*3/data_raw_3_day!$H$13,1)&gt;3,"X","D"&amp;CEILING($C26*3/data_raw_3_day!$H$13,1)),"X")</f>
        <v>D2</v>
      </c>
    </row>
    <row r="27" ht="15.0" customHeight="1">
      <c r="A27" s="22">
        <f>milestone_3day_new!A26</f>
        <v>23</v>
      </c>
      <c r="B27" s="36">
        <f>milestone_3day_new!B26</f>
        <v>8750</v>
      </c>
      <c r="C27" s="37">
        <f>milestone_3day_new!C26</f>
        <v>106050</v>
      </c>
      <c r="D27" s="38" t="b">
        <f>milestone_3day_new!D26</f>
        <v>0</v>
      </c>
      <c r="E27" s="39" t="str">
        <f>IFERROR(IF(CEILING($C27*3/data_raw_3_day!$H$3,1)&gt;3,"X","D"&amp;CEILING($C27*3/data_raw_3_day!$H$3,1)&amp;" net: "&amp;round(milestone_3day_new!AC26, 1)),"X")</f>
        <v>X</v>
      </c>
      <c r="F27" s="39" t="str">
        <f>IFERROR(IF(CEILING($C27*3/data_raw_3_day!$H$4,1)&gt;3,"X","D"&amp;CEILING($C27*3/data_raw_3_day!$H$4,1)&amp;" net: "&amp;round(milestone_3day_new!AD26, 1)),"X")</f>
        <v>X</v>
      </c>
      <c r="G27" s="39" t="str">
        <f>IFERROR(IF(CEILING($C27*3/data_raw_3_day!$H$5,1)&gt;3,"X","D"&amp;CEILING($C27*3/data_raw_3_day!$H$5,1)&amp;" net: "&amp;round(milestone_3day_new!AE26, 1)),"X")</f>
        <v>X</v>
      </c>
      <c r="H27" s="39" t="str">
        <f>IFERROR(IF(CEILING($C27*3/data_raw_3_day!$H$6,1)&gt;3,"X","D"&amp;CEILING($C27*3/data_raw_3_day!$H$6,1)&amp;" net: "&amp;round(milestone_3day_new!AF26, 1)),"X")</f>
        <v>X</v>
      </c>
      <c r="I27" s="39" t="str">
        <f>IFERROR(IF(CEILING($C27*3/data_raw_3_day!$H$7,1)&gt;3,"X","D"&amp;CEILING($C27*3/data_raw_3_day!$H$7,1)),"X")</f>
        <v>D2</v>
      </c>
      <c r="J27" s="39" t="str">
        <f>IFERROR(IF(CEILING($C27*3/data_raw_3_day!$H$9,1)&gt;3,"X","D"&amp;CEILING($C27*3/data_raw_3_day!$H$9,1)&amp;" net: "&amp;round(milestone_3day_new!AG26, 1)),"X")</f>
        <v>X</v>
      </c>
      <c r="K27" s="39" t="str">
        <f>IFERROR(IF(CEILING($C27*3/data_raw_3_day!$H$10,1)&gt;3,"X","D"&amp;CEILING($C27*3/data_raw_3_day!$H$10,1)&amp;" net: "&amp;round(milestone_3day_new!AH26, 1)),"X")</f>
        <v>X</v>
      </c>
      <c r="L27" s="39" t="str">
        <f>IFERROR(IF(CEILING($C27*3/data_raw_3_day!$H$11,1)&gt;3,"X","D"&amp;CEILING($C27*3/data_raw_3_day!$H$11,1)&amp;" net: "&amp;round(milestone_3day_new!AI26, 1)),"X")</f>
        <v>X</v>
      </c>
      <c r="M27" s="39" t="str">
        <f>IFERROR(IF(CEILING($C27*3/data_raw_3_day!$H$12,1)&gt;3,"X","D"&amp;CEILING($C27*3/data_raw_3_day!$H$12,1)&amp;" net: "&amp;round(milestone_3day_new!AJ26, 1)),"X")</f>
        <v>X</v>
      </c>
      <c r="N27" s="39" t="str">
        <f>IFERROR(IF(CEILING($C27*3/data_raw_3_day!$H$13,1)&gt;3,"X","D"&amp;CEILING($C27*3/data_raw_3_day!$H$13,1)),"X")</f>
        <v>D2</v>
      </c>
    </row>
    <row r="28" ht="15.0" customHeight="1">
      <c r="A28" s="22">
        <f>milestone_3day_new!A27</f>
        <v>24</v>
      </c>
      <c r="B28" s="36">
        <f>milestone_3day_new!B27</f>
        <v>22000</v>
      </c>
      <c r="C28" s="37">
        <f>milestone_3day_new!C27</f>
        <v>128050</v>
      </c>
      <c r="D28" s="38" t="b">
        <f>milestone_3day_new!D27</f>
        <v>1</v>
      </c>
      <c r="E28" s="39" t="str">
        <f>IFERROR(IF(CEILING($C28*3/data_raw_3_day!$H$3,1)&gt;3,"X","D"&amp;CEILING($C28*3/data_raw_3_day!$H$3,1)&amp;" net: "&amp;round(milestone_3day_new!AC27, 1)),"X")</f>
        <v>X</v>
      </c>
      <c r="F28" s="39" t="str">
        <f>IFERROR(IF(CEILING($C28*3/data_raw_3_day!$H$4,1)&gt;3,"X","D"&amp;CEILING($C28*3/data_raw_3_day!$H$4,1)&amp;" net: "&amp;round(milestone_3day_new!AD27, 1)),"X")</f>
        <v>X</v>
      </c>
      <c r="G28" s="39" t="str">
        <f>IFERROR(IF(CEILING($C28*3/data_raw_3_day!$H$5,1)&gt;3,"X","D"&amp;CEILING($C28*3/data_raw_3_day!$H$5,1)&amp;" net: "&amp;round(milestone_3day_new!AE27, 1)),"X")</f>
        <v>X</v>
      </c>
      <c r="H28" s="39" t="str">
        <f>IFERROR(IF(CEILING($C28*3/data_raw_3_day!$H$6,1)&gt;3,"X","D"&amp;CEILING($C28*3/data_raw_3_day!$H$6,1)&amp;" net: "&amp;round(milestone_3day_new!AF27, 1)),"X")</f>
        <v>X</v>
      </c>
      <c r="I28" s="39" t="str">
        <f>IFERROR(IF(CEILING($C28*3/data_raw_3_day!$H$7,1)&gt;3,"X","D"&amp;CEILING($C28*3/data_raw_3_day!$H$7,1)),"X")</f>
        <v>D2</v>
      </c>
      <c r="J28" s="39" t="str">
        <f>IFERROR(IF(CEILING($C28*3/data_raw_3_day!$H$9,1)&gt;3,"X","D"&amp;CEILING($C28*3/data_raw_3_day!$H$9,1)&amp;" net: "&amp;round(milestone_3day_new!AG27, 1)),"X")</f>
        <v>X</v>
      </c>
      <c r="K28" s="39" t="str">
        <f>IFERROR(IF(CEILING($C28*3/data_raw_3_day!$H$10,1)&gt;3,"X","D"&amp;CEILING($C28*3/data_raw_3_day!$H$10,1)&amp;" net: "&amp;round(milestone_3day_new!AH27, 1)),"X")</f>
        <v>X</v>
      </c>
      <c r="L28" s="39" t="str">
        <f>IFERROR(IF(CEILING($C28*3/data_raw_3_day!$H$11,1)&gt;3,"X","D"&amp;CEILING($C28*3/data_raw_3_day!$H$11,1)&amp;" net: "&amp;round(milestone_3day_new!AI27, 1)),"X")</f>
        <v>X</v>
      </c>
      <c r="M28" s="39" t="str">
        <f>IFERROR(IF(CEILING($C28*3/data_raw_3_day!$H$12,1)&gt;3,"X","D"&amp;CEILING($C28*3/data_raw_3_day!$H$12,1)&amp;" net: "&amp;round(milestone_3day_new!AJ27, 1)),"X")</f>
        <v>X</v>
      </c>
      <c r="N28" s="39" t="str">
        <f>IFERROR(IF(CEILING($C28*3/data_raw_3_day!$H$13,1)&gt;3,"X","D"&amp;CEILING($C28*3/data_raw_3_day!$H$13,1)),"X")</f>
        <v>D2</v>
      </c>
    </row>
    <row r="29" ht="15.0" customHeight="1">
      <c r="A29" s="22">
        <f>milestone_3day_new!A28</f>
        <v>25</v>
      </c>
      <c r="B29" s="36">
        <f>milestone_3day_new!B28</f>
        <v>5500</v>
      </c>
      <c r="C29" s="37">
        <f>milestone_3day_new!C28</f>
        <v>133550</v>
      </c>
      <c r="D29" s="38" t="b">
        <f>milestone_3day_new!D28</f>
        <v>0</v>
      </c>
      <c r="E29" s="39" t="str">
        <f>IFERROR(IF(CEILING($C29*3/data_raw_3_day!$H$3,1)&gt;3,"X","D"&amp;CEILING($C29*3/data_raw_3_day!$H$3,1)&amp;" net: "&amp;round(milestone_3day_new!AC28, 1)),"X")</f>
        <v>X</v>
      </c>
      <c r="F29" s="39" t="str">
        <f>IFERROR(IF(CEILING($C29*3/data_raw_3_day!$H$4,1)&gt;3,"X","D"&amp;CEILING($C29*3/data_raw_3_day!$H$4,1)&amp;" net: "&amp;round(milestone_3day_new!AD28, 1)),"X")</f>
        <v>X</v>
      </c>
      <c r="G29" s="39" t="str">
        <f>IFERROR(IF(CEILING($C29*3/data_raw_3_day!$H$5,1)&gt;3,"X","D"&amp;CEILING($C29*3/data_raw_3_day!$H$5,1)&amp;" net: "&amp;round(milestone_3day_new!AE28, 1)),"X")</f>
        <v>X</v>
      </c>
      <c r="H29" s="39" t="str">
        <f>IFERROR(IF(CEILING($C29*3/data_raw_3_day!$H$6,1)&gt;3,"X","D"&amp;CEILING($C29*3/data_raw_3_day!$H$6,1)&amp;" net: "&amp;round(milestone_3day_new!AF28, 1)),"X")</f>
        <v>X</v>
      </c>
      <c r="I29" s="39" t="str">
        <f>IFERROR(IF(CEILING($C29*3/data_raw_3_day!$H$7,1)&gt;3,"X","D"&amp;CEILING($C29*3/data_raw_3_day!$H$7,1)),"X")</f>
        <v>D3</v>
      </c>
      <c r="J29" s="39" t="str">
        <f>IFERROR(IF(CEILING($C29*3/data_raw_3_day!$H$9,1)&gt;3,"X","D"&amp;CEILING($C29*3/data_raw_3_day!$H$9,1)&amp;" net: "&amp;round(milestone_3day_new!AG28, 1)),"X")</f>
        <v>X</v>
      </c>
      <c r="K29" s="39" t="str">
        <f>IFERROR(IF(CEILING($C29*3/data_raw_3_day!$H$10,1)&gt;3,"X","D"&amp;CEILING($C29*3/data_raw_3_day!$H$10,1)&amp;" net: "&amp;round(milestone_3day_new!AH28, 1)),"X")</f>
        <v>X</v>
      </c>
      <c r="L29" s="39" t="str">
        <f>IFERROR(IF(CEILING($C29*3/data_raw_3_day!$H$11,1)&gt;3,"X","D"&amp;CEILING($C29*3/data_raw_3_day!$H$11,1)&amp;" net: "&amp;round(milestone_3day_new!AI28, 1)),"X")</f>
        <v>X</v>
      </c>
      <c r="M29" s="39" t="str">
        <f>IFERROR(IF(CEILING($C29*3/data_raw_3_day!$H$12,1)&gt;3,"X","D"&amp;CEILING($C29*3/data_raw_3_day!$H$12,1)&amp;" net: "&amp;round(milestone_3day_new!AJ28, 1)),"X")</f>
        <v>X</v>
      </c>
      <c r="N29" s="39" t="str">
        <f>IFERROR(IF(CEILING($C29*3/data_raw_3_day!$H$13,1)&gt;3,"X","D"&amp;CEILING($C29*3/data_raw_3_day!$H$13,1)),"X")</f>
        <v>D2</v>
      </c>
    </row>
    <row r="30" ht="15.0" customHeight="1">
      <c r="A30" s="22">
        <f>milestone_3day_new!A29</f>
        <v>26</v>
      </c>
      <c r="B30" s="36">
        <f>milestone_3day_new!B29</f>
        <v>8210</v>
      </c>
      <c r="C30" s="37">
        <f>milestone_3day_new!C29</f>
        <v>141760</v>
      </c>
      <c r="D30" s="38" t="b">
        <f>milestone_3day_new!D29</f>
        <v>0</v>
      </c>
      <c r="E30" s="39" t="str">
        <f>IFERROR(IF(CEILING($C30*3/data_raw_3_day!$H$3,1)&gt;3,"X","D"&amp;CEILING($C30*3/data_raw_3_day!$H$3,1)&amp;" net: "&amp;round(milestone_3day_new!AC29, 1)),"X")</f>
        <v>X</v>
      </c>
      <c r="F30" s="39" t="str">
        <f>IFERROR(IF(CEILING($C30*3/data_raw_3_day!$H$4,1)&gt;3,"X","D"&amp;CEILING($C30*3/data_raw_3_day!$H$4,1)&amp;" net: "&amp;round(milestone_3day_new!AD29, 1)),"X")</f>
        <v>X</v>
      </c>
      <c r="G30" s="39" t="str">
        <f>IFERROR(IF(CEILING($C30*3/data_raw_3_day!$H$5,1)&gt;3,"X","D"&amp;CEILING($C30*3/data_raw_3_day!$H$5,1)&amp;" net: "&amp;round(milestone_3day_new!AE29, 1)),"X")</f>
        <v>X</v>
      </c>
      <c r="H30" s="39" t="str">
        <f>IFERROR(IF(CEILING($C30*3/data_raw_3_day!$H$6,1)&gt;3,"X","D"&amp;CEILING($C30*3/data_raw_3_day!$H$6,1)&amp;" net: "&amp;round(milestone_3day_new!AF29, 1)),"X")</f>
        <v>X</v>
      </c>
      <c r="I30" s="39" t="str">
        <f>IFERROR(IF(CEILING($C30*3/data_raw_3_day!$H$7,1)&gt;3,"X","D"&amp;CEILING($C30*3/data_raw_3_day!$H$7,1)),"X")</f>
        <v>D3</v>
      </c>
      <c r="J30" s="39" t="str">
        <f>IFERROR(IF(CEILING($C30*3/data_raw_3_day!$H$9,1)&gt;3,"X","D"&amp;CEILING($C30*3/data_raw_3_day!$H$9,1)&amp;" net: "&amp;round(milestone_3day_new!AG29, 1)),"X")</f>
        <v>X</v>
      </c>
      <c r="K30" s="39" t="str">
        <f>IFERROR(IF(CEILING($C30*3/data_raw_3_day!$H$10,1)&gt;3,"X","D"&amp;CEILING($C30*3/data_raw_3_day!$H$10,1)&amp;" net: "&amp;round(milestone_3day_new!AH29, 1)),"X")</f>
        <v>X</v>
      </c>
      <c r="L30" s="39" t="str">
        <f>IFERROR(IF(CEILING($C30*3/data_raw_3_day!$H$11,1)&gt;3,"X","D"&amp;CEILING($C30*3/data_raw_3_day!$H$11,1)&amp;" net: "&amp;round(milestone_3day_new!AI29, 1)),"X")</f>
        <v>X</v>
      </c>
      <c r="M30" s="39" t="str">
        <f>IFERROR(IF(CEILING($C30*3/data_raw_3_day!$H$12,1)&gt;3,"X","D"&amp;CEILING($C30*3/data_raw_3_day!$H$12,1)&amp;" net: "&amp;round(milestone_3day_new!AJ29, 1)),"X")</f>
        <v>X</v>
      </c>
      <c r="N30" s="39" t="str">
        <f>IFERROR(IF(CEILING($C30*3/data_raw_3_day!$H$13,1)&gt;3,"X","D"&amp;CEILING($C30*3/data_raw_3_day!$H$13,1)),"X")</f>
        <v>D2</v>
      </c>
    </row>
    <row r="31" ht="15.0" customHeight="1">
      <c r="A31" s="22">
        <f>milestone_3day_new!A30</f>
        <v>27</v>
      </c>
      <c r="B31" s="36">
        <f>milestone_3day_new!B30</f>
        <v>49000</v>
      </c>
      <c r="C31" s="37">
        <f>milestone_3day_new!C30</f>
        <v>190760</v>
      </c>
      <c r="D31" s="38" t="b">
        <f>milestone_3day_new!D30</f>
        <v>1</v>
      </c>
      <c r="E31" s="39" t="str">
        <f>IFERROR(IF(CEILING($C31*3/data_raw_3_day!$H$3,1)&gt;3,"X","D"&amp;CEILING($C31*3/data_raw_3_day!$H$3,1)&amp;" net: "&amp;round(milestone_3day_new!AC30, 1)),"X")</f>
        <v>X</v>
      </c>
      <c r="F31" s="39" t="str">
        <f>IFERROR(IF(CEILING($C31*3/data_raw_3_day!$H$4,1)&gt;3,"X","D"&amp;CEILING($C31*3/data_raw_3_day!$H$4,1)&amp;" net: "&amp;round(milestone_3day_new!AD30, 1)),"X")</f>
        <v>X</v>
      </c>
      <c r="G31" s="39" t="str">
        <f>IFERROR(IF(CEILING($C31*3/data_raw_3_day!$H$5,1)&gt;3,"X","D"&amp;CEILING($C31*3/data_raw_3_day!$H$5,1)&amp;" net: "&amp;round(milestone_3day_new!AE30, 1)),"X")</f>
        <v>X</v>
      </c>
      <c r="H31" s="39" t="str">
        <f>IFERROR(IF(CEILING($C31*3/data_raw_3_day!$H$6,1)&gt;3,"X","D"&amp;CEILING($C31*3/data_raw_3_day!$H$6,1)&amp;" net: "&amp;round(milestone_3day_new!AF30, 1)),"X")</f>
        <v>X</v>
      </c>
      <c r="I31" s="39" t="str">
        <f>IFERROR(IF(CEILING($C31*3/data_raw_3_day!$H$7,1)&gt;3,"X","D"&amp;CEILING($C31*3/data_raw_3_day!$H$7,1)),"X")</f>
        <v>D3</v>
      </c>
      <c r="J31" s="39" t="str">
        <f>IFERROR(IF(CEILING($C31*3/data_raw_3_day!$H$9,1)&gt;3,"X","D"&amp;CEILING($C31*3/data_raw_3_day!$H$9,1)&amp;" net: "&amp;round(milestone_3day_new!AG30, 1)),"X")</f>
        <v>X</v>
      </c>
      <c r="K31" s="39" t="str">
        <f>IFERROR(IF(CEILING($C31*3/data_raw_3_day!$H$10,1)&gt;3,"X","D"&amp;CEILING($C31*3/data_raw_3_day!$H$10,1)&amp;" net: "&amp;round(milestone_3day_new!AH30, 1)),"X")</f>
        <v>X</v>
      </c>
      <c r="L31" s="39" t="str">
        <f>IFERROR(IF(CEILING($C31*3/data_raw_3_day!$H$11,1)&gt;3,"X","D"&amp;CEILING($C31*3/data_raw_3_day!$H$11,1)&amp;" net: "&amp;round(milestone_3day_new!AI30, 1)),"X")</f>
        <v>X</v>
      </c>
      <c r="M31" s="39" t="str">
        <f>IFERROR(IF(CEILING($C31*3/data_raw_3_day!$H$12,1)&gt;3,"X","D"&amp;CEILING($C31*3/data_raw_3_day!$H$12,1)&amp;" net: "&amp;round(milestone_3day_new!AJ30, 1)),"X")</f>
        <v>X</v>
      </c>
      <c r="N31" s="39" t="str">
        <f>IFERROR(IF(CEILING($C31*3/data_raw_3_day!$H$13,1)&gt;3,"X","D"&amp;CEILING($C31*3/data_raw_3_day!$H$13,1)),"X")</f>
        <v>D3</v>
      </c>
    </row>
    <row r="32" ht="15.0" customHeight="1">
      <c r="A32" s="22">
        <f>milestone_3day_new!A31</f>
        <v>28</v>
      </c>
      <c r="B32" s="36">
        <f>milestone_3day_new!B31</f>
        <v>12250</v>
      </c>
      <c r="C32" s="37">
        <f>milestone_3day_new!C31</f>
        <v>203010</v>
      </c>
      <c r="D32" s="38" t="b">
        <f>milestone_3day_new!D31</f>
        <v>0</v>
      </c>
      <c r="E32" s="39" t="str">
        <f>IFERROR(IF(CEILING($C32*3/data_raw_3_day!$H$3,1)&gt;3,"X","D"&amp;CEILING($C32*3/data_raw_3_day!$H$3,1)&amp;" net: "&amp;round(milestone_3day_new!AC31, 1)),"X")</f>
        <v>X</v>
      </c>
      <c r="F32" s="39" t="str">
        <f>IFERROR(IF(CEILING($C32*3/data_raw_3_day!$H$4,1)&gt;3,"X","D"&amp;CEILING($C32*3/data_raw_3_day!$H$4,1)&amp;" net: "&amp;round(milestone_3day_new!AD31, 1)),"X")</f>
        <v>X</v>
      </c>
      <c r="G32" s="39" t="str">
        <f>IFERROR(IF(CEILING($C32*3/data_raw_3_day!$H$5,1)&gt;3,"X","D"&amp;CEILING($C32*3/data_raw_3_day!$H$5,1)&amp;" net: "&amp;round(milestone_3day_new!AE31, 1)),"X")</f>
        <v>X</v>
      </c>
      <c r="H32" s="39" t="str">
        <f>IFERROR(IF(CEILING($C32*3/data_raw_3_day!$H$6,1)&gt;3,"X","D"&amp;CEILING($C32*3/data_raw_3_day!$H$6,1)&amp;" net: "&amp;round(milestone_3day_new!AF31, 1)),"X")</f>
        <v>X</v>
      </c>
      <c r="I32" s="39" t="str">
        <f>IFERROR(IF(CEILING($C32*3/data_raw_3_day!$H$7,1)&gt;3,"X","D"&amp;CEILING($C32*3/data_raw_3_day!$H$7,1)),"X")</f>
        <v>X</v>
      </c>
      <c r="J32" s="39" t="str">
        <f>IFERROR(IF(CEILING($C32*3/data_raw_3_day!$H$9,1)&gt;3,"X","D"&amp;CEILING($C32*3/data_raw_3_day!$H$9,1)&amp;" net: "&amp;round(milestone_3day_new!AG31, 1)),"X")</f>
        <v>X</v>
      </c>
      <c r="K32" s="39" t="str">
        <f>IFERROR(IF(CEILING($C32*3/data_raw_3_day!$H$10,1)&gt;3,"X","D"&amp;CEILING($C32*3/data_raw_3_day!$H$10,1)&amp;" net: "&amp;round(milestone_3day_new!AH31, 1)),"X")</f>
        <v>X</v>
      </c>
      <c r="L32" s="39" t="str">
        <f>IFERROR(IF(CEILING($C32*3/data_raw_3_day!$H$11,1)&gt;3,"X","D"&amp;CEILING($C32*3/data_raw_3_day!$H$11,1)&amp;" net: "&amp;round(milestone_3day_new!AI31, 1)),"X")</f>
        <v>X</v>
      </c>
      <c r="M32" s="39" t="str">
        <f>IFERROR(IF(CEILING($C32*3/data_raw_3_day!$H$12,1)&gt;3,"X","D"&amp;CEILING($C32*3/data_raw_3_day!$H$12,1)&amp;" net: "&amp;round(milestone_3day_new!AJ31, 1)),"X")</f>
        <v>X</v>
      </c>
      <c r="N32" s="39" t="str">
        <f>IFERROR(IF(CEILING($C32*3/data_raw_3_day!$H$13,1)&gt;3,"X","D"&amp;CEILING($C32*3/data_raw_3_day!$H$13,1)),"X")</f>
        <v>D3</v>
      </c>
    </row>
    <row r="33" ht="15.0" customHeight="1">
      <c r="A33" s="22">
        <f>milestone_3day_new!A32</f>
        <v>29</v>
      </c>
      <c r="B33" s="36">
        <f>milestone_3day_new!B32</f>
        <v>22000</v>
      </c>
      <c r="C33" s="37">
        <f>milestone_3day_new!C32</f>
        <v>225010</v>
      </c>
      <c r="D33" s="38" t="b">
        <f>milestone_3day_new!D32</f>
        <v>0</v>
      </c>
      <c r="E33" s="39" t="str">
        <f>IFERROR(IF(CEILING($C33*3/data_raw_3_day!$H$3,1)&gt;3,"X","D"&amp;CEILING($C33*3/data_raw_3_day!$H$3,1)&amp;" net: "&amp;round(milestone_3day_new!AC32, 1)),"X")</f>
        <v>X</v>
      </c>
      <c r="F33" s="39" t="str">
        <f>IFERROR(IF(CEILING($C33*3/data_raw_3_day!$H$4,1)&gt;3,"X","D"&amp;CEILING($C33*3/data_raw_3_day!$H$4,1)&amp;" net: "&amp;round(milestone_3day_new!AD32, 1)),"X")</f>
        <v>X</v>
      </c>
      <c r="G33" s="39" t="str">
        <f>IFERROR(IF(CEILING($C33*3/data_raw_3_day!$H$5,1)&gt;3,"X","D"&amp;CEILING($C33*3/data_raw_3_day!$H$5,1)&amp;" net: "&amp;round(milestone_3day_new!AE32, 1)),"X")</f>
        <v>X</v>
      </c>
      <c r="H33" s="39" t="str">
        <f>IFERROR(IF(CEILING($C33*3/data_raw_3_day!$H$6,1)&gt;3,"X","D"&amp;CEILING($C33*3/data_raw_3_day!$H$6,1)&amp;" net: "&amp;round(milestone_3day_new!AF32, 1)),"X")</f>
        <v>X</v>
      </c>
      <c r="I33" s="39" t="str">
        <f>IFERROR(IF(CEILING($C33*3/data_raw_3_day!$H$7,1)&gt;3,"X","D"&amp;CEILING($C33*3/data_raw_3_day!$H$7,1)),"X")</f>
        <v>X</v>
      </c>
      <c r="J33" s="39" t="str">
        <f>IFERROR(IF(CEILING($C33*3/data_raw_3_day!$H$9,1)&gt;3,"X","D"&amp;CEILING($C33*3/data_raw_3_day!$H$9,1)&amp;" net: "&amp;round(milestone_3day_new!AG32, 1)),"X")</f>
        <v>X</v>
      </c>
      <c r="K33" s="39" t="str">
        <f>IFERROR(IF(CEILING($C33*3/data_raw_3_day!$H$10,1)&gt;3,"X","D"&amp;CEILING($C33*3/data_raw_3_day!$H$10,1)&amp;" net: "&amp;round(milestone_3day_new!AH32, 1)),"X")</f>
        <v>X</v>
      </c>
      <c r="L33" s="39" t="str">
        <f>IFERROR(IF(CEILING($C33*3/data_raw_3_day!$H$11,1)&gt;3,"X","D"&amp;CEILING($C33*3/data_raw_3_day!$H$11,1)&amp;" net: "&amp;round(milestone_3day_new!AI32, 1)),"X")</f>
        <v>X</v>
      </c>
      <c r="M33" s="39" t="str">
        <f>IFERROR(IF(CEILING($C33*3/data_raw_3_day!$H$12,1)&gt;3,"X","D"&amp;CEILING($C33*3/data_raw_3_day!$H$12,1)&amp;" net: "&amp;round(milestone_3day_new!AJ32, 1)),"X")</f>
        <v>X</v>
      </c>
      <c r="N33" s="39" t="str">
        <f>IFERROR(IF(CEILING($C33*3/data_raw_3_day!$H$13,1)&gt;3,"X","D"&amp;CEILING($C33*3/data_raw_3_day!$H$13,1)),"X")</f>
        <v>X</v>
      </c>
    </row>
    <row r="34" ht="15.0" customHeight="1">
      <c r="A34" s="22">
        <f>milestone_3day_new!A33</f>
        <v>30</v>
      </c>
      <c r="B34" s="36">
        <f>milestone_3day_new!B33</f>
        <v>67000</v>
      </c>
      <c r="C34" s="37">
        <f>milestone_3day_new!C33</f>
        <v>292010</v>
      </c>
      <c r="D34" s="38" t="b">
        <f>milestone_3day_new!D33</f>
        <v>1</v>
      </c>
      <c r="E34" s="39" t="str">
        <f>IFERROR(IF(CEILING($C34*3/data_raw_3_day!$H$3,1)&gt;3,"X","D"&amp;CEILING($C34*3/data_raw_3_day!$H$3,1)&amp;" net: "&amp;round(milestone_3day_new!AC33, 1)),"X")</f>
        <v>X</v>
      </c>
      <c r="F34" s="39" t="str">
        <f>IFERROR(IF(CEILING($C34*3/data_raw_3_day!$H$4,1)&gt;3,"X","D"&amp;CEILING($C34*3/data_raw_3_day!$H$4,1)&amp;" net: "&amp;round(milestone_3day_new!AD33, 1)),"X")</f>
        <v>X</v>
      </c>
      <c r="G34" s="39" t="str">
        <f>IFERROR(IF(CEILING($C34*3/data_raw_3_day!$H$5,1)&gt;3,"X","D"&amp;CEILING($C34*3/data_raw_3_day!$H$5,1)&amp;" net: "&amp;round(milestone_3day_new!AE33, 1)),"X")</f>
        <v>X</v>
      </c>
      <c r="H34" s="39" t="str">
        <f>IFERROR(IF(CEILING($C34*3/data_raw_3_day!$H$6,1)&gt;3,"X","D"&amp;CEILING($C34*3/data_raw_3_day!$H$6,1)&amp;" net: "&amp;round(milestone_3day_new!AF33, 1)),"X")</f>
        <v>X</v>
      </c>
      <c r="I34" s="39" t="str">
        <f>IFERROR(IF(CEILING($C34*3/data_raw_3_day!$H$7,1)&gt;3,"X","D"&amp;CEILING($C34*3/data_raw_3_day!$H$7,1)),"X")</f>
        <v>X</v>
      </c>
      <c r="J34" s="39" t="str">
        <f>IFERROR(IF(CEILING($C34*3/data_raw_3_day!$H$9,1)&gt;3,"X","D"&amp;CEILING($C34*3/data_raw_3_day!$H$9,1)&amp;" net: "&amp;round(milestone_3day_new!AG33, 1)),"X")</f>
        <v>X</v>
      </c>
      <c r="K34" s="39" t="str">
        <f>IFERROR(IF(CEILING($C34*3/data_raw_3_day!$H$10,1)&gt;3,"X","D"&amp;CEILING($C34*3/data_raw_3_day!$H$10,1)&amp;" net: "&amp;round(milestone_3day_new!AH33, 1)),"X")</f>
        <v>X</v>
      </c>
      <c r="L34" s="39" t="str">
        <f>IFERROR(IF(CEILING($C34*3/data_raw_3_day!$H$11,1)&gt;3,"X","D"&amp;CEILING($C34*3/data_raw_3_day!$H$11,1)&amp;" net: "&amp;round(milestone_3day_new!AI33, 1)),"X")</f>
        <v>X</v>
      </c>
      <c r="M34" s="39" t="str">
        <f>IFERROR(IF(CEILING($C34*3/data_raw_3_day!$H$12,1)&gt;3,"X","D"&amp;CEILING($C34*3/data_raw_3_day!$H$12,1)&amp;" net: "&amp;round(milestone_3day_new!AJ33, 1)),"X")</f>
        <v>X</v>
      </c>
      <c r="N34" s="39" t="str">
        <f>IFERROR(IF(CEILING($C34*3/data_raw_3_day!$H$13,1)&gt;3,"X","D"&amp;CEILING($C34*3/data_raw_3_day!$H$13,1)),"X")</f>
        <v>X</v>
      </c>
    </row>
    <row r="35" ht="14.25" customHeight="1"/>
    <row r="36" ht="15.0" customHeight="1">
      <c r="A36" s="5" t="s">
        <v>84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0" customHeight="1">
      <c r="A37" s="35" t="s">
        <v>70</v>
      </c>
      <c r="B37" s="35" t="s">
        <v>71</v>
      </c>
      <c r="C37" s="35" t="s">
        <v>72</v>
      </c>
      <c r="D37" s="35" t="s">
        <v>73</v>
      </c>
      <c r="E37" s="35" t="s">
        <v>74</v>
      </c>
      <c r="F37" s="35" t="s">
        <v>75</v>
      </c>
      <c r="G37" s="35" t="s">
        <v>76</v>
      </c>
      <c r="H37" s="35" t="s">
        <v>77</v>
      </c>
      <c r="I37" s="35" t="s">
        <v>78</v>
      </c>
      <c r="J37" s="35" t="s">
        <v>79</v>
      </c>
      <c r="K37" s="35" t="s">
        <v>80</v>
      </c>
      <c r="L37" s="35" t="s">
        <v>81</v>
      </c>
      <c r="M37" s="35" t="s">
        <v>82</v>
      </c>
      <c r="N37" s="35" t="s">
        <v>83</v>
      </c>
    </row>
    <row r="38" ht="15.0" customHeight="1">
      <c r="A38" s="22">
        <f>milestone_4day_new!A4</f>
        <v>1</v>
      </c>
      <c r="B38" s="36">
        <f>milestone_4day_new!B4</f>
        <v>160</v>
      </c>
      <c r="C38" s="37">
        <f>milestone_4day_new!C4</f>
        <v>160</v>
      </c>
      <c r="D38" s="38" t="b">
        <f>milestone_4day_new!D4</f>
        <v>0</v>
      </c>
      <c r="E38" s="39" t="str">
        <f>IFERROR(IF(CEILING($C38*4/data_raw_4_day!$G$3,1)&gt;4,"X","D"&amp;CEILING($C38*4/data_raw_4_day!$G$3,1)&amp;" net: "&amp;round(milestone_4day_new!AB4, 1)),"X")</f>
        <v>D1 net: 0</v>
      </c>
      <c r="F38" s="39" t="str">
        <f>IFERROR(IF(CEILING($C38*4/data_raw_4_day!$G$4,1)&gt;4,"X","D"&amp;CEILING($C38*4/data_raw_4_day!$G$4,1)&amp;" net: "&amp;round(milestone_4day_new!AC4, 1)),"X")</f>
        <v>D1 net: 0</v>
      </c>
      <c r="G38" s="39" t="str">
        <f>IFERROR(IF(CEILING($C38*4/data_raw_4_day!$G$5,1)&gt;4,"X","D"&amp;CEILING($C38*4/data_raw_4_day!$G$5,1)&amp;" net: "&amp;round(milestone_4day_new!AD4, 1)),"X")</f>
        <v>D1 net: 0</v>
      </c>
      <c r="H38" s="39" t="str">
        <f>IFERROR(IF(CEILING($C38*4/data_raw_4_day!$G$6,1)&gt;4,"X","D"&amp;CEILING($C38*4/data_raw_4_day!$G$6,1)&amp;" net: "&amp;round(milestone_4day_new!AE4, 1)),"X")</f>
        <v>D1 net: 0</v>
      </c>
      <c r="I38" s="39" t="str">
        <f>IFERROR(IF(CEILING($C38*4/data_raw_4_day!$G$7,1)&gt;4,"X","D"&amp;CEILING($C38*4/data_raw_4_day!$G$7,1)),"X")</f>
        <v>D1</v>
      </c>
      <c r="J38" s="39" t="str">
        <f>IFERROR(IF(CEILING($C38*4/data_raw_4_day!$G$9,1)&gt;4,"X","D"&amp;CEILING($C38*4/data_raw_4_day!$G$9,1)&amp;" net: "&amp;round(milestone_4day_new!AF4, 1)),"X")</f>
        <v>D1 net: 0</v>
      </c>
      <c r="K38" s="39" t="str">
        <f>IFERROR(IF(CEILING($C38*4/data_raw_4_day!$G$10,1)&gt;4,"X","D"&amp;CEILING($C38*4/data_raw_4_day!$G$10,1)&amp;" net: "&amp;round(milestone_4day_new!AG4, 1)),"X")</f>
        <v>D1 net: 0</v>
      </c>
      <c r="L38" s="39" t="str">
        <f>IFERROR(IF(CEILING($C38*4/data_raw_4_day!$G$11,1)&gt;4,"X","D"&amp;CEILING($C38*4/data_raw_4_day!$G$11,1)&amp;" net: "&amp;round(milestone_4day_new!AH4, 1)),"X")</f>
        <v>D1 net: 0</v>
      </c>
      <c r="M38" s="39" t="str">
        <f>IFERROR(IF(CEILING($C38*4/data_raw_4_day!$G$12,1)&gt;4,"X","D"&amp;CEILING($C38*4/data_raw_4_day!$G$12,1)&amp;" net: "&amp;round(milestone_4day_new!AI4, 1)),"X")</f>
        <v>D1 net: 0</v>
      </c>
      <c r="N38" s="39" t="str">
        <f>IFERROR(IF(CEILING($C38*4/data_raw_4_day!$G$13,1)&gt;4,"X","D"&amp;CEILING($C38*4/data_raw_4_day!$G$13,1)),"X")</f>
        <v>D1</v>
      </c>
    </row>
    <row r="39" ht="15.0" customHeight="1">
      <c r="A39" s="22">
        <f>milestone_4day_new!A5</f>
        <v>2</v>
      </c>
      <c r="B39" s="36">
        <f>milestone_4day_new!B5</f>
        <v>300</v>
      </c>
      <c r="C39" s="37">
        <f>milestone_4day_new!C5</f>
        <v>460</v>
      </c>
      <c r="D39" s="38" t="b">
        <f>milestone_4day_new!D5</f>
        <v>0</v>
      </c>
      <c r="E39" s="39" t="str">
        <f>IFERROR(IF(CEILING($C39*4/data_raw_4_day!$G$3,1)&gt;4,"X","D"&amp;CEILING($C39*4/data_raw_4_day!$G$3,1)&amp;" net: "&amp;round(milestone_4day_new!AB5, 1)),"X")</f>
        <v>D1 net: 10</v>
      </c>
      <c r="F39" s="39" t="str">
        <f>IFERROR(IF(CEILING($C39*4/data_raw_4_day!$G$4,1)&gt;4,"X","D"&amp;CEILING($C39*4/data_raw_4_day!$G$4,1)&amp;" net: "&amp;round(milestone_4day_new!AC5, 1)),"X")</f>
        <v>D1 net: 10</v>
      </c>
      <c r="G39" s="39" t="str">
        <f>IFERROR(IF(CEILING($C39*4/data_raw_4_day!$G$5,1)&gt;4,"X","D"&amp;CEILING($C39*4/data_raw_4_day!$G$5,1)&amp;" net: "&amp;round(milestone_4day_new!AD5, 1)),"X")</f>
        <v>D1 net: 10</v>
      </c>
      <c r="H39" s="39" t="str">
        <f>IFERROR(IF(CEILING($C39*4/data_raw_4_day!$G$6,1)&gt;4,"X","D"&amp;CEILING($C39*4/data_raw_4_day!$G$6,1)&amp;" net: "&amp;round(milestone_4day_new!AE5, 1)),"X")</f>
        <v>D1 net: 10</v>
      </c>
      <c r="I39" s="39" t="str">
        <f>IFERROR(IF(CEILING($C39*4/data_raw_4_day!$G$7,1)&gt;4,"X","D"&amp;CEILING($C39*4/data_raw_4_day!$G$7,1)),"X")</f>
        <v>D1</v>
      </c>
      <c r="J39" s="39" t="str">
        <f>IFERROR(IF(CEILING($C39*4/data_raw_4_day!$G$9,1)&gt;4,"X","D"&amp;CEILING($C39*4/data_raw_4_day!$G$9,1)&amp;" net: "&amp;round(milestone_4day_new!AF5, 1)),"X")</f>
        <v>D1 net: 10</v>
      </c>
      <c r="K39" s="39" t="str">
        <f>IFERROR(IF(CEILING($C39*4/data_raw_4_day!$G$10,1)&gt;4,"X","D"&amp;CEILING($C39*4/data_raw_4_day!$G$10,1)&amp;" net: "&amp;round(milestone_4day_new!AG5, 1)),"X")</f>
        <v>D1 net: 10</v>
      </c>
      <c r="L39" s="39" t="str">
        <f>IFERROR(IF(CEILING($C39*4/data_raw_4_day!$G$11,1)&gt;4,"X","D"&amp;CEILING($C39*4/data_raw_4_day!$G$11,1)&amp;" net: "&amp;round(milestone_4day_new!AH5, 1)),"X")</f>
        <v>D1 net: 10</v>
      </c>
      <c r="M39" s="39" t="str">
        <f>IFERROR(IF(CEILING($C39*4/data_raw_4_day!$G$12,1)&gt;4,"X","D"&amp;CEILING($C39*4/data_raw_4_day!$G$12,1)&amp;" net: "&amp;round(milestone_4day_new!AI5, 1)),"X")</f>
        <v>D1 net: 10</v>
      </c>
      <c r="N39" s="39" t="str">
        <f>IFERROR(IF(CEILING($C39*4/data_raw_4_day!$G$13,1)&gt;4,"X","D"&amp;CEILING($C39*4/data_raw_4_day!$G$13,1)),"X")</f>
        <v>D1</v>
      </c>
    </row>
    <row r="40" ht="15.0" customHeight="1">
      <c r="A40" s="22">
        <f>milestone_4day_new!A6</f>
        <v>3</v>
      </c>
      <c r="B40" s="36">
        <f>milestone_4day_new!B6</f>
        <v>1000</v>
      </c>
      <c r="C40" s="37">
        <f>milestone_4day_new!C6</f>
        <v>1460</v>
      </c>
      <c r="D40" s="38" t="b">
        <f>milestone_4day_new!D6</f>
        <v>0</v>
      </c>
      <c r="E40" s="39" t="str">
        <f>IFERROR(IF(CEILING($C40*4/data_raw_4_day!$G$3,1)&gt;4,"X","D"&amp;CEILING($C40*4/data_raw_4_day!$G$3,1)&amp;" net: "&amp;round(milestone_4day_new!AB6, 1)),"X")</f>
        <v>D2 net: 9.4</v>
      </c>
      <c r="F40" s="39" t="str">
        <f>IFERROR(IF(CEILING($C40*4/data_raw_4_day!$G$4,1)&gt;4,"X","D"&amp;CEILING($C40*4/data_raw_4_day!$G$4,1)&amp;" net: "&amp;round(milestone_4day_new!AC6, 1)),"X")</f>
        <v>D1 net: 10</v>
      </c>
      <c r="G40" s="39" t="str">
        <f>IFERROR(IF(CEILING($C40*4/data_raw_4_day!$G$5,1)&gt;4,"X","D"&amp;CEILING($C40*4/data_raw_4_day!$G$5,1)&amp;" net: "&amp;round(milestone_4day_new!AD6, 1)),"X")</f>
        <v>D1 net: 10</v>
      </c>
      <c r="H40" s="39" t="str">
        <f>IFERROR(IF(CEILING($C40*4/data_raw_4_day!$G$6,1)&gt;4,"X","D"&amp;CEILING($C40*4/data_raw_4_day!$G$6,1)&amp;" net: "&amp;round(milestone_4day_new!AE6, 1)),"X")</f>
        <v>D1 net: 10</v>
      </c>
      <c r="I40" s="39" t="str">
        <f>IFERROR(IF(CEILING($C40*4/data_raw_4_day!$G$7,1)&gt;4,"X","D"&amp;CEILING($C40*4/data_raw_4_day!$G$7,1)),"X")</f>
        <v>D1</v>
      </c>
      <c r="J40" s="39" t="str">
        <f>IFERROR(IF(CEILING($C40*4/data_raw_4_day!$G$9,1)&gt;4,"X","D"&amp;CEILING($C40*4/data_raw_4_day!$G$9,1)&amp;" net: "&amp;round(milestone_4day_new!AF6, 1)),"X")</f>
        <v>D2 net: 10</v>
      </c>
      <c r="K40" s="39" t="str">
        <f>IFERROR(IF(CEILING($C40*4/data_raw_4_day!$G$10,1)&gt;4,"X","D"&amp;CEILING($C40*4/data_raw_4_day!$G$10,1)&amp;" net: "&amp;round(milestone_4day_new!AG6, 1)),"X")</f>
        <v>D1 net: 10</v>
      </c>
      <c r="L40" s="39" t="str">
        <f>IFERROR(IF(CEILING($C40*4/data_raw_4_day!$G$11,1)&gt;4,"X","D"&amp;CEILING($C40*4/data_raw_4_day!$G$11,1)&amp;" net: "&amp;round(milestone_4day_new!AH6, 1)),"X")</f>
        <v>D1 net: 10</v>
      </c>
      <c r="M40" s="39" t="str">
        <f>IFERROR(IF(CEILING($C40*4/data_raw_4_day!$G$12,1)&gt;4,"X","D"&amp;CEILING($C40*4/data_raw_4_day!$G$12,1)&amp;" net: "&amp;round(milestone_4day_new!AI6, 1)),"X")</f>
        <v>D1 net: 10</v>
      </c>
      <c r="N40" s="39" t="str">
        <f>IFERROR(IF(CEILING($C40*4/data_raw_4_day!$G$13,1)&gt;4,"X","D"&amp;CEILING($C40*4/data_raw_4_day!$G$13,1)),"X")</f>
        <v>D1</v>
      </c>
    </row>
    <row r="41" ht="15.0" customHeight="1">
      <c r="A41" s="22">
        <f>milestone_4day_new!A7</f>
        <v>4</v>
      </c>
      <c r="B41" s="36">
        <f>milestone_4day_new!B7</f>
        <v>250</v>
      </c>
      <c r="C41" s="37">
        <f>milestone_4day_new!C7</f>
        <v>1710</v>
      </c>
      <c r="D41" s="38" t="b">
        <f>milestone_4day_new!D7</f>
        <v>0</v>
      </c>
      <c r="E41" s="39" t="str">
        <f>IFERROR(IF(CEILING($C41*4/data_raw_4_day!$G$3,1)&gt;4,"X","D"&amp;CEILING($C41*4/data_raw_4_day!$G$3,1)&amp;" net: "&amp;round(milestone_4day_new!AB7, 1)),"X")</f>
        <v>D2 net: -6.9</v>
      </c>
      <c r="F41" s="39" t="str">
        <f>IFERROR(IF(CEILING($C41*4/data_raw_4_day!$G$4,1)&gt;4,"X","D"&amp;CEILING($C41*4/data_raw_4_day!$G$4,1)&amp;" net: "&amp;round(milestone_4day_new!AC7, 1)),"X")</f>
        <v>D1 net: 10</v>
      </c>
      <c r="G41" s="39" t="str">
        <f>IFERROR(IF(CEILING($C41*4/data_raw_4_day!$G$5,1)&gt;4,"X","D"&amp;CEILING($C41*4/data_raw_4_day!$G$5,1)&amp;" net: "&amp;round(milestone_4day_new!AD7, 1)),"X")</f>
        <v>D1 net: 10</v>
      </c>
      <c r="H41" s="39" t="str">
        <f>IFERROR(IF(CEILING($C41*4/data_raw_4_day!$G$6,1)&gt;4,"X","D"&amp;CEILING($C41*4/data_raw_4_day!$G$6,1)&amp;" net: "&amp;round(milestone_4day_new!AE7, 1)),"X")</f>
        <v>D1 net: 10</v>
      </c>
      <c r="I41" s="39" t="str">
        <f>IFERROR(IF(CEILING($C41*4/data_raw_4_day!$G$7,1)&gt;4,"X","D"&amp;CEILING($C41*4/data_raw_4_day!$G$7,1)),"X")</f>
        <v>D1</v>
      </c>
      <c r="J41" s="39" t="str">
        <f>IFERROR(IF(CEILING($C41*4/data_raw_4_day!$G$9,1)&gt;4,"X","D"&amp;CEILING($C41*4/data_raw_4_day!$G$9,1)&amp;" net: "&amp;round(milestone_4day_new!AF7, 1)),"X")</f>
        <v>D2 net: 10</v>
      </c>
      <c r="K41" s="39" t="str">
        <f>IFERROR(IF(CEILING($C41*4/data_raw_4_day!$G$10,1)&gt;4,"X","D"&amp;CEILING($C41*4/data_raw_4_day!$G$10,1)&amp;" net: "&amp;round(milestone_4day_new!AG7, 1)),"X")</f>
        <v>D1 net: 10</v>
      </c>
      <c r="L41" s="39" t="str">
        <f>IFERROR(IF(CEILING($C41*4/data_raw_4_day!$G$11,1)&gt;4,"X","D"&amp;CEILING($C41*4/data_raw_4_day!$G$11,1)&amp;" net: "&amp;round(milestone_4day_new!AH7, 1)),"X")</f>
        <v>D1 net: 10</v>
      </c>
      <c r="M41" s="39" t="str">
        <f>IFERROR(IF(CEILING($C41*4/data_raw_4_day!$G$12,1)&gt;4,"X","D"&amp;CEILING($C41*4/data_raw_4_day!$G$12,1)&amp;" net: "&amp;round(milestone_4day_new!AI7, 1)),"X")</f>
        <v>D1 net: 10</v>
      </c>
      <c r="N41" s="39" t="str">
        <f>IFERROR(IF(CEILING($C41*4/data_raw_4_day!$G$13,1)&gt;4,"X","D"&amp;CEILING($C41*4/data_raw_4_day!$G$13,1)),"X")</f>
        <v>D1</v>
      </c>
    </row>
    <row r="42" ht="15.0" customHeight="1">
      <c r="A42" s="22">
        <f>milestone_4day_new!A8</f>
        <v>5</v>
      </c>
      <c r="B42" s="36">
        <f>milestone_4day_new!B8</f>
        <v>500</v>
      </c>
      <c r="C42" s="37">
        <f>milestone_4day_new!C8</f>
        <v>2210</v>
      </c>
      <c r="D42" s="38" t="b">
        <f>milestone_4day_new!D8</f>
        <v>0</v>
      </c>
      <c r="E42" s="39" t="str">
        <f>IFERROR(IF(CEILING($C42*4/data_raw_4_day!$G$3,1)&gt;4,"X","D"&amp;CEILING($C42*4/data_raw_4_day!$G$3,1)&amp;" net: "&amp;round(milestone_4day_new!AB8, 1)),"X")</f>
        <v>D2 net: -33.5</v>
      </c>
      <c r="F42" s="39" t="str">
        <f>IFERROR(IF(CEILING($C42*4/data_raw_4_day!$G$4,1)&gt;4,"X","D"&amp;CEILING($C42*4/data_raw_4_day!$G$4,1)&amp;" net: "&amp;round(milestone_4day_new!AC8, 1)),"X")</f>
        <v>D1 net: 10</v>
      </c>
      <c r="G42" s="39" t="str">
        <f>IFERROR(IF(CEILING($C42*4/data_raw_4_day!$G$5,1)&gt;4,"X","D"&amp;CEILING($C42*4/data_raw_4_day!$G$5,1)&amp;" net: "&amp;round(milestone_4day_new!AD8, 1)),"X")</f>
        <v>D1 net: 10</v>
      </c>
      <c r="H42" s="39" t="str">
        <f>IFERROR(IF(CEILING($C42*4/data_raw_4_day!$G$6,1)&gt;4,"X","D"&amp;CEILING($C42*4/data_raw_4_day!$G$6,1)&amp;" net: "&amp;round(milestone_4day_new!AE8, 1)),"X")</f>
        <v>D1 net: 10</v>
      </c>
      <c r="I42" s="39" t="str">
        <f>IFERROR(IF(CEILING($C42*4/data_raw_4_day!$G$7,1)&gt;4,"X","D"&amp;CEILING($C42*4/data_raw_4_day!$G$7,1)),"X")</f>
        <v>D1</v>
      </c>
      <c r="J42" s="39" t="str">
        <f>IFERROR(IF(CEILING($C42*4/data_raw_4_day!$G$9,1)&gt;4,"X","D"&amp;CEILING($C42*4/data_raw_4_day!$G$9,1)&amp;" net: "&amp;round(milestone_4day_new!AF8, 1)),"X")</f>
        <v>D2 net: -30</v>
      </c>
      <c r="K42" s="39" t="str">
        <f>IFERROR(IF(CEILING($C42*4/data_raw_4_day!$G$10,1)&gt;4,"X","D"&amp;CEILING($C42*4/data_raw_4_day!$G$10,1)&amp;" net: "&amp;round(milestone_4day_new!AG8, 1)),"X")</f>
        <v>D1 net: 10</v>
      </c>
      <c r="L42" s="39" t="str">
        <f>IFERROR(IF(CEILING($C42*4/data_raw_4_day!$G$11,1)&gt;4,"X","D"&amp;CEILING($C42*4/data_raw_4_day!$G$11,1)&amp;" net: "&amp;round(milestone_4day_new!AH8, 1)),"X")</f>
        <v>D1 net: 10</v>
      </c>
      <c r="M42" s="39" t="str">
        <f>IFERROR(IF(CEILING($C42*4/data_raw_4_day!$G$12,1)&gt;4,"X","D"&amp;CEILING($C42*4/data_raw_4_day!$G$12,1)&amp;" net: "&amp;round(milestone_4day_new!AI8, 1)),"X")</f>
        <v>D1 net: 10</v>
      </c>
      <c r="N42" s="39" t="str">
        <f>IFERROR(IF(CEILING($C42*4/data_raw_4_day!$G$13,1)&gt;4,"X","D"&amp;CEILING($C42*4/data_raw_4_day!$G$13,1)),"X")</f>
        <v>D1</v>
      </c>
    </row>
    <row r="43" ht="15.0" customHeight="1">
      <c r="A43" s="22">
        <f>milestone_4day_new!A9</f>
        <v>6</v>
      </c>
      <c r="B43" s="36">
        <f>milestone_4day_new!B9</f>
        <v>1600</v>
      </c>
      <c r="C43" s="37">
        <f>milestone_4day_new!C9</f>
        <v>3810</v>
      </c>
      <c r="D43" s="38" t="b">
        <f>milestone_4day_new!D9</f>
        <v>1</v>
      </c>
      <c r="E43" s="39" t="str">
        <f>IFERROR(IF(CEILING($C43*4/data_raw_4_day!$G$3,1)&gt;4,"X","D"&amp;CEILING($C43*4/data_raw_4_day!$G$3,1)&amp;" net: "&amp;round(milestone_4day_new!AB9, 1)),"X")</f>
        <v>D4 net: -89.8</v>
      </c>
      <c r="F43" s="39" t="str">
        <f>IFERROR(IF(CEILING($C43*4/data_raw_4_day!$G$4,1)&gt;4,"X","D"&amp;CEILING($C43*4/data_raw_4_day!$G$4,1)&amp;" net: "&amp;round(milestone_4day_new!AC9, 1)),"X")</f>
        <v>D1 net: -17.5</v>
      </c>
      <c r="G43" s="39" t="str">
        <f>IFERROR(IF(CEILING($C43*4/data_raw_4_day!$G$5,1)&gt;4,"X","D"&amp;CEILING($C43*4/data_raw_4_day!$G$5,1)&amp;" net: "&amp;round(milestone_4day_new!AD9, 1)),"X")</f>
        <v>D1 net: 10</v>
      </c>
      <c r="H43" s="39" t="str">
        <f>IFERROR(IF(CEILING($C43*4/data_raw_4_day!$G$6,1)&gt;4,"X","D"&amp;CEILING($C43*4/data_raw_4_day!$G$6,1)&amp;" net: "&amp;round(milestone_4day_new!AE9, 1)),"X")</f>
        <v>D1 net: 10</v>
      </c>
      <c r="I43" s="39" t="str">
        <f>IFERROR(IF(CEILING($C43*4/data_raw_4_day!$G$7,1)&gt;4,"X","D"&amp;CEILING($C43*4/data_raw_4_day!$G$7,1)),"X")</f>
        <v>D1</v>
      </c>
      <c r="J43" s="39" t="str">
        <f>IFERROR(IF(CEILING($C43*4/data_raw_4_day!$G$9,1)&gt;4,"X","D"&amp;CEILING($C43*4/data_raw_4_day!$G$9,1)&amp;" net: "&amp;round(milestone_4day_new!AF9, 1)),"X")</f>
        <v>D3 net: -132.3</v>
      </c>
      <c r="K43" s="39" t="str">
        <f>IFERROR(IF(CEILING($C43*4/data_raw_4_day!$G$10,1)&gt;4,"X","D"&amp;CEILING($C43*4/data_raw_4_day!$G$10,1)&amp;" net: "&amp;round(milestone_4day_new!AG9, 1)),"X")</f>
        <v>D1 net: -15.2</v>
      </c>
      <c r="L43" s="39" t="str">
        <f>IFERROR(IF(CEILING($C43*4/data_raw_4_day!$G$11,1)&gt;4,"X","D"&amp;CEILING($C43*4/data_raw_4_day!$G$11,1)&amp;" net: "&amp;round(milestone_4day_new!AH9, 1)),"X")</f>
        <v>D1 net: 10</v>
      </c>
      <c r="M43" s="39" t="str">
        <f>IFERROR(IF(CEILING($C43*4/data_raw_4_day!$G$12,1)&gt;4,"X","D"&amp;CEILING($C43*4/data_raw_4_day!$G$12,1)&amp;" net: "&amp;round(milestone_4day_new!AI9, 1)),"X")</f>
        <v>D1 net: 10</v>
      </c>
      <c r="N43" s="39" t="str">
        <f>IFERROR(IF(CEILING($C43*4/data_raw_4_day!$G$13,1)&gt;4,"X","D"&amp;CEILING($C43*4/data_raw_4_day!$G$13,1)),"X")</f>
        <v>D1</v>
      </c>
    </row>
    <row r="44" ht="15.0" customHeight="1">
      <c r="A44" s="22">
        <f>milestone_4day_new!A10</f>
        <v>7</v>
      </c>
      <c r="B44" s="36">
        <f>milestone_4day_new!B10</f>
        <v>500</v>
      </c>
      <c r="C44" s="37">
        <f>milestone_4day_new!C10</f>
        <v>4310</v>
      </c>
      <c r="D44" s="38" t="b">
        <f>milestone_4day_new!D10</f>
        <v>0</v>
      </c>
      <c r="E44" s="39" t="str">
        <f>IFERROR(IF(CEILING($C44*4/data_raw_4_day!$G$3,1)&gt;4,"X","D"&amp;CEILING($C44*4/data_raw_4_day!$G$3,1)&amp;" net: "&amp;round(milestone_4day_new!AB10, 1)),"X")</f>
        <v>D4 net: -102.6</v>
      </c>
      <c r="F44" s="39" t="str">
        <f>IFERROR(IF(CEILING($C44*4/data_raw_4_day!$G$4,1)&gt;4,"X","D"&amp;CEILING($C44*4/data_raw_4_day!$G$4,1)&amp;" net: "&amp;round(milestone_4day_new!AC10, 1)),"X")</f>
        <v>D1 net: -40</v>
      </c>
      <c r="G44" s="39" t="str">
        <f>IFERROR(IF(CEILING($C44*4/data_raw_4_day!$G$5,1)&gt;4,"X","D"&amp;CEILING($C44*4/data_raw_4_day!$G$5,1)&amp;" net: "&amp;round(milestone_4day_new!AD10, 1)),"X")</f>
        <v>D1 net: 10</v>
      </c>
      <c r="H44" s="39" t="str">
        <f>IFERROR(IF(CEILING($C44*4/data_raw_4_day!$G$6,1)&gt;4,"X","D"&amp;CEILING($C44*4/data_raw_4_day!$G$6,1)&amp;" net: "&amp;round(milestone_4day_new!AE10, 1)),"X")</f>
        <v>D1 net: 10</v>
      </c>
      <c r="I44" s="39" t="str">
        <f>IFERROR(IF(CEILING($C44*4/data_raw_4_day!$G$7,1)&gt;4,"X","D"&amp;CEILING($C44*4/data_raw_4_day!$G$7,1)),"X")</f>
        <v>D1</v>
      </c>
      <c r="J44" s="39" t="str">
        <f>IFERROR(IF(CEILING($C44*4/data_raw_4_day!$G$9,1)&gt;4,"X","D"&amp;CEILING($C44*4/data_raw_4_day!$G$9,1)&amp;" net: "&amp;round(milestone_4day_new!AF10, 1)),"X")</f>
        <v>D4 net: -155.4</v>
      </c>
      <c r="K44" s="39" t="str">
        <f>IFERROR(IF(CEILING($C44*4/data_raw_4_day!$G$10,1)&gt;4,"X","D"&amp;CEILING($C44*4/data_raw_4_day!$G$10,1)&amp;" net: "&amp;round(milestone_4day_new!AG10, 1)),"X")</f>
        <v>D1 net: -59.1</v>
      </c>
      <c r="L44" s="39" t="str">
        <f>IFERROR(IF(CEILING($C44*4/data_raw_4_day!$G$11,1)&gt;4,"X","D"&amp;CEILING($C44*4/data_raw_4_day!$G$11,1)&amp;" net: "&amp;round(milestone_4day_new!AH10, 1)),"X")</f>
        <v>D1 net: 10</v>
      </c>
      <c r="M44" s="39" t="str">
        <f>IFERROR(IF(CEILING($C44*4/data_raw_4_day!$G$12,1)&gt;4,"X","D"&amp;CEILING($C44*4/data_raw_4_day!$G$12,1)&amp;" net: "&amp;round(milestone_4day_new!AI10, 1)),"X")</f>
        <v>D1 net: 10</v>
      </c>
      <c r="N44" s="39" t="str">
        <f>IFERROR(IF(CEILING($C44*4/data_raw_4_day!$G$13,1)&gt;4,"X","D"&amp;CEILING($C44*4/data_raw_4_day!$G$13,1)),"X")</f>
        <v>D1</v>
      </c>
    </row>
    <row r="45" ht="15.0" customHeight="1">
      <c r="A45" s="22">
        <f>milestone_4day_new!A11</f>
        <v>8</v>
      </c>
      <c r="B45" s="36">
        <f>milestone_4day_new!B11</f>
        <v>1000</v>
      </c>
      <c r="C45" s="37">
        <f>milestone_4day_new!C11</f>
        <v>5310</v>
      </c>
      <c r="D45" s="38" t="b">
        <f>milestone_4day_new!D11</f>
        <v>0</v>
      </c>
      <c r="E45" s="39" t="str">
        <f>IFERROR(IF(CEILING($C45*4/data_raw_4_day!$G$3,1)&gt;4,"X","D"&amp;CEILING($C45*4/data_raw_4_day!$G$3,1)&amp;" net: "&amp;round(milestone_4day_new!AB11, 1)),"X")</f>
        <v>X</v>
      </c>
      <c r="F45" s="39" t="str">
        <f>IFERROR(IF(CEILING($C45*4/data_raw_4_day!$G$4,1)&gt;4,"X","D"&amp;CEILING($C45*4/data_raw_4_day!$G$4,1)&amp;" net: "&amp;round(milestone_4day_new!AC11, 1)),"X")</f>
        <v>D2 net: -78.2</v>
      </c>
      <c r="G45" s="39" t="str">
        <f>IFERROR(IF(CEILING($C45*4/data_raw_4_day!$G$5,1)&gt;4,"X","D"&amp;CEILING($C45*4/data_raw_4_day!$G$5,1)&amp;" net: "&amp;round(milestone_4day_new!AD11, 1)),"X")</f>
        <v>D1 net: -1.5</v>
      </c>
      <c r="H45" s="39" t="str">
        <f>IFERROR(IF(CEILING($C45*4/data_raw_4_day!$G$6,1)&gt;4,"X","D"&amp;CEILING($C45*4/data_raw_4_day!$G$6,1)&amp;" net: "&amp;round(milestone_4day_new!AE11, 1)),"X")</f>
        <v>D1 net: 10</v>
      </c>
      <c r="I45" s="39" t="str">
        <f>IFERROR(IF(CEILING($C45*4/data_raw_4_day!$G$7,1)&gt;4,"X","D"&amp;CEILING($C45*4/data_raw_4_day!$G$7,1)),"X")</f>
        <v>D1</v>
      </c>
      <c r="J45" s="39" t="str">
        <f>IFERROR(IF(CEILING($C45*4/data_raw_4_day!$G$9,1)&gt;4,"X","D"&amp;CEILING($C45*4/data_raw_4_day!$G$9,1)&amp;" net: "&amp;round(milestone_4day_new!AF11, 1)),"X")</f>
        <v>D4 net: -194.6</v>
      </c>
      <c r="K45" s="39" t="str">
        <f>IFERROR(IF(CEILING($C45*4/data_raw_4_day!$G$10,1)&gt;4,"X","D"&amp;CEILING($C45*4/data_raw_4_day!$G$10,1)&amp;" net: "&amp;round(milestone_4day_new!AG11, 1)),"X")</f>
        <v>D2 net: -133.4</v>
      </c>
      <c r="L45" s="39" t="str">
        <f>IFERROR(IF(CEILING($C45*4/data_raw_4_day!$G$11,1)&gt;4,"X","D"&amp;CEILING($C45*4/data_raw_4_day!$G$11,1)&amp;" net: "&amp;round(milestone_4day_new!AH11, 1)),"X")</f>
        <v>D1 net: 10</v>
      </c>
      <c r="M45" s="39" t="str">
        <f>IFERROR(IF(CEILING($C45*4/data_raw_4_day!$G$12,1)&gt;4,"X","D"&amp;CEILING($C45*4/data_raw_4_day!$G$12,1)&amp;" net: "&amp;round(milestone_4day_new!AI11, 1)),"X")</f>
        <v>D1 net: 10</v>
      </c>
      <c r="N45" s="39" t="str">
        <f>IFERROR(IF(CEILING($C45*4/data_raw_4_day!$G$13,1)&gt;4,"X","D"&amp;CEILING($C45*4/data_raw_4_day!$G$13,1)),"X")</f>
        <v>D1</v>
      </c>
    </row>
    <row r="46" ht="15.0" customHeight="1">
      <c r="A46" s="22">
        <f>milestone_4day_new!A12</f>
        <v>9</v>
      </c>
      <c r="B46" s="36">
        <f>milestone_4day_new!B12</f>
        <v>3300</v>
      </c>
      <c r="C46" s="37">
        <f>milestone_4day_new!C12</f>
        <v>8610</v>
      </c>
      <c r="D46" s="38" t="b">
        <f>milestone_4day_new!D12</f>
        <v>1</v>
      </c>
      <c r="E46" s="39" t="str">
        <f>IFERROR(IF(CEILING($C46*4/data_raw_4_day!$G$3,1)&gt;4,"X","D"&amp;CEILING($C46*4/data_raw_4_day!$G$3,1)&amp;" net: "&amp;round(milestone_4day_new!AB12, 1)),"X")</f>
        <v>X</v>
      </c>
      <c r="F46" s="39" t="str">
        <f>IFERROR(IF(CEILING($C46*4/data_raw_4_day!$G$4,1)&gt;4,"X","D"&amp;CEILING($C46*4/data_raw_4_day!$G$4,1)&amp;" net: "&amp;round(milestone_4day_new!AC12, 1)),"X")</f>
        <v>D2 net: -146.6</v>
      </c>
      <c r="G46" s="39" t="str">
        <f>IFERROR(IF(CEILING($C46*4/data_raw_4_day!$G$5,1)&gt;4,"X","D"&amp;CEILING($C46*4/data_raw_4_day!$G$5,1)&amp;" net: "&amp;round(milestone_4day_new!AD12, 1)),"X")</f>
        <v>D1 net: -109.9</v>
      </c>
      <c r="H46" s="39" t="str">
        <f>IFERROR(IF(CEILING($C46*4/data_raw_4_day!$G$6,1)&gt;4,"X","D"&amp;CEILING($C46*4/data_raw_4_day!$G$6,1)&amp;" net: "&amp;round(milestone_4day_new!AE12, 1)),"X")</f>
        <v>D1 net: 30</v>
      </c>
      <c r="I46" s="39" t="str">
        <f>IFERROR(IF(CEILING($C46*4/data_raw_4_day!$G$7,1)&gt;4,"X","D"&amp;CEILING($C46*4/data_raw_4_day!$G$7,1)),"X")</f>
        <v>D1</v>
      </c>
      <c r="J46" s="39" t="str">
        <f>IFERROR(IF(CEILING($C46*4/data_raw_4_day!$G$9,1)&gt;4,"X","D"&amp;CEILING($C46*4/data_raw_4_day!$G$9,1)&amp;" net: "&amp;round(milestone_4day_new!AF12, 1)),"X")</f>
        <v>X</v>
      </c>
      <c r="K46" s="39" t="str">
        <f>IFERROR(IF(CEILING($C46*4/data_raw_4_day!$G$10,1)&gt;4,"X","D"&amp;CEILING($C46*4/data_raw_4_day!$G$10,1)&amp;" net: "&amp;round(milestone_4day_new!AG12, 1)),"X")</f>
        <v>D2 net: -285.5</v>
      </c>
      <c r="L46" s="39" t="str">
        <f>IFERROR(IF(CEILING($C46*4/data_raw_4_day!$G$11,1)&gt;4,"X","D"&amp;CEILING($C46*4/data_raw_4_day!$G$11,1)&amp;" net: "&amp;round(milestone_4day_new!AH12, 1)),"X")</f>
        <v>D1 net: -206.4</v>
      </c>
      <c r="M46" s="39" t="str">
        <f>IFERROR(IF(CEILING($C46*4/data_raw_4_day!$G$12,1)&gt;4,"X","D"&amp;CEILING($C46*4/data_raw_4_day!$G$12,1)&amp;" net: "&amp;round(milestone_4day_new!AI12, 1)),"X")</f>
        <v>D1 net: 30</v>
      </c>
      <c r="N46" s="39" t="str">
        <f>IFERROR(IF(CEILING($C46*4/data_raw_4_day!$G$13,1)&gt;4,"X","D"&amp;CEILING($C46*4/data_raw_4_day!$G$13,1)),"X")</f>
        <v>D1</v>
      </c>
    </row>
    <row r="47" ht="15.0" customHeight="1">
      <c r="A47" s="22">
        <f>milestone_4day_new!A13</f>
        <v>10</v>
      </c>
      <c r="B47" s="36">
        <f>milestone_4day_new!B13</f>
        <v>1100</v>
      </c>
      <c r="C47" s="37">
        <f>milestone_4day_new!C13</f>
        <v>9710</v>
      </c>
      <c r="D47" s="38" t="b">
        <f>milestone_4day_new!D13</f>
        <v>0</v>
      </c>
      <c r="E47" s="39" t="str">
        <f>IFERROR(IF(CEILING($C47*4/data_raw_4_day!$G$3,1)&gt;4,"X","D"&amp;CEILING($C47*4/data_raw_4_day!$G$3,1)&amp;" net: "&amp;round(milestone_4day_new!AB13, 1)),"X")</f>
        <v>X</v>
      </c>
      <c r="F47" s="39" t="str">
        <f>IFERROR(IF(CEILING($C47*4/data_raw_4_day!$G$4,1)&gt;4,"X","D"&amp;CEILING($C47*4/data_raw_4_day!$G$4,1)&amp;" net: "&amp;round(milestone_4day_new!AC13, 1)),"X")</f>
        <v>D3 net: -168.6</v>
      </c>
      <c r="G47" s="39" t="str">
        <f>IFERROR(IF(CEILING($C47*4/data_raw_4_day!$G$5,1)&gt;4,"X","D"&amp;CEILING($C47*4/data_raw_4_day!$G$5,1)&amp;" net: "&amp;round(milestone_4day_new!AD13, 1)),"X")</f>
        <v>D2 net: -141.8</v>
      </c>
      <c r="H47" s="39" t="str">
        <f>IFERROR(IF(CEILING($C47*4/data_raw_4_day!$G$6,1)&gt;4,"X","D"&amp;CEILING($C47*4/data_raw_4_day!$G$6,1)&amp;" net: "&amp;round(milestone_4day_new!AE13, 1)),"X")</f>
        <v>D1 net: 30</v>
      </c>
      <c r="I47" s="39" t="str">
        <f>IFERROR(IF(CEILING($C47*4/data_raw_4_day!$G$7,1)&gt;4,"X","D"&amp;CEILING($C47*4/data_raw_4_day!$G$7,1)),"X")</f>
        <v>D1</v>
      </c>
      <c r="J47" s="39" t="str">
        <f>IFERROR(IF(CEILING($C47*4/data_raw_4_day!$G$9,1)&gt;4,"X","D"&amp;CEILING($C47*4/data_raw_4_day!$G$9,1)&amp;" net: "&amp;round(milestone_4day_new!AF13, 1)),"X")</f>
        <v>X</v>
      </c>
      <c r="K47" s="39" t="str">
        <f>IFERROR(IF(CEILING($C47*4/data_raw_4_day!$G$10,1)&gt;4,"X","D"&amp;CEILING($C47*4/data_raw_4_day!$G$10,1)&amp;" net: "&amp;round(milestone_4day_new!AG13, 1)),"X")</f>
        <v>D2 net: -328.3</v>
      </c>
      <c r="L47" s="39" t="str">
        <f>IFERROR(IF(CEILING($C47*4/data_raw_4_day!$G$11,1)&gt;4,"X","D"&amp;CEILING($C47*4/data_raw_4_day!$G$11,1)&amp;" net: "&amp;round(milestone_4day_new!AH13, 1)),"X")</f>
        <v>D2 net: -276.1</v>
      </c>
      <c r="M47" s="39" t="str">
        <f>IFERROR(IF(CEILING($C47*4/data_raw_4_day!$G$12,1)&gt;4,"X","D"&amp;CEILING($C47*4/data_raw_4_day!$G$12,1)&amp;" net: "&amp;round(milestone_4day_new!AI13, 1)),"X")</f>
        <v>D1 net: 30</v>
      </c>
      <c r="N47" s="39" t="str">
        <f>IFERROR(IF(CEILING($C47*4/data_raw_4_day!$G$13,1)&gt;4,"X","D"&amp;CEILING($C47*4/data_raw_4_day!$G$13,1)),"X")</f>
        <v>D1</v>
      </c>
    </row>
    <row r="48" ht="15.0" customHeight="1">
      <c r="A48" s="22">
        <f>milestone_4day_new!A14</f>
        <v>11</v>
      </c>
      <c r="B48" s="36">
        <f>milestone_4day_new!B14</f>
        <v>2200</v>
      </c>
      <c r="C48" s="37">
        <f>milestone_4day_new!C14</f>
        <v>11910</v>
      </c>
      <c r="D48" s="38" t="b">
        <f>milestone_4day_new!D14</f>
        <v>0</v>
      </c>
      <c r="E48" s="39" t="str">
        <f>IFERROR(IF(CEILING($C48*4/data_raw_4_day!$G$3,1)&gt;4,"X","D"&amp;CEILING($C48*4/data_raw_4_day!$G$3,1)&amp;" net: "&amp;round(milestone_4day_new!AB14, 1)),"X")</f>
        <v>X</v>
      </c>
      <c r="F48" s="39" t="str">
        <f>IFERROR(IF(CEILING($C48*4/data_raw_4_day!$G$4,1)&gt;4,"X","D"&amp;CEILING($C48*4/data_raw_4_day!$G$4,1)&amp;" net: "&amp;round(milestone_4day_new!AC14, 1)),"X")</f>
        <v>D3 net: -206</v>
      </c>
      <c r="G48" s="39" t="str">
        <f>IFERROR(IF(CEILING($C48*4/data_raw_4_day!$G$5,1)&gt;4,"X","D"&amp;CEILING($C48*4/data_raw_4_day!$G$5,1)&amp;" net: "&amp;round(milestone_4day_new!AD14, 1)),"X")</f>
        <v>D2 net: -196.1</v>
      </c>
      <c r="H48" s="39" t="str">
        <f>IFERROR(IF(CEILING($C48*4/data_raw_4_day!$G$6,1)&gt;4,"X","D"&amp;CEILING($C48*4/data_raw_4_day!$G$6,1)&amp;" net: "&amp;round(milestone_4day_new!AE14, 1)),"X")</f>
        <v>D1 net: 30</v>
      </c>
      <c r="I48" s="39" t="str">
        <f>IFERROR(IF(CEILING($C48*4/data_raw_4_day!$G$7,1)&gt;4,"X","D"&amp;CEILING($C48*4/data_raw_4_day!$G$7,1)),"X")</f>
        <v>D1</v>
      </c>
      <c r="J48" s="39" t="str">
        <f>IFERROR(IF(CEILING($C48*4/data_raw_4_day!$G$9,1)&gt;4,"X","D"&amp;CEILING($C48*4/data_raw_4_day!$G$9,1)&amp;" net: "&amp;round(milestone_4day_new!AF14, 1)),"X")</f>
        <v>X</v>
      </c>
      <c r="K48" s="39" t="str">
        <f>IFERROR(IF(CEILING($C48*4/data_raw_4_day!$G$10,1)&gt;4,"X","D"&amp;CEILING($C48*4/data_raw_4_day!$G$10,1)&amp;" net: "&amp;round(milestone_4day_new!AG14, 1)),"X")</f>
        <v>D3 net: -401</v>
      </c>
      <c r="L48" s="39" t="str">
        <f>IFERROR(IF(CEILING($C48*4/data_raw_4_day!$G$11,1)&gt;4,"X","D"&amp;CEILING($C48*4/data_raw_4_day!$G$11,1)&amp;" net: "&amp;round(milestone_4day_new!AH14, 1)),"X")</f>
        <v>D2 net: -394.5</v>
      </c>
      <c r="M48" s="39" t="str">
        <f>IFERROR(IF(CEILING($C48*4/data_raw_4_day!$G$12,1)&gt;4,"X","D"&amp;CEILING($C48*4/data_raw_4_day!$G$12,1)&amp;" net: "&amp;round(milestone_4day_new!AI14, 1)),"X")</f>
        <v>D1 net: 30</v>
      </c>
      <c r="N48" s="39" t="str">
        <f>IFERROR(IF(CEILING($C48*4/data_raw_4_day!$G$13,1)&gt;4,"X","D"&amp;CEILING($C48*4/data_raw_4_day!$G$13,1)),"X")</f>
        <v>D1</v>
      </c>
    </row>
    <row r="49" ht="15.0" customHeight="1">
      <c r="A49" s="22">
        <f>milestone_4day_new!A15</f>
        <v>12</v>
      </c>
      <c r="B49" s="36">
        <f>milestone_4day_new!B15</f>
        <v>6500</v>
      </c>
      <c r="C49" s="37">
        <f>milestone_4day_new!C15</f>
        <v>18410</v>
      </c>
      <c r="D49" s="38" t="b">
        <f>milestone_4day_new!D15</f>
        <v>1</v>
      </c>
      <c r="E49" s="39" t="str">
        <f>IFERROR(IF(CEILING($C49*4/data_raw_4_day!$G$3,1)&gt;4,"X","D"&amp;CEILING($C49*4/data_raw_4_day!$G$3,1)&amp;" net: "&amp;round(milestone_4day_new!AB15, 1)),"X")</f>
        <v>X</v>
      </c>
      <c r="F49" s="39" t="str">
        <f>IFERROR(IF(CEILING($C49*4/data_raw_4_day!$G$4,1)&gt;4,"X","D"&amp;CEILING($C49*4/data_raw_4_day!$G$4,1)&amp;" net: "&amp;round(milestone_4day_new!AC15, 1)),"X")</f>
        <v>D4 net: -250.7</v>
      </c>
      <c r="G49" s="39" t="str">
        <f>IFERROR(IF(CEILING($C49*4/data_raw_4_day!$G$5,1)&gt;4,"X","D"&amp;CEILING($C49*4/data_raw_4_day!$G$5,1)&amp;" net: "&amp;round(milestone_4day_new!AD15, 1)),"X")</f>
        <v>D2 net: -276.8</v>
      </c>
      <c r="H49" s="39" t="str">
        <f>IFERROR(IF(CEILING($C49*4/data_raw_4_day!$G$6,1)&gt;4,"X","D"&amp;CEILING($C49*4/data_raw_4_day!$G$6,1)&amp;" net: "&amp;round(milestone_4day_new!AE15, 1)),"X")</f>
        <v>D1 net: 55.7</v>
      </c>
      <c r="I49" s="39" t="str">
        <f>IFERROR(IF(CEILING($C49*4/data_raw_4_day!$G$7,1)&gt;4,"X","D"&amp;CEILING($C49*4/data_raw_4_day!$G$7,1)),"X")</f>
        <v>D1</v>
      </c>
      <c r="J49" s="39" t="str">
        <f>IFERROR(IF(CEILING($C49*4/data_raw_4_day!$G$9,1)&gt;4,"X","D"&amp;CEILING($C49*4/data_raw_4_day!$G$9,1)&amp;" net: "&amp;round(milestone_4day_new!AF15, 1)),"X")</f>
        <v>X</v>
      </c>
      <c r="K49" s="39" t="str">
        <f>IFERROR(IF(CEILING($C49*4/data_raw_4_day!$G$10,1)&gt;4,"X","D"&amp;CEILING($C49*4/data_raw_4_day!$G$10,1)&amp;" net: "&amp;round(milestone_4day_new!AG15, 1)),"X")</f>
        <v>D4 net: -521</v>
      </c>
      <c r="L49" s="39" t="str">
        <f>IFERROR(IF(CEILING($C49*4/data_raw_4_day!$G$11,1)&gt;4,"X","D"&amp;CEILING($C49*4/data_raw_4_day!$G$11,1)&amp;" net: "&amp;round(milestone_4day_new!AH15, 1)),"X")</f>
        <v>D2 net: -612</v>
      </c>
      <c r="M49" s="39" t="str">
        <f>IFERROR(IF(CEILING($C49*4/data_raw_4_day!$G$12,1)&gt;4,"X","D"&amp;CEILING($C49*4/data_raw_4_day!$G$12,1)&amp;" net: "&amp;round(milestone_4day_new!AI15, 1)),"X")</f>
        <v>D1 net: 65</v>
      </c>
      <c r="N49" s="39" t="str">
        <f>IFERROR(IF(CEILING($C49*4/data_raw_4_day!$G$13,1)&gt;4,"X","D"&amp;CEILING($C49*4/data_raw_4_day!$G$13,1)),"X")</f>
        <v>D1</v>
      </c>
    </row>
    <row r="50" ht="15.0" customHeight="1">
      <c r="A50" s="22">
        <f>milestone_4day_new!A16</f>
        <v>13</v>
      </c>
      <c r="B50" s="36">
        <f>milestone_4day_new!B16</f>
        <v>2200</v>
      </c>
      <c r="C50" s="37">
        <f>milestone_4day_new!C16</f>
        <v>20610</v>
      </c>
      <c r="D50" s="38" t="b">
        <f>milestone_4day_new!D16</f>
        <v>0</v>
      </c>
      <c r="E50" s="39" t="str">
        <f>IFERROR(IF(CEILING($C50*4/data_raw_4_day!$G$3,1)&gt;4,"X","D"&amp;CEILING($C50*4/data_raw_4_day!$G$3,1)&amp;" net: "&amp;round(milestone_4day_new!AB16, 1)),"X")</f>
        <v>X</v>
      </c>
      <c r="F50" s="39" t="str">
        <f>IFERROR(IF(CEILING($C50*4/data_raw_4_day!$G$4,1)&gt;4,"X","D"&amp;CEILING($C50*4/data_raw_4_day!$G$4,1)&amp;" net: "&amp;round(milestone_4day_new!AC16, 1)),"X")</f>
        <v>X</v>
      </c>
      <c r="G50" s="39" t="str">
        <f>IFERROR(IF(CEILING($C50*4/data_raw_4_day!$G$5,1)&gt;4,"X","D"&amp;CEILING($C50*4/data_raw_4_day!$G$5,1)&amp;" net: "&amp;round(milestone_4day_new!AD16, 1)),"X")</f>
        <v>D3 net: -306.7</v>
      </c>
      <c r="H50" s="39" t="str">
        <f>IFERROR(IF(CEILING($C50*4/data_raw_4_day!$G$6,1)&gt;4,"X","D"&amp;CEILING($C50*4/data_raw_4_day!$G$6,1)&amp;" net: "&amp;round(milestone_4day_new!AE16, 1)),"X")</f>
        <v>D1 net: -11.5</v>
      </c>
      <c r="I50" s="39" t="str">
        <f>IFERROR(IF(CEILING($C50*4/data_raw_4_day!$G$7,1)&gt;4,"X","D"&amp;CEILING($C50*4/data_raw_4_day!$G$7,1)),"X")</f>
        <v>D1</v>
      </c>
      <c r="J50" s="39" t="str">
        <f>IFERROR(IF(CEILING($C50*4/data_raw_4_day!$G$9,1)&gt;4,"X","D"&amp;CEILING($C50*4/data_raw_4_day!$G$9,1)&amp;" net: "&amp;round(milestone_4day_new!AF16, 1)),"X")</f>
        <v>X</v>
      </c>
      <c r="K50" s="39" t="str">
        <f>IFERROR(IF(CEILING($C50*4/data_raw_4_day!$G$10,1)&gt;4,"X","D"&amp;CEILING($C50*4/data_raw_4_day!$G$10,1)&amp;" net: "&amp;round(milestone_4day_new!AG16, 1)),"X")</f>
        <v>X</v>
      </c>
      <c r="L50" s="39" t="str">
        <f>IFERROR(IF(CEILING($C50*4/data_raw_4_day!$G$11,1)&gt;4,"X","D"&amp;CEILING($C50*4/data_raw_4_day!$G$11,1)&amp;" net: "&amp;round(milestone_4day_new!AH16, 1)),"X")</f>
        <v>D3 net: -677.5</v>
      </c>
      <c r="M50" s="39" t="str">
        <f>IFERROR(IF(CEILING($C50*4/data_raw_4_day!$G$12,1)&gt;4,"X","D"&amp;CEILING($C50*4/data_raw_4_day!$G$12,1)&amp;" net: "&amp;round(milestone_4day_new!AI16, 1)),"X")</f>
        <v>D1 net: 65</v>
      </c>
      <c r="N50" s="39" t="str">
        <f>IFERROR(IF(CEILING($C50*4/data_raw_4_day!$G$13,1)&gt;4,"X","D"&amp;CEILING($C50*4/data_raw_4_day!$G$13,1)),"X")</f>
        <v>D1</v>
      </c>
    </row>
    <row r="51" ht="15.0" customHeight="1">
      <c r="A51" s="22">
        <f>milestone_4day_new!A17</f>
        <v>14</v>
      </c>
      <c r="B51" s="36">
        <f>milestone_4day_new!B17</f>
        <v>4400</v>
      </c>
      <c r="C51" s="37">
        <f>milestone_4day_new!C17</f>
        <v>25010</v>
      </c>
      <c r="D51" s="38" t="b">
        <f>milestone_4day_new!D17</f>
        <v>0</v>
      </c>
      <c r="E51" s="39" t="str">
        <f>IFERROR(IF(CEILING($C51*4/data_raw_4_day!$G$3,1)&gt;4,"X","D"&amp;CEILING($C51*4/data_raw_4_day!$G$3,1)&amp;" net: "&amp;round(milestone_4day_new!AB17, 1)),"X")</f>
        <v>X</v>
      </c>
      <c r="F51" s="39" t="str">
        <f>IFERROR(IF(CEILING($C51*4/data_raw_4_day!$G$4,1)&gt;4,"X","D"&amp;CEILING($C51*4/data_raw_4_day!$G$4,1)&amp;" net: "&amp;round(milestone_4day_new!AC17, 1)),"X")</f>
        <v>X</v>
      </c>
      <c r="G51" s="39" t="str">
        <f>IFERROR(IF(CEILING($C51*4/data_raw_4_day!$G$5,1)&gt;4,"X","D"&amp;CEILING($C51*4/data_raw_4_day!$G$5,1)&amp;" net: "&amp;round(milestone_4day_new!AD17, 1)),"X")</f>
        <v>D3 net: -358.1</v>
      </c>
      <c r="H51" s="39" t="str">
        <f>IFERROR(IF(CEILING($C51*4/data_raw_4_day!$G$6,1)&gt;4,"X","D"&amp;CEILING($C51*4/data_raw_4_day!$G$6,1)&amp;" net: "&amp;round(milestone_4day_new!AE17, 1)),"X")</f>
        <v>D2 net: -126.7</v>
      </c>
      <c r="I51" s="39" t="str">
        <f>IFERROR(IF(CEILING($C51*4/data_raw_4_day!$G$7,1)&gt;4,"X","D"&amp;CEILING($C51*4/data_raw_4_day!$G$7,1)),"X")</f>
        <v>D1</v>
      </c>
      <c r="J51" s="39" t="str">
        <f>IFERROR(IF(CEILING($C51*4/data_raw_4_day!$G$9,1)&gt;4,"X","D"&amp;CEILING($C51*4/data_raw_4_day!$G$9,1)&amp;" net: "&amp;round(milestone_4day_new!AF17, 1)),"X")</f>
        <v>X</v>
      </c>
      <c r="K51" s="39" t="str">
        <f>IFERROR(IF(CEILING($C51*4/data_raw_4_day!$G$10,1)&gt;4,"X","D"&amp;CEILING($C51*4/data_raw_4_day!$G$10,1)&amp;" net: "&amp;round(milestone_4day_new!AG17, 1)),"X")</f>
        <v>X</v>
      </c>
      <c r="L51" s="39" t="str">
        <f>IFERROR(IF(CEILING($C51*4/data_raw_4_day!$G$11,1)&gt;4,"X","D"&amp;CEILING($C51*4/data_raw_4_day!$G$11,1)&amp;" net: "&amp;round(milestone_4day_new!AH17, 1)),"X")</f>
        <v>D3 net: -789.6</v>
      </c>
      <c r="M51" s="39" t="str">
        <f>IFERROR(IF(CEILING($C51*4/data_raw_4_day!$G$12,1)&gt;4,"X","D"&amp;CEILING($C51*4/data_raw_4_day!$G$12,1)&amp;" net: "&amp;round(milestone_4day_new!AI17, 1)),"X")</f>
        <v>D2 net: -112.5</v>
      </c>
      <c r="N51" s="39" t="str">
        <f>IFERROR(IF(CEILING($C51*4/data_raw_4_day!$G$13,1)&gt;4,"X","D"&amp;CEILING($C51*4/data_raw_4_day!$G$13,1)),"X")</f>
        <v>D1</v>
      </c>
    </row>
    <row r="52" ht="15.0" customHeight="1">
      <c r="A52" s="22">
        <f>milestone_4day_new!A18</f>
        <v>15</v>
      </c>
      <c r="B52" s="36">
        <f>milestone_4day_new!B18</f>
        <v>13250</v>
      </c>
      <c r="C52" s="37">
        <f>milestone_4day_new!C18</f>
        <v>38260</v>
      </c>
      <c r="D52" s="38" t="b">
        <f>milestone_4day_new!D18</f>
        <v>1</v>
      </c>
      <c r="E52" s="39" t="str">
        <f>IFERROR(IF(CEILING($C52*4/data_raw_4_day!$G$3,1)&gt;4,"X","D"&amp;CEILING($C52*4/data_raw_4_day!$G$3,1)&amp;" net: "&amp;round(milestone_4day_new!AB18, 1)),"X")</f>
        <v>X</v>
      </c>
      <c r="F52" s="39" t="str">
        <f>IFERROR(IF(CEILING($C52*4/data_raw_4_day!$G$4,1)&gt;4,"X","D"&amp;CEILING($C52*4/data_raw_4_day!$G$4,1)&amp;" net: "&amp;round(milestone_4day_new!AC18, 1)),"X")</f>
        <v>X</v>
      </c>
      <c r="G52" s="39" t="str">
        <f>IFERROR(IF(CEILING($C52*4/data_raw_4_day!$G$5,1)&gt;4,"X","D"&amp;CEILING($C52*4/data_raw_4_day!$G$5,1)&amp;" net: "&amp;round(milestone_4day_new!AD18, 1)),"X")</f>
        <v>D4 net: -471.1</v>
      </c>
      <c r="H52" s="39" t="str">
        <f>IFERROR(IF(CEILING($C52*4/data_raw_4_day!$G$6,1)&gt;4,"X","D"&amp;CEILING($C52*4/data_raw_4_day!$G$6,1)&amp;" net: "&amp;round(milestone_4day_new!AE18, 1)),"X")</f>
        <v>D2 net: -379.7</v>
      </c>
      <c r="I52" s="39" t="str">
        <f>IFERROR(IF(CEILING($C52*4/data_raw_4_day!$G$7,1)&gt;4,"X","D"&amp;CEILING($C52*4/data_raw_4_day!$G$7,1)),"X")</f>
        <v>D2</v>
      </c>
      <c r="J52" s="39" t="str">
        <f>IFERROR(IF(CEILING($C52*4/data_raw_4_day!$G$9,1)&gt;4,"X","D"&amp;CEILING($C52*4/data_raw_4_day!$G$9,1)&amp;" net: "&amp;round(milestone_4day_new!AF18, 1)),"X")</f>
        <v>X</v>
      </c>
      <c r="K52" s="39" t="str">
        <f>IFERROR(IF(CEILING($C52*4/data_raw_4_day!$G$10,1)&gt;4,"X","D"&amp;CEILING($C52*4/data_raw_4_day!$G$10,1)&amp;" net: "&amp;round(milestone_4day_new!AG18, 1)),"X")</f>
        <v>X</v>
      </c>
      <c r="L52" s="39" t="str">
        <f>IFERROR(IF(CEILING($C52*4/data_raw_4_day!$G$11,1)&gt;4,"X","D"&amp;CEILING($C52*4/data_raw_4_day!$G$11,1)&amp;" net: "&amp;round(milestone_4day_new!AH18, 1)),"X")</f>
        <v>D4 net: -1036.1</v>
      </c>
      <c r="M52" s="39" t="str">
        <f>IFERROR(IF(CEILING($C52*4/data_raw_4_day!$G$12,1)&gt;4,"X","D"&amp;CEILING($C52*4/data_raw_4_day!$G$12,1)&amp;" net: "&amp;round(milestone_4day_new!AI18, 1)),"X")</f>
        <v>D2 net: -695.9</v>
      </c>
      <c r="N52" s="39" t="str">
        <f>IFERROR(IF(CEILING($C52*4/data_raw_4_day!$G$13,1)&gt;4,"X","D"&amp;CEILING($C52*4/data_raw_4_day!$G$13,1)),"X")</f>
        <v>D1</v>
      </c>
    </row>
    <row r="53" ht="15.0" customHeight="1">
      <c r="A53" s="22">
        <f>milestone_4day_new!A19</f>
        <v>16</v>
      </c>
      <c r="B53" s="36">
        <f>milestone_4day_new!B19</f>
        <v>3300</v>
      </c>
      <c r="C53" s="37">
        <f>milestone_4day_new!C19</f>
        <v>41560</v>
      </c>
      <c r="D53" s="38" t="b">
        <f>milestone_4day_new!D19</f>
        <v>0</v>
      </c>
      <c r="E53" s="39" t="str">
        <f>IFERROR(IF(CEILING($C53*4/data_raw_4_day!$G$3,1)&gt;4,"X","D"&amp;CEILING($C53*4/data_raw_4_day!$G$3,1)&amp;" net: "&amp;round(milestone_4day_new!AB19, 1)),"X")</f>
        <v>X</v>
      </c>
      <c r="F53" s="39" t="str">
        <f>IFERROR(IF(CEILING($C53*4/data_raw_4_day!$G$4,1)&gt;4,"X","D"&amp;CEILING($C53*4/data_raw_4_day!$G$4,1)&amp;" net: "&amp;round(milestone_4day_new!AC19, 1)),"X")</f>
        <v>X</v>
      </c>
      <c r="G53" s="39" t="str">
        <f>IFERROR(IF(CEILING($C53*4/data_raw_4_day!$G$5,1)&gt;4,"X","D"&amp;CEILING($C53*4/data_raw_4_day!$G$5,1)&amp;" net: "&amp;round(milestone_4day_new!AD19, 1)),"X")</f>
        <v>X</v>
      </c>
      <c r="H53" s="39" t="str">
        <f>IFERROR(IF(CEILING($C53*4/data_raw_4_day!$G$6,1)&gt;4,"X","D"&amp;CEILING($C53*4/data_raw_4_day!$G$6,1)&amp;" net: "&amp;round(milestone_4day_new!AE19, 1)),"X")</f>
        <v>D2 net: -429</v>
      </c>
      <c r="I53" s="39" t="str">
        <f>IFERROR(IF(CEILING($C53*4/data_raw_4_day!$G$7,1)&gt;4,"X","D"&amp;CEILING($C53*4/data_raw_4_day!$G$7,1)),"X")</f>
        <v>D2</v>
      </c>
      <c r="J53" s="39" t="str">
        <f>IFERROR(IF(CEILING($C53*4/data_raw_4_day!$G$9,1)&gt;4,"X","D"&amp;CEILING($C53*4/data_raw_4_day!$G$9,1)&amp;" net: "&amp;round(milestone_4day_new!AF19, 1)),"X")</f>
        <v>X</v>
      </c>
      <c r="K53" s="39" t="str">
        <f>IFERROR(IF(CEILING($C53*4/data_raw_4_day!$G$10,1)&gt;4,"X","D"&amp;CEILING($C53*4/data_raw_4_day!$G$10,1)&amp;" net: "&amp;round(milestone_4day_new!AG19, 1)),"X")</f>
        <v>X</v>
      </c>
      <c r="L53" s="39" t="str">
        <f>IFERROR(IF(CEILING($C53*4/data_raw_4_day!$G$11,1)&gt;4,"X","D"&amp;CEILING($C53*4/data_raw_4_day!$G$11,1)&amp;" net: "&amp;round(milestone_4day_new!AH19, 1)),"X")</f>
        <v>X</v>
      </c>
      <c r="M53" s="39" t="str">
        <f>IFERROR(IF(CEILING($C53*4/data_raw_4_day!$G$12,1)&gt;4,"X","D"&amp;CEILING($C53*4/data_raw_4_day!$G$12,1)&amp;" net: "&amp;round(milestone_4day_new!AI19, 1)),"X")</f>
        <v>D2 net: -809.4</v>
      </c>
      <c r="N53" s="39" t="str">
        <f>IFERROR(IF(CEILING($C53*4/data_raw_4_day!$G$13,1)&gt;4,"X","D"&amp;CEILING($C53*4/data_raw_4_day!$G$13,1)),"X")</f>
        <v>D2</v>
      </c>
    </row>
    <row r="54" ht="15.0" customHeight="1">
      <c r="A54" s="22">
        <f>milestone_4day_new!A20</f>
        <v>17</v>
      </c>
      <c r="B54" s="36">
        <f>milestone_4day_new!B20</f>
        <v>6500</v>
      </c>
      <c r="C54" s="37">
        <f>milestone_4day_new!C20</f>
        <v>48060</v>
      </c>
      <c r="D54" s="38" t="b">
        <f>milestone_4day_new!D20</f>
        <v>0</v>
      </c>
      <c r="E54" s="39" t="str">
        <f>IFERROR(IF(CEILING($C54*4/data_raw_4_day!$G$3,1)&gt;4,"X","D"&amp;CEILING($C54*4/data_raw_4_day!$G$3,1)&amp;" net: "&amp;round(milestone_4day_new!AB20, 1)),"X")</f>
        <v>X</v>
      </c>
      <c r="F54" s="39" t="str">
        <f>IFERROR(IF(CEILING($C54*4/data_raw_4_day!$G$4,1)&gt;4,"X","D"&amp;CEILING($C54*4/data_raw_4_day!$G$4,1)&amp;" net: "&amp;round(milestone_4day_new!AC20, 1)),"X")</f>
        <v>X</v>
      </c>
      <c r="G54" s="39" t="str">
        <f>IFERROR(IF(CEILING($C54*4/data_raw_4_day!$G$5,1)&gt;4,"X","D"&amp;CEILING($C54*4/data_raw_4_day!$G$5,1)&amp;" net: "&amp;round(milestone_4day_new!AD20, 1)),"X")</f>
        <v>X</v>
      </c>
      <c r="H54" s="39" t="str">
        <f>IFERROR(IF(CEILING($C54*4/data_raw_4_day!$G$6,1)&gt;4,"X","D"&amp;CEILING($C54*4/data_raw_4_day!$G$6,1)&amp;" net: "&amp;round(milestone_4day_new!AE20, 1)),"X")</f>
        <v>D3 net: -515.5</v>
      </c>
      <c r="I54" s="39" t="str">
        <f>IFERROR(IF(CEILING($C54*4/data_raw_4_day!$G$7,1)&gt;4,"X","D"&amp;CEILING($C54*4/data_raw_4_day!$G$7,1)),"X")</f>
        <v>D2</v>
      </c>
      <c r="J54" s="39" t="str">
        <f>IFERROR(IF(CEILING($C54*4/data_raw_4_day!$G$9,1)&gt;4,"X","D"&amp;CEILING($C54*4/data_raw_4_day!$G$9,1)&amp;" net: "&amp;round(milestone_4day_new!AF20, 1)),"X")</f>
        <v>X</v>
      </c>
      <c r="K54" s="39" t="str">
        <f>IFERROR(IF(CEILING($C54*4/data_raw_4_day!$G$10,1)&gt;4,"X","D"&amp;CEILING($C54*4/data_raw_4_day!$G$10,1)&amp;" net: "&amp;round(milestone_4day_new!AG20, 1)),"X")</f>
        <v>X</v>
      </c>
      <c r="L54" s="39" t="str">
        <f>IFERROR(IF(CEILING($C54*4/data_raw_4_day!$G$11,1)&gt;4,"X","D"&amp;CEILING($C54*4/data_raw_4_day!$G$11,1)&amp;" net: "&amp;round(milestone_4day_new!AH20, 1)),"X")</f>
        <v>X</v>
      </c>
      <c r="M54" s="39" t="str">
        <f>IFERROR(IF(CEILING($C54*4/data_raw_4_day!$G$12,1)&gt;4,"X","D"&amp;CEILING($C54*4/data_raw_4_day!$G$12,1)&amp;" net: "&amp;round(milestone_4day_new!AI20, 1)),"X")</f>
        <v>D3 net: -1008.8</v>
      </c>
      <c r="N54" s="39" t="str">
        <f>IFERROR(IF(CEILING($C54*4/data_raw_4_day!$G$13,1)&gt;4,"X","D"&amp;CEILING($C54*4/data_raw_4_day!$G$13,1)),"X")</f>
        <v>D2</v>
      </c>
    </row>
    <row r="55" ht="15.0" customHeight="1">
      <c r="A55" s="22">
        <f>milestone_4day_new!A21</f>
        <v>18</v>
      </c>
      <c r="B55" s="36">
        <f>milestone_4day_new!B21</f>
        <v>19750</v>
      </c>
      <c r="C55" s="37">
        <f>milestone_4day_new!C21</f>
        <v>67810</v>
      </c>
      <c r="D55" s="38" t="b">
        <f>milestone_4day_new!D21</f>
        <v>1</v>
      </c>
      <c r="E55" s="39" t="str">
        <f>IFERROR(IF(CEILING($C55*4/data_raw_4_day!$G$3,1)&gt;4,"X","D"&amp;CEILING($C55*4/data_raw_4_day!$G$3,1)&amp;" net: "&amp;round(milestone_4day_new!AB21, 1)),"X")</f>
        <v>X</v>
      </c>
      <c r="F55" s="39" t="str">
        <f>IFERROR(IF(CEILING($C55*4/data_raw_4_day!$G$4,1)&gt;4,"X","D"&amp;CEILING($C55*4/data_raw_4_day!$G$4,1)&amp;" net: "&amp;round(milestone_4day_new!AC21, 1)),"X")</f>
        <v>X</v>
      </c>
      <c r="G55" s="39" t="str">
        <f>IFERROR(IF(CEILING($C55*4/data_raw_4_day!$G$5,1)&gt;4,"X","D"&amp;CEILING($C55*4/data_raw_4_day!$G$5,1)&amp;" net: "&amp;round(milestone_4day_new!AD21, 1)),"X")</f>
        <v>X</v>
      </c>
      <c r="H55" s="39" t="str">
        <f>IFERROR(IF(CEILING($C55*4/data_raw_4_day!$G$6,1)&gt;4,"X","D"&amp;CEILING($C55*4/data_raw_4_day!$G$6,1)&amp;" net: "&amp;round(milestone_4day_new!AE21, 1)),"X")</f>
        <v>D4 net: -670.4</v>
      </c>
      <c r="I55" s="39" t="str">
        <f>IFERROR(IF(CEILING($C55*4/data_raw_4_day!$G$7,1)&gt;4,"X","D"&amp;CEILING($C55*4/data_raw_4_day!$G$7,1)),"X")</f>
        <v>D2</v>
      </c>
      <c r="J55" s="39" t="str">
        <f>IFERROR(IF(CEILING($C55*4/data_raw_4_day!$G$9,1)&gt;4,"X","D"&amp;CEILING($C55*4/data_raw_4_day!$G$9,1)&amp;" net: "&amp;round(milestone_4day_new!AF21, 1)),"X")</f>
        <v>X</v>
      </c>
      <c r="K55" s="39" t="str">
        <f>IFERROR(IF(CEILING($C55*4/data_raw_4_day!$G$10,1)&gt;4,"X","D"&amp;CEILING($C55*4/data_raw_4_day!$G$10,1)&amp;" net: "&amp;round(milestone_4day_new!AG21, 1)),"X")</f>
        <v>X</v>
      </c>
      <c r="L55" s="39" t="str">
        <f>IFERROR(IF(CEILING($C55*4/data_raw_4_day!$G$11,1)&gt;4,"X","D"&amp;CEILING($C55*4/data_raw_4_day!$G$11,1)&amp;" net: "&amp;round(milestone_4day_new!AH21, 1)),"X")</f>
        <v>X</v>
      </c>
      <c r="M55" s="39" t="str">
        <f>IFERROR(IF(CEILING($C55*4/data_raw_4_day!$G$12,1)&gt;4,"X","D"&amp;CEILING($C55*4/data_raw_4_day!$G$12,1)&amp;" net: "&amp;round(milestone_4day_new!AI21, 1)),"X")</f>
        <v>D4 net: -1431.1</v>
      </c>
      <c r="N55" s="39" t="str">
        <f>IFERROR(IF(CEILING($C55*4/data_raw_4_day!$G$13,1)&gt;4,"X","D"&amp;CEILING($C55*4/data_raw_4_day!$G$13,1)),"X")</f>
        <v>D2</v>
      </c>
    </row>
    <row r="56" ht="15.0" customHeight="1">
      <c r="A56" s="22">
        <f>milestone_4day_new!A22</f>
        <v>19</v>
      </c>
      <c r="B56" s="36">
        <f>milestone_4day_new!B22</f>
        <v>4200</v>
      </c>
      <c r="C56" s="37">
        <f>milestone_4day_new!C22</f>
        <v>72010</v>
      </c>
      <c r="D56" s="38" t="b">
        <f>milestone_4day_new!D22</f>
        <v>0</v>
      </c>
      <c r="E56" s="39" t="str">
        <f>IFERROR(IF(CEILING($C56*4/data_raw_4_day!$G$3,1)&gt;4,"X","D"&amp;CEILING($C56*4/data_raw_4_day!$G$3,1)&amp;" net: "&amp;round(milestone_4day_new!AB22, 1)),"X")</f>
        <v>X</v>
      </c>
      <c r="F56" s="39" t="str">
        <f>IFERROR(IF(CEILING($C56*4/data_raw_4_day!$G$4,1)&gt;4,"X","D"&amp;CEILING($C56*4/data_raw_4_day!$G$4,1)&amp;" net: "&amp;round(milestone_4day_new!AC22, 1)),"X")</f>
        <v>X</v>
      </c>
      <c r="G56" s="39" t="str">
        <f>IFERROR(IF(CEILING($C56*4/data_raw_4_day!$G$5,1)&gt;4,"X","D"&amp;CEILING($C56*4/data_raw_4_day!$G$5,1)&amp;" net: "&amp;round(milestone_4day_new!AD22, 1)),"X")</f>
        <v>X</v>
      </c>
      <c r="H56" s="39" t="str">
        <f>IFERROR(IF(CEILING($C56*4/data_raw_4_day!$G$6,1)&gt;4,"X","D"&amp;CEILING($C56*4/data_raw_4_day!$G$6,1)&amp;" net: "&amp;round(milestone_4day_new!AE22, 1)),"X")</f>
        <v>D4 net: -706.2</v>
      </c>
      <c r="I56" s="39" t="str">
        <f>IFERROR(IF(CEILING($C56*4/data_raw_4_day!$G$7,1)&gt;4,"X","D"&amp;CEILING($C56*4/data_raw_4_day!$G$7,1)),"X")</f>
        <v>D3</v>
      </c>
      <c r="J56" s="39" t="str">
        <f>IFERROR(IF(CEILING($C56*4/data_raw_4_day!$G$9,1)&gt;4,"X","D"&amp;CEILING($C56*4/data_raw_4_day!$G$9,1)&amp;" net: "&amp;round(milestone_4day_new!AF22, 1)),"X")</f>
        <v>X</v>
      </c>
      <c r="K56" s="39" t="str">
        <f>IFERROR(IF(CEILING($C56*4/data_raw_4_day!$G$10,1)&gt;4,"X","D"&amp;CEILING($C56*4/data_raw_4_day!$G$10,1)&amp;" net: "&amp;round(milestone_4day_new!AG22, 1)),"X")</f>
        <v>X</v>
      </c>
      <c r="L56" s="39" t="str">
        <f>IFERROR(IF(CEILING($C56*4/data_raw_4_day!$G$11,1)&gt;4,"X","D"&amp;CEILING($C56*4/data_raw_4_day!$G$11,1)&amp;" net: "&amp;round(milestone_4day_new!AH22, 1)),"X")</f>
        <v>X</v>
      </c>
      <c r="M56" s="39" t="str">
        <f>IFERROR(IF(CEILING($C56*4/data_raw_4_day!$G$12,1)&gt;4,"X","D"&amp;CEILING($C56*4/data_raw_4_day!$G$12,1)&amp;" net: "&amp;round(milestone_4day_new!AI22, 1)),"X")</f>
        <v>D4 net: -1513.6</v>
      </c>
      <c r="N56" s="39" t="str">
        <f>IFERROR(IF(CEILING($C56*4/data_raw_4_day!$G$13,1)&gt;4,"X","D"&amp;CEILING($C56*4/data_raw_4_day!$G$13,1)),"X")</f>
        <v>D2</v>
      </c>
    </row>
    <row r="57" ht="15.0" customHeight="1">
      <c r="A57" s="22">
        <f>milestone_4day_new!A23</f>
        <v>20</v>
      </c>
      <c r="B57" s="36">
        <f>milestone_4day_new!B23</f>
        <v>8250</v>
      </c>
      <c r="C57" s="37">
        <f>milestone_4day_new!C23</f>
        <v>80260</v>
      </c>
      <c r="D57" s="38" t="b">
        <f>milestone_4day_new!D23</f>
        <v>0</v>
      </c>
      <c r="E57" s="39" t="str">
        <f>IFERROR(IF(CEILING($C57*4/data_raw_4_day!$G$3,1)&gt;4,"X","D"&amp;CEILING($C57*4/data_raw_4_day!$G$3,1)&amp;" net: "&amp;round(milestone_4day_new!AB23, 1)),"X")</f>
        <v>X</v>
      </c>
      <c r="F57" s="39" t="str">
        <f>IFERROR(IF(CEILING($C57*4/data_raw_4_day!$G$4,1)&gt;4,"X","D"&amp;CEILING($C57*4/data_raw_4_day!$G$4,1)&amp;" net: "&amp;round(milestone_4day_new!AC23, 1)),"X")</f>
        <v>X</v>
      </c>
      <c r="G57" s="39" t="str">
        <f>IFERROR(IF(CEILING($C57*4/data_raw_4_day!$G$5,1)&gt;4,"X","D"&amp;CEILING($C57*4/data_raw_4_day!$G$5,1)&amp;" net: "&amp;round(milestone_4day_new!AD23, 1)),"X")</f>
        <v>X</v>
      </c>
      <c r="H57" s="39" t="str">
        <f>IFERROR(IF(CEILING($C57*4/data_raw_4_day!$G$6,1)&gt;4,"X","D"&amp;CEILING($C57*4/data_raw_4_day!$G$6,1)&amp;" net: "&amp;round(milestone_4day_new!AE23, 1)),"X")</f>
        <v>D4 net: -770.7</v>
      </c>
      <c r="I57" s="39" t="str">
        <f>IFERROR(IF(CEILING($C57*4/data_raw_4_day!$G$7,1)&gt;4,"X","D"&amp;CEILING($C57*4/data_raw_4_day!$G$7,1)),"X")</f>
        <v>D3</v>
      </c>
      <c r="J57" s="39" t="str">
        <f>IFERROR(IF(CEILING($C57*4/data_raw_4_day!$G$9,1)&gt;4,"X","D"&amp;CEILING($C57*4/data_raw_4_day!$G$9,1)&amp;" net: "&amp;round(milestone_4day_new!AF23, 1)),"X")</f>
        <v>X</v>
      </c>
      <c r="K57" s="39" t="str">
        <f>IFERROR(IF(CEILING($C57*4/data_raw_4_day!$G$10,1)&gt;4,"X","D"&amp;CEILING($C57*4/data_raw_4_day!$G$10,1)&amp;" net: "&amp;round(milestone_4day_new!AG23, 1)),"X")</f>
        <v>X</v>
      </c>
      <c r="L57" s="39" t="str">
        <f>IFERROR(IF(CEILING($C57*4/data_raw_4_day!$G$11,1)&gt;4,"X","D"&amp;CEILING($C57*4/data_raw_4_day!$G$11,1)&amp;" net: "&amp;round(milestone_4day_new!AH23, 1)),"X")</f>
        <v>X</v>
      </c>
      <c r="M57" s="39" t="str">
        <f>IFERROR(IF(CEILING($C57*4/data_raw_4_day!$G$12,1)&gt;4,"X","D"&amp;CEILING($C57*4/data_raw_4_day!$G$12,1)&amp;" net: "&amp;round(milestone_4day_new!AI23, 1)),"X")</f>
        <v>D4 net: -1662.4</v>
      </c>
      <c r="N57" s="39" t="str">
        <f>IFERROR(IF(CEILING($C57*4/data_raw_4_day!$G$13,1)&gt;4,"X","D"&amp;CEILING($C57*4/data_raw_4_day!$G$13,1)),"X")</f>
        <v>D3</v>
      </c>
    </row>
    <row r="58" ht="15.0" customHeight="1">
      <c r="A58" s="22">
        <f>milestone_4day_new!A24</f>
        <v>21</v>
      </c>
      <c r="B58" s="36">
        <f>milestone_4day_new!B24</f>
        <v>22000</v>
      </c>
      <c r="C58" s="37">
        <f>milestone_4day_new!C24</f>
        <v>102260</v>
      </c>
      <c r="D58" s="38" t="b">
        <f>milestone_4day_new!D24</f>
        <v>1</v>
      </c>
      <c r="E58" s="39" t="str">
        <f>IFERROR(IF(CEILING($C58*4/data_raw_4_day!$G$3,1)&gt;4,"X","D"&amp;CEILING($C58*4/data_raw_4_day!$G$3,1)&amp;" net: "&amp;round(milestone_4day_new!AB24, 1)),"X")</f>
        <v>X</v>
      </c>
      <c r="F58" s="39" t="str">
        <f>IFERROR(IF(CEILING($C58*4/data_raw_4_day!$G$4,1)&gt;4,"X","D"&amp;CEILING($C58*4/data_raw_4_day!$G$4,1)&amp;" net: "&amp;round(milestone_4day_new!AC24, 1)),"X")</f>
        <v>X</v>
      </c>
      <c r="G58" s="39" t="str">
        <f>IFERROR(IF(CEILING($C58*4/data_raw_4_day!$G$5,1)&gt;4,"X","D"&amp;CEILING($C58*4/data_raw_4_day!$G$5,1)&amp;" net: "&amp;round(milestone_4day_new!AD24, 1)),"X")</f>
        <v>X</v>
      </c>
      <c r="H58" s="39" t="str">
        <f>IFERROR(IF(CEILING($C58*4/data_raw_4_day!$G$6,1)&gt;4,"X","D"&amp;CEILING($C58*4/data_raw_4_day!$G$6,1)&amp;" net: "&amp;round(milestone_4day_new!AE24, 1)),"X")</f>
        <v>X</v>
      </c>
      <c r="I58" s="39" t="str">
        <f>IFERROR(IF(CEILING($C58*4/data_raw_4_day!$G$7,1)&gt;4,"X","D"&amp;CEILING($C58*4/data_raw_4_day!$G$7,1)),"X")</f>
        <v>D3</v>
      </c>
      <c r="J58" s="39" t="str">
        <f>IFERROR(IF(CEILING($C58*4/data_raw_4_day!$G$9,1)&gt;4,"X","D"&amp;CEILING($C58*4/data_raw_4_day!$G$9,1)&amp;" net: "&amp;round(milestone_4day_new!AF24, 1)),"X")</f>
        <v>X</v>
      </c>
      <c r="K58" s="39" t="str">
        <f>IFERROR(IF(CEILING($C58*4/data_raw_4_day!$G$10,1)&gt;4,"X","D"&amp;CEILING($C58*4/data_raw_4_day!$G$10,1)&amp;" net: "&amp;round(milestone_4day_new!AG24, 1)),"X")</f>
        <v>X</v>
      </c>
      <c r="L58" s="39" t="str">
        <f>IFERROR(IF(CEILING($C58*4/data_raw_4_day!$G$11,1)&gt;4,"X","D"&amp;CEILING($C58*4/data_raw_4_day!$G$11,1)&amp;" net: "&amp;round(milestone_4day_new!AH24, 1)),"X")</f>
        <v>X</v>
      </c>
      <c r="M58" s="39" t="str">
        <f>IFERROR(IF(CEILING($C58*4/data_raw_4_day!$G$12,1)&gt;4,"X","D"&amp;CEILING($C58*4/data_raw_4_day!$G$12,1)&amp;" net: "&amp;round(milestone_4day_new!AI24, 1)),"X")</f>
        <v>X</v>
      </c>
      <c r="N58" s="39" t="str">
        <f>IFERROR(IF(CEILING($C58*4/data_raw_4_day!$G$13,1)&gt;4,"X","D"&amp;CEILING($C58*4/data_raw_4_day!$G$13,1)),"X")</f>
        <v>D3</v>
      </c>
    </row>
    <row r="59" ht="15.0" customHeight="1">
      <c r="A59" s="22">
        <f>milestone_4day_new!A25</f>
        <v>22</v>
      </c>
      <c r="B59" s="36">
        <f>milestone_4day_new!B25</f>
        <v>6000</v>
      </c>
      <c r="C59" s="37">
        <f>milestone_4day_new!C25</f>
        <v>108260</v>
      </c>
      <c r="D59" s="38" t="b">
        <f>milestone_4day_new!D25</f>
        <v>0</v>
      </c>
      <c r="E59" s="39" t="str">
        <f>IFERROR(IF(CEILING($C59*4/data_raw_4_day!$G$3,1)&gt;4,"X","D"&amp;CEILING($C59*4/data_raw_4_day!$G$3,1)&amp;" net: "&amp;round(milestone_4day_new!AB25, 1)),"X")</f>
        <v>X</v>
      </c>
      <c r="F59" s="39" t="str">
        <f>IFERROR(IF(CEILING($C59*4/data_raw_4_day!$G$4,1)&gt;4,"X","D"&amp;CEILING($C59*4/data_raw_4_day!$G$4,1)&amp;" net: "&amp;round(milestone_4day_new!AC25, 1)),"X")</f>
        <v>X</v>
      </c>
      <c r="G59" s="39" t="str">
        <f>IFERROR(IF(CEILING($C59*4/data_raw_4_day!$G$5,1)&gt;4,"X","D"&amp;CEILING($C59*4/data_raw_4_day!$G$5,1)&amp;" net: "&amp;round(milestone_4day_new!AD25, 1)),"X")</f>
        <v>X</v>
      </c>
      <c r="H59" s="39" t="str">
        <f>IFERROR(IF(CEILING($C59*4/data_raw_4_day!$G$6,1)&gt;4,"X","D"&amp;CEILING($C59*4/data_raw_4_day!$G$6,1)&amp;" net: "&amp;round(milestone_4day_new!AE25, 1)),"X")</f>
        <v>X</v>
      </c>
      <c r="I59" s="39" t="str">
        <f>IFERROR(IF(CEILING($C59*4/data_raw_4_day!$G$7,1)&gt;4,"X","D"&amp;CEILING($C59*4/data_raw_4_day!$G$7,1)),"X")</f>
        <v>D4</v>
      </c>
      <c r="J59" s="39" t="str">
        <f>IFERROR(IF(CEILING($C59*4/data_raw_4_day!$G$9,1)&gt;4,"X","D"&amp;CEILING($C59*4/data_raw_4_day!$G$9,1)&amp;" net: "&amp;round(milestone_4day_new!AF25, 1)),"X")</f>
        <v>X</v>
      </c>
      <c r="K59" s="39" t="str">
        <f>IFERROR(IF(CEILING($C59*4/data_raw_4_day!$G$10,1)&gt;4,"X","D"&amp;CEILING($C59*4/data_raw_4_day!$G$10,1)&amp;" net: "&amp;round(milestone_4day_new!AG25, 1)),"X")</f>
        <v>X</v>
      </c>
      <c r="L59" s="39" t="str">
        <f>IFERROR(IF(CEILING($C59*4/data_raw_4_day!$G$11,1)&gt;4,"X","D"&amp;CEILING($C59*4/data_raw_4_day!$G$11,1)&amp;" net: "&amp;round(milestone_4day_new!AH25, 1)),"X")</f>
        <v>X</v>
      </c>
      <c r="M59" s="39" t="str">
        <f>IFERROR(IF(CEILING($C59*4/data_raw_4_day!$G$12,1)&gt;4,"X","D"&amp;CEILING($C59*4/data_raw_4_day!$G$12,1)&amp;" net: "&amp;round(milestone_4day_new!AI25, 1)),"X")</f>
        <v>X</v>
      </c>
      <c r="N59" s="39" t="str">
        <f>IFERROR(IF(CEILING($C59*4/data_raw_4_day!$G$13,1)&gt;4,"X","D"&amp;CEILING($C59*4/data_raw_4_day!$G$13,1)),"X")</f>
        <v>D3</v>
      </c>
    </row>
    <row r="60" ht="15.0" customHeight="1">
      <c r="A60" s="22">
        <f>milestone_4day_new!A26</f>
        <v>23</v>
      </c>
      <c r="B60" s="36">
        <f>milestone_4day_new!B26</f>
        <v>10500</v>
      </c>
      <c r="C60" s="37">
        <f>milestone_4day_new!C26</f>
        <v>118760</v>
      </c>
      <c r="D60" s="38" t="b">
        <f>milestone_4day_new!D26</f>
        <v>0</v>
      </c>
      <c r="E60" s="39" t="str">
        <f>IFERROR(IF(CEILING($C60*4/data_raw_4_day!$G$3,1)&gt;4,"X","D"&amp;CEILING($C60*4/data_raw_4_day!$G$3,1)&amp;" net: "&amp;round(milestone_4day_new!AB26, 1)),"X")</f>
        <v>X</v>
      </c>
      <c r="F60" s="39" t="str">
        <f>IFERROR(IF(CEILING($C60*4/data_raw_4_day!$G$4,1)&gt;4,"X","D"&amp;CEILING($C60*4/data_raw_4_day!$G$4,1)&amp;" net: "&amp;round(milestone_4day_new!AC26, 1)),"X")</f>
        <v>X</v>
      </c>
      <c r="G60" s="39" t="str">
        <f>IFERROR(IF(CEILING($C60*4/data_raw_4_day!$G$5,1)&gt;4,"X","D"&amp;CEILING($C60*4/data_raw_4_day!$G$5,1)&amp;" net: "&amp;round(milestone_4day_new!AD26, 1)),"X")</f>
        <v>X</v>
      </c>
      <c r="H60" s="39" t="str">
        <f>IFERROR(IF(CEILING($C60*4/data_raw_4_day!$G$6,1)&gt;4,"X","D"&amp;CEILING($C60*4/data_raw_4_day!$G$6,1)&amp;" net: "&amp;round(milestone_4day_new!AE26, 1)),"X")</f>
        <v>X</v>
      </c>
      <c r="I60" s="39" t="str">
        <f>IFERROR(IF(CEILING($C60*4/data_raw_4_day!$G$7,1)&gt;4,"X","D"&amp;CEILING($C60*4/data_raw_4_day!$G$7,1)),"X")</f>
        <v>D4</v>
      </c>
      <c r="J60" s="39" t="str">
        <f>IFERROR(IF(CEILING($C60*4/data_raw_4_day!$G$9,1)&gt;4,"X","D"&amp;CEILING($C60*4/data_raw_4_day!$G$9,1)&amp;" net: "&amp;round(milestone_4day_new!AF26, 1)),"X")</f>
        <v>X</v>
      </c>
      <c r="K60" s="39" t="str">
        <f>IFERROR(IF(CEILING($C60*4/data_raw_4_day!$G$10,1)&gt;4,"X","D"&amp;CEILING($C60*4/data_raw_4_day!$G$10,1)&amp;" net: "&amp;round(milestone_4day_new!AG26, 1)),"X")</f>
        <v>X</v>
      </c>
      <c r="L60" s="39" t="str">
        <f>IFERROR(IF(CEILING($C60*4/data_raw_4_day!$G$11,1)&gt;4,"X","D"&amp;CEILING($C60*4/data_raw_4_day!$G$11,1)&amp;" net: "&amp;round(milestone_4day_new!AH26, 1)),"X")</f>
        <v>X</v>
      </c>
      <c r="M60" s="39" t="str">
        <f>IFERROR(IF(CEILING($C60*4/data_raw_4_day!$G$12,1)&gt;4,"X","D"&amp;CEILING($C60*4/data_raw_4_day!$G$12,1)&amp;" net: "&amp;round(milestone_4day_new!AI26, 1)),"X")</f>
        <v>X</v>
      </c>
      <c r="N60" s="39" t="str">
        <f>IFERROR(IF(CEILING($C60*4/data_raw_4_day!$G$13,1)&gt;4,"X","D"&amp;CEILING($C60*4/data_raw_4_day!$G$13,1)),"X")</f>
        <v>D4</v>
      </c>
    </row>
    <row r="61" ht="15.0" customHeight="1">
      <c r="A61" s="22">
        <f>milestone_4day_new!A27</f>
        <v>24</v>
      </c>
      <c r="B61" s="36">
        <f>milestone_4day_new!B27</f>
        <v>33000</v>
      </c>
      <c r="C61" s="37">
        <f>milestone_4day_new!C27</f>
        <v>151760</v>
      </c>
      <c r="D61" s="38" t="b">
        <f>milestone_4day_new!D27</f>
        <v>1</v>
      </c>
      <c r="E61" s="39" t="str">
        <f>IFERROR(IF(CEILING($C61*4/data_raw_4_day!$G$3,1)&gt;4,"X","D"&amp;CEILING($C61*4/data_raw_4_day!$G$3,1)&amp;" net: "&amp;round(milestone_4day_new!AB27, 1)),"X")</f>
        <v>X</v>
      </c>
      <c r="F61" s="39" t="str">
        <f>IFERROR(IF(CEILING($C61*4/data_raw_4_day!$G$4,1)&gt;4,"X","D"&amp;CEILING($C61*4/data_raw_4_day!$G$4,1)&amp;" net: "&amp;round(milestone_4day_new!AC27, 1)),"X")</f>
        <v>X</v>
      </c>
      <c r="G61" s="39" t="str">
        <f>IFERROR(IF(CEILING($C61*4/data_raw_4_day!$G$5,1)&gt;4,"X","D"&amp;CEILING($C61*4/data_raw_4_day!$G$5,1)&amp;" net: "&amp;round(milestone_4day_new!AD27, 1)),"X")</f>
        <v>X</v>
      </c>
      <c r="H61" s="39" t="str">
        <f>IFERROR(IF(CEILING($C61*4/data_raw_4_day!$G$6,1)&gt;4,"X","D"&amp;CEILING($C61*4/data_raw_4_day!$G$6,1)&amp;" net: "&amp;round(milestone_4day_new!AE27, 1)),"X")</f>
        <v>X</v>
      </c>
      <c r="I61" s="39" t="str">
        <f>IFERROR(IF(CEILING($C61*4/data_raw_4_day!$G$7,1)&gt;4,"X","D"&amp;CEILING($C61*4/data_raw_4_day!$G$7,1)),"X")</f>
        <v>X</v>
      </c>
      <c r="J61" s="39" t="str">
        <f>IFERROR(IF(CEILING($C61*4/data_raw_4_day!$G$9,1)&gt;4,"X","D"&amp;CEILING($C61*4/data_raw_4_day!$G$9,1)&amp;" net: "&amp;round(milestone_4day_new!AF27, 1)),"X")</f>
        <v>X</v>
      </c>
      <c r="K61" s="39" t="str">
        <f>IFERROR(IF(CEILING($C61*4/data_raw_4_day!$G$10,1)&gt;4,"X","D"&amp;CEILING($C61*4/data_raw_4_day!$G$10,1)&amp;" net: "&amp;round(milestone_4day_new!AG27, 1)),"X")</f>
        <v>X</v>
      </c>
      <c r="L61" s="39" t="str">
        <f>IFERROR(IF(CEILING($C61*4/data_raw_4_day!$G$11,1)&gt;4,"X","D"&amp;CEILING($C61*4/data_raw_4_day!$G$11,1)&amp;" net: "&amp;round(milestone_4day_new!AH27, 1)),"X")</f>
        <v>X</v>
      </c>
      <c r="M61" s="39" t="str">
        <f>IFERROR(IF(CEILING($C61*4/data_raw_4_day!$G$12,1)&gt;4,"X","D"&amp;CEILING($C61*4/data_raw_4_day!$G$12,1)&amp;" net: "&amp;round(milestone_4day_new!AI27, 1)),"X")</f>
        <v>X</v>
      </c>
      <c r="N61" s="39" t="str">
        <f>IFERROR(IF(CEILING($C61*4/data_raw_4_day!$G$13,1)&gt;4,"X","D"&amp;CEILING($C61*4/data_raw_4_day!$G$13,1)),"X")</f>
        <v>D4</v>
      </c>
    </row>
    <row r="62" ht="15.0" customHeight="1">
      <c r="A62" s="22">
        <f>milestone_4day_new!A28</f>
        <v>25</v>
      </c>
      <c r="B62" s="36">
        <f>milestone_4day_new!B28</f>
        <v>8750</v>
      </c>
      <c r="C62" s="37">
        <f>milestone_4day_new!C28</f>
        <v>160510</v>
      </c>
      <c r="D62" s="38" t="b">
        <f>milestone_4day_new!D28</f>
        <v>0</v>
      </c>
      <c r="E62" s="39" t="str">
        <f>IFERROR(IF(CEILING($C62*4/data_raw_4_day!$G$3,1)&gt;4,"X","D"&amp;CEILING($C62*4/data_raw_4_day!$G$3,1)&amp;" net: "&amp;round(milestone_4day_new!AB28, 1)),"X")</f>
        <v>X</v>
      </c>
      <c r="F62" s="39" t="str">
        <f>IFERROR(IF(CEILING($C62*4/data_raw_4_day!$G$4,1)&gt;4,"X","D"&amp;CEILING($C62*4/data_raw_4_day!$G$4,1)&amp;" net: "&amp;round(milestone_4day_new!AC28, 1)),"X")</f>
        <v>X</v>
      </c>
      <c r="G62" s="39" t="str">
        <f>IFERROR(IF(CEILING($C62*4/data_raw_4_day!$G$5,1)&gt;4,"X","D"&amp;CEILING($C62*4/data_raw_4_day!$G$5,1)&amp;" net: "&amp;round(milestone_4day_new!AD28, 1)),"X")</f>
        <v>X</v>
      </c>
      <c r="H62" s="39" t="str">
        <f>IFERROR(IF(CEILING($C62*4/data_raw_4_day!$G$6,1)&gt;4,"X","D"&amp;CEILING($C62*4/data_raw_4_day!$G$6,1)&amp;" net: "&amp;round(milestone_4day_new!AE28, 1)),"X")</f>
        <v>X</v>
      </c>
      <c r="I62" s="39" t="str">
        <f>IFERROR(IF(CEILING($C62*4/data_raw_4_day!$G$7,1)&gt;4,"X","D"&amp;CEILING($C62*4/data_raw_4_day!$G$7,1)),"X")</f>
        <v>X</v>
      </c>
      <c r="J62" s="39" t="str">
        <f>IFERROR(IF(CEILING($C62*4/data_raw_4_day!$G$9,1)&gt;4,"X","D"&amp;CEILING($C62*4/data_raw_4_day!$G$9,1)&amp;" net: "&amp;round(milestone_4day_new!AF28, 1)),"X")</f>
        <v>X</v>
      </c>
      <c r="K62" s="39" t="str">
        <f>IFERROR(IF(CEILING($C62*4/data_raw_4_day!$G$10,1)&gt;4,"X","D"&amp;CEILING($C62*4/data_raw_4_day!$G$10,1)&amp;" net: "&amp;round(milestone_4day_new!AG28, 1)),"X")</f>
        <v>X</v>
      </c>
      <c r="L62" s="39" t="str">
        <f>IFERROR(IF(CEILING($C62*4/data_raw_4_day!$G$11,1)&gt;4,"X","D"&amp;CEILING($C62*4/data_raw_4_day!$G$11,1)&amp;" net: "&amp;round(milestone_4day_new!AH28, 1)),"X")</f>
        <v>X</v>
      </c>
      <c r="M62" s="39" t="str">
        <f>IFERROR(IF(CEILING($C62*4/data_raw_4_day!$G$12,1)&gt;4,"X","D"&amp;CEILING($C62*4/data_raw_4_day!$G$12,1)&amp;" net: "&amp;round(milestone_4day_new!AI28, 1)),"X")</f>
        <v>X</v>
      </c>
      <c r="N62" s="39" t="str">
        <f>IFERROR(IF(CEILING($C62*4/data_raw_4_day!$G$13,1)&gt;4,"X","D"&amp;CEILING($C62*4/data_raw_4_day!$G$13,1)),"X")</f>
        <v>X</v>
      </c>
    </row>
    <row r="63" ht="15.0" customHeight="1">
      <c r="A63" s="22">
        <f>milestone_4day_new!A29</f>
        <v>26</v>
      </c>
      <c r="B63" s="36">
        <f>milestone_4day_new!B29</f>
        <v>14250</v>
      </c>
      <c r="C63" s="37">
        <f>milestone_4day_new!C29</f>
        <v>174760</v>
      </c>
      <c r="D63" s="38" t="b">
        <f>milestone_4day_new!D29</f>
        <v>0</v>
      </c>
      <c r="E63" s="39" t="str">
        <f>IFERROR(IF(CEILING($C63*4/data_raw_4_day!$G$3,1)&gt;4,"X","D"&amp;CEILING($C63*4/data_raw_4_day!$G$3,1)&amp;" net: "&amp;round(milestone_4day_new!AB29, 1)),"X")</f>
        <v>X</v>
      </c>
      <c r="F63" s="39" t="str">
        <f>IFERROR(IF(CEILING($C63*4/data_raw_4_day!$G$4,1)&gt;4,"X","D"&amp;CEILING($C63*4/data_raw_4_day!$G$4,1)&amp;" net: "&amp;round(milestone_4day_new!AC29, 1)),"X")</f>
        <v>X</v>
      </c>
      <c r="G63" s="39" t="str">
        <f>IFERROR(IF(CEILING($C63*4/data_raw_4_day!$G$5,1)&gt;4,"X","D"&amp;CEILING($C63*4/data_raw_4_day!$G$5,1)&amp;" net: "&amp;round(milestone_4day_new!AD29, 1)),"X")</f>
        <v>X</v>
      </c>
      <c r="H63" s="39" t="str">
        <f>IFERROR(IF(CEILING($C63*4/data_raw_4_day!$G$6,1)&gt;4,"X","D"&amp;CEILING($C63*4/data_raw_4_day!$G$6,1)&amp;" net: "&amp;round(milestone_4day_new!AE29, 1)),"X")</f>
        <v>X</v>
      </c>
      <c r="I63" s="39" t="str">
        <f>IFERROR(IF(CEILING($C63*4/data_raw_4_day!$G$7,1)&gt;4,"X","D"&amp;CEILING($C63*4/data_raw_4_day!$G$7,1)),"X")</f>
        <v>X</v>
      </c>
      <c r="J63" s="39" t="str">
        <f>IFERROR(IF(CEILING($C63*4/data_raw_4_day!$G$9,1)&gt;4,"X","D"&amp;CEILING($C63*4/data_raw_4_day!$G$9,1)&amp;" net: "&amp;round(milestone_4day_new!AF29, 1)),"X")</f>
        <v>X</v>
      </c>
      <c r="K63" s="39" t="str">
        <f>IFERROR(IF(CEILING($C63*4/data_raw_4_day!$G$10,1)&gt;4,"X","D"&amp;CEILING($C63*4/data_raw_4_day!$G$10,1)&amp;" net: "&amp;round(milestone_4day_new!AG29, 1)),"X")</f>
        <v>X</v>
      </c>
      <c r="L63" s="39" t="str">
        <f>IFERROR(IF(CEILING($C63*4/data_raw_4_day!$G$11,1)&gt;4,"X","D"&amp;CEILING($C63*4/data_raw_4_day!$G$11,1)&amp;" net: "&amp;round(milestone_4day_new!AH29, 1)),"X")</f>
        <v>X</v>
      </c>
      <c r="M63" s="39" t="str">
        <f>IFERROR(IF(CEILING($C63*4/data_raw_4_day!$G$12,1)&gt;4,"X","D"&amp;CEILING($C63*4/data_raw_4_day!$G$12,1)&amp;" net: "&amp;round(milestone_4day_new!AI29, 1)),"X")</f>
        <v>X</v>
      </c>
      <c r="N63" s="39" t="str">
        <f>IFERROR(IF(CEILING($C63*4/data_raw_4_day!$G$13,1)&gt;4,"X","D"&amp;CEILING($C63*4/data_raw_4_day!$G$13,1)),"X")</f>
        <v>X</v>
      </c>
    </row>
    <row r="64" ht="15.0" customHeight="1">
      <c r="A64" s="22">
        <f>milestone_4day_new!A30</f>
        <v>27</v>
      </c>
      <c r="B64" s="36">
        <f>milestone_4day_new!B30</f>
        <v>44000</v>
      </c>
      <c r="C64" s="37">
        <f>milestone_4day_new!C30</f>
        <v>218760</v>
      </c>
      <c r="D64" s="38" t="b">
        <f>milestone_4day_new!D30</f>
        <v>1</v>
      </c>
      <c r="E64" s="39" t="str">
        <f>IFERROR(IF(CEILING($C64*4/data_raw_4_day!$G$3,1)&gt;4,"X","D"&amp;CEILING($C64*4/data_raw_4_day!$G$3,1)&amp;" net: "&amp;round(milestone_4day_new!AB30, 1)),"X")</f>
        <v>X</v>
      </c>
      <c r="F64" s="39" t="str">
        <f>IFERROR(IF(CEILING($C64*4/data_raw_4_day!$G$4,1)&gt;4,"X","D"&amp;CEILING($C64*4/data_raw_4_day!$G$4,1)&amp;" net: "&amp;round(milestone_4day_new!AC30, 1)),"X")</f>
        <v>X</v>
      </c>
      <c r="G64" s="39" t="str">
        <f>IFERROR(IF(CEILING($C64*4/data_raw_4_day!$G$5,1)&gt;4,"X","D"&amp;CEILING($C64*4/data_raw_4_day!$G$5,1)&amp;" net: "&amp;round(milestone_4day_new!AD30, 1)),"X")</f>
        <v>X</v>
      </c>
      <c r="H64" s="39" t="str">
        <f>IFERROR(IF(CEILING($C64*4/data_raw_4_day!$G$6,1)&gt;4,"X","D"&amp;CEILING($C64*4/data_raw_4_day!$G$6,1)&amp;" net: "&amp;round(milestone_4day_new!AE30, 1)),"X")</f>
        <v>X</v>
      </c>
      <c r="I64" s="39" t="str">
        <f>IFERROR(IF(CEILING($C64*4/data_raw_4_day!$G$7,1)&gt;4,"X","D"&amp;CEILING($C64*4/data_raw_4_day!$G$7,1)),"X")</f>
        <v>X</v>
      </c>
      <c r="J64" s="39" t="str">
        <f>IFERROR(IF(CEILING($C64*4/data_raw_4_day!$G$9,1)&gt;4,"X","D"&amp;CEILING($C64*4/data_raw_4_day!$G$9,1)&amp;" net: "&amp;round(milestone_4day_new!AF30, 1)),"X")</f>
        <v>X</v>
      </c>
      <c r="K64" s="39" t="str">
        <f>IFERROR(IF(CEILING($C64*4/data_raw_4_day!$G$10,1)&gt;4,"X","D"&amp;CEILING($C64*4/data_raw_4_day!$G$10,1)&amp;" net: "&amp;round(milestone_4day_new!AG30, 1)),"X")</f>
        <v>X</v>
      </c>
      <c r="L64" s="39" t="str">
        <f>IFERROR(IF(CEILING($C64*4/data_raw_4_day!$G$11,1)&gt;4,"X","D"&amp;CEILING($C64*4/data_raw_4_day!$G$11,1)&amp;" net: "&amp;round(milestone_4day_new!AH30, 1)),"X")</f>
        <v>X</v>
      </c>
      <c r="M64" s="39" t="str">
        <f>IFERROR(IF(CEILING($C64*4/data_raw_4_day!$G$12,1)&gt;4,"X","D"&amp;CEILING($C64*4/data_raw_4_day!$G$12,1)&amp;" net: "&amp;round(milestone_4day_new!AI30, 1)),"X")</f>
        <v>X</v>
      </c>
      <c r="N64" s="39" t="str">
        <f>IFERROR(IF(CEILING($C64*4/data_raw_4_day!$G$13,1)&gt;4,"X","D"&amp;CEILING($C64*4/data_raw_4_day!$G$13,1)),"X")</f>
        <v>X</v>
      </c>
    </row>
    <row r="65" ht="15.0" customHeight="1">
      <c r="A65" s="22">
        <f>milestone_4day_new!A31</f>
        <v>28</v>
      </c>
      <c r="B65" s="36">
        <f>milestone_4day_new!B31</f>
        <v>16500</v>
      </c>
      <c r="C65" s="37">
        <f>milestone_4day_new!C31</f>
        <v>235260</v>
      </c>
      <c r="D65" s="38" t="b">
        <f>milestone_4day_new!D31</f>
        <v>0</v>
      </c>
      <c r="E65" s="39" t="str">
        <f>IFERROR(IF(CEILING($C65*4/data_raw_4_day!$G$3,1)&gt;4,"X","D"&amp;CEILING($C65*4/data_raw_4_day!$G$3,1)&amp;" net: "&amp;round(milestone_4day_new!AB31, 1)),"X")</f>
        <v>X</v>
      </c>
      <c r="F65" s="39" t="str">
        <f>IFERROR(IF(CEILING($C65*4/data_raw_4_day!$G$4,1)&gt;4,"X","D"&amp;CEILING($C65*4/data_raw_4_day!$G$4,1)&amp;" net: "&amp;round(milestone_4day_new!AC31, 1)),"X")</f>
        <v>X</v>
      </c>
      <c r="G65" s="39" t="str">
        <f>IFERROR(IF(CEILING($C65*4/data_raw_4_day!$G$5,1)&gt;4,"X","D"&amp;CEILING($C65*4/data_raw_4_day!$G$5,1)&amp;" net: "&amp;round(milestone_4day_new!AD31, 1)),"X")</f>
        <v>X</v>
      </c>
      <c r="H65" s="39" t="str">
        <f>IFERROR(IF(CEILING($C65*4/data_raw_4_day!$G$6,1)&gt;4,"X","D"&amp;CEILING($C65*4/data_raw_4_day!$G$6,1)&amp;" net: "&amp;round(milestone_4day_new!AE31, 1)),"X")</f>
        <v>X</v>
      </c>
      <c r="I65" s="39" t="str">
        <f>IFERROR(IF(CEILING($C65*4/data_raw_4_day!$G$7,1)&gt;4,"X","D"&amp;CEILING($C65*4/data_raw_4_day!$G$7,1)),"X")</f>
        <v>X</v>
      </c>
      <c r="J65" s="39" t="str">
        <f>IFERROR(IF(CEILING($C65*4/data_raw_4_day!$G$9,1)&gt;4,"X","D"&amp;CEILING($C65*4/data_raw_4_day!$G$9,1)&amp;" net: "&amp;round(milestone_4day_new!AF31, 1)),"X")</f>
        <v>X</v>
      </c>
      <c r="K65" s="39" t="str">
        <f>IFERROR(IF(CEILING($C65*4/data_raw_4_day!$G$10,1)&gt;4,"X","D"&amp;CEILING($C65*4/data_raw_4_day!$G$10,1)&amp;" net: "&amp;round(milestone_4day_new!AG31, 1)),"X")</f>
        <v>X</v>
      </c>
      <c r="L65" s="39" t="str">
        <f>IFERROR(IF(CEILING($C65*4/data_raw_4_day!$G$11,1)&gt;4,"X","D"&amp;CEILING($C65*4/data_raw_4_day!$G$11,1)&amp;" net: "&amp;round(milestone_4day_new!AH31, 1)),"X")</f>
        <v>X</v>
      </c>
      <c r="M65" s="39" t="str">
        <f>IFERROR(IF(CEILING($C65*4/data_raw_4_day!$G$12,1)&gt;4,"X","D"&amp;CEILING($C65*4/data_raw_4_day!$G$12,1)&amp;" net: "&amp;round(milestone_4day_new!AI31, 1)),"X")</f>
        <v>X</v>
      </c>
      <c r="N65" s="39" t="str">
        <f>IFERROR(IF(CEILING($C65*4/data_raw_4_day!$G$13,1)&gt;4,"X","D"&amp;CEILING($C65*4/data_raw_4_day!$G$13,1)),"X")</f>
        <v>X</v>
      </c>
    </row>
    <row r="66" ht="15.0" customHeight="1">
      <c r="A66" s="22">
        <f>milestone_4day_new!A32</f>
        <v>29</v>
      </c>
      <c r="B66" s="36">
        <f>milestone_4day_new!B32</f>
        <v>34000</v>
      </c>
      <c r="C66" s="37">
        <f>milestone_4day_new!C32</f>
        <v>269260</v>
      </c>
      <c r="D66" s="38" t="b">
        <f>milestone_4day_new!D32</f>
        <v>0</v>
      </c>
      <c r="E66" s="39" t="str">
        <f>IFERROR(IF(CEILING($C66*4/data_raw_4_day!$G$3,1)&gt;4,"X","D"&amp;CEILING($C66*4/data_raw_4_day!$G$3,1)&amp;" net: "&amp;round(milestone_4day_new!AB32, 1)),"X")</f>
        <v>X</v>
      </c>
      <c r="F66" s="39" t="str">
        <f>IFERROR(IF(CEILING($C66*4/data_raw_4_day!$G$4,1)&gt;4,"X","D"&amp;CEILING($C66*4/data_raw_4_day!$G$4,1)&amp;" net: "&amp;round(milestone_4day_new!AC32, 1)),"X")</f>
        <v>X</v>
      </c>
      <c r="G66" s="39" t="str">
        <f>IFERROR(IF(CEILING($C66*4/data_raw_4_day!$G$5,1)&gt;4,"X","D"&amp;CEILING($C66*4/data_raw_4_day!$G$5,1)&amp;" net: "&amp;round(milestone_4day_new!AD32, 1)),"X")</f>
        <v>X</v>
      </c>
      <c r="H66" s="39" t="str">
        <f>IFERROR(IF(CEILING($C66*4/data_raw_4_day!$G$6,1)&gt;4,"X","D"&amp;CEILING($C66*4/data_raw_4_day!$G$6,1)&amp;" net: "&amp;round(milestone_4day_new!AE32, 1)),"X")</f>
        <v>X</v>
      </c>
      <c r="I66" s="39" t="str">
        <f>IFERROR(IF(CEILING($C66*4/data_raw_4_day!$G$7,1)&gt;4,"X","D"&amp;CEILING($C66*4/data_raw_4_day!$G$7,1)),"X")</f>
        <v>X</v>
      </c>
      <c r="J66" s="39" t="str">
        <f>IFERROR(IF(CEILING($C66*4/data_raw_4_day!$G$9,1)&gt;4,"X","D"&amp;CEILING($C66*4/data_raw_4_day!$G$9,1)&amp;" net: "&amp;round(milestone_4day_new!AF32, 1)),"X")</f>
        <v>X</v>
      </c>
      <c r="K66" s="39" t="str">
        <f>IFERROR(IF(CEILING($C66*4/data_raw_4_day!$G$10,1)&gt;4,"X","D"&amp;CEILING($C66*4/data_raw_4_day!$G$10,1)&amp;" net: "&amp;round(milestone_4day_new!AG32, 1)),"X")</f>
        <v>X</v>
      </c>
      <c r="L66" s="39" t="str">
        <f>IFERROR(IF(CEILING($C66*4/data_raw_4_day!$G$11,1)&gt;4,"X","D"&amp;CEILING($C66*4/data_raw_4_day!$G$11,1)&amp;" net: "&amp;round(milestone_4day_new!AH32, 1)),"X")</f>
        <v>X</v>
      </c>
      <c r="M66" s="39" t="str">
        <f>IFERROR(IF(CEILING($C66*4/data_raw_4_day!$G$12,1)&gt;4,"X","D"&amp;CEILING($C66*4/data_raw_4_day!$G$12,1)&amp;" net: "&amp;round(milestone_4day_new!AI32, 1)),"X")</f>
        <v>X</v>
      </c>
      <c r="N66" s="39" t="str">
        <f>IFERROR(IF(CEILING($C66*4/data_raw_4_day!$G$13,1)&gt;4,"X","D"&amp;CEILING($C66*4/data_raw_4_day!$G$13,1)),"X")</f>
        <v>X</v>
      </c>
    </row>
    <row r="67" ht="15.0" customHeight="1">
      <c r="A67" s="22">
        <f>milestone_4day_new!A33</f>
        <v>30</v>
      </c>
      <c r="B67" s="36">
        <f>milestone_4day_new!B33</f>
        <v>83000</v>
      </c>
      <c r="C67" s="37">
        <f>milestone_4day_new!C33</f>
        <v>352260</v>
      </c>
      <c r="D67" s="38" t="b">
        <f>milestone_4day_new!D33</f>
        <v>1</v>
      </c>
      <c r="E67" s="39" t="str">
        <f>IFERROR(IF(CEILING($C67*4/data_raw_4_day!$G$3,1)&gt;4,"X","D"&amp;CEILING($C67*4/data_raw_4_day!$G$3,1)&amp;" net: "&amp;round(milestone_4day_new!AB33, 1)),"X")</f>
        <v>X</v>
      </c>
      <c r="F67" s="39" t="str">
        <f>IFERROR(IF(CEILING($C67*4/data_raw_4_day!$G$4,1)&gt;4,"X","D"&amp;CEILING($C67*4/data_raw_4_day!$G$4,1)&amp;" net: "&amp;round(milestone_4day_new!AC33, 1)),"X")</f>
        <v>X</v>
      </c>
      <c r="G67" s="39" t="str">
        <f>IFERROR(IF(CEILING($C67*4/data_raw_4_day!$G$5,1)&gt;4,"X","D"&amp;CEILING($C67*4/data_raw_4_day!$G$5,1)&amp;" net: "&amp;round(milestone_4day_new!AD33, 1)),"X")</f>
        <v>X</v>
      </c>
      <c r="H67" s="39" t="str">
        <f>IFERROR(IF(CEILING($C67*4/data_raw_4_day!$G$6,1)&gt;4,"X","D"&amp;CEILING($C67*4/data_raw_4_day!$G$6,1)&amp;" net: "&amp;round(milestone_4day_new!AE33, 1)),"X")</f>
        <v>X</v>
      </c>
      <c r="I67" s="39" t="str">
        <f>IFERROR(IF(CEILING($C67*4/data_raw_4_day!$G$7,1)&gt;4,"X","D"&amp;CEILING($C67*4/data_raw_4_day!$G$7,1)),"X")</f>
        <v>X</v>
      </c>
      <c r="J67" s="39" t="str">
        <f>IFERROR(IF(CEILING($C67*4/data_raw_4_day!$G$9,1)&gt;4,"X","D"&amp;CEILING($C67*4/data_raw_4_day!$G$9,1)&amp;" net: "&amp;round(milestone_4day_new!AF33, 1)),"X")</f>
        <v>X</v>
      </c>
      <c r="K67" s="39" t="str">
        <f>IFERROR(IF(CEILING($C67*4/data_raw_4_day!$G$10,1)&gt;4,"X","D"&amp;CEILING($C67*4/data_raw_4_day!$G$10,1)&amp;" net: "&amp;round(milestone_4day_new!AG33, 1)),"X")</f>
        <v>X</v>
      </c>
      <c r="L67" s="39" t="str">
        <f>IFERROR(IF(CEILING($C67*4/data_raw_4_day!$G$11,1)&gt;4,"X","D"&amp;CEILING($C67*4/data_raw_4_day!$G$11,1)&amp;" net: "&amp;round(milestone_4day_new!AH33, 1)),"X")</f>
        <v>X</v>
      </c>
      <c r="M67" s="39" t="str">
        <f>IFERROR(IF(CEILING($C67*4/data_raw_4_day!$G$12,1)&gt;4,"X","D"&amp;CEILING($C67*4/data_raw_4_day!$G$12,1)&amp;" net: "&amp;round(milestone_4day_new!AI33, 1)),"X")</f>
        <v>X</v>
      </c>
      <c r="N67" s="39" t="str">
        <f>IFERROR(IF(CEILING($C67*4/data_raw_4_day!$G$13,1)&gt;4,"X","D"&amp;CEILING($C67*4/data_raw_4_day!$G$13,1)),"X")</f>
        <v>X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5:N34 E38:N67">
    <cfRule type="containsText" dxfId="0" priority="1" operator="containsText" text="D1">
      <formula>NOT(ISERROR(SEARCH(("D1"),(E5))))</formula>
    </cfRule>
  </conditionalFormatting>
  <conditionalFormatting sqref="E5:N34 E38:N67">
    <cfRule type="cellIs" dxfId="1" priority="2" operator="equal">
      <formula>"D2"</formula>
    </cfRule>
  </conditionalFormatting>
  <conditionalFormatting sqref="E5:N34 E38:N67">
    <cfRule type="cellIs" dxfId="2" priority="3" operator="equal">
      <formula>"D3"</formula>
    </cfRule>
  </conditionalFormatting>
  <conditionalFormatting sqref="E5:N34 E38:N67">
    <cfRule type="cellIs" dxfId="3" priority="4" operator="equal">
      <formula>"D4"</formula>
    </cfRule>
  </conditionalFormatting>
  <conditionalFormatting sqref="E5:N34 E38:N67">
    <cfRule type="cellIs" dxfId="4" priority="5" operator="equal">
      <formula>"X"</formula>
    </cfRule>
  </conditionalFormatting>
  <conditionalFormatting sqref="D5:D34 D38:D67">
    <cfRule type="cellIs" dxfId="5" priority="6" operator="equal">
      <formula>"TRUE"</formula>
    </cfRule>
  </conditionalFormatting>
  <conditionalFormatting sqref="D5:D34 D38:D67">
    <cfRule type="cellIs" dxfId="5" priority="7" operator="equal">
      <formula>"TRUE"</formula>
    </cfRule>
  </conditionalFormatting>
  <conditionalFormatting sqref="E5:N34 E38:N67">
    <cfRule type="containsText" dxfId="0" priority="8" operator="containsText" text="D1">
      <formula>NOT(ISERROR(SEARCH(("D1"),(E5))))</formula>
    </cfRule>
  </conditionalFormatting>
  <conditionalFormatting sqref="E5:N34 E38:N67">
    <cfRule type="cellIs" dxfId="1" priority="9" operator="equal">
      <formula>"D2"</formula>
    </cfRule>
  </conditionalFormatting>
  <conditionalFormatting sqref="E5:N34 E38:N67">
    <cfRule type="cellIs" dxfId="2" priority="10" operator="equal">
      <formula>"D3"</formula>
    </cfRule>
  </conditionalFormatting>
  <conditionalFormatting sqref="E5:N34 E38:N67">
    <cfRule type="cellIs" dxfId="3" priority="11" operator="equal">
      <formula>"D4"</formula>
    </cfRule>
  </conditionalFormatting>
  <conditionalFormatting sqref="E5:N34 E38:N67">
    <cfRule type="cellIs" dxfId="4" priority="12" operator="equal">
      <formula>"X"</formula>
    </cfRule>
  </conditionalFormatting>
  <conditionalFormatting sqref="E5:N34 E38:N67">
    <cfRule type="expression" dxfId="4" priority="13">
      <formula>ISNUMBER(SEARCH("X",E5))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0.0"/>
    <col customWidth="1" min="4" max="4" width="9.0"/>
    <col customWidth="1" min="5" max="14" width="17.57"/>
    <col customWidth="1" min="15" max="26" width="8.71"/>
  </cols>
  <sheetData>
    <row r="1" ht="15.75" customHeight="1">
      <c r="A1" s="34" t="s">
        <v>86</v>
      </c>
    </row>
    <row r="2" ht="14.25" customHeight="1"/>
    <row r="3" ht="15.0" customHeight="1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5.0" customHeight="1">
      <c r="A4" s="35" t="s">
        <v>70</v>
      </c>
      <c r="B4" s="35" t="s">
        <v>71</v>
      </c>
      <c r="C4" s="35" t="s">
        <v>72</v>
      </c>
      <c r="D4" s="35" t="s">
        <v>73</v>
      </c>
      <c r="E4" s="35" t="s">
        <v>74</v>
      </c>
      <c r="F4" s="35" t="s">
        <v>75</v>
      </c>
      <c r="G4" s="35" t="s">
        <v>76</v>
      </c>
      <c r="H4" s="35" t="s">
        <v>77</v>
      </c>
      <c r="I4" s="35" t="s">
        <v>78</v>
      </c>
      <c r="J4" s="35" t="s">
        <v>79</v>
      </c>
      <c r="K4" s="35" t="s">
        <v>80</v>
      </c>
      <c r="L4" s="35" t="s">
        <v>81</v>
      </c>
      <c r="M4" s="35" t="s">
        <v>82</v>
      </c>
      <c r="N4" s="35" t="s">
        <v>83</v>
      </c>
    </row>
    <row r="5" ht="15.0" customHeight="1">
      <c r="A5" s="22">
        <f>milestone_3day_new!A4</f>
        <v>1</v>
      </c>
      <c r="B5" s="36">
        <f>milestone_3day_new!B4</f>
        <v>130</v>
      </c>
      <c r="C5" s="37">
        <f>milestone_3day_new!C4</f>
        <v>130</v>
      </c>
      <c r="D5" s="38" t="b">
        <f>milestone_3day_new!D4</f>
        <v>0</v>
      </c>
      <c r="E5" s="39" t="str">
        <f>IFERROR(IF(CEILING($C5*4/data_raw_3_day!$H$3,1)&gt;4,"X","D"&amp;CEILING($C5*4/data_raw_3_day!$H$3,1)),"X")</f>
        <v>D1</v>
      </c>
      <c r="F5" s="39" t="str">
        <f>IFERROR(IF(CEILING($C5*4/data_raw_3_day!$H$4,1)&gt;4,"X","D"&amp;CEILING($C5*4/data_raw_3_day!$H$4,1)),"X")</f>
        <v>D1</v>
      </c>
      <c r="G5" s="39" t="str">
        <f>IFERROR(IF(CEILING($C5*4/data_raw_3_day!$H$5,1)&gt;4,"X","D"&amp;CEILING($C5*4/data_raw_3_day!$H$5,1)),"X")</f>
        <v>D1</v>
      </c>
      <c r="H5" s="39" t="str">
        <f>IFERROR(IF(CEILING($C5*4/data_raw_3_day!$H$6,1)&gt;4,"X","D"&amp;CEILING($C5*4/data_raw_3_day!$H$6,1)),"X")</f>
        <v>D1</v>
      </c>
      <c r="I5" s="39" t="str">
        <f>IFERROR(IF(CEILING($C5*4/data_raw_3_day!$H$7,1)&gt;4,"X","D"&amp;CEILING($C5*4/data_raw_3_day!$H$7,1)),"X")</f>
        <v>D1</v>
      </c>
      <c r="J5" s="39" t="str">
        <f>IFERROR(IF(CEILING($C5*4/data_raw_3_day!$H$9,1)&gt;4,"X","D"&amp;CEILING($C5*4/data_raw_3_day!$H$9,1)),"X")</f>
        <v>D1</v>
      </c>
      <c r="K5" s="39" t="str">
        <f>IFERROR(IF(CEILING($C5*4/data_raw_3_day!$H$10,1)&gt;4,"X","D"&amp;CEILING($C5*4/data_raw_3_day!$H$10,1)),"X")</f>
        <v>D1</v>
      </c>
      <c r="L5" s="39" t="str">
        <f>IFERROR(IF(CEILING($C5*4/data_raw_3_day!$H$11,1)&gt;4,"X","D"&amp;CEILING($C5*4/data_raw_3_day!$H$11,1)),"X")</f>
        <v>D1</v>
      </c>
      <c r="M5" s="39" t="str">
        <f>IFERROR(IF(CEILING($C5*4/data_raw_3_day!$H$12,1)&gt;4,"X","D"&amp;CEILING($C5*4/data_raw_3_day!$H$12,1)),"X")</f>
        <v>D1</v>
      </c>
      <c r="N5" s="39" t="str">
        <f>IFERROR(IF(CEILING($C5*4/data_raw_3_day!$H$13,1)&gt;4,"X","D"&amp;CEILING($C5*4/data_raw_3_day!$H$13,1)),"X")</f>
        <v>D1</v>
      </c>
    </row>
    <row r="6" ht="15.0" customHeight="1">
      <c r="A6" s="22">
        <f>milestone_3day_new!A5</f>
        <v>2</v>
      </c>
      <c r="B6" s="36">
        <f>milestone_3day_new!B5</f>
        <v>250</v>
      </c>
      <c r="C6" s="37">
        <f>milestone_3day_new!C5</f>
        <v>380</v>
      </c>
      <c r="D6" s="38" t="b">
        <f>milestone_3day_new!D5</f>
        <v>0</v>
      </c>
      <c r="E6" s="39" t="str">
        <f>IFERROR(IF(CEILING($C6*4/data_raw_3_day!$H$3,1)&gt;4,"X","D"&amp;CEILING($C6*4/data_raw_3_day!$H$3,1)),"X")</f>
        <v>D1</v>
      </c>
      <c r="F6" s="39" t="str">
        <f>IFERROR(IF(CEILING($C6*4/data_raw_3_day!$H$4,1)&gt;4,"X","D"&amp;CEILING($C6*4/data_raw_3_day!$H$4,1)),"X")</f>
        <v>D1</v>
      </c>
      <c r="G6" s="39" t="str">
        <f>IFERROR(IF(CEILING($C6*4/data_raw_3_day!$H$5,1)&gt;4,"X","D"&amp;CEILING($C6*4/data_raw_3_day!$H$5,1)),"X")</f>
        <v>D1</v>
      </c>
      <c r="H6" s="39" t="str">
        <f>IFERROR(IF(CEILING($C6*4/data_raw_3_day!$H$6,1)&gt;4,"X","D"&amp;CEILING($C6*4/data_raw_3_day!$H$6,1)),"X")</f>
        <v>D1</v>
      </c>
      <c r="I6" s="39" t="str">
        <f>IFERROR(IF(CEILING($C6*4/data_raw_3_day!$H$7,1)&gt;4,"X","D"&amp;CEILING($C6*4/data_raw_3_day!$H$7,1)),"X")</f>
        <v>D1</v>
      </c>
      <c r="J6" s="39" t="str">
        <f>IFERROR(IF(CEILING($C6*4/data_raw_3_day!$H$9,1)&gt;4,"X","D"&amp;CEILING($C6*4/data_raw_3_day!$H$9,1)),"X")</f>
        <v>D1</v>
      </c>
      <c r="K6" s="39" t="str">
        <f>IFERROR(IF(CEILING($C6*4/data_raw_3_day!$H$10,1)&gt;4,"X","D"&amp;CEILING($C6*4/data_raw_3_day!$H$10,1)),"X")</f>
        <v>D1</v>
      </c>
      <c r="L6" s="39" t="str">
        <f>IFERROR(IF(CEILING($C6*4/data_raw_3_day!$H$11,1)&gt;4,"X","D"&amp;CEILING($C6*4/data_raw_3_day!$H$11,1)),"X")</f>
        <v>D1</v>
      </c>
      <c r="M6" s="39" t="str">
        <f>IFERROR(IF(CEILING($C6*4/data_raw_3_day!$H$12,1)&gt;4,"X","D"&amp;CEILING($C6*4/data_raw_3_day!$H$12,1)),"X")</f>
        <v>D1</v>
      </c>
      <c r="N6" s="39" t="str">
        <f>IFERROR(IF(CEILING($C6*4/data_raw_3_day!$H$13,1)&gt;4,"X","D"&amp;CEILING($C6*4/data_raw_3_day!$H$13,1)),"X")</f>
        <v>D1</v>
      </c>
    </row>
    <row r="7" ht="15.0" customHeight="1">
      <c r="A7" s="22">
        <f>milestone_3day_new!A6</f>
        <v>3</v>
      </c>
      <c r="B7" s="36">
        <f>milestone_3day_new!B6</f>
        <v>850</v>
      </c>
      <c r="C7" s="37">
        <f>milestone_3day_new!C6</f>
        <v>1230</v>
      </c>
      <c r="D7" s="38" t="b">
        <f>milestone_3day_new!D6</f>
        <v>0</v>
      </c>
      <c r="E7" s="39" t="str">
        <f>IFERROR(IF(CEILING($C7*4/data_raw_3_day!$H$3,1)&gt;4,"X","D"&amp;CEILING($C7*4/data_raw_3_day!$H$3,1)),"X")</f>
        <v>D1</v>
      </c>
      <c r="F7" s="39" t="str">
        <f>IFERROR(IF(CEILING($C7*4/data_raw_3_day!$H$4,1)&gt;4,"X","D"&amp;CEILING($C7*4/data_raw_3_day!$H$4,1)),"X")</f>
        <v>D1</v>
      </c>
      <c r="G7" s="39" t="str">
        <f>IFERROR(IF(CEILING($C7*4/data_raw_3_day!$H$5,1)&gt;4,"X","D"&amp;CEILING($C7*4/data_raw_3_day!$H$5,1)),"X")</f>
        <v>D1</v>
      </c>
      <c r="H7" s="39" t="str">
        <f>IFERROR(IF(CEILING($C7*4/data_raw_3_day!$H$6,1)&gt;4,"X","D"&amp;CEILING($C7*4/data_raw_3_day!$H$6,1)),"X")</f>
        <v>D1</v>
      </c>
      <c r="I7" s="39" t="str">
        <f>IFERROR(IF(CEILING($C7*4/data_raw_3_day!$H$7,1)&gt;4,"X","D"&amp;CEILING($C7*4/data_raw_3_day!$H$7,1)),"X")</f>
        <v>D1</v>
      </c>
      <c r="J7" s="39" t="str">
        <f>IFERROR(IF(CEILING($C7*4/data_raw_3_day!$H$9,1)&gt;4,"X","D"&amp;CEILING($C7*4/data_raw_3_day!$H$9,1)),"X")</f>
        <v>D1</v>
      </c>
      <c r="K7" s="39" t="str">
        <f>IFERROR(IF(CEILING($C7*4/data_raw_3_day!$H$10,1)&gt;4,"X","D"&amp;CEILING($C7*4/data_raw_3_day!$H$10,1)),"X")</f>
        <v>D1</v>
      </c>
      <c r="L7" s="39" t="str">
        <f>IFERROR(IF(CEILING($C7*4/data_raw_3_day!$H$11,1)&gt;4,"X","D"&amp;CEILING($C7*4/data_raw_3_day!$H$11,1)),"X")</f>
        <v>D1</v>
      </c>
      <c r="M7" s="39" t="str">
        <f>IFERROR(IF(CEILING($C7*4/data_raw_3_day!$H$12,1)&gt;4,"X","D"&amp;CEILING($C7*4/data_raw_3_day!$H$12,1)),"X")</f>
        <v>D1</v>
      </c>
      <c r="N7" s="39" t="str">
        <f>IFERROR(IF(CEILING($C7*4/data_raw_3_day!$H$13,1)&gt;4,"X","D"&amp;CEILING($C7*4/data_raw_3_day!$H$13,1)),"X")</f>
        <v>D1</v>
      </c>
    </row>
    <row r="8" ht="15.0" customHeight="1">
      <c r="A8" s="22">
        <f>milestone_3day_new!A7</f>
        <v>4</v>
      </c>
      <c r="B8" s="36">
        <f>milestone_3day_new!B7</f>
        <v>200</v>
      </c>
      <c r="C8" s="37">
        <f>milestone_3day_new!C7</f>
        <v>1430</v>
      </c>
      <c r="D8" s="38" t="b">
        <f>milestone_3day_new!D7</f>
        <v>0</v>
      </c>
      <c r="E8" s="39" t="str">
        <f>IFERROR(IF(CEILING($C8*4/data_raw_3_day!$H$3,1)&gt;4,"X","D"&amp;CEILING($C8*4/data_raw_3_day!$H$3,1)),"X")</f>
        <v>D1</v>
      </c>
      <c r="F8" s="39" t="str">
        <f>IFERROR(IF(CEILING($C8*4/data_raw_3_day!$H$4,1)&gt;4,"X","D"&amp;CEILING($C8*4/data_raw_3_day!$H$4,1)),"X")</f>
        <v>D1</v>
      </c>
      <c r="G8" s="39" t="str">
        <f>IFERROR(IF(CEILING($C8*4/data_raw_3_day!$H$5,1)&gt;4,"X","D"&amp;CEILING($C8*4/data_raw_3_day!$H$5,1)),"X")</f>
        <v>D1</v>
      </c>
      <c r="H8" s="39" t="str">
        <f>IFERROR(IF(CEILING($C8*4/data_raw_3_day!$H$6,1)&gt;4,"X","D"&amp;CEILING($C8*4/data_raw_3_day!$H$6,1)),"X")</f>
        <v>D1</v>
      </c>
      <c r="I8" s="39" t="str">
        <f>IFERROR(IF(CEILING($C8*4/data_raw_3_day!$H$7,1)&gt;4,"X","D"&amp;CEILING($C8*4/data_raw_3_day!$H$7,1)),"X")</f>
        <v>D1</v>
      </c>
      <c r="J8" s="39" t="str">
        <f>IFERROR(IF(CEILING($C8*4/data_raw_3_day!$H$9,1)&gt;4,"X","D"&amp;CEILING($C8*4/data_raw_3_day!$H$9,1)),"X")</f>
        <v>D1</v>
      </c>
      <c r="K8" s="39" t="str">
        <f>IFERROR(IF(CEILING($C8*4/data_raw_3_day!$H$10,1)&gt;4,"X","D"&amp;CEILING($C8*4/data_raw_3_day!$H$10,1)),"X")</f>
        <v>D1</v>
      </c>
      <c r="L8" s="39" t="str">
        <f>IFERROR(IF(CEILING($C8*4/data_raw_3_day!$H$11,1)&gt;4,"X","D"&amp;CEILING($C8*4/data_raw_3_day!$H$11,1)),"X")</f>
        <v>D1</v>
      </c>
      <c r="M8" s="39" t="str">
        <f>IFERROR(IF(CEILING($C8*4/data_raw_3_day!$H$12,1)&gt;4,"X","D"&amp;CEILING($C8*4/data_raw_3_day!$H$12,1)),"X")</f>
        <v>D1</v>
      </c>
      <c r="N8" s="39" t="str">
        <f>IFERROR(IF(CEILING($C8*4/data_raw_3_day!$H$13,1)&gt;4,"X","D"&amp;CEILING($C8*4/data_raw_3_day!$H$13,1)),"X")</f>
        <v>D1</v>
      </c>
    </row>
    <row r="9" ht="15.0" customHeight="1">
      <c r="A9" s="22">
        <f>milestone_3day_new!A8</f>
        <v>5</v>
      </c>
      <c r="B9" s="36">
        <f>milestone_3day_new!B8</f>
        <v>450</v>
      </c>
      <c r="C9" s="37">
        <f>milestone_3day_new!C8</f>
        <v>1880</v>
      </c>
      <c r="D9" s="38" t="b">
        <f>milestone_3day_new!D8</f>
        <v>0</v>
      </c>
      <c r="E9" s="39" t="str">
        <f>IFERROR(IF(CEILING($C9*4/data_raw_3_day!$H$3,1)&gt;4,"X","D"&amp;CEILING($C9*4/data_raw_3_day!$H$3,1)),"X")</f>
        <v>D1</v>
      </c>
      <c r="F9" s="39" t="str">
        <f>IFERROR(IF(CEILING($C9*4/data_raw_3_day!$H$4,1)&gt;4,"X","D"&amp;CEILING($C9*4/data_raw_3_day!$H$4,1)),"X")</f>
        <v>D1</v>
      </c>
      <c r="G9" s="39" t="str">
        <f>IFERROR(IF(CEILING($C9*4/data_raw_3_day!$H$5,1)&gt;4,"X","D"&amp;CEILING($C9*4/data_raw_3_day!$H$5,1)),"X")</f>
        <v>D1</v>
      </c>
      <c r="H9" s="39" t="str">
        <f>IFERROR(IF(CEILING($C9*4/data_raw_3_day!$H$6,1)&gt;4,"X","D"&amp;CEILING($C9*4/data_raw_3_day!$H$6,1)),"X")</f>
        <v>D1</v>
      </c>
      <c r="I9" s="39" t="str">
        <f>IFERROR(IF(CEILING($C9*4/data_raw_3_day!$H$7,1)&gt;4,"X","D"&amp;CEILING($C9*4/data_raw_3_day!$H$7,1)),"X")</f>
        <v>D1</v>
      </c>
      <c r="J9" s="39" t="str">
        <f>IFERROR(IF(CEILING($C9*4/data_raw_3_day!$H$9,1)&gt;4,"X","D"&amp;CEILING($C9*4/data_raw_3_day!$H$9,1)),"X")</f>
        <v>D1</v>
      </c>
      <c r="K9" s="39" t="str">
        <f>IFERROR(IF(CEILING($C9*4/data_raw_3_day!$H$10,1)&gt;4,"X","D"&amp;CEILING($C9*4/data_raw_3_day!$H$10,1)),"X")</f>
        <v>D1</v>
      </c>
      <c r="L9" s="39" t="str">
        <f>IFERROR(IF(CEILING($C9*4/data_raw_3_day!$H$11,1)&gt;4,"X","D"&amp;CEILING($C9*4/data_raw_3_day!$H$11,1)),"X")</f>
        <v>D1</v>
      </c>
      <c r="M9" s="39" t="str">
        <f>IFERROR(IF(CEILING($C9*4/data_raw_3_day!$H$12,1)&gt;4,"X","D"&amp;CEILING($C9*4/data_raw_3_day!$H$12,1)),"X")</f>
        <v>D1</v>
      </c>
      <c r="N9" s="39" t="str">
        <f>IFERROR(IF(CEILING($C9*4/data_raw_3_day!$H$13,1)&gt;4,"X","D"&amp;CEILING($C9*4/data_raw_3_day!$H$13,1)),"X")</f>
        <v>D1</v>
      </c>
    </row>
    <row r="10" ht="15.0" customHeight="1">
      <c r="A10" s="22">
        <f>milestone_3day_new!A9</f>
        <v>6</v>
      </c>
      <c r="B10" s="36">
        <f>milestone_3day_new!B9</f>
        <v>1300</v>
      </c>
      <c r="C10" s="37">
        <f>milestone_3day_new!C9</f>
        <v>3180</v>
      </c>
      <c r="D10" s="38" t="b">
        <f>milestone_3day_new!D9</f>
        <v>1</v>
      </c>
      <c r="E10" s="39" t="str">
        <f>IFERROR(IF(CEILING($C10*4/data_raw_3_day!$H$3,1)&gt;4,"X","D"&amp;CEILING($C10*4/data_raw_3_day!$H$3,1)),"X")</f>
        <v>D2</v>
      </c>
      <c r="F10" s="39" t="str">
        <f>IFERROR(IF(CEILING($C10*4/data_raw_3_day!$H$4,1)&gt;4,"X","D"&amp;CEILING($C10*4/data_raw_3_day!$H$4,1)),"X")</f>
        <v>D1</v>
      </c>
      <c r="G10" s="39" t="str">
        <f>IFERROR(IF(CEILING($C10*4/data_raw_3_day!$H$5,1)&gt;4,"X","D"&amp;CEILING($C10*4/data_raw_3_day!$H$5,1)),"X")</f>
        <v>D1</v>
      </c>
      <c r="H10" s="39" t="str">
        <f>IFERROR(IF(CEILING($C10*4/data_raw_3_day!$H$6,1)&gt;4,"X","D"&amp;CEILING($C10*4/data_raw_3_day!$H$6,1)),"X")</f>
        <v>D1</v>
      </c>
      <c r="I10" s="39" t="str">
        <f>IFERROR(IF(CEILING($C10*4/data_raw_3_day!$H$7,1)&gt;4,"X","D"&amp;CEILING($C10*4/data_raw_3_day!$H$7,1)),"X")</f>
        <v>D1</v>
      </c>
      <c r="J10" s="39" t="str">
        <f>IFERROR(IF(CEILING($C10*4/data_raw_3_day!$H$9,1)&gt;4,"X","D"&amp;CEILING($C10*4/data_raw_3_day!$H$9,1)),"X")</f>
        <v>D2</v>
      </c>
      <c r="K10" s="39" t="str">
        <f>IFERROR(IF(CEILING($C10*4/data_raw_3_day!$H$10,1)&gt;4,"X","D"&amp;CEILING($C10*4/data_raw_3_day!$H$10,1)),"X")</f>
        <v>D1</v>
      </c>
      <c r="L10" s="39" t="str">
        <f>IFERROR(IF(CEILING($C10*4/data_raw_3_day!$H$11,1)&gt;4,"X","D"&amp;CEILING($C10*4/data_raw_3_day!$H$11,1)),"X")</f>
        <v>D1</v>
      </c>
      <c r="M10" s="39" t="str">
        <f>IFERROR(IF(CEILING($C10*4/data_raw_3_day!$H$12,1)&gt;4,"X","D"&amp;CEILING($C10*4/data_raw_3_day!$H$12,1)),"X")</f>
        <v>D1</v>
      </c>
      <c r="N10" s="39" t="str">
        <f>IFERROR(IF(CEILING($C10*4/data_raw_3_day!$H$13,1)&gt;4,"X","D"&amp;CEILING($C10*4/data_raw_3_day!$H$13,1)),"X")</f>
        <v>D1</v>
      </c>
    </row>
    <row r="11" ht="15.0" customHeight="1">
      <c r="A11" s="22">
        <f>milestone_3day_new!A10</f>
        <v>7</v>
      </c>
      <c r="B11" s="36">
        <f>milestone_3day_new!B10</f>
        <v>450</v>
      </c>
      <c r="C11" s="37">
        <f>milestone_3day_new!C10</f>
        <v>3630</v>
      </c>
      <c r="D11" s="38" t="b">
        <f>milestone_3day_new!D10</f>
        <v>0</v>
      </c>
      <c r="E11" s="39" t="str">
        <f>IFERROR(IF(CEILING($C11*4/data_raw_3_day!$H$3,1)&gt;4,"X","D"&amp;CEILING($C11*4/data_raw_3_day!$H$3,1)),"X")</f>
        <v>D2</v>
      </c>
      <c r="F11" s="39" t="str">
        <f>IFERROR(IF(CEILING($C11*4/data_raw_3_day!$H$4,1)&gt;4,"X","D"&amp;CEILING($C11*4/data_raw_3_day!$H$4,1)),"X")</f>
        <v>D1</v>
      </c>
      <c r="G11" s="39" t="str">
        <f>IFERROR(IF(CEILING($C11*4/data_raw_3_day!$H$5,1)&gt;4,"X","D"&amp;CEILING($C11*4/data_raw_3_day!$H$5,1)),"X")</f>
        <v>D1</v>
      </c>
      <c r="H11" s="39" t="str">
        <f>IFERROR(IF(CEILING($C11*4/data_raw_3_day!$H$6,1)&gt;4,"X","D"&amp;CEILING($C11*4/data_raw_3_day!$H$6,1)),"X")</f>
        <v>D1</v>
      </c>
      <c r="I11" s="39" t="str">
        <f>IFERROR(IF(CEILING($C11*4/data_raw_3_day!$H$7,1)&gt;4,"X","D"&amp;CEILING($C11*4/data_raw_3_day!$H$7,1)),"X")</f>
        <v>D1</v>
      </c>
      <c r="J11" s="39" t="str">
        <f>IFERROR(IF(CEILING($C11*4/data_raw_3_day!$H$9,1)&gt;4,"X","D"&amp;CEILING($C11*4/data_raw_3_day!$H$9,1)),"X")</f>
        <v>D2</v>
      </c>
      <c r="K11" s="39" t="str">
        <f>IFERROR(IF(CEILING($C11*4/data_raw_3_day!$H$10,1)&gt;4,"X","D"&amp;CEILING($C11*4/data_raw_3_day!$H$10,1)),"X")</f>
        <v>D1</v>
      </c>
      <c r="L11" s="39" t="str">
        <f>IFERROR(IF(CEILING($C11*4/data_raw_3_day!$H$11,1)&gt;4,"X","D"&amp;CEILING($C11*4/data_raw_3_day!$H$11,1)),"X")</f>
        <v>D1</v>
      </c>
      <c r="M11" s="39" t="str">
        <f>IFERROR(IF(CEILING($C11*4/data_raw_3_day!$H$12,1)&gt;4,"X","D"&amp;CEILING($C11*4/data_raw_3_day!$H$12,1)),"X")</f>
        <v>D1</v>
      </c>
      <c r="N11" s="39" t="str">
        <f>IFERROR(IF(CEILING($C11*4/data_raw_3_day!$H$13,1)&gt;4,"X","D"&amp;CEILING($C11*4/data_raw_3_day!$H$13,1)),"X")</f>
        <v>D1</v>
      </c>
    </row>
    <row r="12" ht="15.0" customHeight="1">
      <c r="A12" s="22">
        <f>milestone_3day_new!A11</f>
        <v>8</v>
      </c>
      <c r="B12" s="36">
        <f>milestone_3day_new!B11</f>
        <v>820</v>
      </c>
      <c r="C12" s="37">
        <f>milestone_3day_new!C11</f>
        <v>4450</v>
      </c>
      <c r="D12" s="38" t="b">
        <f>milestone_3day_new!D11</f>
        <v>0</v>
      </c>
      <c r="E12" s="39" t="str">
        <f>IFERROR(IF(CEILING($C12*4/data_raw_3_day!$H$3,1)&gt;4,"X","D"&amp;CEILING($C12*4/data_raw_3_day!$H$3,1)),"X")</f>
        <v>D3</v>
      </c>
      <c r="F12" s="39" t="str">
        <f>IFERROR(IF(CEILING($C12*4/data_raw_3_day!$H$4,1)&gt;4,"X","D"&amp;CEILING($C12*4/data_raw_3_day!$H$4,1)),"X")</f>
        <v>D1</v>
      </c>
      <c r="G12" s="39" t="str">
        <f>IFERROR(IF(CEILING($C12*4/data_raw_3_day!$H$5,1)&gt;4,"X","D"&amp;CEILING($C12*4/data_raw_3_day!$H$5,1)),"X")</f>
        <v>D1</v>
      </c>
      <c r="H12" s="39" t="str">
        <f>IFERROR(IF(CEILING($C12*4/data_raw_3_day!$H$6,1)&gt;4,"X","D"&amp;CEILING($C12*4/data_raw_3_day!$H$6,1)),"X")</f>
        <v>D1</v>
      </c>
      <c r="I12" s="39" t="str">
        <f>IFERROR(IF(CEILING($C12*4/data_raw_3_day!$H$7,1)&gt;4,"X","D"&amp;CEILING($C12*4/data_raw_3_day!$H$7,1)),"X")</f>
        <v>D1</v>
      </c>
      <c r="J12" s="39" t="str">
        <f>IFERROR(IF(CEILING($C12*4/data_raw_3_day!$H$9,1)&gt;4,"X","D"&amp;CEILING($C12*4/data_raw_3_day!$H$9,1)),"X")</f>
        <v>D3</v>
      </c>
      <c r="K12" s="39" t="str">
        <f>IFERROR(IF(CEILING($C12*4/data_raw_3_day!$H$10,1)&gt;4,"X","D"&amp;CEILING($C12*4/data_raw_3_day!$H$10,1)),"X")</f>
        <v>D1</v>
      </c>
      <c r="L12" s="39" t="str">
        <f>IFERROR(IF(CEILING($C12*4/data_raw_3_day!$H$11,1)&gt;4,"X","D"&amp;CEILING($C12*4/data_raw_3_day!$H$11,1)),"X")</f>
        <v>D1</v>
      </c>
      <c r="M12" s="39" t="str">
        <f>IFERROR(IF(CEILING($C12*4/data_raw_3_day!$H$12,1)&gt;4,"X","D"&amp;CEILING($C12*4/data_raw_3_day!$H$12,1)),"X")</f>
        <v>D1</v>
      </c>
      <c r="N12" s="39" t="str">
        <f>IFERROR(IF(CEILING($C12*4/data_raw_3_day!$H$13,1)&gt;4,"X","D"&amp;CEILING($C12*4/data_raw_3_day!$H$13,1)),"X")</f>
        <v>D1</v>
      </c>
    </row>
    <row r="13" ht="15.0" customHeight="1">
      <c r="A13" s="22">
        <f>milestone_3day_new!A12</f>
        <v>9</v>
      </c>
      <c r="B13" s="36">
        <f>milestone_3day_new!B12</f>
        <v>3300</v>
      </c>
      <c r="C13" s="37">
        <f>milestone_3day_new!C12</f>
        <v>7750</v>
      </c>
      <c r="D13" s="38" t="b">
        <f>milestone_3day_new!D12</f>
        <v>1</v>
      </c>
      <c r="E13" s="39" t="str">
        <f>IFERROR(IF(CEILING($C13*4/data_raw_3_day!$H$3,1)&gt;4,"X","D"&amp;CEILING($C13*4/data_raw_3_day!$H$3,1)),"X")</f>
        <v>D4</v>
      </c>
      <c r="F13" s="39" t="str">
        <f>IFERROR(IF(CEILING($C13*4/data_raw_3_day!$H$4,1)&gt;4,"X","D"&amp;CEILING($C13*4/data_raw_3_day!$H$4,1)),"X")</f>
        <v>D2</v>
      </c>
      <c r="G13" s="39" t="str">
        <f>IFERROR(IF(CEILING($C13*4/data_raw_3_day!$H$5,1)&gt;4,"X","D"&amp;CEILING($C13*4/data_raw_3_day!$H$5,1)),"X")</f>
        <v>D1</v>
      </c>
      <c r="H13" s="39" t="str">
        <f>IFERROR(IF(CEILING($C13*4/data_raw_3_day!$H$6,1)&gt;4,"X","D"&amp;CEILING($C13*4/data_raw_3_day!$H$6,1)),"X")</f>
        <v>D1</v>
      </c>
      <c r="I13" s="39" t="str">
        <f>IFERROR(IF(CEILING($C13*4/data_raw_3_day!$H$7,1)&gt;4,"X","D"&amp;CEILING($C13*4/data_raw_3_day!$H$7,1)),"X")</f>
        <v>D1</v>
      </c>
      <c r="J13" s="39" t="str">
        <f>IFERROR(IF(CEILING($C13*4/data_raw_3_day!$H$9,1)&gt;4,"X","D"&amp;CEILING($C13*4/data_raw_3_day!$H$9,1)),"X")</f>
        <v>D4</v>
      </c>
      <c r="K13" s="39" t="str">
        <f>IFERROR(IF(CEILING($C13*4/data_raw_3_day!$H$10,1)&gt;4,"X","D"&amp;CEILING($C13*4/data_raw_3_day!$H$10,1)),"X")</f>
        <v>D2</v>
      </c>
      <c r="L13" s="39" t="str">
        <f>IFERROR(IF(CEILING($C13*4/data_raw_3_day!$H$11,1)&gt;4,"X","D"&amp;CEILING($C13*4/data_raw_3_day!$H$11,1)),"X")</f>
        <v>D1</v>
      </c>
      <c r="M13" s="39" t="str">
        <f>IFERROR(IF(CEILING($C13*4/data_raw_3_day!$H$12,1)&gt;4,"X","D"&amp;CEILING($C13*4/data_raw_3_day!$H$12,1)),"X")</f>
        <v>D1</v>
      </c>
      <c r="N13" s="39" t="str">
        <f>IFERROR(IF(CEILING($C13*4/data_raw_3_day!$H$13,1)&gt;4,"X","D"&amp;CEILING($C13*4/data_raw_3_day!$H$13,1)),"X")</f>
        <v>D1</v>
      </c>
    </row>
    <row r="14" ht="15.0" customHeight="1">
      <c r="A14" s="22">
        <f>milestone_3day_new!A13</f>
        <v>10</v>
      </c>
      <c r="B14" s="36">
        <f>milestone_3day_new!B13</f>
        <v>1100</v>
      </c>
      <c r="C14" s="37">
        <f>milestone_3day_new!C13</f>
        <v>8850</v>
      </c>
      <c r="D14" s="38" t="b">
        <f>milestone_3day_new!D13</f>
        <v>0</v>
      </c>
      <c r="E14" s="39" t="str">
        <f>IFERROR(IF(CEILING($C14*4/data_raw_3_day!$H$3,1)&gt;4,"X","D"&amp;CEILING($C14*4/data_raw_3_day!$H$3,1)),"X")</f>
        <v>X</v>
      </c>
      <c r="F14" s="39" t="str">
        <f>IFERROR(IF(CEILING($C14*4/data_raw_3_day!$H$4,1)&gt;4,"X","D"&amp;CEILING($C14*4/data_raw_3_day!$H$4,1)),"X")</f>
        <v>D2</v>
      </c>
      <c r="G14" s="39" t="str">
        <f>IFERROR(IF(CEILING($C14*4/data_raw_3_day!$H$5,1)&gt;4,"X","D"&amp;CEILING($C14*4/data_raw_3_day!$H$5,1)),"X")</f>
        <v>D1</v>
      </c>
      <c r="H14" s="39" t="str">
        <f>IFERROR(IF(CEILING($C14*4/data_raw_3_day!$H$6,1)&gt;4,"X","D"&amp;CEILING($C14*4/data_raw_3_day!$H$6,1)),"X")</f>
        <v>D1</v>
      </c>
      <c r="I14" s="39" t="str">
        <f>IFERROR(IF(CEILING($C14*4/data_raw_3_day!$H$7,1)&gt;4,"X","D"&amp;CEILING($C14*4/data_raw_3_day!$H$7,1)),"X")</f>
        <v>D1</v>
      </c>
      <c r="J14" s="39" t="str">
        <f>IFERROR(IF(CEILING($C14*4/data_raw_3_day!$H$9,1)&gt;4,"X","D"&amp;CEILING($C14*4/data_raw_3_day!$H$9,1)),"X")</f>
        <v>D4</v>
      </c>
      <c r="K14" s="39" t="str">
        <f>IFERROR(IF(CEILING($C14*4/data_raw_3_day!$H$10,1)&gt;4,"X","D"&amp;CEILING($C14*4/data_raw_3_day!$H$10,1)),"X")</f>
        <v>D2</v>
      </c>
      <c r="L14" s="39" t="str">
        <f>IFERROR(IF(CEILING($C14*4/data_raw_3_day!$H$11,1)&gt;4,"X","D"&amp;CEILING($C14*4/data_raw_3_day!$H$11,1)),"X")</f>
        <v>D1</v>
      </c>
      <c r="M14" s="39" t="str">
        <f>IFERROR(IF(CEILING($C14*4/data_raw_3_day!$H$12,1)&gt;4,"X","D"&amp;CEILING($C14*4/data_raw_3_day!$H$12,1)),"X")</f>
        <v>D1</v>
      </c>
      <c r="N14" s="39" t="str">
        <f>IFERROR(IF(CEILING($C14*4/data_raw_3_day!$H$13,1)&gt;4,"X","D"&amp;CEILING($C14*4/data_raw_3_day!$H$13,1)),"X")</f>
        <v>D1</v>
      </c>
    </row>
    <row r="15" ht="15.0" customHeight="1">
      <c r="A15" s="22">
        <f>milestone_3day_new!A14</f>
        <v>11</v>
      </c>
      <c r="B15" s="36">
        <f>milestone_3day_new!B14</f>
        <v>2200</v>
      </c>
      <c r="C15" s="37">
        <f>milestone_3day_new!C14</f>
        <v>11050</v>
      </c>
      <c r="D15" s="38" t="b">
        <f>milestone_3day_new!D14</f>
        <v>0</v>
      </c>
      <c r="E15" s="39" t="str">
        <f>IFERROR(IF(CEILING($C15*4/data_raw_3_day!$H$3,1)&gt;4,"X","D"&amp;CEILING($C15*4/data_raw_3_day!$H$3,1)),"X")</f>
        <v>X</v>
      </c>
      <c r="F15" s="39" t="str">
        <f>IFERROR(IF(CEILING($C15*4/data_raw_3_day!$H$4,1)&gt;4,"X","D"&amp;CEILING($C15*4/data_raw_3_day!$H$4,1)),"X")</f>
        <v>D2</v>
      </c>
      <c r="G15" s="39" t="str">
        <f>IFERROR(IF(CEILING($C15*4/data_raw_3_day!$H$5,1)&gt;4,"X","D"&amp;CEILING($C15*4/data_raw_3_day!$H$5,1)),"X")</f>
        <v>D1</v>
      </c>
      <c r="H15" s="39" t="str">
        <f>IFERROR(IF(CEILING($C15*4/data_raw_3_day!$H$6,1)&gt;4,"X","D"&amp;CEILING($C15*4/data_raw_3_day!$H$6,1)),"X")</f>
        <v>D1</v>
      </c>
      <c r="I15" s="39" t="str">
        <f>IFERROR(IF(CEILING($C15*4/data_raw_3_day!$H$7,1)&gt;4,"X","D"&amp;CEILING($C15*4/data_raw_3_day!$H$7,1)),"X")</f>
        <v>D1</v>
      </c>
      <c r="J15" s="39" t="str">
        <f>IFERROR(IF(CEILING($C15*4/data_raw_3_day!$H$9,1)&gt;4,"X","D"&amp;CEILING($C15*4/data_raw_3_day!$H$9,1)),"X")</f>
        <v>X</v>
      </c>
      <c r="K15" s="39" t="str">
        <f>IFERROR(IF(CEILING($C15*4/data_raw_3_day!$H$10,1)&gt;4,"X","D"&amp;CEILING($C15*4/data_raw_3_day!$H$10,1)),"X")</f>
        <v>D2</v>
      </c>
      <c r="L15" s="39" t="str">
        <f>IFERROR(IF(CEILING($C15*4/data_raw_3_day!$H$11,1)&gt;4,"X","D"&amp;CEILING($C15*4/data_raw_3_day!$H$11,1)),"X")</f>
        <v>D1</v>
      </c>
      <c r="M15" s="39" t="str">
        <f>IFERROR(IF(CEILING($C15*4/data_raw_3_day!$H$12,1)&gt;4,"X","D"&amp;CEILING($C15*4/data_raw_3_day!$H$12,1)),"X")</f>
        <v>D1</v>
      </c>
      <c r="N15" s="39" t="str">
        <f>IFERROR(IF(CEILING($C15*4/data_raw_3_day!$H$13,1)&gt;4,"X","D"&amp;CEILING($C15*4/data_raw_3_day!$H$13,1)),"X")</f>
        <v>D1</v>
      </c>
    </row>
    <row r="16" ht="15.0" customHeight="1">
      <c r="A16" s="22">
        <f>milestone_3day_new!A15</f>
        <v>12</v>
      </c>
      <c r="B16" s="36">
        <f>milestone_3day_new!B15</f>
        <v>6500</v>
      </c>
      <c r="C16" s="37">
        <f>milestone_3day_new!C15</f>
        <v>17550</v>
      </c>
      <c r="D16" s="38" t="b">
        <f>milestone_3day_new!D15</f>
        <v>1</v>
      </c>
      <c r="E16" s="39" t="str">
        <f>IFERROR(IF(CEILING($C16*4/data_raw_3_day!$H$3,1)&gt;4,"X","D"&amp;CEILING($C16*4/data_raw_3_day!$H$3,1)),"X")</f>
        <v>X</v>
      </c>
      <c r="F16" s="39" t="str">
        <f>IFERROR(IF(CEILING($C16*4/data_raw_3_day!$H$4,1)&gt;4,"X","D"&amp;CEILING($C16*4/data_raw_3_day!$H$4,1)),"X")</f>
        <v>D3</v>
      </c>
      <c r="G16" s="39" t="str">
        <f>IFERROR(IF(CEILING($C16*4/data_raw_3_day!$H$5,1)&gt;4,"X","D"&amp;CEILING($C16*4/data_raw_3_day!$H$5,1)),"X")</f>
        <v>D2</v>
      </c>
      <c r="H16" s="39" t="str">
        <f>IFERROR(IF(CEILING($C16*4/data_raw_3_day!$H$6,1)&gt;4,"X","D"&amp;CEILING($C16*4/data_raw_3_day!$H$6,1)),"X")</f>
        <v>D1</v>
      </c>
      <c r="I16" s="39" t="str">
        <f>IFERROR(IF(CEILING($C16*4/data_raw_3_day!$H$7,1)&gt;4,"X","D"&amp;CEILING($C16*4/data_raw_3_day!$H$7,1)),"X")</f>
        <v>D1</v>
      </c>
      <c r="J16" s="39" t="str">
        <f>IFERROR(IF(CEILING($C16*4/data_raw_3_day!$H$9,1)&gt;4,"X","D"&amp;CEILING($C16*4/data_raw_3_day!$H$9,1)),"X")</f>
        <v>X</v>
      </c>
      <c r="K16" s="39" t="str">
        <f>IFERROR(IF(CEILING($C16*4/data_raw_3_day!$H$10,1)&gt;4,"X","D"&amp;CEILING($C16*4/data_raw_3_day!$H$10,1)),"X")</f>
        <v>D3</v>
      </c>
      <c r="L16" s="39" t="str">
        <f>IFERROR(IF(CEILING($C16*4/data_raw_3_day!$H$11,1)&gt;4,"X","D"&amp;CEILING($C16*4/data_raw_3_day!$H$11,1)),"X")</f>
        <v>D2</v>
      </c>
      <c r="M16" s="39" t="str">
        <f>IFERROR(IF(CEILING($C16*4/data_raw_3_day!$H$12,1)&gt;4,"X","D"&amp;CEILING($C16*4/data_raw_3_day!$H$12,1)),"X")</f>
        <v>D1</v>
      </c>
      <c r="N16" s="39" t="str">
        <f>IFERROR(IF(CEILING($C16*4/data_raw_3_day!$H$13,1)&gt;4,"X","D"&amp;CEILING($C16*4/data_raw_3_day!$H$13,1)),"X")</f>
        <v>D1</v>
      </c>
    </row>
    <row r="17" ht="15.0" customHeight="1">
      <c r="A17" s="22">
        <f>milestone_3day_new!A16</f>
        <v>13</v>
      </c>
      <c r="B17" s="36">
        <f>milestone_3day_new!B16</f>
        <v>2200</v>
      </c>
      <c r="C17" s="37">
        <f>milestone_3day_new!C16</f>
        <v>19750</v>
      </c>
      <c r="D17" s="38" t="b">
        <f>milestone_3day_new!D16</f>
        <v>0</v>
      </c>
      <c r="E17" s="39" t="str">
        <f>IFERROR(IF(CEILING($C17*4/data_raw_3_day!$H$3,1)&gt;4,"X","D"&amp;CEILING($C17*4/data_raw_3_day!$H$3,1)),"X")</f>
        <v>X</v>
      </c>
      <c r="F17" s="39" t="str">
        <f>IFERROR(IF(CEILING($C17*4/data_raw_3_day!$H$4,1)&gt;4,"X","D"&amp;CEILING($C17*4/data_raw_3_day!$H$4,1)),"X")</f>
        <v>D4</v>
      </c>
      <c r="G17" s="39" t="str">
        <f>IFERROR(IF(CEILING($C17*4/data_raw_3_day!$H$5,1)&gt;4,"X","D"&amp;CEILING($C17*4/data_raw_3_day!$H$5,1)),"X")</f>
        <v>D2</v>
      </c>
      <c r="H17" s="39" t="str">
        <f>IFERROR(IF(CEILING($C17*4/data_raw_3_day!$H$6,1)&gt;4,"X","D"&amp;CEILING($C17*4/data_raw_3_day!$H$6,1)),"X")</f>
        <v>D1</v>
      </c>
      <c r="I17" s="39" t="str">
        <f>IFERROR(IF(CEILING($C17*4/data_raw_3_day!$H$7,1)&gt;4,"X","D"&amp;CEILING($C17*4/data_raw_3_day!$H$7,1)),"X")</f>
        <v>D1</v>
      </c>
      <c r="J17" s="39" t="str">
        <f>IFERROR(IF(CEILING($C17*4/data_raw_3_day!$H$9,1)&gt;4,"X","D"&amp;CEILING($C17*4/data_raw_3_day!$H$9,1)),"X")</f>
        <v>X</v>
      </c>
      <c r="K17" s="39" t="str">
        <f>IFERROR(IF(CEILING($C17*4/data_raw_3_day!$H$10,1)&gt;4,"X","D"&amp;CEILING($C17*4/data_raw_3_day!$H$10,1)),"X")</f>
        <v>D4</v>
      </c>
      <c r="L17" s="39" t="str">
        <f>IFERROR(IF(CEILING($C17*4/data_raw_3_day!$H$11,1)&gt;4,"X","D"&amp;CEILING($C17*4/data_raw_3_day!$H$11,1)),"X")</f>
        <v>D2</v>
      </c>
      <c r="M17" s="39" t="str">
        <f>IFERROR(IF(CEILING($C17*4/data_raw_3_day!$H$12,1)&gt;4,"X","D"&amp;CEILING($C17*4/data_raw_3_day!$H$12,1)),"X")</f>
        <v>D1</v>
      </c>
      <c r="N17" s="39" t="str">
        <f>IFERROR(IF(CEILING($C17*4/data_raw_3_day!$H$13,1)&gt;4,"X","D"&amp;CEILING($C17*4/data_raw_3_day!$H$13,1)),"X")</f>
        <v>D1</v>
      </c>
    </row>
    <row r="18" ht="15.0" customHeight="1">
      <c r="A18" s="22">
        <f>milestone_3day_new!A17</f>
        <v>14</v>
      </c>
      <c r="B18" s="36">
        <f>milestone_3day_new!B17</f>
        <v>4300</v>
      </c>
      <c r="C18" s="37">
        <f>milestone_3day_new!C17</f>
        <v>24050</v>
      </c>
      <c r="D18" s="38" t="b">
        <f>milestone_3day_new!D17</f>
        <v>0</v>
      </c>
      <c r="E18" s="39" t="str">
        <f>IFERROR(IF(CEILING($C18*4/data_raw_3_day!$H$3,1)&gt;4,"X","D"&amp;CEILING($C18*4/data_raw_3_day!$H$3,1)),"X")</f>
        <v>X</v>
      </c>
      <c r="F18" s="39" t="str">
        <f>IFERROR(IF(CEILING($C18*4/data_raw_3_day!$H$4,1)&gt;4,"X","D"&amp;CEILING($C18*4/data_raw_3_day!$H$4,1)),"X")</f>
        <v>D4</v>
      </c>
      <c r="G18" s="39" t="str">
        <f>IFERROR(IF(CEILING($C18*4/data_raw_3_day!$H$5,1)&gt;4,"X","D"&amp;CEILING($C18*4/data_raw_3_day!$H$5,1)),"X")</f>
        <v>D2</v>
      </c>
      <c r="H18" s="39" t="str">
        <f>IFERROR(IF(CEILING($C18*4/data_raw_3_day!$H$6,1)&gt;4,"X","D"&amp;CEILING($C18*4/data_raw_3_day!$H$6,1)),"X")</f>
        <v>D1</v>
      </c>
      <c r="I18" s="39" t="str">
        <f>IFERROR(IF(CEILING($C18*4/data_raw_3_day!$H$7,1)&gt;4,"X","D"&amp;CEILING($C18*4/data_raw_3_day!$H$7,1)),"X")</f>
        <v>D1</v>
      </c>
      <c r="J18" s="39" t="str">
        <f>IFERROR(IF(CEILING($C18*4/data_raw_3_day!$H$9,1)&gt;4,"X","D"&amp;CEILING($C18*4/data_raw_3_day!$H$9,1)),"X")</f>
        <v>X</v>
      </c>
      <c r="K18" s="39" t="str">
        <f>IFERROR(IF(CEILING($C18*4/data_raw_3_day!$H$10,1)&gt;4,"X","D"&amp;CEILING($C18*4/data_raw_3_day!$H$10,1)),"X")</f>
        <v>D4</v>
      </c>
      <c r="L18" s="39" t="str">
        <f>IFERROR(IF(CEILING($C18*4/data_raw_3_day!$H$11,1)&gt;4,"X","D"&amp;CEILING($C18*4/data_raw_3_day!$H$11,1)),"X")</f>
        <v>D2</v>
      </c>
      <c r="M18" s="39" t="str">
        <f>IFERROR(IF(CEILING($C18*4/data_raw_3_day!$H$12,1)&gt;4,"X","D"&amp;CEILING($C18*4/data_raw_3_day!$H$12,1)),"X")</f>
        <v>D1</v>
      </c>
      <c r="N18" s="39" t="str">
        <f>IFERROR(IF(CEILING($C18*4/data_raw_3_day!$H$13,1)&gt;4,"X","D"&amp;CEILING($C18*4/data_raw_3_day!$H$13,1)),"X")</f>
        <v>D1</v>
      </c>
    </row>
    <row r="19" ht="15.0" customHeight="1">
      <c r="A19" s="22">
        <f>milestone_3day_new!A18</f>
        <v>15</v>
      </c>
      <c r="B19" s="36">
        <f>milestone_3day_new!B18</f>
        <v>13000</v>
      </c>
      <c r="C19" s="37">
        <f>milestone_3day_new!C18</f>
        <v>37050</v>
      </c>
      <c r="D19" s="38" t="b">
        <f>milestone_3day_new!D18</f>
        <v>1</v>
      </c>
      <c r="E19" s="39" t="str">
        <f>IFERROR(IF(CEILING($C19*4/data_raw_3_day!$H$3,1)&gt;4,"X","D"&amp;CEILING($C19*4/data_raw_3_day!$H$3,1)),"X")</f>
        <v>X</v>
      </c>
      <c r="F19" s="39" t="str">
        <f>IFERROR(IF(CEILING($C19*4/data_raw_3_day!$H$4,1)&gt;4,"X","D"&amp;CEILING($C19*4/data_raw_3_day!$H$4,1)),"X")</f>
        <v>X</v>
      </c>
      <c r="G19" s="39" t="str">
        <f>IFERROR(IF(CEILING($C19*4/data_raw_3_day!$H$5,1)&gt;4,"X","D"&amp;CEILING($C19*4/data_raw_3_day!$H$5,1)),"X")</f>
        <v>D4</v>
      </c>
      <c r="H19" s="39" t="str">
        <f>IFERROR(IF(CEILING($C19*4/data_raw_3_day!$H$6,1)&gt;4,"X","D"&amp;CEILING($C19*4/data_raw_3_day!$H$6,1)),"X")</f>
        <v>D2</v>
      </c>
      <c r="I19" s="39" t="str">
        <f>IFERROR(IF(CEILING($C19*4/data_raw_3_day!$H$7,1)&gt;4,"X","D"&amp;CEILING($C19*4/data_raw_3_day!$H$7,1)),"X")</f>
        <v>D1</v>
      </c>
      <c r="J19" s="39" t="str">
        <f>IFERROR(IF(CEILING($C19*4/data_raw_3_day!$H$9,1)&gt;4,"X","D"&amp;CEILING($C19*4/data_raw_3_day!$H$9,1)),"X")</f>
        <v>X</v>
      </c>
      <c r="K19" s="39" t="str">
        <f>IFERROR(IF(CEILING($C19*4/data_raw_3_day!$H$10,1)&gt;4,"X","D"&amp;CEILING($C19*4/data_raw_3_day!$H$10,1)),"X")</f>
        <v>X</v>
      </c>
      <c r="L19" s="39" t="str">
        <f>IFERROR(IF(CEILING($C19*4/data_raw_3_day!$H$11,1)&gt;4,"X","D"&amp;CEILING($C19*4/data_raw_3_day!$H$11,1)),"X")</f>
        <v>D3</v>
      </c>
      <c r="M19" s="39" t="str">
        <f>IFERROR(IF(CEILING($C19*4/data_raw_3_day!$H$12,1)&gt;4,"X","D"&amp;CEILING($C19*4/data_raw_3_day!$H$12,1)),"X")</f>
        <v>D2</v>
      </c>
      <c r="N19" s="39" t="str">
        <f>IFERROR(IF(CEILING($C19*4/data_raw_3_day!$H$13,1)&gt;4,"X","D"&amp;CEILING($C19*4/data_raw_3_day!$H$13,1)),"X")</f>
        <v>D1</v>
      </c>
    </row>
    <row r="20" ht="15.0" customHeight="1">
      <c r="A20" s="22">
        <f>milestone_3day_new!A19</f>
        <v>16</v>
      </c>
      <c r="B20" s="36">
        <f>milestone_3day_new!B19</f>
        <v>3300</v>
      </c>
      <c r="C20" s="37">
        <f>milestone_3day_new!C19</f>
        <v>40350</v>
      </c>
      <c r="D20" s="38" t="b">
        <f>milestone_3day_new!D19</f>
        <v>0</v>
      </c>
      <c r="E20" s="39" t="str">
        <f>IFERROR(IF(CEILING($C20*4/data_raw_3_day!$H$3,1)&gt;4,"X","D"&amp;CEILING($C20*4/data_raw_3_day!$H$3,1)),"X")</f>
        <v>X</v>
      </c>
      <c r="F20" s="39" t="str">
        <f>IFERROR(IF(CEILING($C20*4/data_raw_3_day!$H$4,1)&gt;4,"X","D"&amp;CEILING($C20*4/data_raw_3_day!$H$4,1)),"X")</f>
        <v>X</v>
      </c>
      <c r="G20" s="39" t="str">
        <f>IFERROR(IF(CEILING($C20*4/data_raw_3_day!$H$5,1)&gt;4,"X","D"&amp;CEILING($C20*4/data_raw_3_day!$H$5,1)),"X")</f>
        <v>D4</v>
      </c>
      <c r="H20" s="39" t="str">
        <f>IFERROR(IF(CEILING($C20*4/data_raw_3_day!$H$6,1)&gt;4,"X","D"&amp;CEILING($C20*4/data_raw_3_day!$H$6,1)),"X")</f>
        <v>D2</v>
      </c>
      <c r="I20" s="39" t="str">
        <f>IFERROR(IF(CEILING($C20*4/data_raw_3_day!$H$7,1)&gt;4,"X","D"&amp;CEILING($C20*4/data_raw_3_day!$H$7,1)),"X")</f>
        <v>D1</v>
      </c>
      <c r="J20" s="39" t="str">
        <f>IFERROR(IF(CEILING($C20*4/data_raw_3_day!$H$9,1)&gt;4,"X","D"&amp;CEILING($C20*4/data_raw_3_day!$H$9,1)),"X")</f>
        <v>X</v>
      </c>
      <c r="K20" s="39" t="str">
        <f>IFERROR(IF(CEILING($C20*4/data_raw_3_day!$H$10,1)&gt;4,"X","D"&amp;CEILING($C20*4/data_raw_3_day!$H$10,1)),"X")</f>
        <v>X</v>
      </c>
      <c r="L20" s="39" t="str">
        <f>IFERROR(IF(CEILING($C20*4/data_raw_3_day!$H$11,1)&gt;4,"X","D"&amp;CEILING($C20*4/data_raw_3_day!$H$11,1)),"X")</f>
        <v>D4</v>
      </c>
      <c r="M20" s="39" t="str">
        <f>IFERROR(IF(CEILING($C20*4/data_raw_3_day!$H$12,1)&gt;4,"X","D"&amp;CEILING($C20*4/data_raw_3_day!$H$12,1)),"X")</f>
        <v>D2</v>
      </c>
      <c r="N20" s="39" t="str">
        <f>IFERROR(IF(CEILING($C20*4/data_raw_3_day!$H$13,1)&gt;4,"X","D"&amp;CEILING($C20*4/data_raw_3_day!$H$13,1)),"X")</f>
        <v>D1</v>
      </c>
    </row>
    <row r="21" ht="15.0" customHeight="1">
      <c r="A21" s="22">
        <f>milestone_3day_new!A20</f>
        <v>17</v>
      </c>
      <c r="B21" s="36">
        <f>milestone_3day_new!B20</f>
        <v>5500</v>
      </c>
      <c r="C21" s="37">
        <f>milestone_3day_new!C20</f>
        <v>45850</v>
      </c>
      <c r="D21" s="38" t="b">
        <f>milestone_3day_new!D20</f>
        <v>0</v>
      </c>
      <c r="E21" s="39" t="str">
        <f>IFERROR(IF(CEILING($C21*4/data_raw_3_day!$H$3,1)&gt;4,"X","D"&amp;CEILING($C21*4/data_raw_3_day!$H$3,1)),"X")</f>
        <v>X</v>
      </c>
      <c r="F21" s="39" t="str">
        <f>IFERROR(IF(CEILING($C21*4/data_raw_3_day!$H$4,1)&gt;4,"X","D"&amp;CEILING($C21*4/data_raw_3_day!$H$4,1)),"X")</f>
        <v>X</v>
      </c>
      <c r="G21" s="39" t="str">
        <f>IFERROR(IF(CEILING($C21*4/data_raw_3_day!$H$5,1)&gt;4,"X","D"&amp;CEILING($C21*4/data_raw_3_day!$H$5,1)),"X")</f>
        <v>D4</v>
      </c>
      <c r="H21" s="39" t="str">
        <f>IFERROR(IF(CEILING($C21*4/data_raw_3_day!$H$6,1)&gt;4,"X","D"&amp;CEILING($C21*4/data_raw_3_day!$H$6,1)),"X")</f>
        <v>D2</v>
      </c>
      <c r="I21" s="39" t="str">
        <f>IFERROR(IF(CEILING($C21*4/data_raw_3_day!$H$7,1)&gt;4,"X","D"&amp;CEILING($C21*4/data_raw_3_day!$H$7,1)),"X")</f>
        <v>D1</v>
      </c>
      <c r="J21" s="39" t="str">
        <f>IFERROR(IF(CEILING($C21*4/data_raw_3_day!$H$9,1)&gt;4,"X","D"&amp;CEILING($C21*4/data_raw_3_day!$H$9,1)),"X")</f>
        <v>X</v>
      </c>
      <c r="K21" s="39" t="str">
        <f>IFERROR(IF(CEILING($C21*4/data_raw_3_day!$H$10,1)&gt;4,"X","D"&amp;CEILING($C21*4/data_raw_3_day!$H$10,1)),"X")</f>
        <v>X</v>
      </c>
      <c r="L21" s="39" t="str">
        <f>IFERROR(IF(CEILING($C21*4/data_raw_3_day!$H$11,1)&gt;4,"X","D"&amp;CEILING($C21*4/data_raw_3_day!$H$11,1)),"X")</f>
        <v>D4</v>
      </c>
      <c r="M21" s="39" t="str">
        <f>IFERROR(IF(CEILING($C21*4/data_raw_3_day!$H$12,1)&gt;4,"X","D"&amp;CEILING($C21*4/data_raw_3_day!$H$12,1)),"X")</f>
        <v>D2</v>
      </c>
      <c r="N21" s="39" t="str">
        <f>IFERROR(IF(CEILING($C21*4/data_raw_3_day!$H$13,1)&gt;4,"X","D"&amp;CEILING($C21*4/data_raw_3_day!$H$13,1)),"X")</f>
        <v>D1</v>
      </c>
    </row>
    <row r="22" ht="15.0" customHeight="1">
      <c r="A22" s="22">
        <f>milestone_3day_new!A21</f>
        <v>18</v>
      </c>
      <c r="B22" s="36">
        <f>milestone_3day_new!B21</f>
        <v>16250</v>
      </c>
      <c r="C22" s="37">
        <f>milestone_3day_new!C21</f>
        <v>62100</v>
      </c>
      <c r="D22" s="38" t="b">
        <f>milestone_3day_new!D21</f>
        <v>1</v>
      </c>
      <c r="E22" s="39" t="str">
        <f>IFERROR(IF(CEILING($C22*4/data_raw_3_day!$H$3,1)&gt;4,"X","D"&amp;CEILING($C22*4/data_raw_3_day!$H$3,1)),"X")</f>
        <v>X</v>
      </c>
      <c r="F22" s="39" t="str">
        <f>IFERROR(IF(CEILING($C22*4/data_raw_3_day!$H$4,1)&gt;4,"X","D"&amp;CEILING($C22*4/data_raw_3_day!$H$4,1)),"X")</f>
        <v>X</v>
      </c>
      <c r="G22" s="39" t="str">
        <f>IFERROR(IF(CEILING($C22*4/data_raw_3_day!$H$5,1)&gt;4,"X","D"&amp;CEILING($C22*4/data_raw_3_day!$H$5,1)),"X")</f>
        <v>X</v>
      </c>
      <c r="H22" s="39" t="str">
        <f>IFERROR(IF(CEILING($C22*4/data_raw_3_day!$H$6,1)&gt;4,"X","D"&amp;CEILING($C22*4/data_raw_3_day!$H$6,1)),"X")</f>
        <v>D3</v>
      </c>
      <c r="I22" s="39" t="str">
        <f>IFERROR(IF(CEILING($C22*4/data_raw_3_day!$H$7,1)&gt;4,"X","D"&amp;CEILING($C22*4/data_raw_3_day!$H$7,1)),"X")</f>
        <v>D2</v>
      </c>
      <c r="J22" s="39" t="str">
        <f>IFERROR(IF(CEILING($C22*4/data_raw_3_day!$H$9,1)&gt;4,"X","D"&amp;CEILING($C22*4/data_raw_3_day!$H$9,1)),"X")</f>
        <v>X</v>
      </c>
      <c r="K22" s="39" t="str">
        <f>IFERROR(IF(CEILING($C22*4/data_raw_3_day!$H$10,1)&gt;4,"X","D"&amp;CEILING($C22*4/data_raw_3_day!$H$10,1)),"X")</f>
        <v>X</v>
      </c>
      <c r="L22" s="39" t="str">
        <f>IFERROR(IF(CEILING($C22*4/data_raw_3_day!$H$11,1)&gt;4,"X","D"&amp;CEILING($C22*4/data_raw_3_day!$H$11,1)),"X")</f>
        <v>X</v>
      </c>
      <c r="M22" s="39" t="str">
        <f>IFERROR(IF(CEILING($C22*4/data_raw_3_day!$H$12,1)&gt;4,"X","D"&amp;CEILING($C22*4/data_raw_3_day!$H$12,1)),"X")</f>
        <v>D3</v>
      </c>
      <c r="N22" s="39" t="str">
        <f>IFERROR(IF(CEILING($C22*4/data_raw_3_day!$H$13,1)&gt;4,"X","D"&amp;CEILING($C22*4/data_raw_3_day!$H$13,1)),"X")</f>
        <v>D2</v>
      </c>
    </row>
    <row r="23" ht="15.0" customHeight="1">
      <c r="A23" s="22">
        <f>milestone_3day_new!A22</f>
        <v>19</v>
      </c>
      <c r="B23" s="36">
        <f>milestone_3day_new!B22</f>
        <v>3800</v>
      </c>
      <c r="C23" s="37">
        <f>milestone_3day_new!C22</f>
        <v>65900</v>
      </c>
      <c r="D23" s="38" t="b">
        <f>milestone_3day_new!D22</f>
        <v>0</v>
      </c>
      <c r="E23" s="39" t="str">
        <f>IFERROR(IF(CEILING($C23*4/data_raw_3_day!$H$3,1)&gt;4,"X","D"&amp;CEILING($C23*4/data_raw_3_day!$H$3,1)),"X")</f>
        <v>X</v>
      </c>
      <c r="F23" s="39" t="str">
        <f>IFERROR(IF(CEILING($C23*4/data_raw_3_day!$H$4,1)&gt;4,"X","D"&amp;CEILING($C23*4/data_raw_3_day!$H$4,1)),"X")</f>
        <v>X</v>
      </c>
      <c r="G23" s="39" t="str">
        <f>IFERROR(IF(CEILING($C23*4/data_raw_3_day!$H$5,1)&gt;4,"X","D"&amp;CEILING($C23*4/data_raw_3_day!$H$5,1)),"X")</f>
        <v>X</v>
      </c>
      <c r="H23" s="39" t="str">
        <f>IFERROR(IF(CEILING($C23*4/data_raw_3_day!$H$6,1)&gt;4,"X","D"&amp;CEILING($C23*4/data_raw_3_day!$H$6,1)),"X")</f>
        <v>D3</v>
      </c>
      <c r="I23" s="39" t="str">
        <f>IFERROR(IF(CEILING($C23*4/data_raw_3_day!$H$7,1)&gt;4,"X","D"&amp;CEILING($C23*4/data_raw_3_day!$H$7,1)),"X")</f>
        <v>D2</v>
      </c>
      <c r="J23" s="39" t="str">
        <f>IFERROR(IF(CEILING($C23*4/data_raw_3_day!$H$9,1)&gt;4,"X","D"&amp;CEILING($C23*4/data_raw_3_day!$H$9,1)),"X")</f>
        <v>X</v>
      </c>
      <c r="K23" s="39" t="str">
        <f>IFERROR(IF(CEILING($C23*4/data_raw_3_day!$H$10,1)&gt;4,"X","D"&amp;CEILING($C23*4/data_raw_3_day!$H$10,1)),"X")</f>
        <v>X</v>
      </c>
      <c r="L23" s="39" t="str">
        <f>IFERROR(IF(CEILING($C23*4/data_raw_3_day!$H$11,1)&gt;4,"X","D"&amp;CEILING($C23*4/data_raw_3_day!$H$11,1)),"X")</f>
        <v>X</v>
      </c>
      <c r="M23" s="39" t="str">
        <f>IFERROR(IF(CEILING($C23*4/data_raw_3_day!$H$12,1)&gt;4,"X","D"&amp;CEILING($C23*4/data_raw_3_day!$H$12,1)),"X")</f>
        <v>D3</v>
      </c>
      <c r="N23" s="39" t="str">
        <f>IFERROR(IF(CEILING($C23*4/data_raw_3_day!$H$13,1)&gt;4,"X","D"&amp;CEILING($C23*4/data_raw_3_day!$H$13,1)),"X")</f>
        <v>D2</v>
      </c>
    </row>
    <row r="24" ht="15.0" customHeight="1">
      <c r="A24" s="22">
        <f>milestone_3day_new!A23</f>
        <v>20</v>
      </c>
      <c r="B24" s="36">
        <f>milestone_3day_new!B23</f>
        <v>7000</v>
      </c>
      <c r="C24" s="37">
        <f>milestone_3day_new!C23</f>
        <v>72900</v>
      </c>
      <c r="D24" s="38" t="b">
        <f>milestone_3day_new!D23</f>
        <v>0</v>
      </c>
      <c r="E24" s="39" t="str">
        <f>IFERROR(IF(CEILING($C24*4/data_raw_3_day!$H$3,1)&gt;4,"X","D"&amp;CEILING($C24*4/data_raw_3_day!$H$3,1)),"X")</f>
        <v>X</v>
      </c>
      <c r="F24" s="39" t="str">
        <f>IFERROR(IF(CEILING($C24*4/data_raw_3_day!$H$4,1)&gt;4,"X","D"&amp;CEILING($C24*4/data_raw_3_day!$H$4,1)),"X")</f>
        <v>X</v>
      </c>
      <c r="G24" s="39" t="str">
        <f>IFERROR(IF(CEILING($C24*4/data_raw_3_day!$H$5,1)&gt;4,"X","D"&amp;CEILING($C24*4/data_raw_3_day!$H$5,1)),"X")</f>
        <v>X</v>
      </c>
      <c r="H24" s="39" t="str">
        <f>IFERROR(IF(CEILING($C24*4/data_raw_3_day!$H$6,1)&gt;4,"X","D"&amp;CEILING($C24*4/data_raw_3_day!$H$6,1)),"X")</f>
        <v>D3</v>
      </c>
      <c r="I24" s="39" t="str">
        <f>IFERROR(IF(CEILING($C24*4/data_raw_3_day!$H$7,1)&gt;4,"X","D"&amp;CEILING($C24*4/data_raw_3_day!$H$7,1)),"X")</f>
        <v>D2</v>
      </c>
      <c r="J24" s="39" t="str">
        <f>IFERROR(IF(CEILING($C24*4/data_raw_3_day!$H$9,1)&gt;4,"X","D"&amp;CEILING($C24*4/data_raw_3_day!$H$9,1)),"X")</f>
        <v>X</v>
      </c>
      <c r="K24" s="39" t="str">
        <f>IFERROR(IF(CEILING($C24*4/data_raw_3_day!$H$10,1)&gt;4,"X","D"&amp;CEILING($C24*4/data_raw_3_day!$H$10,1)),"X")</f>
        <v>X</v>
      </c>
      <c r="L24" s="39" t="str">
        <f>IFERROR(IF(CEILING($C24*4/data_raw_3_day!$H$11,1)&gt;4,"X","D"&amp;CEILING($C24*4/data_raw_3_day!$H$11,1)),"X")</f>
        <v>X</v>
      </c>
      <c r="M24" s="39" t="str">
        <f>IFERROR(IF(CEILING($C24*4/data_raw_3_day!$H$12,1)&gt;4,"X","D"&amp;CEILING($C24*4/data_raw_3_day!$H$12,1)),"X")</f>
        <v>D3</v>
      </c>
      <c r="N24" s="39" t="str">
        <f>IFERROR(IF(CEILING($C24*4/data_raw_3_day!$H$13,1)&gt;4,"X","D"&amp;CEILING($C24*4/data_raw_3_day!$H$13,1)),"X")</f>
        <v>D2</v>
      </c>
    </row>
    <row r="25" ht="15.0" customHeight="1">
      <c r="A25" s="22">
        <f>milestone_3day_new!A24</f>
        <v>21</v>
      </c>
      <c r="B25" s="36">
        <f>milestone_3day_new!B24</f>
        <v>19500</v>
      </c>
      <c r="C25" s="37">
        <f>milestone_3day_new!C24</f>
        <v>92400</v>
      </c>
      <c r="D25" s="38" t="b">
        <f>milestone_3day_new!D24</f>
        <v>1</v>
      </c>
      <c r="E25" s="39" t="str">
        <f>IFERROR(IF(CEILING($C25*4/data_raw_3_day!$H$3,1)&gt;4,"X","D"&amp;CEILING($C25*4/data_raw_3_day!$H$3,1)),"X")</f>
        <v>X</v>
      </c>
      <c r="F25" s="39" t="str">
        <f>IFERROR(IF(CEILING($C25*4/data_raw_3_day!$H$4,1)&gt;4,"X","D"&amp;CEILING($C25*4/data_raw_3_day!$H$4,1)),"X")</f>
        <v>X</v>
      </c>
      <c r="G25" s="39" t="str">
        <f>IFERROR(IF(CEILING($C25*4/data_raw_3_day!$H$5,1)&gt;4,"X","D"&amp;CEILING($C25*4/data_raw_3_day!$H$5,1)),"X")</f>
        <v>X</v>
      </c>
      <c r="H25" s="39" t="str">
        <f>IFERROR(IF(CEILING($C25*4/data_raw_3_day!$H$6,1)&gt;4,"X","D"&amp;CEILING($C25*4/data_raw_3_day!$H$6,1)),"X")</f>
        <v>D4</v>
      </c>
      <c r="I25" s="39" t="str">
        <f>IFERROR(IF(CEILING($C25*4/data_raw_3_day!$H$7,1)&gt;4,"X","D"&amp;CEILING($C25*4/data_raw_3_day!$H$7,1)),"X")</f>
        <v>D2</v>
      </c>
      <c r="J25" s="39" t="str">
        <f>IFERROR(IF(CEILING($C25*4/data_raw_3_day!$H$9,1)&gt;4,"X","D"&amp;CEILING($C25*4/data_raw_3_day!$H$9,1)),"X")</f>
        <v>X</v>
      </c>
      <c r="K25" s="39" t="str">
        <f>IFERROR(IF(CEILING($C25*4/data_raw_3_day!$H$10,1)&gt;4,"X","D"&amp;CEILING($C25*4/data_raw_3_day!$H$10,1)),"X")</f>
        <v>X</v>
      </c>
      <c r="L25" s="39" t="str">
        <f>IFERROR(IF(CEILING($C25*4/data_raw_3_day!$H$11,1)&gt;4,"X","D"&amp;CEILING($C25*4/data_raw_3_day!$H$11,1)),"X")</f>
        <v>X</v>
      </c>
      <c r="M25" s="39" t="str">
        <f>IFERROR(IF(CEILING($C25*4/data_raw_3_day!$H$12,1)&gt;4,"X","D"&amp;CEILING($C25*4/data_raw_3_day!$H$12,1)),"X")</f>
        <v>D4</v>
      </c>
      <c r="N25" s="39" t="str">
        <f>IFERROR(IF(CEILING($C25*4/data_raw_3_day!$H$13,1)&gt;4,"X","D"&amp;CEILING($C25*4/data_raw_3_day!$H$13,1)),"X")</f>
        <v>D2</v>
      </c>
    </row>
    <row r="26" ht="15.0" customHeight="1">
      <c r="A26" s="22">
        <f>milestone_3day_new!A25</f>
        <v>22</v>
      </c>
      <c r="B26" s="36">
        <f>milestone_3day_new!B25</f>
        <v>4900</v>
      </c>
      <c r="C26" s="37">
        <f>milestone_3day_new!C25</f>
        <v>97300</v>
      </c>
      <c r="D26" s="38" t="b">
        <f>milestone_3day_new!D25</f>
        <v>0</v>
      </c>
      <c r="E26" s="39" t="str">
        <f>IFERROR(IF(CEILING($C26*4/data_raw_3_day!$H$3,1)&gt;4,"X","D"&amp;CEILING($C26*4/data_raw_3_day!$H$3,1)),"X")</f>
        <v>X</v>
      </c>
      <c r="F26" s="39" t="str">
        <f>IFERROR(IF(CEILING($C26*4/data_raw_3_day!$H$4,1)&gt;4,"X","D"&amp;CEILING($C26*4/data_raw_3_day!$H$4,1)),"X")</f>
        <v>X</v>
      </c>
      <c r="G26" s="39" t="str">
        <f>IFERROR(IF(CEILING($C26*4/data_raw_3_day!$H$5,1)&gt;4,"X","D"&amp;CEILING($C26*4/data_raw_3_day!$H$5,1)),"X")</f>
        <v>X</v>
      </c>
      <c r="H26" s="39" t="str">
        <f>IFERROR(IF(CEILING($C26*4/data_raw_3_day!$H$6,1)&gt;4,"X","D"&amp;CEILING($C26*4/data_raw_3_day!$H$6,1)),"X")</f>
        <v>D4</v>
      </c>
      <c r="I26" s="39" t="str">
        <f>IFERROR(IF(CEILING($C26*4/data_raw_3_day!$H$7,1)&gt;4,"X","D"&amp;CEILING($C26*4/data_raw_3_day!$H$7,1)),"X")</f>
        <v>D3</v>
      </c>
      <c r="J26" s="39" t="str">
        <f>IFERROR(IF(CEILING($C26*4/data_raw_3_day!$H$9,1)&gt;4,"X","D"&amp;CEILING($C26*4/data_raw_3_day!$H$9,1)),"X")</f>
        <v>X</v>
      </c>
      <c r="K26" s="39" t="str">
        <f>IFERROR(IF(CEILING($C26*4/data_raw_3_day!$H$10,1)&gt;4,"X","D"&amp;CEILING($C26*4/data_raw_3_day!$H$10,1)),"X")</f>
        <v>X</v>
      </c>
      <c r="L26" s="39" t="str">
        <f>IFERROR(IF(CEILING($C26*4/data_raw_3_day!$H$11,1)&gt;4,"X","D"&amp;CEILING($C26*4/data_raw_3_day!$H$11,1)),"X")</f>
        <v>X</v>
      </c>
      <c r="M26" s="39" t="str">
        <f>IFERROR(IF(CEILING($C26*4/data_raw_3_day!$H$12,1)&gt;4,"X","D"&amp;CEILING($C26*4/data_raw_3_day!$H$12,1)),"X")</f>
        <v>D4</v>
      </c>
      <c r="N26" s="39" t="str">
        <f>IFERROR(IF(CEILING($C26*4/data_raw_3_day!$H$13,1)&gt;4,"X","D"&amp;CEILING($C26*4/data_raw_3_day!$H$13,1)),"X")</f>
        <v>D2</v>
      </c>
    </row>
    <row r="27" ht="15.0" customHeight="1">
      <c r="A27" s="22">
        <f>milestone_3day_new!A26</f>
        <v>23</v>
      </c>
      <c r="B27" s="36">
        <f>milestone_3day_new!B26</f>
        <v>8750</v>
      </c>
      <c r="C27" s="37">
        <f>milestone_3day_new!C26</f>
        <v>106050</v>
      </c>
      <c r="D27" s="38" t="b">
        <f>milestone_3day_new!D26</f>
        <v>0</v>
      </c>
      <c r="E27" s="39" t="str">
        <f>IFERROR(IF(CEILING($C27*4/data_raw_3_day!$H$3,1)&gt;4,"X","D"&amp;CEILING($C27*4/data_raw_3_day!$H$3,1)),"X")</f>
        <v>X</v>
      </c>
      <c r="F27" s="39" t="str">
        <f>IFERROR(IF(CEILING($C27*4/data_raw_3_day!$H$4,1)&gt;4,"X","D"&amp;CEILING($C27*4/data_raw_3_day!$H$4,1)),"X")</f>
        <v>X</v>
      </c>
      <c r="G27" s="39" t="str">
        <f>IFERROR(IF(CEILING($C27*4/data_raw_3_day!$H$5,1)&gt;4,"X","D"&amp;CEILING($C27*4/data_raw_3_day!$H$5,1)),"X")</f>
        <v>X</v>
      </c>
      <c r="H27" s="39" t="str">
        <f>IFERROR(IF(CEILING($C27*4/data_raw_3_day!$H$6,1)&gt;4,"X","D"&amp;CEILING($C27*4/data_raw_3_day!$H$6,1)),"X")</f>
        <v>X</v>
      </c>
      <c r="I27" s="39" t="str">
        <f>IFERROR(IF(CEILING($C27*4/data_raw_3_day!$H$7,1)&gt;4,"X","D"&amp;CEILING($C27*4/data_raw_3_day!$H$7,1)),"X")</f>
        <v>D3</v>
      </c>
      <c r="J27" s="39" t="str">
        <f>IFERROR(IF(CEILING($C27*4/data_raw_3_day!$H$9,1)&gt;4,"X","D"&amp;CEILING($C27*4/data_raw_3_day!$H$9,1)),"X")</f>
        <v>X</v>
      </c>
      <c r="K27" s="39" t="str">
        <f>IFERROR(IF(CEILING($C27*4/data_raw_3_day!$H$10,1)&gt;4,"X","D"&amp;CEILING($C27*4/data_raw_3_day!$H$10,1)),"X")</f>
        <v>X</v>
      </c>
      <c r="L27" s="39" t="str">
        <f>IFERROR(IF(CEILING($C27*4/data_raw_3_day!$H$11,1)&gt;4,"X","D"&amp;CEILING($C27*4/data_raw_3_day!$H$11,1)),"X")</f>
        <v>X</v>
      </c>
      <c r="M27" s="39" t="str">
        <f>IFERROR(IF(CEILING($C27*4/data_raw_3_day!$H$12,1)&gt;4,"X","D"&amp;CEILING($C27*4/data_raw_3_day!$H$12,1)),"X")</f>
        <v>X</v>
      </c>
      <c r="N27" s="39" t="str">
        <f>IFERROR(IF(CEILING($C27*4/data_raw_3_day!$H$13,1)&gt;4,"X","D"&amp;CEILING($C27*4/data_raw_3_day!$H$13,1)),"X")</f>
        <v>D2</v>
      </c>
    </row>
    <row r="28" ht="15.0" customHeight="1">
      <c r="A28" s="22">
        <f>milestone_3day_new!A27</f>
        <v>24</v>
      </c>
      <c r="B28" s="36">
        <f>milestone_3day_new!B27</f>
        <v>22000</v>
      </c>
      <c r="C28" s="37">
        <f>milestone_3day_new!C27</f>
        <v>128050</v>
      </c>
      <c r="D28" s="38" t="b">
        <f>milestone_3day_new!D27</f>
        <v>1</v>
      </c>
      <c r="E28" s="39" t="str">
        <f>IFERROR(IF(CEILING($C28*4/data_raw_3_day!$H$3,1)&gt;4,"X","D"&amp;CEILING($C28*4/data_raw_3_day!$H$3,1)),"X")</f>
        <v>X</v>
      </c>
      <c r="F28" s="39" t="str">
        <f>IFERROR(IF(CEILING($C28*4/data_raw_3_day!$H$4,1)&gt;4,"X","D"&amp;CEILING($C28*4/data_raw_3_day!$H$4,1)),"X")</f>
        <v>X</v>
      </c>
      <c r="G28" s="39" t="str">
        <f>IFERROR(IF(CEILING($C28*4/data_raw_3_day!$H$5,1)&gt;4,"X","D"&amp;CEILING($C28*4/data_raw_3_day!$H$5,1)),"X")</f>
        <v>X</v>
      </c>
      <c r="H28" s="39" t="str">
        <f>IFERROR(IF(CEILING($C28*4/data_raw_3_day!$H$6,1)&gt;4,"X","D"&amp;CEILING($C28*4/data_raw_3_day!$H$6,1)),"X")</f>
        <v>X</v>
      </c>
      <c r="I28" s="39" t="str">
        <f>IFERROR(IF(CEILING($C28*4/data_raw_3_day!$H$7,1)&gt;4,"X","D"&amp;CEILING($C28*4/data_raw_3_day!$H$7,1)),"X")</f>
        <v>D3</v>
      </c>
      <c r="J28" s="39" t="str">
        <f>IFERROR(IF(CEILING($C28*4/data_raw_3_day!$H$9,1)&gt;4,"X","D"&amp;CEILING($C28*4/data_raw_3_day!$H$9,1)),"X")</f>
        <v>X</v>
      </c>
      <c r="K28" s="39" t="str">
        <f>IFERROR(IF(CEILING($C28*4/data_raw_3_day!$H$10,1)&gt;4,"X","D"&amp;CEILING($C28*4/data_raw_3_day!$H$10,1)),"X")</f>
        <v>X</v>
      </c>
      <c r="L28" s="39" t="str">
        <f>IFERROR(IF(CEILING($C28*4/data_raw_3_day!$H$11,1)&gt;4,"X","D"&amp;CEILING($C28*4/data_raw_3_day!$H$11,1)),"X")</f>
        <v>X</v>
      </c>
      <c r="M28" s="39" t="str">
        <f>IFERROR(IF(CEILING($C28*4/data_raw_3_day!$H$12,1)&gt;4,"X","D"&amp;CEILING($C28*4/data_raw_3_day!$H$12,1)),"X")</f>
        <v>X</v>
      </c>
      <c r="N28" s="39" t="str">
        <f>IFERROR(IF(CEILING($C28*4/data_raw_3_day!$H$13,1)&gt;4,"X","D"&amp;CEILING($C28*4/data_raw_3_day!$H$13,1)),"X")</f>
        <v>D3</v>
      </c>
    </row>
    <row r="29" ht="15.0" customHeight="1">
      <c r="A29" s="22">
        <f>milestone_3day_new!A28</f>
        <v>25</v>
      </c>
      <c r="B29" s="36">
        <f>milestone_3day_new!B28</f>
        <v>5500</v>
      </c>
      <c r="C29" s="37">
        <f>milestone_3day_new!C28</f>
        <v>133550</v>
      </c>
      <c r="D29" s="38" t="b">
        <f>milestone_3day_new!D28</f>
        <v>0</v>
      </c>
      <c r="E29" s="39" t="str">
        <f>IFERROR(IF(CEILING($C29*4/data_raw_3_day!$H$3,1)&gt;4,"X","D"&amp;CEILING($C29*4/data_raw_3_day!$H$3,1)),"X")</f>
        <v>X</v>
      </c>
      <c r="F29" s="39" t="str">
        <f>IFERROR(IF(CEILING($C29*4/data_raw_3_day!$H$4,1)&gt;4,"X","D"&amp;CEILING($C29*4/data_raw_3_day!$H$4,1)),"X")</f>
        <v>X</v>
      </c>
      <c r="G29" s="39" t="str">
        <f>IFERROR(IF(CEILING($C29*4/data_raw_3_day!$H$5,1)&gt;4,"X","D"&amp;CEILING($C29*4/data_raw_3_day!$H$5,1)),"X")</f>
        <v>X</v>
      </c>
      <c r="H29" s="39" t="str">
        <f>IFERROR(IF(CEILING($C29*4/data_raw_3_day!$H$6,1)&gt;4,"X","D"&amp;CEILING($C29*4/data_raw_3_day!$H$6,1)),"X")</f>
        <v>X</v>
      </c>
      <c r="I29" s="39" t="str">
        <f>IFERROR(IF(CEILING($C29*4/data_raw_3_day!$H$7,1)&gt;4,"X","D"&amp;CEILING($C29*4/data_raw_3_day!$H$7,1)),"X")</f>
        <v>D3</v>
      </c>
      <c r="J29" s="39" t="str">
        <f>IFERROR(IF(CEILING($C29*4/data_raw_3_day!$H$9,1)&gt;4,"X","D"&amp;CEILING($C29*4/data_raw_3_day!$H$9,1)),"X")</f>
        <v>X</v>
      </c>
      <c r="K29" s="39" t="str">
        <f>IFERROR(IF(CEILING($C29*4/data_raw_3_day!$H$10,1)&gt;4,"X","D"&amp;CEILING($C29*4/data_raw_3_day!$H$10,1)),"X")</f>
        <v>X</v>
      </c>
      <c r="L29" s="39" t="str">
        <f>IFERROR(IF(CEILING($C29*4/data_raw_3_day!$H$11,1)&gt;4,"X","D"&amp;CEILING($C29*4/data_raw_3_day!$H$11,1)),"X")</f>
        <v>X</v>
      </c>
      <c r="M29" s="39" t="str">
        <f>IFERROR(IF(CEILING($C29*4/data_raw_3_day!$H$12,1)&gt;4,"X","D"&amp;CEILING($C29*4/data_raw_3_day!$H$12,1)),"X")</f>
        <v>X</v>
      </c>
      <c r="N29" s="39" t="str">
        <f>IFERROR(IF(CEILING($C29*4/data_raw_3_day!$H$13,1)&gt;4,"X","D"&amp;CEILING($C29*4/data_raw_3_day!$H$13,1)),"X")</f>
        <v>D3</v>
      </c>
    </row>
    <row r="30" ht="15.0" customHeight="1">
      <c r="A30" s="22">
        <f>milestone_3day_new!A29</f>
        <v>26</v>
      </c>
      <c r="B30" s="36">
        <f>milestone_3day_new!B29</f>
        <v>8210</v>
      </c>
      <c r="C30" s="37">
        <f>milestone_3day_new!C29</f>
        <v>141760</v>
      </c>
      <c r="D30" s="38" t="b">
        <f>milestone_3day_new!D29</f>
        <v>0</v>
      </c>
      <c r="E30" s="39" t="str">
        <f>IFERROR(IF(CEILING($C30*4/data_raw_3_day!$H$3,1)&gt;4,"X","D"&amp;CEILING($C30*4/data_raw_3_day!$H$3,1)),"X")</f>
        <v>X</v>
      </c>
      <c r="F30" s="39" t="str">
        <f>IFERROR(IF(CEILING($C30*4/data_raw_3_day!$H$4,1)&gt;4,"X","D"&amp;CEILING($C30*4/data_raw_3_day!$H$4,1)),"X")</f>
        <v>X</v>
      </c>
      <c r="G30" s="39" t="str">
        <f>IFERROR(IF(CEILING($C30*4/data_raw_3_day!$H$5,1)&gt;4,"X","D"&amp;CEILING($C30*4/data_raw_3_day!$H$5,1)),"X")</f>
        <v>X</v>
      </c>
      <c r="H30" s="39" t="str">
        <f>IFERROR(IF(CEILING($C30*4/data_raw_3_day!$H$6,1)&gt;4,"X","D"&amp;CEILING($C30*4/data_raw_3_day!$H$6,1)),"X")</f>
        <v>X</v>
      </c>
      <c r="I30" s="39" t="str">
        <f>IFERROR(IF(CEILING($C30*4/data_raw_3_day!$H$7,1)&gt;4,"X","D"&amp;CEILING($C30*4/data_raw_3_day!$H$7,1)),"X")</f>
        <v>D3</v>
      </c>
      <c r="J30" s="39" t="str">
        <f>IFERROR(IF(CEILING($C30*4/data_raw_3_day!$H$9,1)&gt;4,"X","D"&amp;CEILING($C30*4/data_raw_3_day!$H$9,1)),"X")</f>
        <v>X</v>
      </c>
      <c r="K30" s="39" t="str">
        <f>IFERROR(IF(CEILING($C30*4/data_raw_3_day!$H$10,1)&gt;4,"X","D"&amp;CEILING($C30*4/data_raw_3_day!$H$10,1)),"X")</f>
        <v>X</v>
      </c>
      <c r="L30" s="39" t="str">
        <f>IFERROR(IF(CEILING($C30*4/data_raw_3_day!$H$11,1)&gt;4,"X","D"&amp;CEILING($C30*4/data_raw_3_day!$H$11,1)),"X")</f>
        <v>X</v>
      </c>
      <c r="M30" s="39" t="str">
        <f>IFERROR(IF(CEILING($C30*4/data_raw_3_day!$H$12,1)&gt;4,"X","D"&amp;CEILING($C30*4/data_raw_3_day!$H$12,1)),"X")</f>
        <v>X</v>
      </c>
      <c r="N30" s="39" t="str">
        <f>IFERROR(IF(CEILING($C30*4/data_raw_3_day!$H$13,1)&gt;4,"X","D"&amp;CEILING($C30*4/data_raw_3_day!$H$13,1)),"X")</f>
        <v>D3</v>
      </c>
    </row>
    <row r="31" ht="15.0" customHeight="1">
      <c r="A31" s="22">
        <f>milestone_3day_new!A30</f>
        <v>27</v>
      </c>
      <c r="B31" s="36">
        <f>milestone_3day_new!B30</f>
        <v>49000</v>
      </c>
      <c r="C31" s="37">
        <f>milestone_3day_new!C30</f>
        <v>190760</v>
      </c>
      <c r="D31" s="38" t="b">
        <f>milestone_3day_new!D30</f>
        <v>1</v>
      </c>
      <c r="E31" s="39" t="str">
        <f>IFERROR(IF(CEILING($C31*4/data_raw_3_day!$H$3,1)&gt;4,"X","D"&amp;CEILING($C31*4/data_raw_3_day!$H$3,1)),"X")</f>
        <v>X</v>
      </c>
      <c r="F31" s="39" t="str">
        <f>IFERROR(IF(CEILING($C31*4/data_raw_3_day!$H$4,1)&gt;4,"X","D"&amp;CEILING($C31*4/data_raw_3_day!$H$4,1)),"X")</f>
        <v>X</v>
      </c>
      <c r="G31" s="39" t="str">
        <f>IFERROR(IF(CEILING($C31*4/data_raw_3_day!$H$5,1)&gt;4,"X","D"&amp;CEILING($C31*4/data_raw_3_day!$H$5,1)),"X")</f>
        <v>X</v>
      </c>
      <c r="H31" s="39" t="str">
        <f>IFERROR(IF(CEILING($C31*4/data_raw_3_day!$H$6,1)&gt;4,"X","D"&amp;CEILING($C31*4/data_raw_3_day!$H$6,1)),"X")</f>
        <v>X</v>
      </c>
      <c r="I31" s="39" t="str">
        <f>IFERROR(IF(CEILING($C31*4/data_raw_3_day!$H$7,1)&gt;4,"X","D"&amp;CEILING($C31*4/data_raw_3_day!$H$7,1)),"X")</f>
        <v>D4</v>
      </c>
      <c r="J31" s="39" t="str">
        <f>IFERROR(IF(CEILING($C31*4/data_raw_3_day!$H$9,1)&gt;4,"X","D"&amp;CEILING($C31*4/data_raw_3_day!$H$9,1)),"X")</f>
        <v>X</v>
      </c>
      <c r="K31" s="39" t="str">
        <f>IFERROR(IF(CEILING($C31*4/data_raw_3_day!$H$10,1)&gt;4,"X","D"&amp;CEILING($C31*4/data_raw_3_day!$H$10,1)),"X")</f>
        <v>X</v>
      </c>
      <c r="L31" s="39" t="str">
        <f>IFERROR(IF(CEILING($C31*4/data_raw_3_day!$H$11,1)&gt;4,"X","D"&amp;CEILING($C31*4/data_raw_3_day!$H$11,1)),"X")</f>
        <v>X</v>
      </c>
      <c r="M31" s="39" t="str">
        <f>IFERROR(IF(CEILING($C31*4/data_raw_3_day!$H$12,1)&gt;4,"X","D"&amp;CEILING($C31*4/data_raw_3_day!$H$12,1)),"X")</f>
        <v>X</v>
      </c>
      <c r="N31" s="39" t="str">
        <f>IFERROR(IF(CEILING($C31*4/data_raw_3_day!$H$13,1)&gt;4,"X","D"&amp;CEILING($C31*4/data_raw_3_day!$H$13,1)),"X")</f>
        <v>D4</v>
      </c>
    </row>
    <row r="32" ht="15.0" customHeight="1">
      <c r="A32" s="22">
        <f>milestone_3day_new!A31</f>
        <v>28</v>
      </c>
      <c r="B32" s="36">
        <f>milestone_3day_new!B31</f>
        <v>12250</v>
      </c>
      <c r="C32" s="37">
        <f>milestone_3day_new!C31</f>
        <v>203010</v>
      </c>
      <c r="D32" s="38" t="b">
        <f>milestone_3day_new!D31</f>
        <v>0</v>
      </c>
      <c r="E32" s="39" t="str">
        <f>IFERROR(IF(CEILING($C32*4/data_raw_3_day!$H$3,1)&gt;4,"X","D"&amp;CEILING($C32*4/data_raw_3_day!$H$3,1)),"X")</f>
        <v>X</v>
      </c>
      <c r="F32" s="39" t="str">
        <f>IFERROR(IF(CEILING($C32*4/data_raw_3_day!$H$4,1)&gt;4,"X","D"&amp;CEILING($C32*4/data_raw_3_day!$H$4,1)),"X")</f>
        <v>X</v>
      </c>
      <c r="G32" s="39" t="str">
        <f>IFERROR(IF(CEILING($C32*4/data_raw_3_day!$H$5,1)&gt;4,"X","D"&amp;CEILING($C32*4/data_raw_3_day!$H$5,1)),"X")</f>
        <v>X</v>
      </c>
      <c r="H32" s="39" t="str">
        <f>IFERROR(IF(CEILING($C32*4/data_raw_3_day!$H$6,1)&gt;4,"X","D"&amp;CEILING($C32*4/data_raw_3_day!$H$6,1)),"X")</f>
        <v>X</v>
      </c>
      <c r="I32" s="39" t="str">
        <f>IFERROR(IF(CEILING($C32*4/data_raw_3_day!$H$7,1)&gt;4,"X","D"&amp;CEILING($C32*4/data_raw_3_day!$H$7,1)),"X")</f>
        <v>X</v>
      </c>
      <c r="J32" s="39" t="str">
        <f>IFERROR(IF(CEILING($C32*4/data_raw_3_day!$H$9,1)&gt;4,"X","D"&amp;CEILING($C32*4/data_raw_3_day!$H$9,1)),"X")</f>
        <v>X</v>
      </c>
      <c r="K32" s="39" t="str">
        <f>IFERROR(IF(CEILING($C32*4/data_raw_3_day!$H$10,1)&gt;4,"X","D"&amp;CEILING($C32*4/data_raw_3_day!$H$10,1)),"X")</f>
        <v>X</v>
      </c>
      <c r="L32" s="39" t="str">
        <f>IFERROR(IF(CEILING($C32*4/data_raw_3_day!$H$11,1)&gt;4,"X","D"&amp;CEILING($C32*4/data_raw_3_day!$H$11,1)),"X")</f>
        <v>X</v>
      </c>
      <c r="M32" s="39" t="str">
        <f>IFERROR(IF(CEILING($C32*4/data_raw_3_day!$H$12,1)&gt;4,"X","D"&amp;CEILING($C32*4/data_raw_3_day!$H$12,1)),"X")</f>
        <v>X</v>
      </c>
      <c r="N32" s="39" t="str">
        <f>IFERROR(IF(CEILING($C32*4/data_raw_3_day!$H$13,1)&gt;4,"X","D"&amp;CEILING($C32*4/data_raw_3_day!$H$13,1)),"X")</f>
        <v>D4</v>
      </c>
    </row>
    <row r="33" ht="15.0" customHeight="1">
      <c r="A33" s="22">
        <f>milestone_3day_new!A32</f>
        <v>29</v>
      </c>
      <c r="B33" s="36">
        <f>milestone_3day_new!B32</f>
        <v>22000</v>
      </c>
      <c r="C33" s="37">
        <f>milestone_3day_new!C32</f>
        <v>225010</v>
      </c>
      <c r="D33" s="38" t="b">
        <f>milestone_3day_new!D32</f>
        <v>0</v>
      </c>
      <c r="E33" s="39" t="str">
        <f>IFERROR(IF(CEILING($C33*4/data_raw_3_day!$H$3,1)&gt;4,"X","D"&amp;CEILING($C33*4/data_raw_3_day!$H$3,1)),"X")</f>
        <v>X</v>
      </c>
      <c r="F33" s="39" t="str">
        <f>IFERROR(IF(CEILING($C33*4/data_raw_3_day!$H$4,1)&gt;4,"X","D"&amp;CEILING($C33*4/data_raw_3_day!$H$4,1)),"X")</f>
        <v>X</v>
      </c>
      <c r="G33" s="39" t="str">
        <f>IFERROR(IF(CEILING($C33*4/data_raw_3_day!$H$5,1)&gt;4,"X","D"&amp;CEILING($C33*4/data_raw_3_day!$H$5,1)),"X")</f>
        <v>X</v>
      </c>
      <c r="H33" s="39" t="str">
        <f>IFERROR(IF(CEILING($C33*4/data_raw_3_day!$H$6,1)&gt;4,"X","D"&amp;CEILING($C33*4/data_raw_3_day!$H$6,1)),"X")</f>
        <v>X</v>
      </c>
      <c r="I33" s="39" t="str">
        <f>IFERROR(IF(CEILING($C33*4/data_raw_3_day!$H$7,1)&gt;4,"X","D"&amp;CEILING($C33*4/data_raw_3_day!$H$7,1)),"X")</f>
        <v>X</v>
      </c>
      <c r="J33" s="39" t="str">
        <f>IFERROR(IF(CEILING($C33*4/data_raw_3_day!$H$9,1)&gt;4,"X","D"&amp;CEILING($C33*4/data_raw_3_day!$H$9,1)),"X")</f>
        <v>X</v>
      </c>
      <c r="K33" s="39" t="str">
        <f>IFERROR(IF(CEILING($C33*4/data_raw_3_day!$H$10,1)&gt;4,"X","D"&amp;CEILING($C33*4/data_raw_3_day!$H$10,1)),"X")</f>
        <v>X</v>
      </c>
      <c r="L33" s="39" t="str">
        <f>IFERROR(IF(CEILING($C33*4/data_raw_3_day!$H$11,1)&gt;4,"X","D"&amp;CEILING($C33*4/data_raw_3_day!$H$11,1)),"X")</f>
        <v>X</v>
      </c>
      <c r="M33" s="39" t="str">
        <f>IFERROR(IF(CEILING($C33*4/data_raw_3_day!$H$12,1)&gt;4,"X","D"&amp;CEILING($C33*4/data_raw_3_day!$H$12,1)),"X")</f>
        <v>X</v>
      </c>
      <c r="N33" s="39" t="str">
        <f>IFERROR(IF(CEILING($C33*4/data_raw_3_day!$H$13,1)&gt;4,"X","D"&amp;CEILING($C33*4/data_raw_3_day!$H$13,1)),"X")</f>
        <v>X</v>
      </c>
    </row>
    <row r="34" ht="15.0" customHeight="1">
      <c r="A34" s="22">
        <f>milestone_3day_new!A33</f>
        <v>30</v>
      </c>
      <c r="B34" s="36">
        <f>milestone_3day_new!B33</f>
        <v>67000</v>
      </c>
      <c r="C34" s="37">
        <f>milestone_3day_new!C33</f>
        <v>292010</v>
      </c>
      <c r="D34" s="38" t="b">
        <f>milestone_3day_new!D33</f>
        <v>1</v>
      </c>
      <c r="E34" s="39" t="str">
        <f>IFERROR(IF(CEILING($C34*4/data_raw_3_day!$H$3,1)&gt;4,"X","D"&amp;CEILING($C34*4/data_raw_3_day!$H$3,1)),"X")</f>
        <v>X</v>
      </c>
      <c r="F34" s="39" t="str">
        <f>IFERROR(IF(CEILING($C34*4/data_raw_3_day!$H$4,1)&gt;4,"X","D"&amp;CEILING($C34*4/data_raw_3_day!$H$4,1)),"X")</f>
        <v>X</v>
      </c>
      <c r="G34" s="39" t="str">
        <f>IFERROR(IF(CEILING($C34*4/data_raw_3_day!$H$5,1)&gt;4,"X","D"&amp;CEILING($C34*4/data_raw_3_day!$H$5,1)),"X")</f>
        <v>X</v>
      </c>
      <c r="H34" s="39" t="str">
        <f>IFERROR(IF(CEILING($C34*4/data_raw_3_day!$H$6,1)&gt;4,"X","D"&amp;CEILING($C34*4/data_raw_3_day!$H$6,1)),"X")</f>
        <v>X</v>
      </c>
      <c r="I34" s="39" t="str">
        <f>IFERROR(IF(CEILING($C34*4/data_raw_3_day!$H$7,1)&gt;4,"X","D"&amp;CEILING($C34*4/data_raw_3_day!$H$7,1)),"X")</f>
        <v>X</v>
      </c>
      <c r="J34" s="39" t="str">
        <f>IFERROR(IF(CEILING($C34*4/data_raw_3_day!$H$9,1)&gt;4,"X","D"&amp;CEILING($C34*4/data_raw_3_day!$H$9,1)),"X")</f>
        <v>X</v>
      </c>
      <c r="K34" s="39" t="str">
        <f>IFERROR(IF(CEILING($C34*4/data_raw_3_day!$H$10,1)&gt;4,"X","D"&amp;CEILING($C34*4/data_raw_3_day!$H$10,1)),"X")</f>
        <v>X</v>
      </c>
      <c r="L34" s="39" t="str">
        <f>IFERROR(IF(CEILING($C34*4/data_raw_3_day!$H$11,1)&gt;4,"X","D"&amp;CEILING($C34*4/data_raw_3_day!$H$11,1)),"X")</f>
        <v>X</v>
      </c>
      <c r="M34" s="39" t="str">
        <f>IFERROR(IF(CEILING($C34*4/data_raw_3_day!$H$12,1)&gt;4,"X","D"&amp;CEILING($C34*4/data_raw_3_day!$H$12,1)),"X")</f>
        <v>X</v>
      </c>
      <c r="N34" s="39" t="str">
        <f>IFERROR(IF(CEILING($C34*4/data_raw_3_day!$H$13,1)&gt;4,"X","D"&amp;CEILING($C34*4/data_raw_3_day!$H$13,1)),"X")</f>
        <v>X</v>
      </c>
    </row>
    <row r="35" ht="14.25" customHeight="1"/>
    <row r="36" ht="15.0" customHeight="1">
      <c r="A36" s="5" t="s">
        <v>84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0" customHeight="1">
      <c r="A37" s="35" t="s">
        <v>70</v>
      </c>
      <c r="B37" s="35" t="s">
        <v>71</v>
      </c>
      <c r="C37" s="35" t="s">
        <v>72</v>
      </c>
      <c r="D37" s="35" t="s">
        <v>73</v>
      </c>
      <c r="E37" s="35" t="s">
        <v>74</v>
      </c>
      <c r="F37" s="35" t="s">
        <v>75</v>
      </c>
      <c r="G37" s="35" t="s">
        <v>76</v>
      </c>
      <c r="H37" s="35" t="s">
        <v>77</v>
      </c>
      <c r="I37" s="35" t="s">
        <v>78</v>
      </c>
      <c r="J37" s="35" t="s">
        <v>79</v>
      </c>
      <c r="K37" s="35" t="s">
        <v>80</v>
      </c>
      <c r="L37" s="35" t="s">
        <v>81</v>
      </c>
      <c r="M37" s="35" t="s">
        <v>82</v>
      </c>
      <c r="N37" s="35" t="s">
        <v>83</v>
      </c>
    </row>
    <row r="38" ht="15.0" customHeight="1">
      <c r="A38" s="22">
        <f>milestone_4day_new!A4</f>
        <v>1</v>
      </c>
      <c r="B38" s="36">
        <f>milestone_4day_new!B4</f>
        <v>160</v>
      </c>
      <c r="C38" s="37">
        <f>milestone_4day_new!C4</f>
        <v>160</v>
      </c>
      <c r="D38" s="38" t="b">
        <f>milestone_4day_new!D4</f>
        <v>0</v>
      </c>
      <c r="E38" s="39" t="str">
        <f>IFERROR(IF(CEILING($C38*4/data_raw_4_day!$H$3,1)&gt;4,"X","D"&amp;CEILING($C38*4/data_raw_4_day!$H$3,1)),"X")</f>
        <v>D1</v>
      </c>
      <c r="F38" s="39" t="str">
        <f>IFERROR(IF(CEILING($C38*4/data_raw_4_day!$H$4,1)&gt;4,"X","D"&amp;CEILING($C38*4/data_raw_4_day!$H$4,1)),"X")</f>
        <v>D1</v>
      </c>
      <c r="G38" s="39" t="str">
        <f>IFERROR(IF(CEILING($C38*4/data_raw_4_day!$H$5,1)&gt;4,"X","D"&amp;CEILING($C38*4/data_raw_4_day!$H$5,1)),"X")</f>
        <v>D1</v>
      </c>
      <c r="H38" s="39" t="str">
        <f>IFERROR(IF(CEILING($C38*4/data_raw_4_day!$H$6,1)&gt;4,"X","D"&amp;CEILING($C38*4/data_raw_4_day!$H$6,1)),"X")</f>
        <v>D1</v>
      </c>
      <c r="I38" s="39" t="str">
        <f>IFERROR(IF(CEILING($C38*4/data_raw_4_day!$H$7,1)&gt;4,"X","D"&amp;CEILING($C38*4/data_raw_4_day!$H$7,1)),"X")</f>
        <v>D1</v>
      </c>
      <c r="J38" s="39" t="str">
        <f>IFERROR(IF(CEILING($C38*4/data_raw_4_day!$H$9,1)&gt;4,"X","D"&amp;CEILING($C38*4/data_raw_4_day!$H$9,1)),"X")</f>
        <v>D1</v>
      </c>
      <c r="K38" s="39" t="str">
        <f>IFERROR(IF(CEILING($C38*4/data_raw_4_day!$H$10,1)&gt;4,"X","D"&amp;CEILING($C38*4/data_raw_4_day!$H$10,1)),"X")</f>
        <v>D1</v>
      </c>
      <c r="L38" s="39" t="str">
        <f>IFERROR(IF(CEILING($C38*4/data_raw_4_day!$H$11,1)&gt;4,"X","D"&amp;CEILING($C38*4/data_raw_4_day!$H$11,1)),"X")</f>
        <v>D1</v>
      </c>
      <c r="M38" s="39" t="str">
        <f>IFERROR(IF(CEILING($C38*4/data_raw_4_day!$H$12,1)&gt;4,"X","D"&amp;CEILING($C38*4/data_raw_4_day!$H$12,1)),"X")</f>
        <v>D1</v>
      </c>
      <c r="N38" s="39" t="str">
        <f>IFERROR(IF(CEILING($C38*4/data_raw_4_day!$H$13,1)&gt;4,"X","D"&amp;CEILING($C38*4/data_raw_4_day!$H$13,1)),"X")</f>
        <v>D1</v>
      </c>
    </row>
    <row r="39" ht="15.0" customHeight="1">
      <c r="A39" s="22">
        <f>milestone_4day_new!A5</f>
        <v>2</v>
      </c>
      <c r="B39" s="36">
        <f>milestone_4day_new!B5</f>
        <v>300</v>
      </c>
      <c r="C39" s="37">
        <f>milestone_4day_new!C5</f>
        <v>460</v>
      </c>
      <c r="D39" s="38" t="b">
        <f>milestone_4day_new!D5</f>
        <v>0</v>
      </c>
      <c r="E39" s="39" t="str">
        <f>IFERROR(IF(CEILING($C39*4/data_raw_4_day!$H$3,1)&gt;4,"X","D"&amp;CEILING($C39*4/data_raw_4_day!$H$3,1)),"X")</f>
        <v>D1</v>
      </c>
      <c r="F39" s="39" t="str">
        <f>IFERROR(IF(CEILING($C39*4/data_raw_4_day!$H$4,1)&gt;4,"X","D"&amp;CEILING($C39*4/data_raw_4_day!$H$4,1)),"X")</f>
        <v>D1</v>
      </c>
      <c r="G39" s="39" t="str">
        <f>IFERROR(IF(CEILING($C39*4/data_raw_4_day!$H$5,1)&gt;4,"X","D"&amp;CEILING($C39*4/data_raw_4_day!$H$5,1)),"X")</f>
        <v>D1</v>
      </c>
      <c r="H39" s="39" t="str">
        <f>IFERROR(IF(CEILING($C39*4/data_raw_4_day!$H$6,1)&gt;4,"X","D"&amp;CEILING($C39*4/data_raw_4_day!$H$6,1)),"X")</f>
        <v>D1</v>
      </c>
      <c r="I39" s="39" t="str">
        <f>IFERROR(IF(CEILING($C39*4/data_raw_4_day!$H$7,1)&gt;4,"X","D"&amp;CEILING($C39*4/data_raw_4_day!$H$7,1)),"X")</f>
        <v>D1</v>
      </c>
      <c r="J39" s="39" t="str">
        <f>IFERROR(IF(CEILING($C39*4/data_raw_4_day!$H$9,1)&gt;4,"X","D"&amp;CEILING($C39*4/data_raw_4_day!$H$9,1)),"X")</f>
        <v>D1</v>
      </c>
      <c r="K39" s="39" t="str">
        <f>IFERROR(IF(CEILING($C39*4/data_raw_4_day!$H$10,1)&gt;4,"X","D"&amp;CEILING($C39*4/data_raw_4_day!$H$10,1)),"X")</f>
        <v>D1</v>
      </c>
      <c r="L39" s="39" t="str">
        <f>IFERROR(IF(CEILING($C39*4/data_raw_4_day!$H$11,1)&gt;4,"X","D"&amp;CEILING($C39*4/data_raw_4_day!$H$11,1)),"X")</f>
        <v>D1</v>
      </c>
      <c r="M39" s="39" t="str">
        <f>IFERROR(IF(CEILING($C39*4/data_raw_4_day!$H$12,1)&gt;4,"X","D"&amp;CEILING($C39*4/data_raw_4_day!$H$12,1)),"X")</f>
        <v>D1</v>
      </c>
      <c r="N39" s="39" t="str">
        <f>IFERROR(IF(CEILING($C39*4/data_raw_4_day!$H$13,1)&gt;4,"X","D"&amp;CEILING($C39*4/data_raw_4_day!$H$13,1)),"X")</f>
        <v>D1</v>
      </c>
    </row>
    <row r="40" ht="15.0" customHeight="1">
      <c r="A40" s="22">
        <f>milestone_4day_new!A6</f>
        <v>3</v>
      </c>
      <c r="B40" s="36">
        <f>milestone_4day_new!B6</f>
        <v>1000</v>
      </c>
      <c r="C40" s="37">
        <f>milestone_4day_new!C6</f>
        <v>1460</v>
      </c>
      <c r="D40" s="38" t="b">
        <f>milestone_4day_new!D6</f>
        <v>0</v>
      </c>
      <c r="E40" s="39" t="str">
        <f>IFERROR(IF(CEILING($C40*4/data_raw_4_day!$H$3,1)&gt;4,"X","D"&amp;CEILING($C40*4/data_raw_4_day!$H$3,1)),"X")</f>
        <v>D1</v>
      </c>
      <c r="F40" s="39" t="str">
        <f>IFERROR(IF(CEILING($C40*4/data_raw_4_day!$H$4,1)&gt;4,"X","D"&amp;CEILING($C40*4/data_raw_4_day!$H$4,1)),"X")</f>
        <v>D1</v>
      </c>
      <c r="G40" s="39" t="str">
        <f>IFERROR(IF(CEILING($C40*4/data_raw_4_day!$H$5,1)&gt;4,"X","D"&amp;CEILING($C40*4/data_raw_4_day!$H$5,1)),"X")</f>
        <v>D1</v>
      </c>
      <c r="H40" s="39" t="str">
        <f>IFERROR(IF(CEILING($C40*4/data_raw_4_day!$H$6,1)&gt;4,"X","D"&amp;CEILING($C40*4/data_raw_4_day!$H$6,1)),"X")</f>
        <v>D1</v>
      </c>
      <c r="I40" s="39" t="str">
        <f>IFERROR(IF(CEILING($C40*4/data_raw_4_day!$H$7,1)&gt;4,"X","D"&amp;CEILING($C40*4/data_raw_4_day!$H$7,1)),"X")</f>
        <v>D1</v>
      </c>
      <c r="J40" s="39" t="str">
        <f>IFERROR(IF(CEILING($C40*4/data_raw_4_day!$H$9,1)&gt;4,"X","D"&amp;CEILING($C40*4/data_raw_4_day!$H$9,1)),"X")</f>
        <v>D1</v>
      </c>
      <c r="K40" s="39" t="str">
        <f>IFERROR(IF(CEILING($C40*4/data_raw_4_day!$H$10,1)&gt;4,"X","D"&amp;CEILING($C40*4/data_raw_4_day!$H$10,1)),"X")</f>
        <v>D1</v>
      </c>
      <c r="L40" s="39" t="str">
        <f>IFERROR(IF(CEILING($C40*4/data_raw_4_day!$H$11,1)&gt;4,"X","D"&amp;CEILING($C40*4/data_raw_4_day!$H$11,1)),"X")</f>
        <v>D1</v>
      </c>
      <c r="M40" s="39" t="str">
        <f>IFERROR(IF(CEILING($C40*4/data_raw_4_day!$H$12,1)&gt;4,"X","D"&amp;CEILING($C40*4/data_raw_4_day!$H$12,1)),"X")</f>
        <v>D1</v>
      </c>
      <c r="N40" s="39" t="str">
        <f>IFERROR(IF(CEILING($C40*4/data_raw_4_day!$H$13,1)&gt;4,"X","D"&amp;CEILING($C40*4/data_raw_4_day!$H$13,1)),"X")</f>
        <v>D1</v>
      </c>
    </row>
    <row r="41" ht="15.0" customHeight="1">
      <c r="A41" s="22">
        <f>milestone_4day_new!A7</f>
        <v>4</v>
      </c>
      <c r="B41" s="36">
        <f>milestone_4day_new!B7</f>
        <v>250</v>
      </c>
      <c r="C41" s="37">
        <f>milestone_4day_new!C7</f>
        <v>1710</v>
      </c>
      <c r="D41" s="38" t="b">
        <f>milestone_4day_new!D7</f>
        <v>0</v>
      </c>
      <c r="E41" s="39" t="str">
        <f>IFERROR(IF(CEILING($C41*4/data_raw_4_day!$H$3,1)&gt;4,"X","D"&amp;CEILING($C41*4/data_raw_4_day!$H$3,1)),"X")</f>
        <v>D1</v>
      </c>
      <c r="F41" s="39" t="str">
        <f>IFERROR(IF(CEILING($C41*4/data_raw_4_day!$H$4,1)&gt;4,"X","D"&amp;CEILING($C41*4/data_raw_4_day!$H$4,1)),"X")</f>
        <v>D1</v>
      </c>
      <c r="G41" s="39" t="str">
        <f>IFERROR(IF(CEILING($C41*4/data_raw_4_day!$H$5,1)&gt;4,"X","D"&amp;CEILING($C41*4/data_raw_4_day!$H$5,1)),"X")</f>
        <v>D1</v>
      </c>
      <c r="H41" s="39" t="str">
        <f>IFERROR(IF(CEILING($C41*4/data_raw_4_day!$H$6,1)&gt;4,"X","D"&amp;CEILING($C41*4/data_raw_4_day!$H$6,1)),"X")</f>
        <v>D1</v>
      </c>
      <c r="I41" s="39" t="str">
        <f>IFERROR(IF(CEILING($C41*4/data_raw_4_day!$H$7,1)&gt;4,"X","D"&amp;CEILING($C41*4/data_raw_4_day!$H$7,1)),"X")</f>
        <v>D1</v>
      </c>
      <c r="J41" s="39" t="str">
        <f>IFERROR(IF(CEILING($C41*4/data_raw_4_day!$H$9,1)&gt;4,"X","D"&amp;CEILING($C41*4/data_raw_4_day!$H$9,1)),"X")</f>
        <v>D1</v>
      </c>
      <c r="K41" s="39" t="str">
        <f>IFERROR(IF(CEILING($C41*4/data_raw_4_day!$H$10,1)&gt;4,"X","D"&amp;CEILING($C41*4/data_raw_4_day!$H$10,1)),"X")</f>
        <v>D1</v>
      </c>
      <c r="L41" s="39" t="str">
        <f>IFERROR(IF(CEILING($C41*4/data_raw_4_day!$H$11,1)&gt;4,"X","D"&amp;CEILING($C41*4/data_raw_4_day!$H$11,1)),"X")</f>
        <v>D1</v>
      </c>
      <c r="M41" s="39" t="str">
        <f>IFERROR(IF(CEILING($C41*4/data_raw_4_day!$H$12,1)&gt;4,"X","D"&amp;CEILING($C41*4/data_raw_4_day!$H$12,1)),"X")</f>
        <v>D1</v>
      </c>
      <c r="N41" s="39" t="str">
        <f>IFERROR(IF(CEILING($C41*4/data_raw_4_day!$H$13,1)&gt;4,"X","D"&amp;CEILING($C41*4/data_raw_4_day!$H$13,1)),"X")</f>
        <v>D1</v>
      </c>
    </row>
    <row r="42" ht="15.0" customHeight="1">
      <c r="A42" s="22">
        <f>milestone_4day_new!A8</f>
        <v>5</v>
      </c>
      <c r="B42" s="36">
        <f>milestone_4day_new!B8</f>
        <v>500</v>
      </c>
      <c r="C42" s="37">
        <f>milestone_4day_new!C8</f>
        <v>2210</v>
      </c>
      <c r="D42" s="38" t="b">
        <f>milestone_4day_new!D8</f>
        <v>0</v>
      </c>
      <c r="E42" s="39" t="str">
        <f>IFERROR(IF(CEILING($C42*4/data_raw_4_day!$H$3,1)&gt;4,"X","D"&amp;CEILING($C42*4/data_raw_4_day!$H$3,1)),"X")</f>
        <v>D1</v>
      </c>
      <c r="F42" s="39" t="str">
        <f>IFERROR(IF(CEILING($C42*4/data_raw_4_day!$H$4,1)&gt;4,"X","D"&amp;CEILING($C42*4/data_raw_4_day!$H$4,1)),"X")</f>
        <v>D1</v>
      </c>
      <c r="G42" s="39" t="str">
        <f>IFERROR(IF(CEILING($C42*4/data_raw_4_day!$H$5,1)&gt;4,"X","D"&amp;CEILING($C42*4/data_raw_4_day!$H$5,1)),"X")</f>
        <v>D1</v>
      </c>
      <c r="H42" s="39" t="str">
        <f>IFERROR(IF(CEILING($C42*4/data_raw_4_day!$H$6,1)&gt;4,"X","D"&amp;CEILING($C42*4/data_raw_4_day!$H$6,1)),"X")</f>
        <v>D1</v>
      </c>
      <c r="I42" s="39" t="str">
        <f>IFERROR(IF(CEILING($C42*4/data_raw_4_day!$H$7,1)&gt;4,"X","D"&amp;CEILING($C42*4/data_raw_4_day!$H$7,1)),"X")</f>
        <v>D1</v>
      </c>
      <c r="J42" s="39" t="str">
        <f>IFERROR(IF(CEILING($C42*4/data_raw_4_day!$H$9,1)&gt;4,"X","D"&amp;CEILING($C42*4/data_raw_4_day!$H$9,1)),"X")</f>
        <v>D1</v>
      </c>
      <c r="K42" s="39" t="str">
        <f>IFERROR(IF(CEILING($C42*4/data_raw_4_day!$H$10,1)&gt;4,"X","D"&amp;CEILING($C42*4/data_raw_4_day!$H$10,1)),"X")</f>
        <v>D1</v>
      </c>
      <c r="L42" s="39" t="str">
        <f>IFERROR(IF(CEILING($C42*4/data_raw_4_day!$H$11,1)&gt;4,"X","D"&amp;CEILING($C42*4/data_raw_4_day!$H$11,1)),"X")</f>
        <v>D1</v>
      </c>
      <c r="M42" s="39" t="str">
        <f>IFERROR(IF(CEILING($C42*4/data_raw_4_day!$H$12,1)&gt;4,"X","D"&amp;CEILING($C42*4/data_raw_4_day!$H$12,1)),"X")</f>
        <v>D1</v>
      </c>
      <c r="N42" s="39" t="str">
        <f>IFERROR(IF(CEILING($C42*4/data_raw_4_day!$H$13,1)&gt;4,"X","D"&amp;CEILING($C42*4/data_raw_4_day!$H$13,1)),"X")</f>
        <v>D1</v>
      </c>
    </row>
    <row r="43" ht="15.0" customHeight="1">
      <c r="A43" s="22">
        <f>milestone_4day_new!A9</f>
        <v>6</v>
      </c>
      <c r="B43" s="36">
        <f>milestone_4day_new!B9</f>
        <v>1600</v>
      </c>
      <c r="C43" s="37">
        <f>milestone_4day_new!C9</f>
        <v>3810</v>
      </c>
      <c r="D43" s="38" t="b">
        <f>milestone_4day_new!D9</f>
        <v>1</v>
      </c>
      <c r="E43" s="39" t="str">
        <f>IFERROR(IF(CEILING($C43*4/data_raw_4_day!$H$3,1)&gt;4,"X","D"&amp;CEILING($C43*4/data_raw_4_day!$H$3,1)),"X")</f>
        <v>D2</v>
      </c>
      <c r="F43" s="39" t="str">
        <f>IFERROR(IF(CEILING($C43*4/data_raw_4_day!$H$4,1)&gt;4,"X","D"&amp;CEILING($C43*4/data_raw_4_day!$H$4,1)),"X")</f>
        <v>D1</v>
      </c>
      <c r="G43" s="39" t="str">
        <f>IFERROR(IF(CEILING($C43*4/data_raw_4_day!$H$5,1)&gt;4,"X","D"&amp;CEILING($C43*4/data_raw_4_day!$H$5,1)),"X")</f>
        <v>D1</v>
      </c>
      <c r="H43" s="39" t="str">
        <f>IFERROR(IF(CEILING($C43*4/data_raw_4_day!$H$6,1)&gt;4,"X","D"&amp;CEILING($C43*4/data_raw_4_day!$H$6,1)),"X")</f>
        <v>D1</v>
      </c>
      <c r="I43" s="39" t="str">
        <f>IFERROR(IF(CEILING($C43*4/data_raw_4_day!$H$7,1)&gt;4,"X","D"&amp;CEILING($C43*4/data_raw_4_day!$H$7,1)),"X")</f>
        <v>D1</v>
      </c>
      <c r="J43" s="39" t="str">
        <f>IFERROR(IF(CEILING($C43*4/data_raw_4_day!$H$9,1)&gt;4,"X","D"&amp;CEILING($C43*4/data_raw_4_day!$H$9,1)),"X")</f>
        <v>D2</v>
      </c>
      <c r="K43" s="39" t="str">
        <f>IFERROR(IF(CEILING($C43*4/data_raw_4_day!$H$10,1)&gt;4,"X","D"&amp;CEILING($C43*4/data_raw_4_day!$H$10,1)),"X")</f>
        <v>D1</v>
      </c>
      <c r="L43" s="39" t="str">
        <f>IFERROR(IF(CEILING($C43*4/data_raw_4_day!$H$11,1)&gt;4,"X","D"&amp;CEILING($C43*4/data_raw_4_day!$H$11,1)),"X")</f>
        <v>D1</v>
      </c>
      <c r="M43" s="39" t="str">
        <f>IFERROR(IF(CEILING($C43*4/data_raw_4_day!$H$12,1)&gt;4,"X","D"&amp;CEILING($C43*4/data_raw_4_day!$H$12,1)),"X")</f>
        <v>D1</v>
      </c>
      <c r="N43" s="39" t="str">
        <f>IFERROR(IF(CEILING($C43*4/data_raw_4_day!$H$13,1)&gt;4,"X","D"&amp;CEILING($C43*4/data_raw_4_day!$H$13,1)),"X")</f>
        <v>D1</v>
      </c>
    </row>
    <row r="44" ht="15.0" customHeight="1">
      <c r="A44" s="22">
        <f>milestone_4day_new!A10</f>
        <v>7</v>
      </c>
      <c r="B44" s="36">
        <f>milestone_4day_new!B10</f>
        <v>500</v>
      </c>
      <c r="C44" s="37">
        <f>milestone_4day_new!C10</f>
        <v>4310</v>
      </c>
      <c r="D44" s="38" t="b">
        <f>milestone_4day_new!D10</f>
        <v>0</v>
      </c>
      <c r="E44" s="39" t="str">
        <f>IFERROR(IF(CEILING($C44*4/data_raw_4_day!$H$3,1)&gt;4,"X","D"&amp;CEILING($C44*4/data_raw_4_day!$H$3,1)),"X")</f>
        <v>D2</v>
      </c>
      <c r="F44" s="39" t="str">
        <f>IFERROR(IF(CEILING($C44*4/data_raw_4_day!$H$4,1)&gt;4,"X","D"&amp;CEILING($C44*4/data_raw_4_day!$H$4,1)),"X")</f>
        <v>D1</v>
      </c>
      <c r="G44" s="39" t="str">
        <f>IFERROR(IF(CEILING($C44*4/data_raw_4_day!$H$5,1)&gt;4,"X","D"&amp;CEILING($C44*4/data_raw_4_day!$H$5,1)),"X")</f>
        <v>D1</v>
      </c>
      <c r="H44" s="39" t="str">
        <f>IFERROR(IF(CEILING($C44*4/data_raw_4_day!$H$6,1)&gt;4,"X","D"&amp;CEILING($C44*4/data_raw_4_day!$H$6,1)),"X")</f>
        <v>D1</v>
      </c>
      <c r="I44" s="39" t="str">
        <f>IFERROR(IF(CEILING($C44*4/data_raw_4_day!$H$7,1)&gt;4,"X","D"&amp;CEILING($C44*4/data_raw_4_day!$H$7,1)),"X")</f>
        <v>D1</v>
      </c>
      <c r="J44" s="39" t="str">
        <f>IFERROR(IF(CEILING($C44*4/data_raw_4_day!$H$9,1)&gt;4,"X","D"&amp;CEILING($C44*4/data_raw_4_day!$H$9,1)),"X")</f>
        <v>D2</v>
      </c>
      <c r="K44" s="39" t="str">
        <f>IFERROR(IF(CEILING($C44*4/data_raw_4_day!$H$10,1)&gt;4,"X","D"&amp;CEILING($C44*4/data_raw_4_day!$H$10,1)),"X")</f>
        <v>D1</v>
      </c>
      <c r="L44" s="39" t="str">
        <f>IFERROR(IF(CEILING($C44*4/data_raw_4_day!$H$11,1)&gt;4,"X","D"&amp;CEILING($C44*4/data_raw_4_day!$H$11,1)),"X")</f>
        <v>D1</v>
      </c>
      <c r="M44" s="39" t="str">
        <f>IFERROR(IF(CEILING($C44*4/data_raw_4_day!$H$12,1)&gt;4,"X","D"&amp;CEILING($C44*4/data_raw_4_day!$H$12,1)),"X")</f>
        <v>D1</v>
      </c>
      <c r="N44" s="39" t="str">
        <f>IFERROR(IF(CEILING($C44*4/data_raw_4_day!$H$13,1)&gt;4,"X","D"&amp;CEILING($C44*4/data_raw_4_day!$H$13,1)),"X")</f>
        <v>D1</v>
      </c>
    </row>
    <row r="45" ht="15.0" customHeight="1">
      <c r="A45" s="22">
        <f>milestone_4day_new!A11</f>
        <v>8</v>
      </c>
      <c r="B45" s="36">
        <f>milestone_4day_new!B11</f>
        <v>1000</v>
      </c>
      <c r="C45" s="37">
        <f>milestone_4day_new!C11</f>
        <v>5310</v>
      </c>
      <c r="D45" s="38" t="b">
        <f>milestone_4day_new!D11</f>
        <v>0</v>
      </c>
      <c r="E45" s="39" t="str">
        <f>IFERROR(IF(CEILING($C45*4/data_raw_4_day!$H$3,1)&gt;4,"X","D"&amp;CEILING($C45*4/data_raw_4_day!$H$3,1)),"X")</f>
        <v>D3</v>
      </c>
      <c r="F45" s="39" t="str">
        <f>IFERROR(IF(CEILING($C45*4/data_raw_4_day!$H$4,1)&gt;4,"X","D"&amp;CEILING($C45*4/data_raw_4_day!$H$4,1)),"X")</f>
        <v>D1</v>
      </c>
      <c r="G45" s="39" t="str">
        <f>IFERROR(IF(CEILING($C45*4/data_raw_4_day!$H$5,1)&gt;4,"X","D"&amp;CEILING($C45*4/data_raw_4_day!$H$5,1)),"X")</f>
        <v>D1</v>
      </c>
      <c r="H45" s="39" t="str">
        <f>IFERROR(IF(CEILING($C45*4/data_raw_4_day!$H$6,1)&gt;4,"X","D"&amp;CEILING($C45*4/data_raw_4_day!$H$6,1)),"X")</f>
        <v>D1</v>
      </c>
      <c r="I45" s="39" t="str">
        <f>IFERROR(IF(CEILING($C45*4/data_raw_4_day!$H$7,1)&gt;4,"X","D"&amp;CEILING($C45*4/data_raw_4_day!$H$7,1)),"X")</f>
        <v>D1</v>
      </c>
      <c r="J45" s="39" t="str">
        <f>IFERROR(IF(CEILING($C45*4/data_raw_4_day!$H$9,1)&gt;4,"X","D"&amp;CEILING($C45*4/data_raw_4_day!$H$9,1)),"X")</f>
        <v>D2</v>
      </c>
      <c r="K45" s="39" t="str">
        <f>IFERROR(IF(CEILING($C45*4/data_raw_4_day!$H$10,1)&gt;4,"X","D"&amp;CEILING($C45*4/data_raw_4_day!$H$10,1)),"X")</f>
        <v>D1</v>
      </c>
      <c r="L45" s="39" t="str">
        <f>IFERROR(IF(CEILING($C45*4/data_raw_4_day!$H$11,1)&gt;4,"X","D"&amp;CEILING($C45*4/data_raw_4_day!$H$11,1)),"X")</f>
        <v>D1</v>
      </c>
      <c r="M45" s="39" t="str">
        <f>IFERROR(IF(CEILING($C45*4/data_raw_4_day!$H$12,1)&gt;4,"X","D"&amp;CEILING($C45*4/data_raw_4_day!$H$12,1)),"X")</f>
        <v>D1</v>
      </c>
      <c r="N45" s="39" t="str">
        <f>IFERROR(IF(CEILING($C45*4/data_raw_4_day!$H$13,1)&gt;4,"X","D"&amp;CEILING($C45*4/data_raw_4_day!$H$13,1)),"X")</f>
        <v>D1</v>
      </c>
    </row>
    <row r="46" ht="15.0" customHeight="1">
      <c r="A46" s="22">
        <f>milestone_4day_new!A12</f>
        <v>9</v>
      </c>
      <c r="B46" s="36">
        <f>milestone_4day_new!B12</f>
        <v>3300</v>
      </c>
      <c r="C46" s="37">
        <f>milestone_4day_new!C12</f>
        <v>8610</v>
      </c>
      <c r="D46" s="38" t="b">
        <f>milestone_4day_new!D12</f>
        <v>1</v>
      </c>
      <c r="E46" s="39" t="str">
        <f>IFERROR(IF(CEILING($C46*4/data_raw_4_day!$H$3,1)&gt;4,"X","D"&amp;CEILING($C46*4/data_raw_4_day!$H$3,1)),"X")</f>
        <v>D4</v>
      </c>
      <c r="F46" s="39" t="str">
        <f>IFERROR(IF(CEILING($C46*4/data_raw_4_day!$H$4,1)&gt;4,"X","D"&amp;CEILING($C46*4/data_raw_4_day!$H$4,1)),"X")</f>
        <v>D2</v>
      </c>
      <c r="G46" s="39" t="str">
        <f>IFERROR(IF(CEILING($C46*4/data_raw_4_day!$H$5,1)&gt;4,"X","D"&amp;CEILING($C46*4/data_raw_4_day!$H$5,1)),"X")</f>
        <v>D1</v>
      </c>
      <c r="H46" s="39" t="str">
        <f>IFERROR(IF(CEILING($C46*4/data_raw_4_day!$H$6,1)&gt;4,"X","D"&amp;CEILING($C46*4/data_raw_4_day!$H$6,1)),"X")</f>
        <v>D1</v>
      </c>
      <c r="I46" s="39" t="str">
        <f>IFERROR(IF(CEILING($C46*4/data_raw_4_day!$H$7,1)&gt;4,"X","D"&amp;CEILING($C46*4/data_raw_4_day!$H$7,1)),"X")</f>
        <v>D1</v>
      </c>
      <c r="J46" s="39" t="str">
        <f>IFERROR(IF(CEILING($C46*4/data_raw_4_day!$H$9,1)&gt;4,"X","D"&amp;CEILING($C46*4/data_raw_4_day!$H$9,1)),"X")</f>
        <v>D4</v>
      </c>
      <c r="K46" s="39" t="str">
        <f>IFERROR(IF(CEILING($C46*4/data_raw_4_day!$H$10,1)&gt;4,"X","D"&amp;CEILING($C46*4/data_raw_4_day!$H$10,1)),"X")</f>
        <v>D2</v>
      </c>
      <c r="L46" s="39" t="str">
        <f>IFERROR(IF(CEILING($C46*4/data_raw_4_day!$H$11,1)&gt;4,"X","D"&amp;CEILING($C46*4/data_raw_4_day!$H$11,1)),"X")</f>
        <v>D1</v>
      </c>
      <c r="M46" s="39" t="str">
        <f>IFERROR(IF(CEILING($C46*4/data_raw_4_day!$H$12,1)&gt;4,"X","D"&amp;CEILING($C46*4/data_raw_4_day!$H$12,1)),"X")</f>
        <v>D1</v>
      </c>
      <c r="N46" s="39" t="str">
        <f>IFERROR(IF(CEILING($C46*4/data_raw_4_day!$H$13,1)&gt;4,"X","D"&amp;CEILING($C46*4/data_raw_4_day!$H$13,1)),"X")</f>
        <v>D1</v>
      </c>
    </row>
    <row r="47" ht="15.0" customHeight="1">
      <c r="A47" s="22">
        <f>milestone_4day_new!A13</f>
        <v>10</v>
      </c>
      <c r="B47" s="36">
        <f>milestone_4day_new!B13</f>
        <v>1100</v>
      </c>
      <c r="C47" s="37">
        <f>milestone_4day_new!C13</f>
        <v>9710</v>
      </c>
      <c r="D47" s="38" t="b">
        <f>milestone_4day_new!D13</f>
        <v>0</v>
      </c>
      <c r="E47" s="39" t="str">
        <f>IFERROR(IF(CEILING($C47*4/data_raw_4_day!$H$3,1)&gt;4,"X","D"&amp;CEILING($C47*4/data_raw_4_day!$H$3,1)),"X")</f>
        <v>D4</v>
      </c>
      <c r="F47" s="39" t="str">
        <f>IFERROR(IF(CEILING($C47*4/data_raw_4_day!$H$4,1)&gt;4,"X","D"&amp;CEILING($C47*4/data_raw_4_day!$H$4,1)),"X")</f>
        <v>D2</v>
      </c>
      <c r="G47" s="39" t="str">
        <f>IFERROR(IF(CEILING($C47*4/data_raw_4_day!$H$5,1)&gt;4,"X","D"&amp;CEILING($C47*4/data_raw_4_day!$H$5,1)),"X")</f>
        <v>D1</v>
      </c>
      <c r="H47" s="39" t="str">
        <f>IFERROR(IF(CEILING($C47*4/data_raw_4_day!$H$6,1)&gt;4,"X","D"&amp;CEILING($C47*4/data_raw_4_day!$H$6,1)),"X")</f>
        <v>D1</v>
      </c>
      <c r="I47" s="39" t="str">
        <f>IFERROR(IF(CEILING($C47*4/data_raw_4_day!$H$7,1)&gt;4,"X","D"&amp;CEILING($C47*4/data_raw_4_day!$H$7,1)),"X")</f>
        <v>D1</v>
      </c>
      <c r="J47" s="39" t="str">
        <f>IFERROR(IF(CEILING($C47*4/data_raw_4_day!$H$9,1)&gt;4,"X","D"&amp;CEILING($C47*4/data_raw_4_day!$H$9,1)),"X")</f>
        <v>D4</v>
      </c>
      <c r="K47" s="39" t="str">
        <f>IFERROR(IF(CEILING($C47*4/data_raw_4_day!$H$10,1)&gt;4,"X","D"&amp;CEILING($C47*4/data_raw_4_day!$H$10,1)),"X")</f>
        <v>D2</v>
      </c>
      <c r="L47" s="39" t="str">
        <f>IFERROR(IF(CEILING($C47*4/data_raw_4_day!$H$11,1)&gt;4,"X","D"&amp;CEILING($C47*4/data_raw_4_day!$H$11,1)),"X")</f>
        <v>D1</v>
      </c>
      <c r="M47" s="39" t="str">
        <f>IFERROR(IF(CEILING($C47*4/data_raw_4_day!$H$12,1)&gt;4,"X","D"&amp;CEILING($C47*4/data_raw_4_day!$H$12,1)),"X")</f>
        <v>D1</v>
      </c>
      <c r="N47" s="39" t="str">
        <f>IFERROR(IF(CEILING($C47*4/data_raw_4_day!$H$13,1)&gt;4,"X","D"&amp;CEILING($C47*4/data_raw_4_day!$H$13,1)),"X")</f>
        <v>D1</v>
      </c>
    </row>
    <row r="48" ht="15.0" customHeight="1">
      <c r="A48" s="22">
        <f>milestone_4day_new!A14</f>
        <v>11</v>
      </c>
      <c r="B48" s="36">
        <f>milestone_4day_new!B14</f>
        <v>2200</v>
      </c>
      <c r="C48" s="37">
        <f>milestone_4day_new!C14</f>
        <v>11910</v>
      </c>
      <c r="D48" s="38" t="b">
        <f>milestone_4day_new!D14</f>
        <v>0</v>
      </c>
      <c r="E48" s="39" t="str">
        <f>IFERROR(IF(CEILING($C48*4/data_raw_4_day!$H$3,1)&gt;4,"X","D"&amp;CEILING($C48*4/data_raw_4_day!$H$3,1)),"X")</f>
        <v>X</v>
      </c>
      <c r="F48" s="39" t="str">
        <f>IFERROR(IF(CEILING($C48*4/data_raw_4_day!$H$4,1)&gt;4,"X","D"&amp;CEILING($C48*4/data_raw_4_day!$H$4,1)),"X")</f>
        <v>D2</v>
      </c>
      <c r="G48" s="39" t="str">
        <f>IFERROR(IF(CEILING($C48*4/data_raw_4_day!$H$5,1)&gt;4,"X","D"&amp;CEILING($C48*4/data_raw_4_day!$H$5,1)),"X")</f>
        <v>D1</v>
      </c>
      <c r="H48" s="39" t="str">
        <f>IFERROR(IF(CEILING($C48*4/data_raw_4_day!$H$6,1)&gt;4,"X","D"&amp;CEILING($C48*4/data_raw_4_day!$H$6,1)),"X")</f>
        <v>D1</v>
      </c>
      <c r="I48" s="39" t="str">
        <f>IFERROR(IF(CEILING($C48*4/data_raw_4_day!$H$7,1)&gt;4,"X","D"&amp;CEILING($C48*4/data_raw_4_day!$H$7,1)),"X")</f>
        <v>D1</v>
      </c>
      <c r="J48" s="39" t="str">
        <f>IFERROR(IF(CEILING($C48*4/data_raw_4_day!$H$9,1)&gt;4,"X","D"&amp;CEILING($C48*4/data_raw_4_day!$H$9,1)),"X")</f>
        <v>X</v>
      </c>
      <c r="K48" s="39" t="str">
        <f>IFERROR(IF(CEILING($C48*4/data_raw_4_day!$H$10,1)&gt;4,"X","D"&amp;CEILING($C48*4/data_raw_4_day!$H$10,1)),"X")</f>
        <v>D2</v>
      </c>
      <c r="L48" s="39" t="str">
        <f>IFERROR(IF(CEILING($C48*4/data_raw_4_day!$H$11,1)&gt;4,"X","D"&amp;CEILING($C48*4/data_raw_4_day!$H$11,1)),"X")</f>
        <v>D1</v>
      </c>
      <c r="M48" s="39" t="str">
        <f>IFERROR(IF(CEILING($C48*4/data_raw_4_day!$H$12,1)&gt;4,"X","D"&amp;CEILING($C48*4/data_raw_4_day!$H$12,1)),"X")</f>
        <v>D1</v>
      </c>
      <c r="N48" s="39" t="str">
        <f>IFERROR(IF(CEILING($C48*4/data_raw_4_day!$H$13,1)&gt;4,"X","D"&amp;CEILING($C48*4/data_raw_4_day!$H$13,1)),"X")</f>
        <v>D1</v>
      </c>
    </row>
    <row r="49" ht="15.0" customHeight="1">
      <c r="A49" s="22">
        <f>milestone_4day_new!A15</f>
        <v>12</v>
      </c>
      <c r="B49" s="36">
        <f>milestone_4day_new!B15</f>
        <v>6500</v>
      </c>
      <c r="C49" s="37">
        <f>milestone_4day_new!C15</f>
        <v>18410</v>
      </c>
      <c r="D49" s="38" t="b">
        <f>milestone_4day_new!D15</f>
        <v>1</v>
      </c>
      <c r="E49" s="39" t="str">
        <f>IFERROR(IF(CEILING($C49*4/data_raw_4_day!$H$3,1)&gt;4,"X","D"&amp;CEILING($C49*4/data_raw_4_day!$H$3,1)),"X")</f>
        <v>X</v>
      </c>
      <c r="F49" s="39" t="str">
        <f>IFERROR(IF(CEILING($C49*4/data_raw_4_day!$H$4,1)&gt;4,"X","D"&amp;CEILING($C49*4/data_raw_4_day!$H$4,1)),"X")</f>
        <v>D3</v>
      </c>
      <c r="G49" s="39" t="str">
        <f>IFERROR(IF(CEILING($C49*4/data_raw_4_day!$H$5,1)&gt;4,"X","D"&amp;CEILING($C49*4/data_raw_4_day!$H$5,1)),"X")</f>
        <v>D2</v>
      </c>
      <c r="H49" s="39" t="str">
        <f>IFERROR(IF(CEILING($C49*4/data_raw_4_day!$H$6,1)&gt;4,"X","D"&amp;CEILING($C49*4/data_raw_4_day!$H$6,1)),"X")</f>
        <v>D1</v>
      </c>
      <c r="I49" s="39" t="str">
        <f>IFERROR(IF(CEILING($C49*4/data_raw_4_day!$H$7,1)&gt;4,"X","D"&amp;CEILING($C49*4/data_raw_4_day!$H$7,1)),"X")</f>
        <v>D1</v>
      </c>
      <c r="J49" s="39" t="str">
        <f>IFERROR(IF(CEILING($C49*4/data_raw_4_day!$H$9,1)&gt;4,"X","D"&amp;CEILING($C49*4/data_raw_4_day!$H$9,1)),"X")</f>
        <v>X</v>
      </c>
      <c r="K49" s="39" t="str">
        <f>IFERROR(IF(CEILING($C49*4/data_raw_4_day!$H$10,1)&gt;4,"X","D"&amp;CEILING($C49*4/data_raw_4_day!$H$10,1)),"X")</f>
        <v>D3</v>
      </c>
      <c r="L49" s="39" t="str">
        <f>IFERROR(IF(CEILING($C49*4/data_raw_4_day!$H$11,1)&gt;4,"X","D"&amp;CEILING($C49*4/data_raw_4_day!$H$11,1)),"X")</f>
        <v>D2</v>
      </c>
      <c r="M49" s="39" t="str">
        <f>IFERROR(IF(CEILING($C49*4/data_raw_4_day!$H$12,1)&gt;4,"X","D"&amp;CEILING($C49*4/data_raw_4_day!$H$12,1)),"X")</f>
        <v>D1</v>
      </c>
      <c r="N49" s="39" t="str">
        <f>IFERROR(IF(CEILING($C49*4/data_raw_4_day!$H$13,1)&gt;4,"X","D"&amp;CEILING($C49*4/data_raw_4_day!$H$13,1)),"X")</f>
        <v>D1</v>
      </c>
    </row>
    <row r="50" ht="15.0" customHeight="1">
      <c r="A50" s="22">
        <f>milestone_4day_new!A16</f>
        <v>13</v>
      </c>
      <c r="B50" s="36">
        <f>milestone_4day_new!B16</f>
        <v>2200</v>
      </c>
      <c r="C50" s="37">
        <f>milestone_4day_new!C16</f>
        <v>20610</v>
      </c>
      <c r="D50" s="38" t="b">
        <f>milestone_4day_new!D16</f>
        <v>0</v>
      </c>
      <c r="E50" s="39" t="str">
        <f>IFERROR(IF(CEILING($C50*4/data_raw_4_day!$H$3,1)&gt;4,"X","D"&amp;CEILING($C50*4/data_raw_4_day!$H$3,1)),"X")</f>
        <v>X</v>
      </c>
      <c r="F50" s="39" t="str">
        <f>IFERROR(IF(CEILING($C50*4/data_raw_4_day!$H$4,1)&gt;4,"X","D"&amp;CEILING($C50*4/data_raw_4_day!$H$4,1)),"X")</f>
        <v>D3</v>
      </c>
      <c r="G50" s="39" t="str">
        <f>IFERROR(IF(CEILING($C50*4/data_raw_4_day!$H$5,1)&gt;4,"X","D"&amp;CEILING($C50*4/data_raw_4_day!$H$5,1)),"X")</f>
        <v>D2</v>
      </c>
      <c r="H50" s="39" t="str">
        <f>IFERROR(IF(CEILING($C50*4/data_raw_4_day!$H$6,1)&gt;4,"X","D"&amp;CEILING($C50*4/data_raw_4_day!$H$6,1)),"X")</f>
        <v>D1</v>
      </c>
      <c r="I50" s="39" t="str">
        <f>IFERROR(IF(CEILING($C50*4/data_raw_4_day!$H$7,1)&gt;4,"X","D"&amp;CEILING($C50*4/data_raw_4_day!$H$7,1)),"X")</f>
        <v>D1</v>
      </c>
      <c r="J50" s="39" t="str">
        <f>IFERROR(IF(CEILING($C50*4/data_raw_4_day!$H$9,1)&gt;4,"X","D"&amp;CEILING($C50*4/data_raw_4_day!$H$9,1)),"X")</f>
        <v>X</v>
      </c>
      <c r="K50" s="39" t="str">
        <f>IFERROR(IF(CEILING($C50*4/data_raw_4_day!$H$10,1)&gt;4,"X","D"&amp;CEILING($C50*4/data_raw_4_day!$H$10,1)),"X")</f>
        <v>D3</v>
      </c>
      <c r="L50" s="39" t="str">
        <f>IFERROR(IF(CEILING($C50*4/data_raw_4_day!$H$11,1)&gt;4,"X","D"&amp;CEILING($C50*4/data_raw_4_day!$H$11,1)),"X")</f>
        <v>D2</v>
      </c>
      <c r="M50" s="39" t="str">
        <f>IFERROR(IF(CEILING($C50*4/data_raw_4_day!$H$12,1)&gt;4,"X","D"&amp;CEILING($C50*4/data_raw_4_day!$H$12,1)),"X")</f>
        <v>D1</v>
      </c>
      <c r="N50" s="39" t="str">
        <f>IFERROR(IF(CEILING($C50*4/data_raw_4_day!$H$13,1)&gt;4,"X","D"&amp;CEILING($C50*4/data_raw_4_day!$H$13,1)),"X")</f>
        <v>D1</v>
      </c>
    </row>
    <row r="51" ht="15.0" customHeight="1">
      <c r="A51" s="22">
        <f>milestone_4day_new!A17</f>
        <v>14</v>
      </c>
      <c r="B51" s="36">
        <f>milestone_4day_new!B17</f>
        <v>4400</v>
      </c>
      <c r="C51" s="37">
        <f>milestone_4day_new!C17</f>
        <v>25010</v>
      </c>
      <c r="D51" s="38" t="b">
        <f>milestone_4day_new!D17</f>
        <v>0</v>
      </c>
      <c r="E51" s="39" t="str">
        <f>IFERROR(IF(CEILING($C51*4/data_raw_4_day!$H$3,1)&gt;4,"X","D"&amp;CEILING($C51*4/data_raw_4_day!$H$3,1)),"X")</f>
        <v>X</v>
      </c>
      <c r="F51" s="39" t="str">
        <f>IFERROR(IF(CEILING($C51*4/data_raw_4_day!$H$4,1)&gt;4,"X","D"&amp;CEILING($C51*4/data_raw_4_day!$H$4,1)),"X")</f>
        <v>D4</v>
      </c>
      <c r="G51" s="39" t="str">
        <f>IFERROR(IF(CEILING($C51*4/data_raw_4_day!$H$5,1)&gt;4,"X","D"&amp;CEILING($C51*4/data_raw_4_day!$H$5,1)),"X")</f>
        <v>D2</v>
      </c>
      <c r="H51" s="39" t="str">
        <f>IFERROR(IF(CEILING($C51*4/data_raw_4_day!$H$6,1)&gt;4,"X","D"&amp;CEILING($C51*4/data_raw_4_day!$H$6,1)),"X")</f>
        <v>D1</v>
      </c>
      <c r="I51" s="39" t="str">
        <f>IFERROR(IF(CEILING($C51*4/data_raw_4_day!$H$7,1)&gt;4,"X","D"&amp;CEILING($C51*4/data_raw_4_day!$H$7,1)),"X")</f>
        <v>D1</v>
      </c>
      <c r="J51" s="39" t="str">
        <f>IFERROR(IF(CEILING($C51*4/data_raw_4_day!$H$9,1)&gt;4,"X","D"&amp;CEILING($C51*4/data_raw_4_day!$H$9,1)),"X")</f>
        <v>X</v>
      </c>
      <c r="K51" s="39" t="str">
        <f>IFERROR(IF(CEILING($C51*4/data_raw_4_day!$H$10,1)&gt;4,"X","D"&amp;CEILING($C51*4/data_raw_4_day!$H$10,1)),"X")</f>
        <v>D4</v>
      </c>
      <c r="L51" s="39" t="str">
        <f>IFERROR(IF(CEILING($C51*4/data_raw_4_day!$H$11,1)&gt;4,"X","D"&amp;CEILING($C51*4/data_raw_4_day!$H$11,1)),"X")</f>
        <v>D2</v>
      </c>
      <c r="M51" s="39" t="str">
        <f>IFERROR(IF(CEILING($C51*4/data_raw_4_day!$H$12,1)&gt;4,"X","D"&amp;CEILING($C51*4/data_raw_4_day!$H$12,1)),"X")</f>
        <v>D1</v>
      </c>
      <c r="N51" s="39" t="str">
        <f>IFERROR(IF(CEILING($C51*4/data_raw_4_day!$H$13,1)&gt;4,"X","D"&amp;CEILING($C51*4/data_raw_4_day!$H$13,1)),"X")</f>
        <v>D1</v>
      </c>
    </row>
    <row r="52" ht="15.0" customHeight="1">
      <c r="A52" s="22">
        <f>milestone_4day_new!A18</f>
        <v>15</v>
      </c>
      <c r="B52" s="36">
        <f>milestone_4day_new!B18</f>
        <v>13250</v>
      </c>
      <c r="C52" s="37">
        <f>milestone_4day_new!C18</f>
        <v>38260</v>
      </c>
      <c r="D52" s="38" t="b">
        <f>milestone_4day_new!D18</f>
        <v>1</v>
      </c>
      <c r="E52" s="39" t="str">
        <f>IFERROR(IF(CEILING($C52*4/data_raw_4_day!$H$3,1)&gt;4,"X","D"&amp;CEILING($C52*4/data_raw_4_day!$H$3,1)),"X")</f>
        <v>X</v>
      </c>
      <c r="F52" s="39" t="str">
        <f>IFERROR(IF(CEILING($C52*4/data_raw_4_day!$H$4,1)&gt;4,"X","D"&amp;CEILING($C52*4/data_raw_4_day!$H$4,1)),"X")</f>
        <v>X</v>
      </c>
      <c r="G52" s="39" t="str">
        <f>IFERROR(IF(CEILING($C52*4/data_raw_4_day!$H$5,1)&gt;4,"X","D"&amp;CEILING($C52*4/data_raw_4_day!$H$5,1)),"X")</f>
        <v>D3</v>
      </c>
      <c r="H52" s="39" t="str">
        <f>IFERROR(IF(CEILING($C52*4/data_raw_4_day!$H$6,1)&gt;4,"X","D"&amp;CEILING($C52*4/data_raw_4_day!$H$6,1)),"X")</f>
        <v>D2</v>
      </c>
      <c r="I52" s="39" t="str">
        <f>IFERROR(IF(CEILING($C52*4/data_raw_4_day!$H$7,1)&gt;4,"X","D"&amp;CEILING($C52*4/data_raw_4_day!$H$7,1)),"X")</f>
        <v>D1</v>
      </c>
      <c r="J52" s="39" t="str">
        <f>IFERROR(IF(CEILING($C52*4/data_raw_4_day!$H$9,1)&gt;4,"X","D"&amp;CEILING($C52*4/data_raw_4_day!$H$9,1)),"X")</f>
        <v>X</v>
      </c>
      <c r="K52" s="39" t="str">
        <f>IFERROR(IF(CEILING($C52*4/data_raw_4_day!$H$10,1)&gt;4,"X","D"&amp;CEILING($C52*4/data_raw_4_day!$H$10,1)),"X")</f>
        <v>X</v>
      </c>
      <c r="L52" s="39" t="str">
        <f>IFERROR(IF(CEILING($C52*4/data_raw_4_day!$H$11,1)&gt;4,"X","D"&amp;CEILING($C52*4/data_raw_4_day!$H$11,1)),"X")</f>
        <v>D3</v>
      </c>
      <c r="M52" s="39" t="str">
        <f>IFERROR(IF(CEILING($C52*4/data_raw_4_day!$H$12,1)&gt;4,"X","D"&amp;CEILING($C52*4/data_raw_4_day!$H$12,1)),"X")</f>
        <v>D2</v>
      </c>
      <c r="N52" s="39" t="str">
        <f>IFERROR(IF(CEILING($C52*4/data_raw_4_day!$H$13,1)&gt;4,"X","D"&amp;CEILING($C52*4/data_raw_4_day!$H$13,1)),"X")</f>
        <v>D1</v>
      </c>
    </row>
    <row r="53" ht="15.0" customHeight="1">
      <c r="A53" s="22">
        <f>milestone_4day_new!A19</f>
        <v>16</v>
      </c>
      <c r="B53" s="36">
        <f>milestone_4day_new!B19</f>
        <v>3300</v>
      </c>
      <c r="C53" s="37">
        <f>milestone_4day_new!C19</f>
        <v>41560</v>
      </c>
      <c r="D53" s="38" t="b">
        <f>milestone_4day_new!D19</f>
        <v>0</v>
      </c>
      <c r="E53" s="39" t="str">
        <f>IFERROR(IF(CEILING($C53*4/data_raw_4_day!$H$3,1)&gt;4,"X","D"&amp;CEILING($C53*4/data_raw_4_day!$H$3,1)),"X")</f>
        <v>X</v>
      </c>
      <c r="F53" s="39" t="str">
        <f>IFERROR(IF(CEILING($C53*4/data_raw_4_day!$H$4,1)&gt;4,"X","D"&amp;CEILING($C53*4/data_raw_4_day!$H$4,1)),"X")</f>
        <v>X</v>
      </c>
      <c r="G53" s="39" t="str">
        <f>IFERROR(IF(CEILING($C53*4/data_raw_4_day!$H$5,1)&gt;4,"X","D"&amp;CEILING($C53*4/data_raw_4_day!$H$5,1)),"X")</f>
        <v>D3</v>
      </c>
      <c r="H53" s="39" t="str">
        <f>IFERROR(IF(CEILING($C53*4/data_raw_4_day!$H$6,1)&gt;4,"X","D"&amp;CEILING($C53*4/data_raw_4_day!$H$6,1)),"X")</f>
        <v>D2</v>
      </c>
      <c r="I53" s="39" t="str">
        <f>IFERROR(IF(CEILING($C53*4/data_raw_4_day!$H$7,1)&gt;4,"X","D"&amp;CEILING($C53*4/data_raw_4_day!$H$7,1)),"X")</f>
        <v>D1</v>
      </c>
      <c r="J53" s="39" t="str">
        <f>IFERROR(IF(CEILING($C53*4/data_raw_4_day!$H$9,1)&gt;4,"X","D"&amp;CEILING($C53*4/data_raw_4_day!$H$9,1)),"X")</f>
        <v>X</v>
      </c>
      <c r="K53" s="39" t="str">
        <f>IFERROR(IF(CEILING($C53*4/data_raw_4_day!$H$10,1)&gt;4,"X","D"&amp;CEILING($C53*4/data_raw_4_day!$H$10,1)),"X")</f>
        <v>X</v>
      </c>
      <c r="L53" s="39" t="str">
        <f>IFERROR(IF(CEILING($C53*4/data_raw_4_day!$H$11,1)&gt;4,"X","D"&amp;CEILING($C53*4/data_raw_4_day!$H$11,1)),"X")</f>
        <v>D3</v>
      </c>
      <c r="M53" s="39" t="str">
        <f>IFERROR(IF(CEILING($C53*4/data_raw_4_day!$H$12,1)&gt;4,"X","D"&amp;CEILING($C53*4/data_raw_4_day!$H$12,1)),"X")</f>
        <v>D2</v>
      </c>
      <c r="N53" s="39" t="str">
        <f>IFERROR(IF(CEILING($C53*4/data_raw_4_day!$H$13,1)&gt;4,"X","D"&amp;CEILING($C53*4/data_raw_4_day!$H$13,1)),"X")</f>
        <v>D1</v>
      </c>
    </row>
    <row r="54" ht="15.0" customHeight="1">
      <c r="A54" s="22">
        <f>milestone_4day_new!A20</f>
        <v>17</v>
      </c>
      <c r="B54" s="36">
        <f>milestone_4day_new!B20</f>
        <v>6500</v>
      </c>
      <c r="C54" s="37">
        <f>milestone_4day_new!C20</f>
        <v>48060</v>
      </c>
      <c r="D54" s="38" t="b">
        <f>milestone_4day_new!D20</f>
        <v>0</v>
      </c>
      <c r="E54" s="39" t="str">
        <f>IFERROR(IF(CEILING($C54*4/data_raw_4_day!$H$3,1)&gt;4,"X","D"&amp;CEILING($C54*4/data_raw_4_day!$H$3,1)),"X")</f>
        <v>X</v>
      </c>
      <c r="F54" s="39" t="str">
        <f>IFERROR(IF(CEILING($C54*4/data_raw_4_day!$H$4,1)&gt;4,"X","D"&amp;CEILING($C54*4/data_raw_4_day!$H$4,1)),"X")</f>
        <v>X</v>
      </c>
      <c r="G54" s="39" t="str">
        <f>IFERROR(IF(CEILING($C54*4/data_raw_4_day!$H$5,1)&gt;4,"X","D"&amp;CEILING($C54*4/data_raw_4_day!$H$5,1)),"X")</f>
        <v>D4</v>
      </c>
      <c r="H54" s="39" t="str">
        <f>IFERROR(IF(CEILING($C54*4/data_raw_4_day!$H$6,1)&gt;4,"X","D"&amp;CEILING($C54*4/data_raw_4_day!$H$6,1)),"X")</f>
        <v>D2</v>
      </c>
      <c r="I54" s="39" t="str">
        <f>IFERROR(IF(CEILING($C54*4/data_raw_4_day!$H$7,1)&gt;4,"X","D"&amp;CEILING($C54*4/data_raw_4_day!$H$7,1)),"X")</f>
        <v>D1</v>
      </c>
      <c r="J54" s="39" t="str">
        <f>IFERROR(IF(CEILING($C54*4/data_raw_4_day!$H$9,1)&gt;4,"X","D"&amp;CEILING($C54*4/data_raw_4_day!$H$9,1)),"X")</f>
        <v>X</v>
      </c>
      <c r="K54" s="39" t="str">
        <f>IFERROR(IF(CEILING($C54*4/data_raw_4_day!$H$10,1)&gt;4,"X","D"&amp;CEILING($C54*4/data_raw_4_day!$H$10,1)),"X")</f>
        <v>X</v>
      </c>
      <c r="L54" s="39" t="str">
        <f>IFERROR(IF(CEILING($C54*4/data_raw_4_day!$H$11,1)&gt;4,"X","D"&amp;CEILING($C54*4/data_raw_4_day!$H$11,1)),"X")</f>
        <v>D4</v>
      </c>
      <c r="M54" s="39" t="str">
        <f>IFERROR(IF(CEILING($C54*4/data_raw_4_day!$H$12,1)&gt;4,"X","D"&amp;CEILING($C54*4/data_raw_4_day!$H$12,1)),"X")</f>
        <v>D2</v>
      </c>
      <c r="N54" s="39" t="str">
        <f>IFERROR(IF(CEILING($C54*4/data_raw_4_day!$H$13,1)&gt;4,"X","D"&amp;CEILING($C54*4/data_raw_4_day!$H$13,1)),"X")</f>
        <v>D1</v>
      </c>
    </row>
    <row r="55" ht="15.0" customHeight="1">
      <c r="A55" s="22">
        <f>milestone_4day_new!A21</f>
        <v>18</v>
      </c>
      <c r="B55" s="36">
        <f>milestone_4day_new!B21</f>
        <v>19750</v>
      </c>
      <c r="C55" s="37">
        <f>milestone_4day_new!C21</f>
        <v>67810</v>
      </c>
      <c r="D55" s="38" t="b">
        <f>milestone_4day_new!D21</f>
        <v>1</v>
      </c>
      <c r="E55" s="39" t="str">
        <f>IFERROR(IF(CEILING($C55*4/data_raw_4_day!$H$3,1)&gt;4,"X","D"&amp;CEILING($C55*4/data_raw_4_day!$H$3,1)),"X")</f>
        <v>X</v>
      </c>
      <c r="F55" s="39" t="str">
        <f>IFERROR(IF(CEILING($C55*4/data_raw_4_day!$H$4,1)&gt;4,"X","D"&amp;CEILING($C55*4/data_raw_4_day!$H$4,1)),"X")</f>
        <v>X</v>
      </c>
      <c r="G55" s="39" t="str">
        <f>IFERROR(IF(CEILING($C55*4/data_raw_4_day!$H$5,1)&gt;4,"X","D"&amp;CEILING($C55*4/data_raw_4_day!$H$5,1)),"X")</f>
        <v>X</v>
      </c>
      <c r="H55" s="39" t="str">
        <f>IFERROR(IF(CEILING($C55*4/data_raw_4_day!$H$6,1)&gt;4,"X","D"&amp;CEILING($C55*4/data_raw_4_day!$H$6,1)),"X")</f>
        <v>D3</v>
      </c>
      <c r="I55" s="39" t="str">
        <f>IFERROR(IF(CEILING($C55*4/data_raw_4_day!$H$7,1)&gt;4,"X","D"&amp;CEILING($C55*4/data_raw_4_day!$H$7,1)),"X")</f>
        <v>D2</v>
      </c>
      <c r="J55" s="39" t="str">
        <f>IFERROR(IF(CEILING($C55*4/data_raw_4_day!$H$9,1)&gt;4,"X","D"&amp;CEILING($C55*4/data_raw_4_day!$H$9,1)),"X")</f>
        <v>X</v>
      </c>
      <c r="K55" s="39" t="str">
        <f>IFERROR(IF(CEILING($C55*4/data_raw_4_day!$H$10,1)&gt;4,"X","D"&amp;CEILING($C55*4/data_raw_4_day!$H$10,1)),"X")</f>
        <v>X</v>
      </c>
      <c r="L55" s="39" t="str">
        <f>IFERROR(IF(CEILING($C55*4/data_raw_4_day!$H$11,1)&gt;4,"X","D"&amp;CEILING($C55*4/data_raw_4_day!$H$11,1)),"X")</f>
        <v>X</v>
      </c>
      <c r="M55" s="39" t="str">
        <f>IFERROR(IF(CEILING($C55*4/data_raw_4_day!$H$12,1)&gt;4,"X","D"&amp;CEILING($C55*4/data_raw_4_day!$H$12,1)),"X")</f>
        <v>D3</v>
      </c>
      <c r="N55" s="39" t="str">
        <f>IFERROR(IF(CEILING($C55*4/data_raw_4_day!$H$13,1)&gt;4,"X","D"&amp;CEILING($C55*4/data_raw_4_day!$H$13,1)),"X")</f>
        <v>D2</v>
      </c>
    </row>
    <row r="56" ht="15.0" customHeight="1">
      <c r="A56" s="22">
        <f>milestone_4day_new!A22</f>
        <v>19</v>
      </c>
      <c r="B56" s="36">
        <f>milestone_4day_new!B22</f>
        <v>4200</v>
      </c>
      <c r="C56" s="37">
        <f>milestone_4day_new!C22</f>
        <v>72010</v>
      </c>
      <c r="D56" s="38" t="b">
        <f>milestone_4day_new!D22</f>
        <v>0</v>
      </c>
      <c r="E56" s="39" t="str">
        <f>IFERROR(IF(CEILING($C56*4/data_raw_4_day!$H$3,1)&gt;4,"X","D"&amp;CEILING($C56*4/data_raw_4_day!$H$3,1)),"X")</f>
        <v>X</v>
      </c>
      <c r="F56" s="39" t="str">
        <f>IFERROR(IF(CEILING($C56*4/data_raw_4_day!$H$4,1)&gt;4,"X","D"&amp;CEILING($C56*4/data_raw_4_day!$H$4,1)),"X")</f>
        <v>X</v>
      </c>
      <c r="G56" s="39" t="str">
        <f>IFERROR(IF(CEILING($C56*4/data_raw_4_day!$H$5,1)&gt;4,"X","D"&amp;CEILING($C56*4/data_raw_4_day!$H$5,1)),"X")</f>
        <v>X</v>
      </c>
      <c r="H56" s="39" t="str">
        <f>IFERROR(IF(CEILING($C56*4/data_raw_4_day!$H$6,1)&gt;4,"X","D"&amp;CEILING($C56*4/data_raw_4_day!$H$6,1)),"X")</f>
        <v>D3</v>
      </c>
      <c r="I56" s="39" t="str">
        <f>IFERROR(IF(CEILING($C56*4/data_raw_4_day!$H$7,1)&gt;4,"X","D"&amp;CEILING($C56*4/data_raw_4_day!$H$7,1)),"X")</f>
        <v>D2</v>
      </c>
      <c r="J56" s="39" t="str">
        <f>IFERROR(IF(CEILING($C56*4/data_raw_4_day!$H$9,1)&gt;4,"X","D"&amp;CEILING($C56*4/data_raw_4_day!$H$9,1)),"X")</f>
        <v>X</v>
      </c>
      <c r="K56" s="39" t="str">
        <f>IFERROR(IF(CEILING($C56*4/data_raw_4_day!$H$10,1)&gt;4,"X","D"&amp;CEILING($C56*4/data_raw_4_day!$H$10,1)),"X")</f>
        <v>X</v>
      </c>
      <c r="L56" s="39" t="str">
        <f>IFERROR(IF(CEILING($C56*4/data_raw_4_day!$H$11,1)&gt;4,"X","D"&amp;CEILING($C56*4/data_raw_4_day!$H$11,1)),"X")</f>
        <v>X</v>
      </c>
      <c r="M56" s="39" t="str">
        <f>IFERROR(IF(CEILING($C56*4/data_raw_4_day!$H$12,1)&gt;4,"X","D"&amp;CEILING($C56*4/data_raw_4_day!$H$12,1)),"X")</f>
        <v>D3</v>
      </c>
      <c r="N56" s="39" t="str">
        <f>IFERROR(IF(CEILING($C56*4/data_raw_4_day!$H$13,1)&gt;4,"X","D"&amp;CEILING($C56*4/data_raw_4_day!$H$13,1)),"X")</f>
        <v>D2</v>
      </c>
    </row>
    <row r="57" ht="15.0" customHeight="1">
      <c r="A57" s="22">
        <f>milestone_4day_new!A23</f>
        <v>20</v>
      </c>
      <c r="B57" s="36">
        <f>milestone_4day_new!B23</f>
        <v>8250</v>
      </c>
      <c r="C57" s="37">
        <f>milestone_4day_new!C23</f>
        <v>80260</v>
      </c>
      <c r="D57" s="38" t="b">
        <f>milestone_4day_new!D23</f>
        <v>0</v>
      </c>
      <c r="E57" s="39" t="str">
        <f>IFERROR(IF(CEILING($C57*4/data_raw_4_day!$H$3,1)&gt;4,"X","D"&amp;CEILING($C57*4/data_raw_4_day!$H$3,1)),"X")</f>
        <v>X</v>
      </c>
      <c r="F57" s="39" t="str">
        <f>IFERROR(IF(CEILING($C57*4/data_raw_4_day!$H$4,1)&gt;4,"X","D"&amp;CEILING($C57*4/data_raw_4_day!$H$4,1)),"X")</f>
        <v>X</v>
      </c>
      <c r="G57" s="39" t="str">
        <f>IFERROR(IF(CEILING($C57*4/data_raw_4_day!$H$5,1)&gt;4,"X","D"&amp;CEILING($C57*4/data_raw_4_day!$H$5,1)),"X")</f>
        <v>X</v>
      </c>
      <c r="H57" s="39" t="str">
        <f>IFERROR(IF(CEILING($C57*4/data_raw_4_day!$H$6,1)&gt;4,"X","D"&amp;CEILING($C57*4/data_raw_4_day!$H$6,1)),"X")</f>
        <v>D3</v>
      </c>
      <c r="I57" s="39" t="str">
        <f>IFERROR(IF(CEILING($C57*4/data_raw_4_day!$H$7,1)&gt;4,"X","D"&amp;CEILING($C57*4/data_raw_4_day!$H$7,1)),"X")</f>
        <v>D2</v>
      </c>
      <c r="J57" s="39" t="str">
        <f>IFERROR(IF(CEILING($C57*4/data_raw_4_day!$H$9,1)&gt;4,"X","D"&amp;CEILING($C57*4/data_raw_4_day!$H$9,1)),"X")</f>
        <v>X</v>
      </c>
      <c r="K57" s="39" t="str">
        <f>IFERROR(IF(CEILING($C57*4/data_raw_4_day!$H$10,1)&gt;4,"X","D"&amp;CEILING($C57*4/data_raw_4_day!$H$10,1)),"X")</f>
        <v>X</v>
      </c>
      <c r="L57" s="39" t="str">
        <f>IFERROR(IF(CEILING($C57*4/data_raw_4_day!$H$11,1)&gt;4,"X","D"&amp;CEILING($C57*4/data_raw_4_day!$H$11,1)),"X")</f>
        <v>X</v>
      </c>
      <c r="M57" s="39" t="str">
        <f>IFERROR(IF(CEILING($C57*4/data_raw_4_day!$H$12,1)&gt;4,"X","D"&amp;CEILING($C57*4/data_raw_4_day!$H$12,1)),"X")</f>
        <v>D3</v>
      </c>
      <c r="N57" s="39" t="str">
        <f>IFERROR(IF(CEILING($C57*4/data_raw_4_day!$H$13,1)&gt;4,"X","D"&amp;CEILING($C57*4/data_raw_4_day!$H$13,1)),"X")</f>
        <v>D2</v>
      </c>
    </row>
    <row r="58" ht="15.0" customHeight="1">
      <c r="A58" s="22">
        <f>milestone_4day_new!A24</f>
        <v>21</v>
      </c>
      <c r="B58" s="36">
        <f>milestone_4day_new!B24</f>
        <v>22000</v>
      </c>
      <c r="C58" s="37">
        <f>milestone_4day_new!C24</f>
        <v>102260</v>
      </c>
      <c r="D58" s="38" t="b">
        <f>milestone_4day_new!D24</f>
        <v>1</v>
      </c>
      <c r="E58" s="39" t="str">
        <f>IFERROR(IF(CEILING($C58*4/data_raw_4_day!$H$3,1)&gt;4,"X","D"&amp;CEILING($C58*4/data_raw_4_day!$H$3,1)),"X")</f>
        <v>X</v>
      </c>
      <c r="F58" s="39" t="str">
        <f>IFERROR(IF(CEILING($C58*4/data_raw_4_day!$H$4,1)&gt;4,"X","D"&amp;CEILING($C58*4/data_raw_4_day!$H$4,1)),"X")</f>
        <v>X</v>
      </c>
      <c r="G58" s="39" t="str">
        <f>IFERROR(IF(CEILING($C58*4/data_raw_4_day!$H$5,1)&gt;4,"X","D"&amp;CEILING($C58*4/data_raw_4_day!$H$5,1)),"X")</f>
        <v>X</v>
      </c>
      <c r="H58" s="39" t="str">
        <f>IFERROR(IF(CEILING($C58*4/data_raw_4_day!$H$6,1)&gt;4,"X","D"&amp;CEILING($C58*4/data_raw_4_day!$H$6,1)),"X")</f>
        <v>D4</v>
      </c>
      <c r="I58" s="39" t="str">
        <f>IFERROR(IF(CEILING($C58*4/data_raw_4_day!$H$7,1)&gt;4,"X","D"&amp;CEILING($C58*4/data_raw_4_day!$H$7,1)),"X")</f>
        <v>D2</v>
      </c>
      <c r="J58" s="39" t="str">
        <f>IFERROR(IF(CEILING($C58*4/data_raw_4_day!$H$9,1)&gt;4,"X","D"&amp;CEILING($C58*4/data_raw_4_day!$H$9,1)),"X")</f>
        <v>X</v>
      </c>
      <c r="K58" s="39" t="str">
        <f>IFERROR(IF(CEILING($C58*4/data_raw_4_day!$H$10,1)&gt;4,"X","D"&amp;CEILING($C58*4/data_raw_4_day!$H$10,1)),"X")</f>
        <v>X</v>
      </c>
      <c r="L58" s="39" t="str">
        <f>IFERROR(IF(CEILING($C58*4/data_raw_4_day!$H$11,1)&gt;4,"X","D"&amp;CEILING($C58*4/data_raw_4_day!$H$11,1)),"X")</f>
        <v>X</v>
      </c>
      <c r="M58" s="39" t="str">
        <f>IFERROR(IF(CEILING($C58*4/data_raw_4_day!$H$12,1)&gt;4,"X","D"&amp;CEILING($C58*4/data_raw_4_day!$H$12,1)),"X")</f>
        <v>D4</v>
      </c>
      <c r="N58" s="39" t="str">
        <f>IFERROR(IF(CEILING($C58*4/data_raw_4_day!$H$13,1)&gt;4,"X","D"&amp;CEILING($C58*4/data_raw_4_day!$H$13,1)),"X")</f>
        <v>D2</v>
      </c>
    </row>
    <row r="59" ht="15.0" customHeight="1">
      <c r="A59" s="22">
        <f>milestone_4day_new!A25</f>
        <v>22</v>
      </c>
      <c r="B59" s="36">
        <f>milestone_4day_new!B25</f>
        <v>6000</v>
      </c>
      <c r="C59" s="37">
        <f>milestone_4day_new!C25</f>
        <v>108260</v>
      </c>
      <c r="D59" s="38" t="b">
        <f>milestone_4day_new!D25</f>
        <v>0</v>
      </c>
      <c r="E59" s="39" t="str">
        <f>IFERROR(IF(CEILING($C59*4/data_raw_4_day!$H$3,1)&gt;4,"X","D"&amp;CEILING($C59*4/data_raw_4_day!$H$3,1)),"X")</f>
        <v>X</v>
      </c>
      <c r="F59" s="39" t="str">
        <f>IFERROR(IF(CEILING($C59*4/data_raw_4_day!$H$4,1)&gt;4,"X","D"&amp;CEILING($C59*4/data_raw_4_day!$H$4,1)),"X")</f>
        <v>X</v>
      </c>
      <c r="G59" s="39" t="str">
        <f>IFERROR(IF(CEILING($C59*4/data_raw_4_day!$H$5,1)&gt;4,"X","D"&amp;CEILING($C59*4/data_raw_4_day!$H$5,1)),"X")</f>
        <v>X</v>
      </c>
      <c r="H59" s="39" t="str">
        <f>IFERROR(IF(CEILING($C59*4/data_raw_4_day!$H$6,1)&gt;4,"X","D"&amp;CEILING($C59*4/data_raw_4_day!$H$6,1)),"X")</f>
        <v>D4</v>
      </c>
      <c r="I59" s="39" t="str">
        <f>IFERROR(IF(CEILING($C59*4/data_raw_4_day!$H$7,1)&gt;4,"X","D"&amp;CEILING($C59*4/data_raw_4_day!$H$7,1)),"X")</f>
        <v>D2</v>
      </c>
      <c r="J59" s="39" t="str">
        <f>IFERROR(IF(CEILING($C59*4/data_raw_4_day!$H$9,1)&gt;4,"X","D"&amp;CEILING($C59*4/data_raw_4_day!$H$9,1)),"X")</f>
        <v>X</v>
      </c>
      <c r="K59" s="39" t="str">
        <f>IFERROR(IF(CEILING($C59*4/data_raw_4_day!$H$10,1)&gt;4,"X","D"&amp;CEILING($C59*4/data_raw_4_day!$H$10,1)),"X")</f>
        <v>X</v>
      </c>
      <c r="L59" s="39" t="str">
        <f>IFERROR(IF(CEILING($C59*4/data_raw_4_day!$H$11,1)&gt;4,"X","D"&amp;CEILING($C59*4/data_raw_4_day!$H$11,1)),"X")</f>
        <v>X</v>
      </c>
      <c r="M59" s="39" t="str">
        <f>IFERROR(IF(CEILING($C59*4/data_raw_4_day!$H$12,1)&gt;4,"X","D"&amp;CEILING($C59*4/data_raw_4_day!$H$12,1)),"X")</f>
        <v>D4</v>
      </c>
      <c r="N59" s="39" t="str">
        <f>IFERROR(IF(CEILING($C59*4/data_raw_4_day!$H$13,1)&gt;4,"X","D"&amp;CEILING($C59*4/data_raw_4_day!$H$13,1)),"X")</f>
        <v>D2</v>
      </c>
    </row>
    <row r="60" ht="15.0" customHeight="1">
      <c r="A60" s="22">
        <f>milestone_4day_new!A26</f>
        <v>23</v>
      </c>
      <c r="B60" s="36">
        <f>milestone_4day_new!B26</f>
        <v>10500</v>
      </c>
      <c r="C60" s="37">
        <f>milestone_4day_new!C26</f>
        <v>118760</v>
      </c>
      <c r="D60" s="38" t="b">
        <f>milestone_4day_new!D26</f>
        <v>0</v>
      </c>
      <c r="E60" s="39" t="str">
        <f>IFERROR(IF(CEILING($C60*4/data_raw_4_day!$H$3,1)&gt;4,"X","D"&amp;CEILING($C60*4/data_raw_4_day!$H$3,1)),"X")</f>
        <v>X</v>
      </c>
      <c r="F60" s="39" t="str">
        <f>IFERROR(IF(CEILING($C60*4/data_raw_4_day!$H$4,1)&gt;4,"X","D"&amp;CEILING($C60*4/data_raw_4_day!$H$4,1)),"X")</f>
        <v>X</v>
      </c>
      <c r="G60" s="39" t="str">
        <f>IFERROR(IF(CEILING($C60*4/data_raw_4_day!$H$5,1)&gt;4,"X","D"&amp;CEILING($C60*4/data_raw_4_day!$H$5,1)),"X")</f>
        <v>X</v>
      </c>
      <c r="H60" s="39" t="str">
        <f>IFERROR(IF(CEILING($C60*4/data_raw_4_day!$H$6,1)&gt;4,"X","D"&amp;CEILING($C60*4/data_raw_4_day!$H$6,1)),"X")</f>
        <v>D4</v>
      </c>
      <c r="I60" s="39" t="str">
        <f>IFERROR(IF(CEILING($C60*4/data_raw_4_day!$H$7,1)&gt;4,"X","D"&amp;CEILING($C60*4/data_raw_4_day!$H$7,1)),"X")</f>
        <v>D2</v>
      </c>
      <c r="J60" s="39" t="str">
        <f>IFERROR(IF(CEILING($C60*4/data_raw_4_day!$H$9,1)&gt;4,"X","D"&amp;CEILING($C60*4/data_raw_4_day!$H$9,1)),"X")</f>
        <v>X</v>
      </c>
      <c r="K60" s="39" t="str">
        <f>IFERROR(IF(CEILING($C60*4/data_raw_4_day!$H$10,1)&gt;4,"X","D"&amp;CEILING($C60*4/data_raw_4_day!$H$10,1)),"X")</f>
        <v>X</v>
      </c>
      <c r="L60" s="39" t="str">
        <f>IFERROR(IF(CEILING($C60*4/data_raw_4_day!$H$11,1)&gt;4,"X","D"&amp;CEILING($C60*4/data_raw_4_day!$H$11,1)),"X")</f>
        <v>X</v>
      </c>
      <c r="M60" s="39" t="str">
        <f>IFERROR(IF(CEILING($C60*4/data_raw_4_day!$H$12,1)&gt;4,"X","D"&amp;CEILING($C60*4/data_raw_4_day!$H$12,1)),"X")</f>
        <v>D4</v>
      </c>
      <c r="N60" s="39" t="str">
        <f>IFERROR(IF(CEILING($C60*4/data_raw_4_day!$H$13,1)&gt;4,"X","D"&amp;CEILING($C60*4/data_raw_4_day!$H$13,1)),"X")</f>
        <v>D2</v>
      </c>
    </row>
    <row r="61" ht="15.0" customHeight="1">
      <c r="A61" s="22">
        <f>milestone_4day_new!A27</f>
        <v>24</v>
      </c>
      <c r="B61" s="36">
        <f>milestone_4day_new!B27</f>
        <v>33000</v>
      </c>
      <c r="C61" s="37">
        <f>milestone_4day_new!C27</f>
        <v>151760</v>
      </c>
      <c r="D61" s="38" t="b">
        <f>milestone_4day_new!D27</f>
        <v>1</v>
      </c>
      <c r="E61" s="39" t="str">
        <f>IFERROR(IF(CEILING($C61*4/data_raw_4_day!$H$3,1)&gt;4,"X","D"&amp;CEILING($C61*4/data_raw_4_day!$H$3,1)),"X")</f>
        <v>X</v>
      </c>
      <c r="F61" s="39" t="str">
        <f>IFERROR(IF(CEILING($C61*4/data_raw_4_day!$H$4,1)&gt;4,"X","D"&amp;CEILING($C61*4/data_raw_4_day!$H$4,1)),"X")</f>
        <v>X</v>
      </c>
      <c r="G61" s="39" t="str">
        <f>IFERROR(IF(CEILING($C61*4/data_raw_4_day!$H$5,1)&gt;4,"X","D"&amp;CEILING($C61*4/data_raw_4_day!$H$5,1)),"X")</f>
        <v>X</v>
      </c>
      <c r="H61" s="39" t="str">
        <f>IFERROR(IF(CEILING($C61*4/data_raw_4_day!$H$6,1)&gt;4,"X","D"&amp;CEILING($C61*4/data_raw_4_day!$H$6,1)),"X")</f>
        <v>X</v>
      </c>
      <c r="I61" s="39" t="str">
        <f>IFERROR(IF(CEILING($C61*4/data_raw_4_day!$H$7,1)&gt;4,"X","D"&amp;CEILING($C61*4/data_raw_4_day!$H$7,1)),"X")</f>
        <v>D3</v>
      </c>
      <c r="J61" s="39" t="str">
        <f>IFERROR(IF(CEILING($C61*4/data_raw_4_day!$H$9,1)&gt;4,"X","D"&amp;CEILING($C61*4/data_raw_4_day!$H$9,1)),"X")</f>
        <v>X</v>
      </c>
      <c r="K61" s="39" t="str">
        <f>IFERROR(IF(CEILING($C61*4/data_raw_4_day!$H$10,1)&gt;4,"X","D"&amp;CEILING($C61*4/data_raw_4_day!$H$10,1)),"X")</f>
        <v>X</v>
      </c>
      <c r="L61" s="39" t="str">
        <f>IFERROR(IF(CEILING($C61*4/data_raw_4_day!$H$11,1)&gt;4,"X","D"&amp;CEILING($C61*4/data_raw_4_day!$H$11,1)),"X")</f>
        <v>X</v>
      </c>
      <c r="M61" s="39" t="str">
        <f>IFERROR(IF(CEILING($C61*4/data_raw_4_day!$H$12,1)&gt;4,"X","D"&amp;CEILING($C61*4/data_raw_4_day!$H$12,1)),"X")</f>
        <v>X</v>
      </c>
      <c r="N61" s="39" t="str">
        <f>IFERROR(IF(CEILING($C61*4/data_raw_4_day!$H$13,1)&gt;4,"X","D"&amp;CEILING($C61*4/data_raw_4_day!$H$13,1)),"X")</f>
        <v>D3</v>
      </c>
    </row>
    <row r="62" ht="15.0" customHeight="1">
      <c r="A62" s="22">
        <f>milestone_4day_new!A28</f>
        <v>25</v>
      </c>
      <c r="B62" s="36">
        <f>milestone_4day_new!B28</f>
        <v>8750</v>
      </c>
      <c r="C62" s="37">
        <f>milestone_4day_new!C28</f>
        <v>160510</v>
      </c>
      <c r="D62" s="38" t="b">
        <f>milestone_4day_new!D28</f>
        <v>0</v>
      </c>
      <c r="E62" s="39" t="str">
        <f>IFERROR(IF(CEILING($C62*4/data_raw_4_day!$H$3,1)&gt;4,"X","D"&amp;CEILING($C62*4/data_raw_4_day!$H$3,1)),"X")</f>
        <v>X</v>
      </c>
      <c r="F62" s="39" t="str">
        <f>IFERROR(IF(CEILING($C62*4/data_raw_4_day!$H$4,1)&gt;4,"X","D"&amp;CEILING($C62*4/data_raw_4_day!$H$4,1)),"X")</f>
        <v>X</v>
      </c>
      <c r="G62" s="39" t="str">
        <f>IFERROR(IF(CEILING($C62*4/data_raw_4_day!$H$5,1)&gt;4,"X","D"&amp;CEILING($C62*4/data_raw_4_day!$H$5,1)),"X")</f>
        <v>X</v>
      </c>
      <c r="H62" s="39" t="str">
        <f>IFERROR(IF(CEILING($C62*4/data_raw_4_day!$H$6,1)&gt;4,"X","D"&amp;CEILING($C62*4/data_raw_4_day!$H$6,1)),"X")</f>
        <v>X</v>
      </c>
      <c r="I62" s="39" t="str">
        <f>IFERROR(IF(CEILING($C62*4/data_raw_4_day!$H$7,1)&gt;4,"X","D"&amp;CEILING($C62*4/data_raw_4_day!$H$7,1)),"X")</f>
        <v>D3</v>
      </c>
      <c r="J62" s="39" t="str">
        <f>IFERROR(IF(CEILING($C62*4/data_raw_4_day!$H$9,1)&gt;4,"X","D"&amp;CEILING($C62*4/data_raw_4_day!$H$9,1)),"X")</f>
        <v>X</v>
      </c>
      <c r="K62" s="39" t="str">
        <f>IFERROR(IF(CEILING($C62*4/data_raw_4_day!$H$10,1)&gt;4,"X","D"&amp;CEILING($C62*4/data_raw_4_day!$H$10,1)),"X")</f>
        <v>X</v>
      </c>
      <c r="L62" s="39" t="str">
        <f>IFERROR(IF(CEILING($C62*4/data_raw_4_day!$H$11,1)&gt;4,"X","D"&amp;CEILING($C62*4/data_raw_4_day!$H$11,1)),"X")</f>
        <v>X</v>
      </c>
      <c r="M62" s="39" t="str">
        <f>IFERROR(IF(CEILING($C62*4/data_raw_4_day!$H$12,1)&gt;4,"X","D"&amp;CEILING($C62*4/data_raw_4_day!$H$12,1)),"X")</f>
        <v>X</v>
      </c>
      <c r="N62" s="39" t="str">
        <f>IFERROR(IF(CEILING($C62*4/data_raw_4_day!$H$13,1)&gt;4,"X","D"&amp;CEILING($C62*4/data_raw_4_day!$H$13,1)),"X")</f>
        <v>D3</v>
      </c>
    </row>
    <row r="63" ht="15.0" customHeight="1">
      <c r="A63" s="22">
        <f>milestone_4day_new!A29</f>
        <v>26</v>
      </c>
      <c r="B63" s="36">
        <f>milestone_4day_new!B29</f>
        <v>14250</v>
      </c>
      <c r="C63" s="37">
        <f>milestone_4day_new!C29</f>
        <v>174760</v>
      </c>
      <c r="D63" s="38" t="b">
        <f>milestone_4day_new!D29</f>
        <v>0</v>
      </c>
      <c r="E63" s="39" t="str">
        <f>IFERROR(IF(CEILING($C63*4/data_raw_4_day!$H$3,1)&gt;4,"X","D"&amp;CEILING($C63*4/data_raw_4_day!$H$3,1)),"X")</f>
        <v>X</v>
      </c>
      <c r="F63" s="39" t="str">
        <f>IFERROR(IF(CEILING($C63*4/data_raw_4_day!$H$4,1)&gt;4,"X","D"&amp;CEILING($C63*4/data_raw_4_day!$H$4,1)),"X")</f>
        <v>X</v>
      </c>
      <c r="G63" s="39" t="str">
        <f>IFERROR(IF(CEILING($C63*4/data_raw_4_day!$H$5,1)&gt;4,"X","D"&amp;CEILING($C63*4/data_raw_4_day!$H$5,1)),"X")</f>
        <v>X</v>
      </c>
      <c r="H63" s="39" t="str">
        <f>IFERROR(IF(CEILING($C63*4/data_raw_4_day!$H$6,1)&gt;4,"X","D"&amp;CEILING($C63*4/data_raw_4_day!$H$6,1)),"X")</f>
        <v>X</v>
      </c>
      <c r="I63" s="39" t="str">
        <f>IFERROR(IF(CEILING($C63*4/data_raw_4_day!$H$7,1)&gt;4,"X","D"&amp;CEILING($C63*4/data_raw_4_day!$H$7,1)),"X")</f>
        <v>D3</v>
      </c>
      <c r="J63" s="39" t="str">
        <f>IFERROR(IF(CEILING($C63*4/data_raw_4_day!$H$9,1)&gt;4,"X","D"&amp;CEILING($C63*4/data_raw_4_day!$H$9,1)),"X")</f>
        <v>X</v>
      </c>
      <c r="K63" s="39" t="str">
        <f>IFERROR(IF(CEILING($C63*4/data_raw_4_day!$H$10,1)&gt;4,"X","D"&amp;CEILING($C63*4/data_raw_4_day!$H$10,1)),"X")</f>
        <v>X</v>
      </c>
      <c r="L63" s="39" t="str">
        <f>IFERROR(IF(CEILING($C63*4/data_raw_4_day!$H$11,1)&gt;4,"X","D"&amp;CEILING($C63*4/data_raw_4_day!$H$11,1)),"X")</f>
        <v>X</v>
      </c>
      <c r="M63" s="39" t="str">
        <f>IFERROR(IF(CEILING($C63*4/data_raw_4_day!$H$12,1)&gt;4,"X","D"&amp;CEILING($C63*4/data_raw_4_day!$H$12,1)),"X")</f>
        <v>X</v>
      </c>
      <c r="N63" s="39" t="str">
        <f>IFERROR(IF(CEILING($C63*4/data_raw_4_day!$H$13,1)&gt;4,"X","D"&amp;CEILING($C63*4/data_raw_4_day!$H$13,1)),"X")</f>
        <v>D3</v>
      </c>
    </row>
    <row r="64" ht="15.0" customHeight="1">
      <c r="A64" s="22">
        <f>milestone_4day_new!A30</f>
        <v>27</v>
      </c>
      <c r="B64" s="36">
        <f>milestone_4day_new!B30</f>
        <v>44000</v>
      </c>
      <c r="C64" s="37">
        <f>milestone_4day_new!C30</f>
        <v>218760</v>
      </c>
      <c r="D64" s="38" t="b">
        <f>milestone_4day_new!D30</f>
        <v>1</v>
      </c>
      <c r="E64" s="39" t="str">
        <f>IFERROR(IF(CEILING($C64*4/data_raw_4_day!$H$3,1)&gt;4,"X","D"&amp;CEILING($C64*4/data_raw_4_day!$H$3,1)),"X")</f>
        <v>X</v>
      </c>
      <c r="F64" s="39" t="str">
        <f>IFERROR(IF(CEILING($C64*4/data_raw_4_day!$H$4,1)&gt;4,"X","D"&amp;CEILING($C64*4/data_raw_4_day!$H$4,1)),"X")</f>
        <v>X</v>
      </c>
      <c r="G64" s="39" t="str">
        <f>IFERROR(IF(CEILING($C64*4/data_raw_4_day!$H$5,1)&gt;4,"X","D"&amp;CEILING($C64*4/data_raw_4_day!$H$5,1)),"X")</f>
        <v>X</v>
      </c>
      <c r="H64" s="39" t="str">
        <f>IFERROR(IF(CEILING($C64*4/data_raw_4_day!$H$6,1)&gt;4,"X","D"&amp;CEILING($C64*4/data_raw_4_day!$H$6,1)),"X")</f>
        <v>X</v>
      </c>
      <c r="I64" s="39" t="str">
        <f>IFERROR(IF(CEILING($C64*4/data_raw_4_day!$H$7,1)&gt;4,"X","D"&amp;CEILING($C64*4/data_raw_4_day!$H$7,1)),"X")</f>
        <v>D4</v>
      </c>
      <c r="J64" s="39" t="str">
        <f>IFERROR(IF(CEILING($C64*4/data_raw_4_day!$H$9,1)&gt;4,"X","D"&amp;CEILING($C64*4/data_raw_4_day!$H$9,1)),"X")</f>
        <v>X</v>
      </c>
      <c r="K64" s="39" t="str">
        <f>IFERROR(IF(CEILING($C64*4/data_raw_4_day!$H$10,1)&gt;4,"X","D"&amp;CEILING($C64*4/data_raw_4_day!$H$10,1)),"X")</f>
        <v>X</v>
      </c>
      <c r="L64" s="39" t="str">
        <f>IFERROR(IF(CEILING($C64*4/data_raw_4_day!$H$11,1)&gt;4,"X","D"&amp;CEILING($C64*4/data_raw_4_day!$H$11,1)),"X")</f>
        <v>X</v>
      </c>
      <c r="M64" s="39" t="str">
        <f>IFERROR(IF(CEILING($C64*4/data_raw_4_day!$H$12,1)&gt;4,"X","D"&amp;CEILING($C64*4/data_raw_4_day!$H$12,1)),"X")</f>
        <v>X</v>
      </c>
      <c r="N64" s="39" t="str">
        <f>IFERROR(IF(CEILING($C64*4/data_raw_4_day!$H$13,1)&gt;4,"X","D"&amp;CEILING($C64*4/data_raw_4_day!$H$13,1)),"X")</f>
        <v>D4</v>
      </c>
    </row>
    <row r="65" ht="15.0" customHeight="1">
      <c r="A65" s="22">
        <f>milestone_4day_new!A31</f>
        <v>28</v>
      </c>
      <c r="B65" s="36">
        <f>milestone_4day_new!B31</f>
        <v>16500</v>
      </c>
      <c r="C65" s="37">
        <f>milestone_4day_new!C31</f>
        <v>235260</v>
      </c>
      <c r="D65" s="38" t="b">
        <f>milestone_4day_new!D31</f>
        <v>0</v>
      </c>
      <c r="E65" s="39" t="str">
        <f>IFERROR(IF(CEILING($C65*4/data_raw_4_day!$H$3,1)&gt;4,"X","D"&amp;CEILING($C65*4/data_raw_4_day!$H$3,1)),"X")</f>
        <v>X</v>
      </c>
      <c r="F65" s="39" t="str">
        <f>IFERROR(IF(CEILING($C65*4/data_raw_4_day!$H$4,1)&gt;4,"X","D"&amp;CEILING($C65*4/data_raw_4_day!$H$4,1)),"X")</f>
        <v>X</v>
      </c>
      <c r="G65" s="39" t="str">
        <f>IFERROR(IF(CEILING($C65*4/data_raw_4_day!$H$5,1)&gt;4,"X","D"&amp;CEILING($C65*4/data_raw_4_day!$H$5,1)),"X")</f>
        <v>X</v>
      </c>
      <c r="H65" s="39" t="str">
        <f>IFERROR(IF(CEILING($C65*4/data_raw_4_day!$H$6,1)&gt;4,"X","D"&amp;CEILING($C65*4/data_raw_4_day!$H$6,1)),"X")</f>
        <v>X</v>
      </c>
      <c r="I65" s="39" t="str">
        <f>IFERROR(IF(CEILING($C65*4/data_raw_4_day!$H$7,1)&gt;4,"X","D"&amp;CEILING($C65*4/data_raw_4_day!$H$7,1)),"X")</f>
        <v>D4</v>
      </c>
      <c r="J65" s="39" t="str">
        <f>IFERROR(IF(CEILING($C65*4/data_raw_4_day!$H$9,1)&gt;4,"X","D"&amp;CEILING($C65*4/data_raw_4_day!$H$9,1)),"X")</f>
        <v>X</v>
      </c>
      <c r="K65" s="39" t="str">
        <f>IFERROR(IF(CEILING($C65*4/data_raw_4_day!$H$10,1)&gt;4,"X","D"&amp;CEILING($C65*4/data_raw_4_day!$H$10,1)),"X")</f>
        <v>X</v>
      </c>
      <c r="L65" s="39" t="str">
        <f>IFERROR(IF(CEILING($C65*4/data_raw_4_day!$H$11,1)&gt;4,"X","D"&amp;CEILING($C65*4/data_raw_4_day!$H$11,1)),"X")</f>
        <v>X</v>
      </c>
      <c r="M65" s="39" t="str">
        <f>IFERROR(IF(CEILING($C65*4/data_raw_4_day!$H$12,1)&gt;4,"X","D"&amp;CEILING($C65*4/data_raw_4_day!$H$12,1)),"X")</f>
        <v>X</v>
      </c>
      <c r="N65" s="39" t="str">
        <f>IFERROR(IF(CEILING($C65*4/data_raw_4_day!$H$13,1)&gt;4,"X","D"&amp;CEILING($C65*4/data_raw_4_day!$H$13,1)),"X")</f>
        <v>D4</v>
      </c>
    </row>
    <row r="66" ht="15.0" customHeight="1">
      <c r="A66" s="22">
        <f>milestone_4day_new!A32</f>
        <v>29</v>
      </c>
      <c r="B66" s="36">
        <f>milestone_4day_new!B32</f>
        <v>34000</v>
      </c>
      <c r="C66" s="37">
        <f>milestone_4day_new!C32</f>
        <v>269260</v>
      </c>
      <c r="D66" s="38" t="b">
        <f>milestone_4day_new!D32</f>
        <v>0</v>
      </c>
      <c r="E66" s="39" t="str">
        <f>IFERROR(IF(CEILING($C66*4/data_raw_4_day!$H$3,1)&gt;4,"X","D"&amp;CEILING($C66*4/data_raw_4_day!$H$3,1)),"X")</f>
        <v>X</v>
      </c>
      <c r="F66" s="39" t="str">
        <f>IFERROR(IF(CEILING($C66*4/data_raw_4_day!$H$4,1)&gt;4,"X","D"&amp;CEILING($C66*4/data_raw_4_day!$H$4,1)),"X")</f>
        <v>X</v>
      </c>
      <c r="G66" s="39" t="str">
        <f>IFERROR(IF(CEILING($C66*4/data_raw_4_day!$H$5,1)&gt;4,"X","D"&amp;CEILING($C66*4/data_raw_4_day!$H$5,1)),"X")</f>
        <v>X</v>
      </c>
      <c r="H66" s="39" t="str">
        <f>IFERROR(IF(CEILING($C66*4/data_raw_4_day!$H$6,1)&gt;4,"X","D"&amp;CEILING($C66*4/data_raw_4_day!$H$6,1)),"X")</f>
        <v>X</v>
      </c>
      <c r="I66" s="39" t="str">
        <f>IFERROR(IF(CEILING($C66*4/data_raw_4_day!$H$7,1)&gt;4,"X","D"&amp;CEILING($C66*4/data_raw_4_day!$H$7,1)),"X")</f>
        <v>X</v>
      </c>
      <c r="J66" s="39" t="str">
        <f>IFERROR(IF(CEILING($C66*4/data_raw_4_day!$H$9,1)&gt;4,"X","D"&amp;CEILING($C66*4/data_raw_4_day!$H$9,1)),"X")</f>
        <v>X</v>
      </c>
      <c r="K66" s="39" t="str">
        <f>IFERROR(IF(CEILING($C66*4/data_raw_4_day!$H$10,1)&gt;4,"X","D"&amp;CEILING($C66*4/data_raw_4_day!$H$10,1)),"X")</f>
        <v>X</v>
      </c>
      <c r="L66" s="39" t="str">
        <f>IFERROR(IF(CEILING($C66*4/data_raw_4_day!$H$11,1)&gt;4,"X","D"&amp;CEILING($C66*4/data_raw_4_day!$H$11,1)),"X")</f>
        <v>X</v>
      </c>
      <c r="M66" s="39" t="str">
        <f>IFERROR(IF(CEILING($C66*4/data_raw_4_day!$H$12,1)&gt;4,"X","D"&amp;CEILING($C66*4/data_raw_4_day!$H$12,1)),"X")</f>
        <v>X</v>
      </c>
      <c r="N66" s="39" t="str">
        <f>IFERROR(IF(CEILING($C66*4/data_raw_4_day!$H$13,1)&gt;4,"X","D"&amp;CEILING($C66*4/data_raw_4_day!$H$13,1)),"X")</f>
        <v>X</v>
      </c>
    </row>
    <row r="67" ht="15.0" customHeight="1">
      <c r="A67" s="22">
        <f>milestone_4day_new!A33</f>
        <v>30</v>
      </c>
      <c r="B67" s="36">
        <f>milestone_4day_new!B33</f>
        <v>83000</v>
      </c>
      <c r="C67" s="37">
        <f>milestone_4day_new!C33</f>
        <v>352260</v>
      </c>
      <c r="D67" s="38" t="b">
        <f>milestone_4day_new!D33</f>
        <v>1</v>
      </c>
      <c r="E67" s="39" t="str">
        <f>IFERROR(IF(CEILING($C67*4/data_raw_4_day!$H$3,1)&gt;4,"X","D"&amp;CEILING($C67*4/data_raw_4_day!$H$3,1)),"X")</f>
        <v>X</v>
      </c>
      <c r="F67" s="39" t="str">
        <f>IFERROR(IF(CEILING($C67*4/data_raw_4_day!$H$4,1)&gt;4,"X","D"&amp;CEILING($C67*4/data_raw_4_day!$H$4,1)),"X")</f>
        <v>X</v>
      </c>
      <c r="G67" s="39" t="str">
        <f>IFERROR(IF(CEILING($C67*4/data_raw_4_day!$H$5,1)&gt;4,"X","D"&amp;CEILING($C67*4/data_raw_4_day!$H$5,1)),"X")</f>
        <v>X</v>
      </c>
      <c r="H67" s="39" t="str">
        <f>IFERROR(IF(CEILING($C67*4/data_raw_4_day!$H$6,1)&gt;4,"X","D"&amp;CEILING($C67*4/data_raw_4_day!$H$6,1)),"X")</f>
        <v>X</v>
      </c>
      <c r="I67" s="39" t="str">
        <f>IFERROR(IF(CEILING($C67*4/data_raw_4_day!$H$7,1)&gt;4,"X","D"&amp;CEILING($C67*4/data_raw_4_day!$H$7,1)),"X")</f>
        <v>X</v>
      </c>
      <c r="J67" s="39" t="str">
        <f>IFERROR(IF(CEILING($C67*4/data_raw_4_day!$H$9,1)&gt;4,"X","D"&amp;CEILING($C67*4/data_raw_4_day!$H$9,1)),"X")</f>
        <v>X</v>
      </c>
      <c r="K67" s="39" t="str">
        <f>IFERROR(IF(CEILING($C67*4/data_raw_4_day!$H$10,1)&gt;4,"X","D"&amp;CEILING($C67*4/data_raw_4_day!$H$10,1)),"X")</f>
        <v>X</v>
      </c>
      <c r="L67" s="39" t="str">
        <f>IFERROR(IF(CEILING($C67*4/data_raw_4_day!$H$11,1)&gt;4,"X","D"&amp;CEILING($C67*4/data_raw_4_day!$H$11,1)),"X")</f>
        <v>X</v>
      </c>
      <c r="M67" s="39" t="str">
        <f>IFERROR(IF(CEILING($C67*4/data_raw_4_day!$H$12,1)&gt;4,"X","D"&amp;CEILING($C67*4/data_raw_4_day!$H$12,1)),"X")</f>
        <v>X</v>
      </c>
      <c r="N67" s="39" t="str">
        <f>IFERROR(IF(CEILING($C67*4/data_raw_4_day!$H$13,1)&gt;4,"X","D"&amp;CEILING($C67*4/data_raw_4_day!$H$13,1)),"X")</f>
        <v>X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5:N34 E38:N67">
    <cfRule type="containsText" dxfId="0" priority="1" operator="containsText" text="D1">
      <formula>NOT(ISERROR(SEARCH(("D1"),(E5))))</formula>
    </cfRule>
  </conditionalFormatting>
  <conditionalFormatting sqref="E5:N34 E38:N67">
    <cfRule type="cellIs" dxfId="1" priority="2" operator="equal">
      <formula>"D2"</formula>
    </cfRule>
  </conditionalFormatting>
  <conditionalFormatting sqref="E5:N34 E38:N67">
    <cfRule type="cellIs" dxfId="2" priority="3" operator="equal">
      <formula>"D3"</formula>
    </cfRule>
  </conditionalFormatting>
  <conditionalFormatting sqref="E5:N34 E38:N67">
    <cfRule type="cellIs" dxfId="3" priority="4" operator="equal">
      <formula>"D4"</formula>
    </cfRule>
  </conditionalFormatting>
  <conditionalFormatting sqref="E5:N34 E38:N67">
    <cfRule type="cellIs" dxfId="4" priority="5" operator="equal">
      <formula>"X"</formula>
    </cfRule>
  </conditionalFormatting>
  <conditionalFormatting sqref="D5:D34 D38:D67">
    <cfRule type="cellIs" dxfId="5" priority="6" operator="equal">
      <formula>"TRUE"</formula>
    </cfRule>
  </conditionalFormatting>
  <conditionalFormatting sqref="E5:N34 E38:N67">
    <cfRule type="containsText" dxfId="0" priority="7" operator="containsText" text="D1">
      <formula>NOT(ISERROR(SEARCH(("D1"),(E5))))</formula>
    </cfRule>
  </conditionalFormatting>
  <conditionalFormatting sqref="E5:N34 E38:N67">
    <cfRule type="cellIs" dxfId="1" priority="8" operator="equal">
      <formula>"D2"</formula>
    </cfRule>
  </conditionalFormatting>
  <conditionalFormatting sqref="E5:N34 E38:N67">
    <cfRule type="cellIs" dxfId="2" priority="9" operator="equal">
      <formula>"D3"</formula>
    </cfRule>
  </conditionalFormatting>
  <conditionalFormatting sqref="E5:N34 E38:N67">
    <cfRule type="cellIs" dxfId="3" priority="10" operator="equal">
      <formula>"D4"</formula>
    </cfRule>
  </conditionalFormatting>
  <conditionalFormatting sqref="E5:N34 E38:N67">
    <cfRule type="cellIs" dxfId="4" priority="11" operator="equal">
      <formula>"X"</formula>
    </cfRule>
  </conditionalFormatting>
  <conditionalFormatting sqref="D5:D34 D38:D67">
    <cfRule type="cellIs" dxfId="5" priority="12" operator="equal">
      <formula>"TRUE"</formula>
    </cfRule>
  </conditionalFormatting>
  <conditionalFormatting sqref="E5:N34 E38:N67">
    <cfRule type="expression" dxfId="4" priority="13">
      <formula>ISNUMBER(SEARCH("X",E5))</formula>
    </cfRule>
  </conditionalFormatting>
  <conditionalFormatting sqref="E5:N34 E38:N67">
    <cfRule type="expression" dxfId="4" priority="14">
      <formula>ISNUMBER(SEARCH("X",E5))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0.86"/>
    <col customWidth="1" min="4" max="4" width="9.71"/>
    <col customWidth="1" min="5" max="16" width="8.0"/>
    <col customWidth="1" min="17" max="17" width="5.29"/>
    <col customWidth="1" min="18" max="18" width="13.0"/>
    <col customWidth="1" min="19" max="19" width="6.29"/>
    <col customWidth="1" min="20" max="27" width="13.0"/>
    <col customWidth="1" min="28" max="28" width="4.0"/>
    <col customWidth="1" min="29" max="38" width="13.0"/>
    <col customWidth="1" min="39" max="39" width="12.0"/>
    <col customWidth="1" min="40" max="41" width="13.0"/>
    <col customWidth="1" min="42" max="42" width="12.0"/>
    <col customWidth="1" min="43" max="46" width="11.0"/>
    <col customWidth="1" min="47" max="47" width="8.71"/>
  </cols>
  <sheetData>
    <row r="1" ht="16.5" customHeight="1">
      <c r="A1" s="34" t="s">
        <v>87</v>
      </c>
    </row>
    <row r="2" ht="14.25" customHeight="1">
      <c r="S2" s="40"/>
      <c r="T2" s="41" t="s">
        <v>88</v>
      </c>
      <c r="U2" s="41"/>
      <c r="V2" s="41"/>
      <c r="W2" s="41"/>
      <c r="X2" s="41"/>
      <c r="Y2" s="41"/>
      <c r="Z2" s="41"/>
      <c r="AA2" s="41"/>
      <c r="AB2" s="41"/>
      <c r="AC2" s="42" t="s">
        <v>89</v>
      </c>
      <c r="AD2" s="41"/>
      <c r="AE2" s="41"/>
      <c r="AF2" s="41"/>
      <c r="AG2" s="41"/>
      <c r="AH2" s="41"/>
      <c r="AI2" s="41"/>
      <c r="AJ2" s="41"/>
      <c r="AK2" s="40"/>
      <c r="AL2" s="40" t="s">
        <v>90</v>
      </c>
      <c r="AO2" s="40" t="s">
        <v>91</v>
      </c>
    </row>
    <row r="3" ht="30.0" customHeight="1">
      <c r="A3" s="43" t="s">
        <v>70</v>
      </c>
      <c r="B3" s="44" t="s">
        <v>71</v>
      </c>
      <c r="C3" s="44" t="s">
        <v>72</v>
      </c>
      <c r="D3" s="44" t="s">
        <v>73</v>
      </c>
      <c r="E3" s="43" t="s">
        <v>92</v>
      </c>
      <c r="F3" s="43" t="s">
        <v>93</v>
      </c>
      <c r="G3" s="43" t="s">
        <v>94</v>
      </c>
      <c r="H3" s="43" t="s">
        <v>95</v>
      </c>
      <c r="I3" s="43" t="s">
        <v>96</v>
      </c>
      <c r="J3" s="43" t="s">
        <v>97</v>
      </c>
      <c r="K3" s="43" t="s">
        <v>98</v>
      </c>
      <c r="L3" s="43" t="s">
        <v>99</v>
      </c>
      <c r="M3" s="43" t="s">
        <v>100</v>
      </c>
      <c r="N3" s="43" t="s">
        <v>101</v>
      </c>
      <c r="O3" s="43" t="s">
        <v>102</v>
      </c>
      <c r="P3" s="43" t="s">
        <v>103</v>
      </c>
      <c r="R3" s="43" t="s">
        <v>104</v>
      </c>
      <c r="S3" s="45"/>
      <c r="T3" s="43" t="s">
        <v>105</v>
      </c>
      <c r="U3" s="43" t="s">
        <v>106</v>
      </c>
      <c r="V3" s="43" t="s">
        <v>107</v>
      </c>
      <c r="W3" s="43" t="s">
        <v>108</v>
      </c>
      <c r="X3" s="43" t="s">
        <v>109</v>
      </c>
      <c r="Y3" s="43" t="s">
        <v>110</v>
      </c>
      <c r="Z3" s="43" t="s">
        <v>111</v>
      </c>
      <c r="AA3" s="43" t="s">
        <v>112</v>
      </c>
      <c r="AB3" s="46"/>
      <c r="AC3" s="43" t="s">
        <v>105</v>
      </c>
      <c r="AD3" s="43" t="s">
        <v>106</v>
      </c>
      <c r="AE3" s="43" t="s">
        <v>107</v>
      </c>
      <c r="AF3" s="43" t="s">
        <v>108</v>
      </c>
      <c r="AG3" s="43" t="s">
        <v>109</v>
      </c>
      <c r="AH3" s="43" t="s">
        <v>110</v>
      </c>
      <c r="AI3" s="43" t="s">
        <v>111</v>
      </c>
      <c r="AJ3" s="43" t="s">
        <v>112</v>
      </c>
      <c r="AK3" s="45"/>
      <c r="AL3" s="43" t="s">
        <v>113</v>
      </c>
      <c r="AM3" s="43" t="s">
        <v>114</v>
      </c>
      <c r="AO3" s="43" t="s">
        <v>115</v>
      </c>
      <c r="AP3" s="43" t="s">
        <v>116</v>
      </c>
      <c r="AQ3" s="43" t="s">
        <v>117</v>
      </c>
      <c r="AR3" s="43" t="s">
        <v>118</v>
      </c>
      <c r="AS3" s="43" t="s">
        <v>119</v>
      </c>
      <c r="AT3" s="43" t="s">
        <v>120</v>
      </c>
    </row>
    <row r="4" ht="14.25" customHeight="1">
      <c r="A4" s="47">
        <v>1.0</v>
      </c>
      <c r="B4" s="48">
        <v>130.0</v>
      </c>
      <c r="C4" s="49">
        <f>B4</f>
        <v>130</v>
      </c>
      <c r="D4" s="38" t="b">
        <f t="shared" ref="D4:D33" si="2">COUNTA(E4:P4)&gt;1</f>
        <v>0</v>
      </c>
      <c r="E4" s="50"/>
      <c r="F4" s="51"/>
      <c r="G4" s="50">
        <v>1.0</v>
      </c>
      <c r="H4" s="50"/>
      <c r="I4" s="50"/>
      <c r="J4" s="51"/>
      <c r="K4" s="50"/>
      <c r="L4" s="50"/>
      <c r="M4" s="51"/>
      <c r="N4" s="51"/>
      <c r="O4" s="50"/>
      <c r="P4" s="51"/>
      <c r="R4" s="52">
        <f t="shared" ref="R4:R33" si="3">C4/500</f>
        <v>0.26</v>
      </c>
      <c r="S4" s="45"/>
      <c r="T4" s="46">
        <f t="shared" ref="T4:T33" si="4">MAX(-613.323 + 86.244 * ln(C4), 0)</f>
        <v>0</v>
      </c>
      <c r="U4" s="46">
        <f t="shared" ref="U4:U33" si="5">max(-1248.915 + 157.067 * ln(C4), 0)</f>
        <v>0</v>
      </c>
      <c r="V4" s="46">
        <f t="shared" ref="V4:V33" si="6">max(-1931.345 + 229.908 * ln(C4), 0)</f>
        <v>0</v>
      </c>
      <c r="W4" s="46">
        <f t="shared" ref="W4:W33" si="7">max(-3774.534 + 408.262 * ln(C4), 0)</f>
        <v>0</v>
      </c>
      <c r="X4" s="46">
        <f t="shared" ref="X4:X33" si="8">max(-1101.513 + 151.176 * ln(C4), 0)</f>
        <v>0</v>
      </c>
      <c r="Y4" s="46">
        <f t="shared" ref="Y4:Y33" si="9">max(-2520.575 + 313.038 * ln(C4), 0)</f>
        <v>0</v>
      </c>
      <c r="Z4" s="46">
        <f t="shared" ref="Z4:Z33" si="10">max(-4146.104 + 489.133 * ln(C4), 0)</f>
        <v>0</v>
      </c>
      <c r="AA4" s="46">
        <f t="shared" ref="AA4:AA33" si="11">max(-8204.713 + 871.536 * ln(C4), 0)</f>
        <v>0</v>
      </c>
      <c r="AB4" s="46"/>
      <c r="AC4" s="46">
        <f t="shared" ref="AC4:AJ4" si="1">sum($E$4:$E4)-T4</f>
        <v>0</v>
      </c>
      <c r="AD4" s="46">
        <f t="shared" si="1"/>
        <v>0</v>
      </c>
      <c r="AE4" s="46">
        <f t="shared" si="1"/>
        <v>0</v>
      </c>
      <c r="AF4" s="46">
        <f t="shared" si="1"/>
        <v>0</v>
      </c>
      <c r="AG4" s="46">
        <f t="shared" si="1"/>
        <v>0</v>
      </c>
      <c r="AH4" s="46">
        <f t="shared" si="1"/>
        <v>0</v>
      </c>
      <c r="AI4" s="46">
        <f t="shared" si="1"/>
        <v>0</v>
      </c>
      <c r="AJ4" s="46">
        <f t="shared" si="1"/>
        <v>0</v>
      </c>
      <c r="AK4" s="45"/>
      <c r="AL4" s="45">
        <f>SUMPRODUCT(E4:P4,item_vals!$A$2:$L$2)</f>
        <v>33.33333333</v>
      </c>
      <c r="AM4" s="45">
        <f>AL4</f>
        <v>33.33333333</v>
      </c>
      <c r="AO4" s="53">
        <v>130.0</v>
      </c>
      <c r="AP4" s="37">
        <f>AO4</f>
        <v>130</v>
      </c>
      <c r="AQ4" s="54">
        <f>MAX(0,MIN(1,(data_raw_3_day!$F$13-AP4+AO4)/AO4))</f>
        <v>1</v>
      </c>
      <c r="AR4" s="54">
        <f>MAX(0,MIN(1,(data_raw_3_day!$G$13-AP4+AO4)/AO4))</f>
        <v>1</v>
      </c>
      <c r="AS4" s="54">
        <f>MAX(0,MIN(1,(data_raw_3_day!$H$13-AP4+AO4)/AO4))</f>
        <v>1</v>
      </c>
      <c r="AT4" s="54">
        <f>MAX(0,MIN(1,(data_raw_3_day!$I$13-AP4+AO4)/AO4))</f>
        <v>1</v>
      </c>
      <c r="AU4" s="55"/>
    </row>
    <row r="5" ht="14.25" customHeight="1">
      <c r="A5" s="47">
        <v>2.0</v>
      </c>
      <c r="B5" s="48">
        <v>250.0</v>
      </c>
      <c r="C5" s="49">
        <f t="shared" ref="C5:C33" si="13">B5+C4</f>
        <v>380</v>
      </c>
      <c r="D5" s="38" t="b">
        <f t="shared" si="2"/>
        <v>0</v>
      </c>
      <c r="E5" s="50">
        <v>10.0</v>
      </c>
      <c r="F5" s="51"/>
      <c r="G5" s="50"/>
      <c r="H5" s="51"/>
      <c r="I5" s="51"/>
      <c r="J5" s="51"/>
      <c r="K5" s="51"/>
      <c r="L5" s="51"/>
      <c r="M5" s="51"/>
      <c r="N5" s="50"/>
      <c r="O5" s="50"/>
      <c r="P5" s="51"/>
      <c r="R5" s="52">
        <f t="shared" si="3"/>
        <v>0.76</v>
      </c>
      <c r="S5" s="45"/>
      <c r="T5" s="46">
        <f t="shared" si="4"/>
        <v>0</v>
      </c>
      <c r="U5" s="46">
        <f t="shared" si="5"/>
        <v>0</v>
      </c>
      <c r="V5" s="46">
        <f t="shared" si="6"/>
        <v>0</v>
      </c>
      <c r="W5" s="46">
        <f t="shared" si="7"/>
        <v>0</v>
      </c>
      <c r="X5" s="46">
        <f t="shared" si="8"/>
        <v>0</v>
      </c>
      <c r="Y5" s="46">
        <f t="shared" si="9"/>
        <v>0</v>
      </c>
      <c r="Z5" s="46">
        <f t="shared" si="10"/>
        <v>0</v>
      </c>
      <c r="AA5" s="46">
        <f t="shared" si="11"/>
        <v>0</v>
      </c>
      <c r="AB5" s="46"/>
      <c r="AC5" s="46">
        <f t="shared" ref="AC5:AJ5" si="12">sum($E$4:$E5)-T5</f>
        <v>10</v>
      </c>
      <c r="AD5" s="46">
        <f t="shared" si="12"/>
        <v>10</v>
      </c>
      <c r="AE5" s="46">
        <f t="shared" si="12"/>
        <v>10</v>
      </c>
      <c r="AF5" s="46">
        <f t="shared" si="12"/>
        <v>10</v>
      </c>
      <c r="AG5" s="46">
        <f t="shared" si="12"/>
        <v>10</v>
      </c>
      <c r="AH5" s="46">
        <f t="shared" si="12"/>
        <v>10</v>
      </c>
      <c r="AI5" s="46">
        <f t="shared" si="12"/>
        <v>10</v>
      </c>
      <c r="AJ5" s="46">
        <f t="shared" si="12"/>
        <v>10</v>
      </c>
      <c r="AK5" s="45"/>
      <c r="AL5" s="45">
        <f>SUMPRODUCT(E5:P5,item_vals!$A$2:$L$2)</f>
        <v>10</v>
      </c>
      <c r="AM5" s="45">
        <f t="shared" ref="AM5:AM33" si="15">AL5+AM4</f>
        <v>43.33333333</v>
      </c>
      <c r="AO5" s="53">
        <v>250.0</v>
      </c>
      <c r="AP5" s="37">
        <f t="shared" ref="AP5:AP33" si="16">AO5+AP4</f>
        <v>380</v>
      </c>
      <c r="AQ5" s="54">
        <f>MAX(0,MIN(1,(data_raw_3_day!$F$13-AP5+AO5)/AO5))</f>
        <v>1</v>
      </c>
      <c r="AR5" s="54">
        <f>MAX(0,MIN(1,(data_raw_3_day!$G$13-AP5+AO5)/AO5))</f>
        <v>1</v>
      </c>
      <c r="AS5" s="54">
        <f>MAX(0,MIN(1,(data_raw_3_day!$H$13-AP5+AO5)/AO5))</f>
        <v>1</v>
      </c>
      <c r="AT5" s="54">
        <f>MAX(0,MIN(1,(data_raw_3_day!$I$13-AP5+AO5)/AO5))</f>
        <v>1</v>
      </c>
      <c r="AU5" s="55"/>
    </row>
    <row r="6" ht="14.25" customHeight="1">
      <c r="A6" s="47">
        <v>3.0</v>
      </c>
      <c r="B6" s="48">
        <v>850.0</v>
      </c>
      <c r="C6" s="49">
        <f t="shared" si="13"/>
        <v>1230</v>
      </c>
      <c r="D6" s="38" t="b">
        <f t="shared" si="2"/>
        <v>0</v>
      </c>
      <c r="E6" s="50"/>
      <c r="F6" s="51"/>
      <c r="G6" s="51"/>
      <c r="H6" s="50">
        <v>1.0</v>
      </c>
      <c r="I6" s="51"/>
      <c r="J6" s="51"/>
      <c r="K6" s="51"/>
      <c r="L6" s="51"/>
      <c r="M6" s="51"/>
      <c r="N6" s="50"/>
      <c r="O6" s="50"/>
      <c r="P6" s="50"/>
      <c r="R6" s="52">
        <f t="shared" si="3"/>
        <v>2.46</v>
      </c>
      <c r="S6" s="45"/>
      <c r="T6" s="46">
        <f t="shared" si="4"/>
        <v>0.2831763049</v>
      </c>
      <c r="U6" s="46">
        <f t="shared" si="5"/>
        <v>0</v>
      </c>
      <c r="V6" s="46">
        <f t="shared" si="6"/>
        <v>0</v>
      </c>
      <c r="W6" s="46">
        <f t="shared" si="7"/>
        <v>0</v>
      </c>
      <c r="X6" s="46">
        <f t="shared" si="8"/>
        <v>0</v>
      </c>
      <c r="Y6" s="46">
        <f t="shared" si="9"/>
        <v>0</v>
      </c>
      <c r="Z6" s="46">
        <f t="shared" si="10"/>
        <v>0</v>
      </c>
      <c r="AA6" s="46">
        <f t="shared" si="11"/>
        <v>0</v>
      </c>
      <c r="AB6" s="46"/>
      <c r="AC6" s="46">
        <f t="shared" ref="AC6:AJ6" si="14">sum($E$4:$E6)-T6</f>
        <v>9.716823695</v>
      </c>
      <c r="AD6" s="46">
        <f t="shared" si="14"/>
        <v>10</v>
      </c>
      <c r="AE6" s="46">
        <f t="shared" si="14"/>
        <v>10</v>
      </c>
      <c r="AF6" s="46">
        <f t="shared" si="14"/>
        <v>10</v>
      </c>
      <c r="AG6" s="46">
        <f t="shared" si="14"/>
        <v>10</v>
      </c>
      <c r="AH6" s="46">
        <f t="shared" si="14"/>
        <v>10</v>
      </c>
      <c r="AI6" s="46">
        <f t="shared" si="14"/>
        <v>10</v>
      </c>
      <c r="AJ6" s="46">
        <f t="shared" si="14"/>
        <v>10</v>
      </c>
      <c r="AK6" s="45"/>
      <c r="AL6" s="45">
        <f>SUMPRODUCT(E6:P6,item_vals!$A$2:$L$2)</f>
        <v>50</v>
      </c>
      <c r="AM6" s="45">
        <f t="shared" si="15"/>
        <v>93.33333333</v>
      </c>
      <c r="AO6" s="53">
        <v>850.0</v>
      </c>
      <c r="AP6" s="37">
        <f t="shared" si="16"/>
        <v>1230</v>
      </c>
      <c r="AQ6" s="54">
        <f>MAX(0,MIN(1,(data_raw_3_day!$F$13-AP6+AO6)/AO6))</f>
        <v>1</v>
      </c>
      <c r="AR6" s="54">
        <f>MAX(0,MIN(1,(data_raw_3_day!$G$13-AP6+AO6)/AO6))</f>
        <v>1</v>
      </c>
      <c r="AS6" s="54">
        <f>MAX(0,MIN(1,(data_raw_3_day!$H$13-AP6+AO6)/AO6))</f>
        <v>1</v>
      </c>
      <c r="AT6" s="54">
        <f>MAX(0,MIN(1,(data_raw_3_day!$I$13-AP6+AO6)/AO6))</f>
        <v>1</v>
      </c>
      <c r="AU6" s="55"/>
    </row>
    <row r="7" ht="14.25" customHeight="1">
      <c r="A7" s="47">
        <v>4.0</v>
      </c>
      <c r="B7" s="48">
        <v>200.0</v>
      </c>
      <c r="C7" s="49">
        <f t="shared" si="13"/>
        <v>1430</v>
      </c>
      <c r="D7" s="38" t="b">
        <f t="shared" si="2"/>
        <v>0</v>
      </c>
      <c r="E7" s="51"/>
      <c r="F7" s="51"/>
      <c r="G7" s="51"/>
      <c r="H7" s="51"/>
      <c r="I7" s="51"/>
      <c r="J7" s="51"/>
      <c r="K7" s="51"/>
      <c r="L7" s="50"/>
      <c r="M7" s="51">
        <v>15.0</v>
      </c>
      <c r="N7" s="50"/>
      <c r="O7" s="51"/>
      <c r="P7" s="51"/>
      <c r="R7" s="52">
        <f t="shared" si="3"/>
        <v>2.86</v>
      </c>
      <c r="S7" s="45"/>
      <c r="T7" s="46">
        <f t="shared" si="4"/>
        <v>13.27672105</v>
      </c>
      <c r="U7" s="46">
        <f t="shared" si="5"/>
        <v>0</v>
      </c>
      <c r="V7" s="46">
        <f t="shared" si="6"/>
        <v>0</v>
      </c>
      <c r="W7" s="46">
        <f t="shared" si="7"/>
        <v>0</v>
      </c>
      <c r="X7" s="46">
        <f t="shared" si="8"/>
        <v>0</v>
      </c>
      <c r="Y7" s="46">
        <f t="shared" si="9"/>
        <v>0</v>
      </c>
      <c r="Z7" s="46">
        <f t="shared" si="10"/>
        <v>0</v>
      </c>
      <c r="AA7" s="46">
        <f t="shared" si="11"/>
        <v>0</v>
      </c>
      <c r="AB7" s="46"/>
      <c r="AC7" s="46">
        <f t="shared" ref="AC7:AJ7" si="17">sum($E$4:$E7)-T7</f>
        <v>-3.276721052</v>
      </c>
      <c r="AD7" s="46">
        <f t="shared" si="17"/>
        <v>10</v>
      </c>
      <c r="AE7" s="46">
        <f t="shared" si="17"/>
        <v>10</v>
      </c>
      <c r="AF7" s="46">
        <f t="shared" si="17"/>
        <v>10</v>
      </c>
      <c r="AG7" s="46">
        <f t="shared" si="17"/>
        <v>10</v>
      </c>
      <c r="AH7" s="46">
        <f t="shared" si="17"/>
        <v>10</v>
      </c>
      <c r="AI7" s="46">
        <f t="shared" si="17"/>
        <v>10</v>
      </c>
      <c r="AJ7" s="46">
        <f t="shared" si="17"/>
        <v>10</v>
      </c>
      <c r="AK7" s="45"/>
      <c r="AL7" s="45">
        <f>SUMPRODUCT(E7:P7,item_vals!$A$2:$L$2)</f>
        <v>31.25</v>
      </c>
      <c r="AM7" s="45">
        <f t="shared" si="15"/>
        <v>124.5833333</v>
      </c>
      <c r="AO7" s="53">
        <v>200.0</v>
      </c>
      <c r="AP7" s="37">
        <f t="shared" si="16"/>
        <v>1430</v>
      </c>
      <c r="AQ7" s="54">
        <f>MAX(0,MIN(1,(data_raw_3_day!$F$13-AP7+AO7)/AO7))</f>
        <v>1</v>
      </c>
      <c r="AR7" s="54">
        <f>MAX(0,MIN(1,(data_raw_3_day!$G$13-AP7+AO7)/AO7))</f>
        <v>1</v>
      </c>
      <c r="AS7" s="54">
        <f>MAX(0,MIN(1,(data_raw_3_day!$H$13-AP7+AO7)/AO7))</f>
        <v>1</v>
      </c>
      <c r="AT7" s="54">
        <f>MAX(0,MIN(1,(data_raw_3_day!$I$13-AP7+AO7)/AO7))</f>
        <v>1</v>
      </c>
      <c r="AU7" s="55"/>
    </row>
    <row r="8" ht="14.25" customHeight="1">
      <c r="A8" s="47">
        <v>5.0</v>
      </c>
      <c r="B8" s="48">
        <v>450.0</v>
      </c>
      <c r="C8" s="49">
        <f t="shared" si="13"/>
        <v>1880</v>
      </c>
      <c r="D8" s="38" t="b">
        <f t="shared" si="2"/>
        <v>0</v>
      </c>
      <c r="E8" s="50"/>
      <c r="F8" s="51"/>
      <c r="G8" s="51"/>
      <c r="H8" s="51"/>
      <c r="I8" s="51">
        <v>1.0</v>
      </c>
      <c r="J8" s="50"/>
      <c r="K8" s="51"/>
      <c r="L8" s="51"/>
      <c r="M8" s="51"/>
      <c r="N8" s="51"/>
      <c r="O8" s="51"/>
      <c r="P8" s="51"/>
      <c r="R8" s="52">
        <f t="shared" si="3"/>
        <v>3.76</v>
      </c>
      <c r="S8" s="45"/>
      <c r="T8" s="46">
        <f t="shared" si="4"/>
        <v>36.8728494</v>
      </c>
      <c r="U8" s="46">
        <f t="shared" si="5"/>
        <v>0</v>
      </c>
      <c r="V8" s="46">
        <f t="shared" si="6"/>
        <v>0</v>
      </c>
      <c r="W8" s="46">
        <f t="shared" si="7"/>
        <v>0</v>
      </c>
      <c r="X8" s="46">
        <f t="shared" si="8"/>
        <v>38.20695419</v>
      </c>
      <c r="Y8" s="46">
        <f t="shared" si="9"/>
        <v>0</v>
      </c>
      <c r="Z8" s="46">
        <f t="shared" si="10"/>
        <v>0</v>
      </c>
      <c r="AA8" s="46">
        <f t="shared" si="11"/>
        <v>0</v>
      </c>
      <c r="AB8" s="46"/>
      <c r="AC8" s="46">
        <f t="shared" ref="AC8:AJ8" si="18">sum($E$4:$E8)-T8</f>
        <v>-26.8728494</v>
      </c>
      <c r="AD8" s="46">
        <f t="shared" si="18"/>
        <v>10</v>
      </c>
      <c r="AE8" s="46">
        <f t="shared" si="18"/>
        <v>10</v>
      </c>
      <c r="AF8" s="46">
        <f t="shared" si="18"/>
        <v>10</v>
      </c>
      <c r="AG8" s="46">
        <f t="shared" si="18"/>
        <v>-28.20695419</v>
      </c>
      <c r="AH8" s="46">
        <f t="shared" si="18"/>
        <v>10</v>
      </c>
      <c r="AI8" s="46">
        <f t="shared" si="18"/>
        <v>10</v>
      </c>
      <c r="AJ8" s="46">
        <f t="shared" si="18"/>
        <v>10</v>
      </c>
      <c r="AK8" s="45"/>
      <c r="AL8" s="45">
        <f>SUMPRODUCT(E8:P8,item_vals!$A$2:$L$2)</f>
        <v>66.66666667</v>
      </c>
      <c r="AM8" s="45">
        <f t="shared" si="15"/>
        <v>191.25</v>
      </c>
      <c r="AO8" s="53">
        <v>450.0</v>
      </c>
      <c r="AP8" s="37">
        <f t="shared" si="16"/>
        <v>1880</v>
      </c>
      <c r="AQ8" s="54">
        <f>MAX(0,MIN(1,(data_raw_3_day!$F$13-AP8+AO8)/AO8))</f>
        <v>1</v>
      </c>
      <c r="AR8" s="54">
        <f>MAX(0,MIN(1,(data_raw_3_day!$G$13-AP8+AO8)/AO8))</f>
        <v>1</v>
      </c>
      <c r="AS8" s="54">
        <f>MAX(0,MIN(1,(data_raw_3_day!$H$13-AP8+AO8)/AO8))</f>
        <v>1</v>
      </c>
      <c r="AT8" s="54">
        <f>MAX(0,MIN(1,(data_raw_3_day!$I$13-AP8+AO8)/AO8))</f>
        <v>1</v>
      </c>
      <c r="AU8" s="55"/>
    </row>
    <row r="9" ht="14.25" customHeight="1">
      <c r="A9" s="47">
        <v>6.0</v>
      </c>
      <c r="B9" s="48">
        <v>1300.0</v>
      </c>
      <c r="C9" s="49">
        <f t="shared" si="13"/>
        <v>3180</v>
      </c>
      <c r="D9" s="38" t="b">
        <f t="shared" si="2"/>
        <v>1</v>
      </c>
      <c r="E9" s="50"/>
      <c r="F9" s="51"/>
      <c r="G9" s="51"/>
      <c r="H9" s="50">
        <v>1.0</v>
      </c>
      <c r="I9" s="51"/>
      <c r="J9" s="51">
        <v>1.0</v>
      </c>
      <c r="K9" s="51"/>
      <c r="L9" s="51"/>
      <c r="M9" s="51"/>
      <c r="N9" s="51"/>
      <c r="O9" s="50"/>
      <c r="P9" s="50"/>
      <c r="R9" s="52">
        <f t="shared" si="3"/>
        <v>6.36</v>
      </c>
      <c r="S9" s="45"/>
      <c r="T9" s="46">
        <f t="shared" si="4"/>
        <v>82.20350822</v>
      </c>
      <c r="U9" s="46">
        <f t="shared" si="5"/>
        <v>17.77325734</v>
      </c>
      <c r="V9" s="46">
        <f t="shared" si="6"/>
        <v>0</v>
      </c>
      <c r="W9" s="46">
        <f t="shared" si="7"/>
        <v>0</v>
      </c>
      <c r="X9" s="46">
        <f t="shared" si="8"/>
        <v>117.6664839</v>
      </c>
      <c r="Y9" s="46">
        <f t="shared" si="9"/>
        <v>3.962673103</v>
      </c>
      <c r="Z9" s="46">
        <f t="shared" si="10"/>
        <v>0</v>
      </c>
      <c r="AA9" s="46">
        <f t="shared" si="11"/>
        <v>0</v>
      </c>
      <c r="AB9" s="46"/>
      <c r="AC9" s="46">
        <f t="shared" ref="AC9:AJ9" si="19">sum($E$4:$E9)-T9</f>
        <v>-72.20350822</v>
      </c>
      <c r="AD9" s="46">
        <f t="shared" si="19"/>
        <v>-7.77325734</v>
      </c>
      <c r="AE9" s="46">
        <f t="shared" si="19"/>
        <v>10</v>
      </c>
      <c r="AF9" s="46">
        <f t="shared" si="19"/>
        <v>10</v>
      </c>
      <c r="AG9" s="46">
        <f t="shared" si="19"/>
        <v>-107.6664839</v>
      </c>
      <c r="AH9" s="46">
        <f t="shared" si="19"/>
        <v>6.037326897</v>
      </c>
      <c r="AI9" s="46">
        <f t="shared" si="19"/>
        <v>10</v>
      </c>
      <c r="AJ9" s="46">
        <f t="shared" si="19"/>
        <v>10</v>
      </c>
      <c r="AK9" s="45"/>
      <c r="AL9" s="45">
        <f>SUMPRODUCT(E9:P9,item_vals!$A$2:$L$2)</f>
        <v>100</v>
      </c>
      <c r="AM9" s="45">
        <f t="shared" si="15"/>
        <v>291.25</v>
      </c>
      <c r="AO9" s="53">
        <v>1300.0</v>
      </c>
      <c r="AP9" s="37">
        <f t="shared" si="16"/>
        <v>3180</v>
      </c>
      <c r="AQ9" s="54">
        <f>MAX(0,MIN(1,(data_raw_3_day!$F$13-AP9+AO9)/AO9))</f>
        <v>1</v>
      </c>
      <c r="AR9" s="54">
        <f>MAX(0,MIN(1,(data_raw_3_day!$G$13-AP9+AO9)/AO9))</f>
        <v>1</v>
      </c>
      <c r="AS9" s="54">
        <f>MAX(0,MIN(1,(data_raw_3_day!$H$13-AP9+AO9)/AO9))</f>
        <v>1</v>
      </c>
      <c r="AT9" s="54">
        <f>MAX(0,MIN(1,(data_raw_3_day!$I$13-AP9+AO9)/AO9))</f>
        <v>1</v>
      </c>
      <c r="AU9" s="55"/>
    </row>
    <row r="10" ht="14.25" customHeight="1">
      <c r="A10" s="47">
        <v>7.0</v>
      </c>
      <c r="B10" s="48">
        <v>450.0</v>
      </c>
      <c r="C10" s="49">
        <f t="shared" si="13"/>
        <v>3630</v>
      </c>
      <c r="D10" s="38" t="b">
        <f t="shared" si="2"/>
        <v>0</v>
      </c>
      <c r="E10" s="50"/>
      <c r="F10" s="51"/>
      <c r="G10" s="51">
        <v>1.0</v>
      </c>
      <c r="H10" s="50"/>
      <c r="I10" s="51"/>
      <c r="J10" s="51"/>
      <c r="K10" s="50"/>
      <c r="L10" s="50"/>
      <c r="M10" s="51"/>
      <c r="N10" s="50"/>
      <c r="O10" s="51"/>
      <c r="P10" s="51"/>
      <c r="R10" s="52">
        <f t="shared" si="3"/>
        <v>7.26</v>
      </c>
      <c r="S10" s="45"/>
      <c r="T10" s="46">
        <f t="shared" si="4"/>
        <v>93.6180268</v>
      </c>
      <c r="U10" s="46">
        <f t="shared" si="5"/>
        <v>38.56130277</v>
      </c>
      <c r="V10" s="46">
        <f t="shared" si="6"/>
        <v>0</v>
      </c>
      <c r="W10" s="46">
        <f t="shared" si="7"/>
        <v>0</v>
      </c>
      <c r="X10" s="46">
        <f t="shared" si="8"/>
        <v>137.6748469</v>
      </c>
      <c r="Y10" s="46">
        <f t="shared" si="9"/>
        <v>45.39370677</v>
      </c>
      <c r="Z10" s="46">
        <f t="shared" si="10"/>
        <v>0</v>
      </c>
      <c r="AA10" s="46">
        <f t="shared" si="11"/>
        <v>0</v>
      </c>
      <c r="AB10" s="46"/>
      <c r="AC10" s="46">
        <f t="shared" ref="AC10:AJ10" si="20">sum($E$4:$E10)-T10</f>
        <v>-83.6180268</v>
      </c>
      <c r="AD10" s="46">
        <f t="shared" si="20"/>
        <v>-28.56130277</v>
      </c>
      <c r="AE10" s="46">
        <f t="shared" si="20"/>
        <v>10</v>
      </c>
      <c r="AF10" s="46">
        <f t="shared" si="20"/>
        <v>10</v>
      </c>
      <c r="AG10" s="46">
        <f t="shared" si="20"/>
        <v>-127.6748469</v>
      </c>
      <c r="AH10" s="46">
        <f t="shared" si="20"/>
        <v>-35.39370677</v>
      </c>
      <c r="AI10" s="46">
        <f t="shared" si="20"/>
        <v>10</v>
      </c>
      <c r="AJ10" s="46">
        <f t="shared" si="20"/>
        <v>10</v>
      </c>
      <c r="AK10" s="45"/>
      <c r="AL10" s="45">
        <f>SUMPRODUCT(E10:P10,item_vals!$A$2:$L$2)</f>
        <v>33.33333333</v>
      </c>
      <c r="AM10" s="45">
        <f t="shared" si="15"/>
        <v>324.5833333</v>
      </c>
      <c r="AO10" s="53">
        <v>450.0</v>
      </c>
      <c r="AP10" s="37">
        <f t="shared" si="16"/>
        <v>3630</v>
      </c>
      <c r="AQ10" s="54">
        <f>MAX(0,MIN(1,(data_raw_3_day!$F$13-AP10+AO10)/AO10))</f>
        <v>1</v>
      </c>
      <c r="AR10" s="54">
        <f>MAX(0,MIN(1,(data_raw_3_day!$G$13-AP10+AO10)/AO10))</f>
        <v>1</v>
      </c>
      <c r="AS10" s="54">
        <f>MAX(0,MIN(1,(data_raw_3_day!$H$13-AP10+AO10)/AO10))</f>
        <v>1</v>
      </c>
      <c r="AT10" s="54">
        <f>MAX(0,MIN(1,(data_raw_3_day!$I$13-AP10+AO10)/AO10))</f>
        <v>1</v>
      </c>
      <c r="AU10" s="55"/>
    </row>
    <row r="11" ht="14.25" customHeight="1">
      <c r="A11" s="47">
        <v>8.0</v>
      </c>
      <c r="B11" s="48">
        <v>820.0</v>
      </c>
      <c r="C11" s="49">
        <f t="shared" si="13"/>
        <v>4450</v>
      </c>
      <c r="D11" s="38" t="b">
        <f t="shared" si="2"/>
        <v>0</v>
      </c>
      <c r="E11" s="51"/>
      <c r="F11" s="51"/>
      <c r="G11" s="51"/>
      <c r="H11" s="51">
        <v>1.0</v>
      </c>
      <c r="I11" s="51"/>
      <c r="J11" s="51"/>
      <c r="K11" s="50"/>
      <c r="L11" s="50"/>
      <c r="M11" s="51"/>
      <c r="N11" s="51"/>
      <c r="O11" s="50"/>
      <c r="P11" s="50"/>
      <c r="R11" s="52">
        <f t="shared" si="3"/>
        <v>8.9</v>
      </c>
      <c r="S11" s="45"/>
      <c r="T11" s="46">
        <f t="shared" si="4"/>
        <v>111.1834672</v>
      </c>
      <c r="U11" s="46">
        <f t="shared" si="5"/>
        <v>70.55136608</v>
      </c>
      <c r="V11" s="46">
        <f t="shared" si="6"/>
        <v>0.03379562435</v>
      </c>
      <c r="W11" s="46">
        <f t="shared" si="7"/>
        <v>0</v>
      </c>
      <c r="X11" s="46">
        <f t="shared" si="8"/>
        <v>168.4650817</v>
      </c>
      <c r="Y11" s="46">
        <f t="shared" si="9"/>
        <v>109.1506095</v>
      </c>
      <c r="Z11" s="46">
        <f t="shared" si="10"/>
        <v>0</v>
      </c>
      <c r="AA11" s="46">
        <f t="shared" si="11"/>
        <v>0</v>
      </c>
      <c r="AB11" s="46"/>
      <c r="AC11" s="46">
        <f t="shared" ref="AC11:AJ11" si="21">sum($E$4:$E11)-T11</f>
        <v>-101.1834672</v>
      </c>
      <c r="AD11" s="46">
        <f t="shared" si="21"/>
        <v>-60.55136608</v>
      </c>
      <c r="AE11" s="46">
        <f t="shared" si="21"/>
        <v>9.966204376</v>
      </c>
      <c r="AF11" s="46">
        <f t="shared" si="21"/>
        <v>10</v>
      </c>
      <c r="AG11" s="46">
        <f t="shared" si="21"/>
        <v>-158.4650817</v>
      </c>
      <c r="AH11" s="46">
        <f t="shared" si="21"/>
        <v>-99.15060948</v>
      </c>
      <c r="AI11" s="46">
        <f t="shared" si="21"/>
        <v>10</v>
      </c>
      <c r="AJ11" s="46">
        <f t="shared" si="21"/>
        <v>10</v>
      </c>
      <c r="AK11" s="45"/>
      <c r="AL11" s="45">
        <f>SUMPRODUCT(E11:P11,item_vals!$A$2:$L$2)</f>
        <v>50</v>
      </c>
      <c r="AM11" s="45">
        <f t="shared" si="15"/>
        <v>374.5833333</v>
      </c>
      <c r="AO11" s="53">
        <v>820.0</v>
      </c>
      <c r="AP11" s="37">
        <f t="shared" si="16"/>
        <v>4450</v>
      </c>
      <c r="AQ11" s="54">
        <f>MAX(0,MIN(1,(data_raw_3_day!$F$13-AP11+AO11)/AO11))</f>
        <v>1</v>
      </c>
      <c r="AR11" s="54">
        <f>MAX(0,MIN(1,(data_raw_3_day!$G$13-AP11+AO11)/AO11))</f>
        <v>1</v>
      </c>
      <c r="AS11" s="54">
        <f>MAX(0,MIN(1,(data_raw_3_day!$H$13-AP11+AO11)/AO11))</f>
        <v>1</v>
      </c>
      <c r="AT11" s="54">
        <f>MAX(0,MIN(1,(data_raw_3_day!$I$13-AP11+AO11)/AO11))</f>
        <v>1</v>
      </c>
      <c r="AU11" s="55"/>
    </row>
    <row r="12" ht="14.25" customHeight="1">
      <c r="A12" s="47">
        <v>9.0</v>
      </c>
      <c r="B12" s="48">
        <v>3300.0</v>
      </c>
      <c r="C12" s="49">
        <f t="shared" si="13"/>
        <v>7750</v>
      </c>
      <c r="D12" s="38" t="b">
        <f t="shared" si="2"/>
        <v>1</v>
      </c>
      <c r="E12" s="50">
        <v>20.0</v>
      </c>
      <c r="F12" s="51"/>
      <c r="G12" s="51"/>
      <c r="H12" s="51"/>
      <c r="I12" s="50">
        <v>1.0</v>
      </c>
      <c r="J12" s="50"/>
      <c r="K12" s="50"/>
      <c r="L12" s="51"/>
      <c r="M12" s="51"/>
      <c r="N12" s="51"/>
      <c r="O12" s="50"/>
      <c r="P12" s="50"/>
      <c r="R12" s="52">
        <f t="shared" si="3"/>
        <v>15.5</v>
      </c>
      <c r="S12" s="45"/>
      <c r="T12" s="46">
        <f t="shared" si="4"/>
        <v>159.0306679</v>
      </c>
      <c r="U12" s="46">
        <f t="shared" si="5"/>
        <v>157.6903702</v>
      </c>
      <c r="V12" s="46">
        <f t="shared" si="6"/>
        <v>127.5841669</v>
      </c>
      <c r="W12" s="46">
        <f t="shared" si="7"/>
        <v>0</v>
      </c>
      <c r="X12" s="46">
        <f t="shared" si="8"/>
        <v>252.3358253</v>
      </c>
      <c r="Y12" s="46">
        <f t="shared" si="9"/>
        <v>282.8205693</v>
      </c>
      <c r="Z12" s="46">
        <f t="shared" si="10"/>
        <v>234.3012064</v>
      </c>
      <c r="AA12" s="46">
        <f t="shared" si="11"/>
        <v>0</v>
      </c>
      <c r="AB12" s="46"/>
      <c r="AC12" s="46">
        <f t="shared" ref="AC12:AJ12" si="22">sum($E$4:$E12)-T12</f>
        <v>-129.0306679</v>
      </c>
      <c r="AD12" s="46">
        <f t="shared" si="22"/>
        <v>-127.6903702</v>
      </c>
      <c r="AE12" s="46">
        <f t="shared" si="22"/>
        <v>-97.58416691</v>
      </c>
      <c r="AF12" s="46">
        <f t="shared" si="22"/>
        <v>30</v>
      </c>
      <c r="AG12" s="46">
        <f t="shared" si="22"/>
        <v>-222.3358253</v>
      </c>
      <c r="AH12" s="46">
        <f t="shared" si="22"/>
        <v>-252.8205693</v>
      </c>
      <c r="AI12" s="46">
        <f t="shared" si="22"/>
        <v>-204.3012064</v>
      </c>
      <c r="AJ12" s="46">
        <f t="shared" si="22"/>
        <v>30</v>
      </c>
      <c r="AK12" s="45"/>
      <c r="AL12" s="45">
        <f>SUMPRODUCT(E12:P12,item_vals!$A$2:$L$2)</f>
        <v>86.66666667</v>
      </c>
      <c r="AM12" s="45">
        <f t="shared" si="15"/>
        <v>461.25</v>
      </c>
      <c r="AO12" s="53">
        <v>3300.0</v>
      </c>
      <c r="AP12" s="37">
        <f t="shared" si="16"/>
        <v>7750</v>
      </c>
      <c r="AQ12" s="54">
        <f>MAX(0,MIN(1,(data_raw_3_day!$F$13-AP12+AO12)/AO12))</f>
        <v>1</v>
      </c>
      <c r="AR12" s="54">
        <f>MAX(0,MIN(1,(data_raw_3_day!$G$13-AP12+AO12)/AO12))</f>
        <v>1</v>
      </c>
      <c r="AS12" s="54">
        <f>MAX(0,MIN(1,(data_raw_3_day!$H$13-AP12+AO12)/AO12))</f>
        <v>1</v>
      </c>
      <c r="AT12" s="54">
        <f>MAX(0,MIN(1,(data_raw_3_day!$I$13-AP12+AO12)/AO12))</f>
        <v>1</v>
      </c>
      <c r="AU12" s="55"/>
    </row>
    <row r="13" ht="14.25" customHeight="1">
      <c r="A13" s="47">
        <v>10.0</v>
      </c>
      <c r="B13" s="48">
        <v>1100.0</v>
      </c>
      <c r="C13" s="49">
        <f t="shared" si="13"/>
        <v>8850</v>
      </c>
      <c r="D13" s="38" t="b">
        <f t="shared" si="2"/>
        <v>0</v>
      </c>
      <c r="E13" s="50"/>
      <c r="F13" s="51"/>
      <c r="G13" s="51"/>
      <c r="H13" s="51"/>
      <c r="I13" s="51"/>
      <c r="J13" s="51"/>
      <c r="K13" s="51"/>
      <c r="L13" s="51"/>
      <c r="M13" s="50">
        <v>30.0</v>
      </c>
      <c r="N13" s="51"/>
      <c r="O13" s="51"/>
      <c r="P13" s="51"/>
      <c r="R13" s="52">
        <f t="shared" si="3"/>
        <v>17.7</v>
      </c>
      <c r="S13" s="45"/>
      <c r="T13" s="46">
        <f t="shared" si="4"/>
        <v>170.4773696</v>
      </c>
      <c r="U13" s="46">
        <f t="shared" si="5"/>
        <v>178.5370274</v>
      </c>
      <c r="V13" s="46">
        <f t="shared" si="6"/>
        <v>158.0986178</v>
      </c>
      <c r="W13" s="46">
        <f t="shared" si="7"/>
        <v>0</v>
      </c>
      <c r="X13" s="46">
        <f t="shared" si="8"/>
        <v>272.4006018</v>
      </c>
      <c r="Y13" s="46">
        <f t="shared" si="9"/>
        <v>324.3684176</v>
      </c>
      <c r="Z13" s="46">
        <f t="shared" si="10"/>
        <v>299.2211959</v>
      </c>
      <c r="AA13" s="46">
        <f t="shared" si="11"/>
        <v>0</v>
      </c>
      <c r="AB13" s="46"/>
      <c r="AC13" s="46">
        <f t="shared" ref="AC13:AJ13" si="23">sum($E$4:$E13)-T13</f>
        <v>-140.4773696</v>
      </c>
      <c r="AD13" s="46">
        <f t="shared" si="23"/>
        <v>-148.5370274</v>
      </c>
      <c r="AE13" s="46">
        <f t="shared" si="23"/>
        <v>-128.0986178</v>
      </c>
      <c r="AF13" s="46">
        <f t="shared" si="23"/>
        <v>30</v>
      </c>
      <c r="AG13" s="46">
        <f t="shared" si="23"/>
        <v>-242.4006018</v>
      </c>
      <c r="AH13" s="46">
        <f t="shared" si="23"/>
        <v>-294.3684176</v>
      </c>
      <c r="AI13" s="46">
        <f t="shared" si="23"/>
        <v>-269.2211959</v>
      </c>
      <c r="AJ13" s="46">
        <f t="shared" si="23"/>
        <v>30</v>
      </c>
      <c r="AK13" s="45"/>
      <c r="AL13" s="45">
        <f>SUMPRODUCT(E13:P13,item_vals!$A$2:$L$2)</f>
        <v>62.5</v>
      </c>
      <c r="AM13" s="45">
        <f t="shared" si="15"/>
        <v>523.75</v>
      </c>
      <c r="AO13" s="53">
        <v>1100.0</v>
      </c>
      <c r="AP13" s="37">
        <f t="shared" si="16"/>
        <v>8850</v>
      </c>
      <c r="AQ13" s="54">
        <f>MAX(0,MIN(1,(data_raw_3_day!$F$13-AP13+AO13)/AO13))</f>
        <v>1</v>
      </c>
      <c r="AR13" s="54">
        <f>MAX(0,MIN(1,(data_raw_3_day!$G$13-AP13+AO13)/AO13))</f>
        <v>1</v>
      </c>
      <c r="AS13" s="54">
        <f>MAX(0,MIN(1,(data_raw_3_day!$H$13-AP13+AO13)/AO13))</f>
        <v>1</v>
      </c>
      <c r="AT13" s="54">
        <f>MAX(0,MIN(1,(data_raw_3_day!$I$13-AP13+AO13)/AO13))</f>
        <v>1</v>
      </c>
      <c r="AU13" s="55"/>
    </row>
    <row r="14" ht="14.25" customHeight="1">
      <c r="A14" s="47">
        <v>11.0</v>
      </c>
      <c r="B14" s="48">
        <v>2200.0</v>
      </c>
      <c r="C14" s="49">
        <f t="shared" si="13"/>
        <v>11050</v>
      </c>
      <c r="D14" s="38" t="b">
        <f t="shared" si="2"/>
        <v>0</v>
      </c>
      <c r="E14" s="51"/>
      <c r="F14" s="51"/>
      <c r="G14" s="50"/>
      <c r="H14" s="51"/>
      <c r="I14" s="51"/>
      <c r="J14" s="50">
        <v>1.0</v>
      </c>
      <c r="K14" s="51"/>
      <c r="L14" s="51"/>
      <c r="M14" s="51"/>
      <c r="N14" s="51"/>
      <c r="O14" s="51"/>
      <c r="P14" s="50"/>
      <c r="R14" s="52">
        <f t="shared" si="3"/>
        <v>22.1</v>
      </c>
      <c r="S14" s="45"/>
      <c r="T14" s="46">
        <f t="shared" si="4"/>
        <v>189.6246561</v>
      </c>
      <c r="U14" s="46">
        <f t="shared" si="5"/>
        <v>213.4079384</v>
      </c>
      <c r="V14" s="46">
        <f t="shared" si="6"/>
        <v>209.1411755</v>
      </c>
      <c r="W14" s="46">
        <f t="shared" si="7"/>
        <v>26.46103709</v>
      </c>
      <c r="X14" s="46">
        <f t="shared" si="8"/>
        <v>305.9636344</v>
      </c>
      <c r="Y14" s="46">
        <f t="shared" si="9"/>
        <v>393.8669133</v>
      </c>
      <c r="Z14" s="46">
        <f t="shared" si="10"/>
        <v>407.8150654</v>
      </c>
      <c r="AA14" s="46">
        <f t="shared" si="11"/>
        <v>0</v>
      </c>
      <c r="AB14" s="46"/>
      <c r="AC14" s="46">
        <f t="shared" ref="AC14:AJ14" si="24">sum($E$4:$E14)-T14</f>
        <v>-159.6246561</v>
      </c>
      <c r="AD14" s="46">
        <f t="shared" si="24"/>
        <v>-183.4079384</v>
      </c>
      <c r="AE14" s="46">
        <f t="shared" si="24"/>
        <v>-179.1411755</v>
      </c>
      <c r="AF14" s="46">
        <f t="shared" si="24"/>
        <v>3.538962911</v>
      </c>
      <c r="AG14" s="46">
        <f t="shared" si="24"/>
        <v>-275.9636344</v>
      </c>
      <c r="AH14" s="46">
        <f t="shared" si="24"/>
        <v>-363.8669133</v>
      </c>
      <c r="AI14" s="46">
        <f t="shared" si="24"/>
        <v>-377.8150654</v>
      </c>
      <c r="AJ14" s="46">
        <f t="shared" si="24"/>
        <v>30</v>
      </c>
      <c r="AK14" s="45"/>
      <c r="AL14" s="45">
        <f>SUMPRODUCT(E14:P14,item_vals!$A$2:$L$2)</f>
        <v>50</v>
      </c>
      <c r="AM14" s="45">
        <f t="shared" si="15"/>
        <v>573.75</v>
      </c>
      <c r="AO14" s="53">
        <v>2200.0</v>
      </c>
      <c r="AP14" s="37">
        <f t="shared" si="16"/>
        <v>11050</v>
      </c>
      <c r="AQ14" s="54">
        <f>MAX(0,MIN(1,(data_raw_3_day!$F$13-AP14+AO14)/AO14))</f>
        <v>1</v>
      </c>
      <c r="AR14" s="54">
        <f>MAX(0,MIN(1,(data_raw_3_day!$G$13-AP14+AO14)/AO14))</f>
        <v>1</v>
      </c>
      <c r="AS14" s="54">
        <f>MAX(0,MIN(1,(data_raw_3_day!$H$13-AP14+AO14)/AO14))</f>
        <v>1</v>
      </c>
      <c r="AT14" s="54">
        <f>MAX(0,MIN(1,(data_raw_3_day!$I$13-AP14+AO14)/AO14))</f>
        <v>1</v>
      </c>
      <c r="AU14" s="55"/>
    </row>
    <row r="15" ht="14.25" customHeight="1">
      <c r="A15" s="47">
        <v>12.0</v>
      </c>
      <c r="B15" s="48">
        <v>6500.0</v>
      </c>
      <c r="C15" s="49">
        <f t="shared" si="13"/>
        <v>17550</v>
      </c>
      <c r="D15" s="38" t="b">
        <f t="shared" si="2"/>
        <v>1</v>
      </c>
      <c r="E15" s="50">
        <v>35.0</v>
      </c>
      <c r="F15" s="51"/>
      <c r="G15" s="51"/>
      <c r="H15" s="51"/>
      <c r="I15" s="51"/>
      <c r="J15" s="50"/>
      <c r="K15" s="50">
        <v>1.0</v>
      </c>
      <c r="L15" s="50"/>
      <c r="M15" s="51"/>
      <c r="N15" s="50"/>
      <c r="O15" s="51"/>
      <c r="P15" s="51"/>
      <c r="R15" s="52">
        <f t="shared" si="3"/>
        <v>35.1</v>
      </c>
      <c r="S15" s="45"/>
      <c r="T15" s="46">
        <f t="shared" si="4"/>
        <v>229.5231591</v>
      </c>
      <c r="U15" s="46">
        <f t="shared" si="5"/>
        <v>286.0708272</v>
      </c>
      <c r="V15" s="46">
        <f t="shared" si="6"/>
        <v>315.5020242</v>
      </c>
      <c r="W15" s="46">
        <f t="shared" si="7"/>
        <v>215.3326414</v>
      </c>
      <c r="X15" s="46">
        <f t="shared" si="8"/>
        <v>375.901208</v>
      </c>
      <c r="Y15" s="46">
        <f t="shared" si="9"/>
        <v>538.6856554</v>
      </c>
      <c r="Z15" s="46">
        <f t="shared" si="10"/>
        <v>634.0994966</v>
      </c>
      <c r="AA15" s="46">
        <f t="shared" si="11"/>
        <v>312.6420641</v>
      </c>
      <c r="AB15" s="46"/>
      <c r="AC15" s="46">
        <f t="shared" ref="AC15:AJ15" si="25">sum($E$4:$E15)-T15</f>
        <v>-164.5231591</v>
      </c>
      <c r="AD15" s="46">
        <f t="shared" si="25"/>
        <v>-221.0708272</v>
      </c>
      <c r="AE15" s="46">
        <f t="shared" si="25"/>
        <v>-250.5020242</v>
      </c>
      <c r="AF15" s="46">
        <f t="shared" si="25"/>
        <v>-150.3326414</v>
      </c>
      <c r="AG15" s="46">
        <f t="shared" si="25"/>
        <v>-310.901208</v>
      </c>
      <c r="AH15" s="46">
        <f t="shared" si="25"/>
        <v>-473.6856554</v>
      </c>
      <c r="AI15" s="46">
        <f t="shared" si="25"/>
        <v>-569.0994966</v>
      </c>
      <c r="AJ15" s="46">
        <f t="shared" si="25"/>
        <v>-247.6420641</v>
      </c>
      <c r="AK15" s="45"/>
      <c r="AL15" s="45">
        <f>SUMPRODUCT(E15:P15,item_vals!$A$2:$L$2)</f>
        <v>101.6666667</v>
      </c>
      <c r="AM15" s="45">
        <f t="shared" si="15"/>
        <v>675.4166667</v>
      </c>
      <c r="AO15" s="53">
        <v>6500.0</v>
      </c>
      <c r="AP15" s="37">
        <f t="shared" si="16"/>
        <v>17550</v>
      </c>
      <c r="AQ15" s="54">
        <f>MAX(0,MIN(1,(data_raw_3_day!$F$13-AP15+AO15)/AO15))</f>
        <v>1</v>
      </c>
      <c r="AR15" s="54">
        <f>MAX(0,MIN(1,(data_raw_3_day!$G$13-AP15+AO15)/AO15))</f>
        <v>1</v>
      </c>
      <c r="AS15" s="54">
        <f>MAX(0,MIN(1,(data_raw_3_day!$H$13-AP15+AO15)/AO15))</f>
        <v>1</v>
      </c>
      <c r="AT15" s="54">
        <f>MAX(0,MIN(1,(data_raw_3_day!$I$13-AP15+AO15)/AO15))</f>
        <v>1</v>
      </c>
      <c r="AU15" s="55"/>
    </row>
    <row r="16" ht="14.25" customHeight="1">
      <c r="A16" s="47">
        <v>13.0</v>
      </c>
      <c r="B16" s="48">
        <v>2200.0</v>
      </c>
      <c r="C16" s="49">
        <f t="shared" si="13"/>
        <v>19750</v>
      </c>
      <c r="D16" s="38" t="b">
        <f t="shared" si="2"/>
        <v>0</v>
      </c>
      <c r="E16" s="51"/>
      <c r="F16" s="51"/>
      <c r="G16" s="51"/>
      <c r="H16" s="51"/>
      <c r="I16" s="51"/>
      <c r="J16" s="51"/>
      <c r="K16" s="51"/>
      <c r="L16" s="51"/>
      <c r="M16" s="51"/>
      <c r="N16" s="50">
        <v>10.0</v>
      </c>
      <c r="O16" s="50"/>
      <c r="P16" s="51"/>
      <c r="R16" s="52">
        <f t="shared" si="3"/>
        <v>39.5</v>
      </c>
      <c r="S16" s="45"/>
      <c r="T16" s="46">
        <f t="shared" si="4"/>
        <v>239.708536</v>
      </c>
      <c r="U16" s="46">
        <f t="shared" si="5"/>
        <v>304.6203678</v>
      </c>
      <c r="V16" s="46">
        <f t="shared" si="6"/>
        <v>342.6540536</v>
      </c>
      <c r="W16" s="46">
        <f t="shared" si="7"/>
        <v>263.5481964</v>
      </c>
      <c r="X16" s="46">
        <f t="shared" si="8"/>
        <v>393.7550243</v>
      </c>
      <c r="Y16" s="46">
        <f t="shared" si="9"/>
        <v>575.6552996</v>
      </c>
      <c r="Z16" s="46">
        <f t="shared" si="10"/>
        <v>691.8658796</v>
      </c>
      <c r="AA16" s="46">
        <f t="shared" si="11"/>
        <v>415.5700661</v>
      </c>
      <c r="AB16" s="46"/>
      <c r="AC16" s="46">
        <f t="shared" ref="AC16:AJ16" si="26">sum($E$4:$E16)-T16</f>
        <v>-174.708536</v>
      </c>
      <c r="AD16" s="46">
        <f t="shared" si="26"/>
        <v>-239.6203678</v>
      </c>
      <c r="AE16" s="46">
        <f t="shared" si="26"/>
        <v>-277.6540536</v>
      </c>
      <c r="AF16" s="46">
        <f t="shared" si="26"/>
        <v>-198.5481964</v>
      </c>
      <c r="AG16" s="46">
        <f t="shared" si="26"/>
        <v>-328.7550243</v>
      </c>
      <c r="AH16" s="46">
        <f t="shared" si="26"/>
        <v>-510.6552996</v>
      </c>
      <c r="AI16" s="46">
        <f t="shared" si="26"/>
        <v>-626.8658796</v>
      </c>
      <c r="AJ16" s="46">
        <f t="shared" si="26"/>
        <v>-350.5700661</v>
      </c>
      <c r="AK16" s="45"/>
      <c r="AL16" s="45">
        <f>SUMPRODUCT(E16:P16,item_vals!$A$2:$L$2)</f>
        <v>73.83333333</v>
      </c>
      <c r="AM16" s="45">
        <f t="shared" si="15"/>
        <v>749.25</v>
      </c>
      <c r="AO16" s="53">
        <v>2200.0</v>
      </c>
      <c r="AP16" s="37">
        <f t="shared" si="16"/>
        <v>19750</v>
      </c>
      <c r="AQ16" s="54">
        <f>MAX(0,MIN(1,(data_raw_3_day!$F$13-AP16+AO16)/AO16))</f>
        <v>1</v>
      </c>
      <c r="AR16" s="54">
        <f>MAX(0,MIN(1,(data_raw_3_day!$G$13-AP16+AO16)/AO16))</f>
        <v>1</v>
      </c>
      <c r="AS16" s="54">
        <f>MAX(0,MIN(1,(data_raw_3_day!$H$13-AP16+AO16)/AO16))</f>
        <v>1</v>
      </c>
      <c r="AT16" s="54">
        <f>MAX(0,MIN(1,(data_raw_3_day!$I$13-AP16+AO16)/AO16))</f>
        <v>1</v>
      </c>
      <c r="AU16" s="55"/>
    </row>
    <row r="17" ht="14.25" customHeight="1">
      <c r="A17" s="47">
        <v>14.0</v>
      </c>
      <c r="B17" s="48">
        <v>4300.0</v>
      </c>
      <c r="C17" s="49">
        <f t="shared" si="13"/>
        <v>24050</v>
      </c>
      <c r="D17" s="38" t="b">
        <f t="shared" si="2"/>
        <v>0</v>
      </c>
      <c r="E17" s="50"/>
      <c r="F17" s="51"/>
      <c r="G17" s="50">
        <v>2.0</v>
      </c>
      <c r="H17" s="51"/>
      <c r="I17" s="50"/>
      <c r="J17" s="50"/>
      <c r="K17" s="51"/>
      <c r="L17" s="51"/>
      <c r="M17" s="51"/>
      <c r="N17" s="51"/>
      <c r="O17" s="50"/>
      <c r="P17" s="51"/>
      <c r="R17" s="52">
        <f t="shared" si="3"/>
        <v>48.1</v>
      </c>
      <c r="S17" s="45"/>
      <c r="T17" s="46">
        <f t="shared" si="4"/>
        <v>256.6970089</v>
      </c>
      <c r="U17" s="46">
        <f t="shared" si="5"/>
        <v>335.5596619</v>
      </c>
      <c r="V17" s="46">
        <f t="shared" si="6"/>
        <v>387.9416775</v>
      </c>
      <c r="W17" s="46">
        <f t="shared" si="7"/>
        <v>343.9682597</v>
      </c>
      <c r="X17" s="46">
        <f t="shared" si="8"/>
        <v>423.5339003</v>
      </c>
      <c r="Y17" s="46">
        <f t="shared" si="9"/>
        <v>637.3179961</v>
      </c>
      <c r="Z17" s="46">
        <f t="shared" si="10"/>
        <v>788.2160341</v>
      </c>
      <c r="AA17" s="46">
        <f t="shared" si="11"/>
        <v>587.2465392</v>
      </c>
      <c r="AB17" s="46"/>
      <c r="AC17" s="46">
        <f t="shared" ref="AC17:AJ17" si="27">sum($E$4:$E17)-T17</f>
        <v>-191.6970089</v>
      </c>
      <c r="AD17" s="46">
        <f t="shared" si="27"/>
        <v>-270.5596619</v>
      </c>
      <c r="AE17" s="46">
        <f t="shared" si="27"/>
        <v>-322.9416775</v>
      </c>
      <c r="AF17" s="46">
        <f t="shared" si="27"/>
        <v>-278.9682597</v>
      </c>
      <c r="AG17" s="46">
        <f t="shared" si="27"/>
        <v>-358.5339003</v>
      </c>
      <c r="AH17" s="46">
        <f t="shared" si="27"/>
        <v>-572.3179961</v>
      </c>
      <c r="AI17" s="46">
        <f t="shared" si="27"/>
        <v>-723.2160341</v>
      </c>
      <c r="AJ17" s="46">
        <f t="shared" si="27"/>
        <v>-522.2465392</v>
      </c>
      <c r="AK17" s="45"/>
      <c r="AL17" s="45">
        <f>SUMPRODUCT(E17:P17,item_vals!$A$2:$L$2)</f>
        <v>66.66666667</v>
      </c>
      <c r="AM17" s="45">
        <f t="shared" si="15"/>
        <v>815.9166667</v>
      </c>
      <c r="AO17" s="53">
        <v>4300.0</v>
      </c>
      <c r="AP17" s="37">
        <f t="shared" si="16"/>
        <v>24050</v>
      </c>
      <c r="AQ17" s="54">
        <f>MAX(0,MIN(1,(data_raw_3_day!$F$13-AP17+AO17)/AO17))</f>
        <v>1</v>
      </c>
      <c r="AR17" s="54">
        <f>MAX(0,MIN(1,(data_raw_3_day!$G$13-AP17+AO17)/AO17))</f>
        <v>1</v>
      </c>
      <c r="AS17" s="54">
        <f>MAX(0,MIN(1,(data_raw_3_day!$H$13-AP17+AO17)/AO17))</f>
        <v>1</v>
      </c>
      <c r="AT17" s="54">
        <f>MAX(0,MIN(1,(data_raw_3_day!$I$13-AP17+AO17)/AO17))</f>
        <v>1</v>
      </c>
      <c r="AU17" s="55"/>
    </row>
    <row r="18" ht="14.25" customHeight="1">
      <c r="A18" s="47">
        <v>15.0</v>
      </c>
      <c r="B18" s="48">
        <v>13000.0</v>
      </c>
      <c r="C18" s="49">
        <f t="shared" si="13"/>
        <v>37050</v>
      </c>
      <c r="D18" s="38" t="b">
        <f t="shared" si="2"/>
        <v>1</v>
      </c>
      <c r="E18" s="50"/>
      <c r="F18" s="51"/>
      <c r="G18" s="51"/>
      <c r="H18" s="50">
        <v>1.0</v>
      </c>
      <c r="I18" s="51"/>
      <c r="J18" s="51"/>
      <c r="K18" s="51"/>
      <c r="L18" s="51">
        <v>1.0</v>
      </c>
      <c r="M18" s="50"/>
      <c r="N18" s="51"/>
      <c r="O18" s="51"/>
      <c r="P18" s="50"/>
      <c r="R18" s="52">
        <f t="shared" si="3"/>
        <v>74.1</v>
      </c>
      <c r="S18" s="45"/>
      <c r="T18" s="46">
        <f t="shared" si="4"/>
        <v>293.965918</v>
      </c>
      <c r="U18" s="46">
        <f t="shared" si="5"/>
        <v>403.4335516</v>
      </c>
      <c r="V18" s="46">
        <f t="shared" si="6"/>
        <v>487.2925929</v>
      </c>
      <c r="W18" s="46">
        <f t="shared" si="7"/>
        <v>520.3918875</v>
      </c>
      <c r="X18" s="46">
        <f t="shared" si="8"/>
        <v>488.8620924</v>
      </c>
      <c r="Y18" s="46">
        <f t="shared" si="9"/>
        <v>772.5921573</v>
      </c>
      <c r="Z18" s="46">
        <f t="shared" si="10"/>
        <v>999.5867186</v>
      </c>
      <c r="AA18" s="46">
        <f t="shared" si="11"/>
        <v>963.866315</v>
      </c>
      <c r="AB18" s="46"/>
      <c r="AC18" s="46">
        <f t="shared" ref="AC18:AJ18" si="28">sum($E$4:$E18)-T18</f>
        <v>-228.965918</v>
      </c>
      <c r="AD18" s="46">
        <f t="shared" si="28"/>
        <v>-338.4335516</v>
      </c>
      <c r="AE18" s="46">
        <f t="shared" si="28"/>
        <v>-422.2925929</v>
      </c>
      <c r="AF18" s="46">
        <f t="shared" si="28"/>
        <v>-455.3918875</v>
      </c>
      <c r="AG18" s="46">
        <f t="shared" si="28"/>
        <v>-423.8620924</v>
      </c>
      <c r="AH18" s="46">
        <f t="shared" si="28"/>
        <v>-707.5921573</v>
      </c>
      <c r="AI18" s="46">
        <f t="shared" si="28"/>
        <v>-934.5867186</v>
      </c>
      <c r="AJ18" s="46">
        <f t="shared" si="28"/>
        <v>-898.866315</v>
      </c>
      <c r="AK18" s="45"/>
      <c r="AL18" s="45">
        <f>SUMPRODUCT(E18:P18,item_vals!$A$2:$L$2)</f>
        <v>216.6666667</v>
      </c>
      <c r="AM18" s="45">
        <f t="shared" si="15"/>
        <v>1032.583333</v>
      </c>
      <c r="AO18" s="53">
        <v>13000.0</v>
      </c>
      <c r="AP18" s="37">
        <f t="shared" si="16"/>
        <v>37050</v>
      </c>
      <c r="AQ18" s="54">
        <f>MAX(0,MIN(1,(data_raw_3_day!$F$13-AP18+AO18)/AO18))</f>
        <v>1</v>
      </c>
      <c r="AR18" s="54">
        <f>MAX(0,MIN(1,(data_raw_3_day!$G$13-AP18+AO18)/AO18))</f>
        <v>1</v>
      </c>
      <c r="AS18" s="54">
        <f>MAX(0,MIN(1,(data_raw_3_day!$H$13-AP18+AO18)/AO18))</f>
        <v>1</v>
      </c>
      <c r="AT18" s="54">
        <f>MAX(0,MIN(1,(data_raw_3_day!$I$13-AP18+AO18)/AO18))</f>
        <v>1</v>
      </c>
      <c r="AU18" s="55"/>
    </row>
    <row r="19" ht="14.25" customHeight="1">
      <c r="A19" s="47">
        <v>16.0</v>
      </c>
      <c r="B19" s="48">
        <v>3300.0</v>
      </c>
      <c r="C19" s="49">
        <f t="shared" si="13"/>
        <v>40350</v>
      </c>
      <c r="D19" s="38" t="b">
        <f t="shared" si="2"/>
        <v>0</v>
      </c>
      <c r="E19" s="50"/>
      <c r="F19" s="51"/>
      <c r="G19" s="51"/>
      <c r="H19" s="51"/>
      <c r="I19" s="50">
        <v>1.0</v>
      </c>
      <c r="J19" s="50"/>
      <c r="K19" s="51"/>
      <c r="L19" s="51"/>
      <c r="M19" s="50"/>
      <c r="N19" s="50"/>
      <c r="O19" s="51"/>
      <c r="P19" s="50"/>
      <c r="R19" s="52">
        <f t="shared" si="3"/>
        <v>80.7</v>
      </c>
      <c r="S19" s="45"/>
      <c r="T19" s="46">
        <f t="shared" si="4"/>
        <v>301.3245185</v>
      </c>
      <c r="U19" s="46">
        <f t="shared" si="5"/>
        <v>416.834986</v>
      </c>
      <c r="V19" s="46">
        <f t="shared" si="6"/>
        <v>506.9090431</v>
      </c>
      <c r="W19" s="46">
        <f t="shared" si="7"/>
        <v>555.2260437</v>
      </c>
      <c r="X19" s="46">
        <f t="shared" si="8"/>
        <v>501.7608887</v>
      </c>
      <c r="Y19" s="46">
        <f t="shared" si="9"/>
        <v>799.301512</v>
      </c>
      <c r="Z19" s="46">
        <f t="shared" si="10"/>
        <v>1041.321035</v>
      </c>
      <c r="AA19" s="46">
        <f t="shared" si="11"/>
        <v>1038.228419</v>
      </c>
      <c r="AB19" s="46"/>
      <c r="AC19" s="46">
        <f t="shared" ref="AC19:AJ19" si="29">sum($E$4:$E19)-T19</f>
        <v>-236.3245185</v>
      </c>
      <c r="AD19" s="46">
        <f t="shared" si="29"/>
        <v>-351.834986</v>
      </c>
      <c r="AE19" s="46">
        <f t="shared" si="29"/>
        <v>-441.9090431</v>
      </c>
      <c r="AF19" s="46">
        <f t="shared" si="29"/>
        <v>-490.2260437</v>
      </c>
      <c r="AG19" s="46">
        <f t="shared" si="29"/>
        <v>-436.7608887</v>
      </c>
      <c r="AH19" s="46">
        <f t="shared" si="29"/>
        <v>-734.301512</v>
      </c>
      <c r="AI19" s="46">
        <f t="shared" si="29"/>
        <v>-976.3210345</v>
      </c>
      <c r="AJ19" s="46">
        <f t="shared" si="29"/>
        <v>-973.2284186</v>
      </c>
      <c r="AK19" s="45"/>
      <c r="AL19" s="45">
        <f>SUMPRODUCT(E19:P19,item_vals!$A$2:$L$2)</f>
        <v>66.66666667</v>
      </c>
      <c r="AM19" s="45">
        <f t="shared" si="15"/>
        <v>1099.25</v>
      </c>
      <c r="AO19" s="53">
        <v>3300.0</v>
      </c>
      <c r="AP19" s="37">
        <f t="shared" si="16"/>
        <v>40350</v>
      </c>
      <c r="AQ19" s="54">
        <f>MAX(0,MIN(1,(data_raw_3_day!$F$13-AP19+AO19)/AO19))</f>
        <v>1</v>
      </c>
      <c r="AR19" s="54">
        <f>MAX(0,MIN(1,(data_raw_3_day!$G$13-AP19+AO19)/AO19))</f>
        <v>1</v>
      </c>
      <c r="AS19" s="54">
        <f>MAX(0,MIN(1,(data_raw_3_day!$H$13-AP19+AO19)/AO19))</f>
        <v>1</v>
      </c>
      <c r="AT19" s="54">
        <f>MAX(0,MIN(1,(data_raw_3_day!$I$13-AP19+AO19)/AO19))</f>
        <v>1</v>
      </c>
      <c r="AU19" s="55"/>
    </row>
    <row r="20" ht="14.25" customHeight="1">
      <c r="A20" s="47">
        <v>17.0</v>
      </c>
      <c r="B20" s="48">
        <v>5500.0</v>
      </c>
      <c r="C20" s="49">
        <f t="shared" si="13"/>
        <v>45850</v>
      </c>
      <c r="D20" s="38" t="b">
        <f t="shared" si="2"/>
        <v>0</v>
      </c>
      <c r="E20" s="51"/>
      <c r="F20" s="51"/>
      <c r="G20" s="50"/>
      <c r="H20" s="51"/>
      <c r="I20" s="51"/>
      <c r="J20" s="50">
        <v>2.0</v>
      </c>
      <c r="K20" s="50"/>
      <c r="L20" s="51"/>
      <c r="M20" s="51"/>
      <c r="N20" s="51"/>
      <c r="O20" s="50"/>
      <c r="P20" s="51"/>
      <c r="R20" s="52">
        <f t="shared" si="3"/>
        <v>91.7</v>
      </c>
      <c r="S20" s="45"/>
      <c r="T20" s="46">
        <f t="shared" si="4"/>
        <v>312.3451049</v>
      </c>
      <c r="U20" s="46">
        <f t="shared" si="5"/>
        <v>436.9056047</v>
      </c>
      <c r="V20" s="46">
        <f t="shared" si="6"/>
        <v>536.2875619</v>
      </c>
      <c r="W20" s="46">
        <f t="shared" si="7"/>
        <v>607.3953151</v>
      </c>
      <c r="X20" s="46">
        <f t="shared" si="8"/>
        <v>521.0787331</v>
      </c>
      <c r="Y20" s="46">
        <f t="shared" si="9"/>
        <v>839.3026985</v>
      </c>
      <c r="Z20" s="46">
        <f t="shared" si="10"/>
        <v>1103.82431</v>
      </c>
      <c r="AA20" s="46">
        <f t="shared" si="11"/>
        <v>1149.596604</v>
      </c>
      <c r="AB20" s="46"/>
      <c r="AC20" s="46">
        <f t="shared" ref="AC20:AJ20" si="30">sum($E$4:$E20)-T20</f>
        <v>-247.3451049</v>
      </c>
      <c r="AD20" s="46">
        <f t="shared" si="30"/>
        <v>-371.9056047</v>
      </c>
      <c r="AE20" s="46">
        <f t="shared" si="30"/>
        <v>-471.2875619</v>
      </c>
      <c r="AF20" s="46">
        <f t="shared" si="30"/>
        <v>-542.3953151</v>
      </c>
      <c r="AG20" s="46">
        <f t="shared" si="30"/>
        <v>-456.0787331</v>
      </c>
      <c r="AH20" s="46">
        <f t="shared" si="30"/>
        <v>-774.3026985</v>
      </c>
      <c r="AI20" s="46">
        <f t="shared" si="30"/>
        <v>-1038.82431</v>
      </c>
      <c r="AJ20" s="46">
        <f t="shared" si="30"/>
        <v>-1084.596604</v>
      </c>
      <c r="AK20" s="45"/>
      <c r="AL20" s="45">
        <f>SUMPRODUCT(E20:P20,item_vals!$A$2:$L$2)</f>
        <v>100</v>
      </c>
      <c r="AM20" s="45">
        <f t="shared" si="15"/>
        <v>1199.25</v>
      </c>
      <c r="AO20" s="53">
        <v>5500.0</v>
      </c>
      <c r="AP20" s="37">
        <f t="shared" si="16"/>
        <v>45850</v>
      </c>
      <c r="AQ20" s="54">
        <f>MAX(0,MIN(1,(data_raw_3_day!$F$13-AP20+AO20)/AO20))</f>
        <v>1</v>
      </c>
      <c r="AR20" s="54">
        <f>MAX(0,MIN(1,(data_raw_3_day!$G$13-AP20+AO20)/AO20))</f>
        <v>1</v>
      </c>
      <c r="AS20" s="54">
        <f>MAX(0,MIN(1,(data_raw_3_day!$H$13-AP20+AO20)/AO20))</f>
        <v>1</v>
      </c>
      <c r="AT20" s="54">
        <f>MAX(0,MIN(1,(data_raw_3_day!$I$13-AP20+AO20)/AO20))</f>
        <v>1</v>
      </c>
      <c r="AU20" s="55"/>
    </row>
    <row r="21" ht="14.25" customHeight="1">
      <c r="A21" s="47">
        <v>18.0</v>
      </c>
      <c r="B21" s="48">
        <v>16250.0</v>
      </c>
      <c r="C21" s="49">
        <f t="shared" si="13"/>
        <v>62100</v>
      </c>
      <c r="D21" s="38" t="b">
        <f t="shared" si="2"/>
        <v>1</v>
      </c>
      <c r="E21" s="50">
        <v>50.0</v>
      </c>
      <c r="F21" s="51"/>
      <c r="G21" s="51"/>
      <c r="H21" s="51"/>
      <c r="I21" s="50"/>
      <c r="J21" s="51"/>
      <c r="K21" s="50">
        <v>2.0</v>
      </c>
      <c r="L21" s="50"/>
      <c r="M21" s="50"/>
      <c r="N21" s="51"/>
      <c r="O21" s="51"/>
      <c r="P21" s="51"/>
      <c r="R21" s="52">
        <f t="shared" si="3"/>
        <v>124.2</v>
      </c>
      <c r="S21" s="45"/>
      <c r="T21" s="46">
        <f t="shared" si="4"/>
        <v>338.5090154</v>
      </c>
      <c r="U21" s="46">
        <f t="shared" si="5"/>
        <v>484.5551446</v>
      </c>
      <c r="V21" s="46">
        <f t="shared" si="6"/>
        <v>606.0349335</v>
      </c>
      <c r="W21" s="46">
        <f t="shared" si="7"/>
        <v>731.2500806</v>
      </c>
      <c r="X21" s="46">
        <f t="shared" si="8"/>
        <v>566.9411157</v>
      </c>
      <c r="Y21" s="46">
        <f t="shared" si="9"/>
        <v>934.2692839</v>
      </c>
      <c r="Z21" s="46">
        <f t="shared" si="10"/>
        <v>1252.212975</v>
      </c>
      <c r="AA21" s="46">
        <f t="shared" si="11"/>
        <v>1413.995169</v>
      </c>
      <c r="AB21" s="46"/>
      <c r="AC21" s="46">
        <f t="shared" ref="AC21:AJ21" si="31">sum($E$4:$E21)-T21</f>
        <v>-223.5090154</v>
      </c>
      <c r="AD21" s="46">
        <f t="shared" si="31"/>
        <v>-369.5551446</v>
      </c>
      <c r="AE21" s="46">
        <f t="shared" si="31"/>
        <v>-491.0349335</v>
      </c>
      <c r="AF21" s="46">
        <f t="shared" si="31"/>
        <v>-616.2500806</v>
      </c>
      <c r="AG21" s="46">
        <f t="shared" si="31"/>
        <v>-451.9411157</v>
      </c>
      <c r="AH21" s="46">
        <f t="shared" si="31"/>
        <v>-819.2692839</v>
      </c>
      <c r="AI21" s="46">
        <f t="shared" si="31"/>
        <v>-1137.212975</v>
      </c>
      <c r="AJ21" s="46">
        <f t="shared" si="31"/>
        <v>-1298.995169</v>
      </c>
      <c r="AK21" s="45"/>
      <c r="AL21" s="45">
        <f>SUMPRODUCT(E21:P21,item_vals!$A$2:$L$2)</f>
        <v>183.3333333</v>
      </c>
      <c r="AM21" s="45">
        <f t="shared" si="15"/>
        <v>1382.583333</v>
      </c>
      <c r="AO21" s="53">
        <v>16250.0</v>
      </c>
      <c r="AP21" s="37">
        <f t="shared" si="16"/>
        <v>62100</v>
      </c>
      <c r="AQ21" s="54">
        <f>MAX(0,MIN(1,(data_raw_3_day!$F$13-AP21+AO21)/AO21))</f>
        <v>1</v>
      </c>
      <c r="AR21" s="54">
        <f>MAX(0,MIN(1,(data_raw_3_day!$G$13-AP21+AO21)/AO21))</f>
        <v>1</v>
      </c>
      <c r="AS21" s="54">
        <f>MAX(0,MIN(1,(data_raw_3_day!$H$13-AP21+AO21)/AO21))</f>
        <v>1</v>
      </c>
      <c r="AT21" s="54">
        <f>MAX(0,MIN(1,(data_raw_3_day!$I$13-AP21+AO21)/AO21))</f>
        <v>1</v>
      </c>
      <c r="AU21" s="55"/>
    </row>
    <row r="22" ht="14.25" customHeight="1">
      <c r="A22" s="47">
        <v>19.0</v>
      </c>
      <c r="B22" s="48">
        <v>3800.0</v>
      </c>
      <c r="C22" s="49">
        <f t="shared" si="13"/>
        <v>65900</v>
      </c>
      <c r="D22" s="38" t="b">
        <f t="shared" si="2"/>
        <v>0</v>
      </c>
      <c r="E22" s="50"/>
      <c r="F22" s="51"/>
      <c r="G22" s="51"/>
      <c r="H22" s="51"/>
      <c r="I22" s="51"/>
      <c r="J22" s="51"/>
      <c r="K22" s="50"/>
      <c r="L22" s="50"/>
      <c r="M22" s="51">
        <v>60.0</v>
      </c>
      <c r="N22" s="51"/>
      <c r="O22" s="51"/>
      <c r="P22" s="51"/>
      <c r="R22" s="52">
        <f t="shared" si="3"/>
        <v>131.8</v>
      </c>
      <c r="S22" s="45"/>
      <c r="T22" s="46">
        <f t="shared" si="4"/>
        <v>343.631258</v>
      </c>
      <c r="U22" s="46">
        <f t="shared" si="5"/>
        <v>493.883739</v>
      </c>
      <c r="V22" s="46">
        <f t="shared" si="6"/>
        <v>619.6897335</v>
      </c>
      <c r="W22" s="46">
        <f t="shared" si="7"/>
        <v>755.4977621</v>
      </c>
      <c r="X22" s="46">
        <f t="shared" si="8"/>
        <v>575.9198291</v>
      </c>
      <c r="Y22" s="46">
        <f t="shared" si="9"/>
        <v>952.8613785</v>
      </c>
      <c r="Z22" s="46">
        <f t="shared" si="10"/>
        <v>1281.263783</v>
      </c>
      <c r="AA22" s="46">
        <f t="shared" si="11"/>
        <v>1465.75783</v>
      </c>
      <c r="AB22" s="46"/>
      <c r="AC22" s="46">
        <f t="shared" ref="AC22:AJ22" si="32">sum($E$4:$E22)-T22</f>
        <v>-228.631258</v>
      </c>
      <c r="AD22" s="46">
        <f t="shared" si="32"/>
        <v>-378.883739</v>
      </c>
      <c r="AE22" s="46">
        <f t="shared" si="32"/>
        <v>-504.6897335</v>
      </c>
      <c r="AF22" s="46">
        <f t="shared" si="32"/>
        <v>-640.4977621</v>
      </c>
      <c r="AG22" s="46">
        <f t="shared" si="32"/>
        <v>-460.9198291</v>
      </c>
      <c r="AH22" s="46">
        <f t="shared" si="32"/>
        <v>-837.8613785</v>
      </c>
      <c r="AI22" s="46">
        <f t="shared" si="32"/>
        <v>-1166.263783</v>
      </c>
      <c r="AJ22" s="46">
        <f t="shared" si="32"/>
        <v>-1350.75783</v>
      </c>
      <c r="AK22" s="45"/>
      <c r="AL22" s="45">
        <f>SUMPRODUCT(E22:P22,item_vals!$A$2:$L$2)</f>
        <v>125</v>
      </c>
      <c r="AM22" s="45">
        <f t="shared" si="15"/>
        <v>1507.583333</v>
      </c>
      <c r="AO22" s="53">
        <v>3800.0</v>
      </c>
      <c r="AP22" s="37">
        <f t="shared" si="16"/>
        <v>65900</v>
      </c>
      <c r="AQ22" s="54">
        <f>MAX(0,MIN(1,(data_raw_3_day!$F$13-AP22+AO22)/AO22))</f>
        <v>1</v>
      </c>
      <c r="AR22" s="54">
        <f>MAX(0,MIN(1,(data_raw_3_day!$G$13-AP22+AO22)/AO22))</f>
        <v>1</v>
      </c>
      <c r="AS22" s="54">
        <f>MAX(0,MIN(1,(data_raw_3_day!$H$13-AP22+AO22)/AO22))</f>
        <v>1</v>
      </c>
      <c r="AT22" s="54">
        <f>MAX(0,MIN(1,(data_raw_3_day!$I$13-AP22+AO22)/AO22))</f>
        <v>1</v>
      </c>
      <c r="AU22" s="55"/>
    </row>
    <row r="23" ht="14.25" customHeight="1">
      <c r="A23" s="47">
        <v>20.0</v>
      </c>
      <c r="B23" s="48">
        <v>7000.0</v>
      </c>
      <c r="C23" s="49">
        <f t="shared" si="13"/>
        <v>72900</v>
      </c>
      <c r="D23" s="38" t="b">
        <f t="shared" si="2"/>
        <v>0</v>
      </c>
      <c r="E23" s="50"/>
      <c r="F23" s="51"/>
      <c r="G23" s="51">
        <v>2.0</v>
      </c>
      <c r="H23" s="50"/>
      <c r="I23" s="51"/>
      <c r="J23" s="50"/>
      <c r="K23" s="50"/>
      <c r="L23" s="50"/>
      <c r="M23" s="50"/>
      <c r="N23" s="50"/>
      <c r="O23" s="51"/>
      <c r="P23" s="51"/>
      <c r="R23" s="52">
        <f t="shared" si="3"/>
        <v>145.8</v>
      </c>
      <c r="S23" s="45"/>
      <c r="T23" s="46">
        <f t="shared" si="4"/>
        <v>352.3376069</v>
      </c>
      <c r="U23" s="46">
        <f t="shared" si="5"/>
        <v>509.7396837</v>
      </c>
      <c r="V23" s="46">
        <f t="shared" si="6"/>
        <v>642.8989915</v>
      </c>
      <c r="W23" s="46">
        <f t="shared" si="7"/>
        <v>796.7118916</v>
      </c>
      <c r="X23" s="46">
        <f t="shared" si="8"/>
        <v>591.1810761</v>
      </c>
      <c r="Y23" s="46">
        <f t="shared" si="9"/>
        <v>984.4626264</v>
      </c>
      <c r="Z23" s="46">
        <f t="shared" si="10"/>
        <v>1330.641856</v>
      </c>
      <c r="AA23" s="46">
        <f t="shared" si="11"/>
        <v>1553.739561</v>
      </c>
      <c r="AB23" s="46"/>
      <c r="AC23" s="46">
        <f t="shared" ref="AC23:AJ23" si="33">sum($E$4:$E23)-T23</f>
        <v>-237.3376069</v>
      </c>
      <c r="AD23" s="46">
        <f t="shared" si="33"/>
        <v>-394.7396837</v>
      </c>
      <c r="AE23" s="46">
        <f t="shared" si="33"/>
        <v>-527.8989915</v>
      </c>
      <c r="AF23" s="46">
        <f t="shared" si="33"/>
        <v>-681.7118916</v>
      </c>
      <c r="AG23" s="46">
        <f t="shared" si="33"/>
        <v>-476.1810761</v>
      </c>
      <c r="AH23" s="46">
        <f t="shared" si="33"/>
        <v>-869.4626264</v>
      </c>
      <c r="AI23" s="46">
        <f t="shared" si="33"/>
        <v>-1215.641856</v>
      </c>
      <c r="AJ23" s="46">
        <f t="shared" si="33"/>
        <v>-1438.739561</v>
      </c>
      <c r="AK23" s="45"/>
      <c r="AL23" s="45">
        <f>SUMPRODUCT(E23:P23,item_vals!$A$2:$L$2)</f>
        <v>66.66666667</v>
      </c>
      <c r="AM23" s="45">
        <f t="shared" si="15"/>
        <v>1574.25</v>
      </c>
      <c r="AO23" s="53">
        <v>7000.0</v>
      </c>
      <c r="AP23" s="37">
        <f t="shared" si="16"/>
        <v>72900</v>
      </c>
      <c r="AQ23" s="54">
        <f>MAX(0,MIN(1,(data_raw_3_day!$F$13-AP23+AO23)/AO23))</f>
        <v>1</v>
      </c>
      <c r="AR23" s="54">
        <f>MAX(0,MIN(1,(data_raw_3_day!$G$13-AP23+AO23)/AO23))</f>
        <v>1</v>
      </c>
      <c r="AS23" s="54">
        <f>MAX(0,MIN(1,(data_raw_3_day!$H$13-AP23+AO23)/AO23))</f>
        <v>1</v>
      </c>
      <c r="AT23" s="54">
        <f>MAX(0,MIN(1,(data_raw_3_day!$I$13-AP23+AO23)/AO23))</f>
        <v>1</v>
      </c>
      <c r="AU23" s="55"/>
    </row>
    <row r="24" ht="14.25" customHeight="1">
      <c r="A24" s="47">
        <v>21.0</v>
      </c>
      <c r="B24" s="48">
        <v>19500.0</v>
      </c>
      <c r="C24" s="49">
        <f t="shared" si="13"/>
        <v>92400</v>
      </c>
      <c r="D24" s="38" t="b">
        <f t="shared" si="2"/>
        <v>1</v>
      </c>
      <c r="E24" s="50"/>
      <c r="F24" s="51"/>
      <c r="G24" s="51"/>
      <c r="H24" s="51"/>
      <c r="I24" s="51"/>
      <c r="J24" s="50">
        <v>2.0</v>
      </c>
      <c r="K24" s="50"/>
      <c r="L24" s="50">
        <v>2.0</v>
      </c>
      <c r="M24" s="51"/>
      <c r="N24" s="50"/>
      <c r="O24" s="50"/>
      <c r="P24" s="51"/>
      <c r="R24" s="52">
        <f t="shared" si="3"/>
        <v>184.8</v>
      </c>
      <c r="S24" s="45"/>
      <c r="T24" s="46">
        <f t="shared" si="4"/>
        <v>372.7807414</v>
      </c>
      <c r="U24" s="46">
        <f t="shared" si="5"/>
        <v>546.9705846</v>
      </c>
      <c r="V24" s="46">
        <f t="shared" si="6"/>
        <v>697.3960021</v>
      </c>
      <c r="W24" s="46">
        <f t="shared" si="7"/>
        <v>893.4856383</v>
      </c>
      <c r="X24" s="46">
        <f t="shared" si="8"/>
        <v>627.0155842</v>
      </c>
      <c r="Y24" s="46">
        <f t="shared" si="9"/>
        <v>1058.664634</v>
      </c>
      <c r="Z24" s="46">
        <f t="shared" si="10"/>
        <v>1446.58513</v>
      </c>
      <c r="AA24" s="46">
        <f t="shared" si="11"/>
        <v>1760.327007</v>
      </c>
      <c r="AB24" s="46"/>
      <c r="AC24" s="46">
        <f t="shared" ref="AC24:AJ24" si="34">sum($E$4:$E24)-T24</f>
        <v>-257.7807414</v>
      </c>
      <c r="AD24" s="46">
        <f t="shared" si="34"/>
        <v>-431.9705846</v>
      </c>
      <c r="AE24" s="46">
        <f t="shared" si="34"/>
        <v>-582.3960021</v>
      </c>
      <c r="AF24" s="46">
        <f t="shared" si="34"/>
        <v>-778.4856383</v>
      </c>
      <c r="AG24" s="46">
        <f t="shared" si="34"/>
        <v>-512.0155842</v>
      </c>
      <c r="AH24" s="46">
        <f t="shared" si="34"/>
        <v>-943.6646342</v>
      </c>
      <c r="AI24" s="46">
        <f t="shared" si="34"/>
        <v>-1331.58513</v>
      </c>
      <c r="AJ24" s="46">
        <f t="shared" si="34"/>
        <v>-1645.327007</v>
      </c>
      <c r="AK24" s="45"/>
      <c r="AL24" s="45">
        <f>SUMPRODUCT(E24:P24,item_vals!$A$2:$L$2)</f>
        <v>433.3333333</v>
      </c>
      <c r="AM24" s="45">
        <f t="shared" si="15"/>
        <v>2007.583333</v>
      </c>
      <c r="AO24" s="53">
        <v>19500.0</v>
      </c>
      <c r="AP24" s="37">
        <f t="shared" si="16"/>
        <v>92400</v>
      </c>
      <c r="AQ24" s="54">
        <f>MAX(0,MIN(1,(data_raw_3_day!$F$13-AP24+AO24)/AO24))</f>
        <v>0.4986153846</v>
      </c>
      <c r="AR24" s="54">
        <f>MAX(0,MIN(1,(data_raw_3_day!$G$13-AP24+AO24)/AO24))</f>
        <v>1</v>
      </c>
      <c r="AS24" s="54">
        <f>MAX(0,MIN(1,(data_raw_3_day!$H$13-AP24+AO24)/AO24))</f>
        <v>1</v>
      </c>
      <c r="AT24" s="54">
        <f>MAX(0,MIN(1,(data_raw_3_day!$I$13-AP24+AO24)/AO24))</f>
        <v>1</v>
      </c>
      <c r="AU24" s="55"/>
    </row>
    <row r="25" ht="14.25" customHeight="1">
      <c r="A25" s="47">
        <v>22.0</v>
      </c>
      <c r="B25" s="48">
        <v>4900.0</v>
      </c>
      <c r="C25" s="49">
        <f t="shared" si="13"/>
        <v>97300</v>
      </c>
      <c r="D25" s="38" t="b">
        <f t="shared" si="2"/>
        <v>0</v>
      </c>
      <c r="E25" s="50"/>
      <c r="F25" s="51"/>
      <c r="G25" s="51"/>
      <c r="H25" s="50"/>
      <c r="I25" s="50"/>
      <c r="J25" s="51"/>
      <c r="K25" s="51"/>
      <c r="L25" s="51"/>
      <c r="M25" s="50"/>
      <c r="N25" s="50"/>
      <c r="O25" s="50">
        <v>10.0</v>
      </c>
      <c r="P25" s="51"/>
      <c r="R25" s="52">
        <f t="shared" si="3"/>
        <v>194.6</v>
      </c>
      <c r="S25" s="45"/>
      <c r="T25" s="46">
        <f t="shared" si="4"/>
        <v>377.2371423</v>
      </c>
      <c r="U25" s="46">
        <f t="shared" si="5"/>
        <v>555.0865522</v>
      </c>
      <c r="V25" s="46">
        <f t="shared" si="6"/>
        <v>709.2758107</v>
      </c>
      <c r="W25" s="46">
        <f t="shared" si="7"/>
        <v>914.5813566</v>
      </c>
      <c r="X25" s="46">
        <f t="shared" si="8"/>
        <v>634.827152</v>
      </c>
      <c r="Y25" s="46">
        <f t="shared" si="9"/>
        <v>1074.839937</v>
      </c>
      <c r="Z25" s="46">
        <f t="shared" si="10"/>
        <v>1471.859616</v>
      </c>
      <c r="AA25" s="46">
        <f t="shared" si="11"/>
        <v>1805.361025</v>
      </c>
      <c r="AB25" s="46"/>
      <c r="AC25" s="46">
        <f t="shared" ref="AC25:AJ25" si="35">sum($E$4:$E25)-T25</f>
        <v>-262.2371423</v>
      </c>
      <c r="AD25" s="46">
        <f t="shared" si="35"/>
        <v>-440.0865522</v>
      </c>
      <c r="AE25" s="46">
        <f t="shared" si="35"/>
        <v>-594.2758107</v>
      </c>
      <c r="AF25" s="46">
        <f t="shared" si="35"/>
        <v>-799.5813566</v>
      </c>
      <c r="AG25" s="46">
        <f t="shared" si="35"/>
        <v>-519.827152</v>
      </c>
      <c r="AH25" s="46">
        <f t="shared" si="35"/>
        <v>-959.839937</v>
      </c>
      <c r="AI25" s="46">
        <f t="shared" si="35"/>
        <v>-1356.859616</v>
      </c>
      <c r="AJ25" s="46">
        <f t="shared" si="35"/>
        <v>-1690.361025</v>
      </c>
      <c r="AK25" s="45"/>
      <c r="AL25" s="45">
        <f>SUMPRODUCT(E25:P25,item_vals!$A$2:$L$2)</f>
        <v>76.16666667</v>
      </c>
      <c r="AM25" s="45">
        <f t="shared" si="15"/>
        <v>2083.75</v>
      </c>
      <c r="AO25" s="53">
        <v>4900.0</v>
      </c>
      <c r="AP25" s="37">
        <f t="shared" si="16"/>
        <v>97300</v>
      </c>
      <c r="AQ25" s="54">
        <f>MAX(0,MIN(1,(data_raw_3_day!$F$13-AP25+AO25)/AO25))</f>
        <v>0</v>
      </c>
      <c r="AR25" s="54">
        <f>MAX(0,MIN(1,(data_raw_3_day!$G$13-AP25+AO25)/AO25))</f>
        <v>1</v>
      </c>
      <c r="AS25" s="54">
        <f>MAX(0,MIN(1,(data_raw_3_day!$H$13-AP25+AO25)/AO25))</f>
        <v>1</v>
      </c>
      <c r="AT25" s="54">
        <f>MAX(0,MIN(1,(data_raw_3_day!$I$13-AP25+AO25)/AO25))</f>
        <v>1</v>
      </c>
      <c r="AU25" s="55"/>
    </row>
    <row r="26" ht="14.25" customHeight="1">
      <c r="A26" s="47">
        <v>23.0</v>
      </c>
      <c r="B26" s="48">
        <v>8750.0</v>
      </c>
      <c r="C26" s="49">
        <f t="shared" si="13"/>
        <v>106050</v>
      </c>
      <c r="D26" s="38" t="b">
        <f t="shared" si="2"/>
        <v>0</v>
      </c>
      <c r="E26" s="51"/>
      <c r="F26" s="51"/>
      <c r="G26" s="50"/>
      <c r="H26" s="50">
        <v>2.0</v>
      </c>
      <c r="I26" s="50"/>
      <c r="J26" s="51"/>
      <c r="K26" s="50"/>
      <c r="L26" s="51"/>
      <c r="M26" s="51"/>
      <c r="N26" s="51"/>
      <c r="O26" s="51"/>
      <c r="P26" s="51"/>
      <c r="R26" s="52">
        <f t="shared" si="3"/>
        <v>212.1</v>
      </c>
      <c r="S26" s="45"/>
      <c r="T26" s="46">
        <f t="shared" si="4"/>
        <v>384.6637591</v>
      </c>
      <c r="U26" s="46">
        <f t="shared" si="5"/>
        <v>568.6118573</v>
      </c>
      <c r="V26" s="46">
        <f t="shared" si="6"/>
        <v>729.0735775</v>
      </c>
      <c r="W26" s="46">
        <f t="shared" si="7"/>
        <v>949.7374882</v>
      </c>
      <c r="X26" s="46">
        <f t="shared" si="8"/>
        <v>647.8451732</v>
      </c>
      <c r="Y26" s="46">
        <f t="shared" si="9"/>
        <v>1101.796169</v>
      </c>
      <c r="Z26" s="46">
        <f t="shared" si="10"/>
        <v>1513.979686</v>
      </c>
      <c r="AA26" s="46">
        <f t="shared" si="11"/>
        <v>1880.410464</v>
      </c>
      <c r="AB26" s="46"/>
      <c r="AC26" s="46">
        <f t="shared" ref="AC26:AJ26" si="36">sum($E$4:$E26)-T26</f>
        <v>-269.6637591</v>
      </c>
      <c r="AD26" s="46">
        <f t="shared" si="36"/>
        <v>-453.6118573</v>
      </c>
      <c r="AE26" s="46">
        <f t="shared" si="36"/>
        <v>-614.0735775</v>
      </c>
      <c r="AF26" s="46">
        <f t="shared" si="36"/>
        <v>-834.7374882</v>
      </c>
      <c r="AG26" s="46">
        <f t="shared" si="36"/>
        <v>-532.8451732</v>
      </c>
      <c r="AH26" s="46">
        <f t="shared" si="36"/>
        <v>-986.7961688</v>
      </c>
      <c r="AI26" s="46">
        <f t="shared" si="36"/>
        <v>-1398.979686</v>
      </c>
      <c r="AJ26" s="46">
        <f t="shared" si="36"/>
        <v>-1765.410464</v>
      </c>
      <c r="AK26" s="45"/>
      <c r="AL26" s="45">
        <f>SUMPRODUCT(E26:P26,item_vals!$A$2:$L$2)</f>
        <v>100</v>
      </c>
      <c r="AM26" s="45">
        <f t="shared" si="15"/>
        <v>2183.75</v>
      </c>
      <c r="AO26" s="53">
        <v>8750.0</v>
      </c>
      <c r="AP26" s="37">
        <f t="shared" si="16"/>
        <v>106050</v>
      </c>
      <c r="AQ26" s="54">
        <f>MAX(0,MIN(1,(data_raw_3_day!$F$13-AP26+AO26)/AO26))</f>
        <v>0</v>
      </c>
      <c r="AR26" s="54">
        <f>MAX(0,MIN(1,(data_raw_3_day!$G$13-AP26+AO26)/AO26))</f>
        <v>1</v>
      </c>
      <c r="AS26" s="54">
        <f>MAX(0,MIN(1,(data_raw_3_day!$H$13-AP26+AO26)/AO26))</f>
        <v>1</v>
      </c>
      <c r="AT26" s="54">
        <f>MAX(0,MIN(1,(data_raw_3_day!$I$13-AP26+AO26)/AO26))</f>
        <v>1</v>
      </c>
      <c r="AU26" s="55"/>
    </row>
    <row r="27" ht="14.25" customHeight="1">
      <c r="A27" s="47">
        <v>24.0</v>
      </c>
      <c r="B27" s="48">
        <v>22000.0</v>
      </c>
      <c r="C27" s="49">
        <f t="shared" si="13"/>
        <v>128050</v>
      </c>
      <c r="D27" s="38" t="b">
        <f t="shared" si="2"/>
        <v>1</v>
      </c>
      <c r="E27" s="50">
        <v>100.0</v>
      </c>
      <c r="F27" s="51"/>
      <c r="G27" s="51"/>
      <c r="H27" s="51"/>
      <c r="I27" s="50"/>
      <c r="J27" s="50">
        <v>1.0</v>
      </c>
      <c r="K27" s="50">
        <v>1.0</v>
      </c>
      <c r="L27" s="50">
        <v>1.0</v>
      </c>
      <c r="M27" s="51"/>
      <c r="N27" s="51"/>
      <c r="O27" s="51"/>
      <c r="P27" s="50"/>
      <c r="R27" s="52">
        <f t="shared" si="3"/>
        <v>256.1</v>
      </c>
      <c r="S27" s="45"/>
      <c r="T27" s="46">
        <f t="shared" si="4"/>
        <v>400.9216268</v>
      </c>
      <c r="U27" s="46">
        <f t="shared" si="5"/>
        <v>598.2205782</v>
      </c>
      <c r="V27" s="46">
        <f t="shared" si="6"/>
        <v>772.4135649</v>
      </c>
      <c r="W27" s="46">
        <f t="shared" si="7"/>
        <v>1026.699012</v>
      </c>
      <c r="X27" s="46">
        <f t="shared" si="8"/>
        <v>676.3433808</v>
      </c>
      <c r="Y27" s="46">
        <f t="shared" si="9"/>
        <v>1160.807003</v>
      </c>
      <c r="Z27" s="46">
        <f t="shared" si="10"/>
        <v>1606.186212</v>
      </c>
      <c r="AA27" s="46">
        <f t="shared" si="11"/>
        <v>2044.70383</v>
      </c>
      <c r="AB27" s="46"/>
      <c r="AC27" s="46">
        <f t="shared" ref="AC27:AJ27" si="37">sum($E$4:$E27)-T27</f>
        <v>-185.9216268</v>
      </c>
      <c r="AD27" s="46">
        <f t="shared" si="37"/>
        <v>-383.2205782</v>
      </c>
      <c r="AE27" s="46">
        <f t="shared" si="37"/>
        <v>-557.4135649</v>
      </c>
      <c r="AF27" s="46">
        <f t="shared" si="37"/>
        <v>-811.6990115</v>
      </c>
      <c r="AG27" s="46">
        <f t="shared" si="37"/>
        <v>-461.3433808</v>
      </c>
      <c r="AH27" s="46">
        <f t="shared" si="37"/>
        <v>-945.8070034</v>
      </c>
      <c r="AI27" s="46">
        <f t="shared" si="37"/>
        <v>-1391.186212</v>
      </c>
      <c r="AJ27" s="46">
        <f t="shared" si="37"/>
        <v>-1829.70383</v>
      </c>
      <c r="AK27" s="45"/>
      <c r="AL27" s="45">
        <f>SUMPRODUCT(E27:P27,item_vals!$A$2:$L$2)</f>
        <v>383.3333333</v>
      </c>
      <c r="AM27" s="45">
        <f t="shared" si="15"/>
        <v>2567.083333</v>
      </c>
      <c r="AO27" s="53">
        <v>22000.0</v>
      </c>
      <c r="AP27" s="37">
        <f t="shared" si="16"/>
        <v>128050</v>
      </c>
      <c r="AQ27" s="54">
        <f>MAX(0,MIN(1,(data_raw_3_day!$F$13-AP27+AO27)/AO27))</f>
        <v>0</v>
      </c>
      <c r="AR27" s="54">
        <f>MAX(0,MIN(1,(data_raw_3_day!$G$13-AP27+AO27)/AO27))</f>
        <v>1</v>
      </c>
      <c r="AS27" s="54">
        <f>MAX(0,MIN(1,(data_raw_3_day!$H$13-AP27+AO27)/AO27))</f>
        <v>1</v>
      </c>
      <c r="AT27" s="54">
        <f>MAX(0,MIN(1,(data_raw_3_day!$I$13-AP27+AO27)/AO27))</f>
        <v>1</v>
      </c>
      <c r="AU27" s="55"/>
    </row>
    <row r="28" ht="14.25" customHeight="1">
      <c r="A28" s="47">
        <v>25.0</v>
      </c>
      <c r="B28" s="48">
        <v>5500.0</v>
      </c>
      <c r="C28" s="49">
        <f t="shared" si="13"/>
        <v>133550</v>
      </c>
      <c r="D28" s="38" t="b">
        <f t="shared" si="2"/>
        <v>0</v>
      </c>
      <c r="E28" s="50"/>
      <c r="F28" s="51"/>
      <c r="G28" s="51"/>
      <c r="H28" s="51"/>
      <c r="I28" s="50"/>
      <c r="J28" s="50"/>
      <c r="K28" s="51"/>
      <c r="L28" s="51"/>
      <c r="M28" s="50">
        <v>60.0</v>
      </c>
      <c r="N28" s="51"/>
      <c r="O28" s="51"/>
      <c r="P28" s="50"/>
      <c r="R28" s="52">
        <f t="shared" si="3"/>
        <v>267.1</v>
      </c>
      <c r="S28" s="45"/>
      <c r="T28" s="46">
        <f t="shared" si="4"/>
        <v>404.5486292</v>
      </c>
      <c r="U28" s="46">
        <f t="shared" si="5"/>
        <v>604.8260508</v>
      </c>
      <c r="V28" s="46">
        <f t="shared" si="6"/>
        <v>782.082375</v>
      </c>
      <c r="W28" s="46">
        <f t="shared" si="7"/>
        <v>1043.868522</v>
      </c>
      <c r="X28" s="46">
        <f t="shared" si="8"/>
        <v>682.7011067</v>
      </c>
      <c r="Y28" s="46">
        <f t="shared" si="9"/>
        <v>1173.971856</v>
      </c>
      <c r="Z28" s="46">
        <f t="shared" si="10"/>
        <v>1626.756763</v>
      </c>
      <c r="AA28" s="46">
        <f t="shared" si="11"/>
        <v>2081.356387</v>
      </c>
      <c r="AB28" s="46"/>
      <c r="AC28" s="46">
        <f t="shared" ref="AC28:AJ28" si="38">sum($E$4:$E28)-T28</f>
        <v>-189.5486292</v>
      </c>
      <c r="AD28" s="46">
        <f t="shared" si="38"/>
        <v>-389.8260508</v>
      </c>
      <c r="AE28" s="46">
        <f t="shared" si="38"/>
        <v>-567.082375</v>
      </c>
      <c r="AF28" s="46">
        <f t="shared" si="38"/>
        <v>-828.8685217</v>
      </c>
      <c r="AG28" s="46">
        <f t="shared" si="38"/>
        <v>-467.7011067</v>
      </c>
      <c r="AH28" s="46">
        <f t="shared" si="38"/>
        <v>-958.9718562</v>
      </c>
      <c r="AI28" s="46">
        <f t="shared" si="38"/>
        <v>-1411.756763</v>
      </c>
      <c r="AJ28" s="46">
        <f t="shared" si="38"/>
        <v>-1866.356387</v>
      </c>
      <c r="AK28" s="45"/>
      <c r="AL28" s="45">
        <f>SUMPRODUCT(E28:P28,item_vals!$A$2:$L$2)</f>
        <v>125</v>
      </c>
      <c r="AM28" s="45">
        <f t="shared" si="15"/>
        <v>2692.083333</v>
      </c>
      <c r="AO28" s="53">
        <v>5500.0</v>
      </c>
      <c r="AP28" s="37">
        <f t="shared" si="16"/>
        <v>133550</v>
      </c>
      <c r="AQ28" s="54">
        <f>MAX(0,MIN(1,(data_raw_3_day!$F$13-AP28+AO28)/AO28))</f>
        <v>0</v>
      </c>
      <c r="AR28" s="54">
        <f>MAX(0,MIN(1,(data_raw_3_day!$G$13-AP28+AO28)/AO28))</f>
        <v>1</v>
      </c>
      <c r="AS28" s="54">
        <f>MAX(0,MIN(1,(data_raw_3_day!$H$13-AP28+AO28)/AO28))</f>
        <v>1</v>
      </c>
      <c r="AT28" s="54">
        <f>MAX(0,MIN(1,(data_raw_3_day!$I$13-AP28+AO28)/AO28))</f>
        <v>1</v>
      </c>
      <c r="AU28" s="55"/>
    </row>
    <row r="29" ht="14.25" customHeight="1">
      <c r="A29" s="47">
        <v>26.0</v>
      </c>
      <c r="B29" s="48">
        <v>8210.0</v>
      </c>
      <c r="C29" s="49">
        <f t="shared" si="13"/>
        <v>141760</v>
      </c>
      <c r="D29" s="38" t="b">
        <f t="shared" si="2"/>
        <v>0</v>
      </c>
      <c r="E29" s="51"/>
      <c r="F29" s="51"/>
      <c r="G29" s="51"/>
      <c r="H29" s="51"/>
      <c r="I29" s="50">
        <v>2.0</v>
      </c>
      <c r="J29" s="51"/>
      <c r="K29" s="50"/>
      <c r="L29" s="50"/>
      <c r="M29" s="50"/>
      <c r="N29" s="50"/>
      <c r="O29" s="51"/>
      <c r="P29" s="51"/>
      <c r="R29" s="52">
        <f t="shared" si="3"/>
        <v>283.52</v>
      </c>
      <c r="S29" s="45"/>
      <c r="T29" s="46">
        <f t="shared" si="4"/>
        <v>409.6939072</v>
      </c>
      <c r="U29" s="46">
        <f t="shared" si="5"/>
        <v>614.1965969</v>
      </c>
      <c r="V29" s="46">
        <f t="shared" si="6"/>
        <v>795.7985822</v>
      </c>
      <c r="W29" s="46">
        <f t="shared" si="7"/>
        <v>1068.225248</v>
      </c>
      <c r="X29" s="46">
        <f t="shared" si="8"/>
        <v>691.7201984</v>
      </c>
      <c r="Y29" s="46">
        <f t="shared" si="9"/>
        <v>1192.647562</v>
      </c>
      <c r="Z29" s="46">
        <f t="shared" si="10"/>
        <v>1655.938216</v>
      </c>
      <c r="AA29" s="46">
        <f t="shared" si="11"/>
        <v>2133.35183</v>
      </c>
      <c r="AB29" s="46"/>
      <c r="AC29" s="46">
        <f t="shared" ref="AC29:AJ29" si="39">sum($E$4:$E29)-T29</f>
        <v>-194.6939072</v>
      </c>
      <c r="AD29" s="46">
        <f t="shared" si="39"/>
        <v>-399.1965969</v>
      </c>
      <c r="AE29" s="46">
        <f t="shared" si="39"/>
        <v>-580.7985822</v>
      </c>
      <c r="AF29" s="46">
        <f t="shared" si="39"/>
        <v>-853.2252478</v>
      </c>
      <c r="AG29" s="46">
        <f t="shared" si="39"/>
        <v>-476.7201984</v>
      </c>
      <c r="AH29" s="46">
        <f t="shared" si="39"/>
        <v>-977.6475616</v>
      </c>
      <c r="AI29" s="46">
        <f t="shared" si="39"/>
        <v>-1440.938216</v>
      </c>
      <c r="AJ29" s="46">
        <f t="shared" si="39"/>
        <v>-1918.35183</v>
      </c>
      <c r="AK29" s="45"/>
      <c r="AL29" s="45">
        <f>SUMPRODUCT(E29:P29,item_vals!$A$2:$L$2)</f>
        <v>133.3333333</v>
      </c>
      <c r="AM29" s="45">
        <f t="shared" si="15"/>
        <v>2825.416667</v>
      </c>
      <c r="AO29" s="53">
        <v>8210.0</v>
      </c>
      <c r="AP29" s="37">
        <f t="shared" si="16"/>
        <v>141760</v>
      </c>
      <c r="AQ29" s="54">
        <f>MAX(0,MIN(1,(data_raw_3_day!$F$13-AP29+AO29)/AO29))</f>
        <v>0</v>
      </c>
      <c r="AR29" s="54">
        <f>MAX(0,MIN(1,(data_raw_3_day!$G$13-AP29+AO29)/AO29))</f>
        <v>0.5946406821</v>
      </c>
      <c r="AS29" s="54">
        <f>MAX(0,MIN(1,(data_raw_3_day!$H$13-AP29+AO29)/AO29))</f>
        <v>1</v>
      </c>
      <c r="AT29" s="54">
        <f>MAX(0,MIN(1,(data_raw_3_day!$I$13-AP29+AO29)/AO29))</f>
        <v>1</v>
      </c>
      <c r="AU29" s="55"/>
    </row>
    <row r="30" ht="14.25" customHeight="1">
      <c r="A30" s="47">
        <v>27.0</v>
      </c>
      <c r="B30" s="48">
        <v>49000.0</v>
      </c>
      <c r="C30" s="49">
        <f t="shared" si="13"/>
        <v>190760</v>
      </c>
      <c r="D30" s="38" t="b">
        <f t="shared" si="2"/>
        <v>1</v>
      </c>
      <c r="E30" s="50">
        <v>250.0</v>
      </c>
      <c r="F30" s="51"/>
      <c r="G30" s="51"/>
      <c r="H30" s="51"/>
      <c r="I30" s="51"/>
      <c r="J30" s="50">
        <v>2.0</v>
      </c>
      <c r="K30" s="50">
        <v>2.0</v>
      </c>
      <c r="L30" s="50">
        <v>2.0</v>
      </c>
      <c r="M30" s="50"/>
      <c r="N30" s="50"/>
      <c r="O30" s="51"/>
      <c r="P30" s="50">
        <v>20.0</v>
      </c>
      <c r="R30" s="52">
        <f t="shared" si="3"/>
        <v>381.52</v>
      </c>
      <c r="S30" s="45"/>
      <c r="T30" s="46">
        <f t="shared" si="4"/>
        <v>435.2980782</v>
      </c>
      <c r="U30" s="46">
        <f t="shared" si="5"/>
        <v>660.8267432</v>
      </c>
      <c r="V30" s="46">
        <f t="shared" si="6"/>
        <v>864.0538087</v>
      </c>
      <c r="W30" s="46">
        <f t="shared" si="7"/>
        <v>1189.430318</v>
      </c>
      <c r="X30" s="46">
        <f t="shared" si="8"/>
        <v>736.601421</v>
      </c>
      <c r="Y30" s="46">
        <f t="shared" si="9"/>
        <v>1285.582473</v>
      </c>
      <c r="Z30" s="46">
        <f t="shared" si="10"/>
        <v>1801.152318</v>
      </c>
      <c r="AA30" s="46">
        <f t="shared" si="11"/>
        <v>2392.093967</v>
      </c>
      <c r="AB30" s="46"/>
      <c r="AC30" s="46">
        <f t="shared" ref="AC30:AJ30" si="40">sum($E$4:$E30)-T30</f>
        <v>29.70192176</v>
      </c>
      <c r="AD30" s="46">
        <f t="shared" si="40"/>
        <v>-195.8267432</v>
      </c>
      <c r="AE30" s="46">
        <f t="shared" si="40"/>
        <v>-399.0538087</v>
      </c>
      <c r="AF30" s="46">
        <f t="shared" si="40"/>
        <v>-724.430318</v>
      </c>
      <c r="AG30" s="46">
        <f t="shared" si="40"/>
        <v>-271.601421</v>
      </c>
      <c r="AH30" s="46">
        <f t="shared" si="40"/>
        <v>-820.5824729</v>
      </c>
      <c r="AI30" s="46">
        <f t="shared" si="40"/>
        <v>-1336.152318</v>
      </c>
      <c r="AJ30" s="46">
        <f t="shared" si="40"/>
        <v>-1927.093967</v>
      </c>
      <c r="AK30" s="45"/>
      <c r="AL30" s="45">
        <f>SUMPRODUCT(E30:P30,item_vals!$A$2:$L$2)</f>
        <v>972.3333333</v>
      </c>
      <c r="AM30" s="45">
        <f t="shared" si="15"/>
        <v>3797.75</v>
      </c>
      <c r="AO30" s="53">
        <v>49000.0</v>
      </c>
      <c r="AP30" s="37">
        <f t="shared" si="16"/>
        <v>190760</v>
      </c>
      <c r="AQ30" s="54">
        <f>MAX(0,MIN(1,(data_raw_3_day!$F$13-AP30+AO30)/AO30))</f>
        <v>0</v>
      </c>
      <c r="AR30" s="54">
        <f>MAX(0,MIN(1,(data_raw_3_day!$G$13-AP30+AO30)/AO30))</f>
        <v>0</v>
      </c>
      <c r="AS30" s="54">
        <f>MAX(0,MIN(1,(data_raw_3_day!$H$13-AP30+AO30)/AO30))</f>
        <v>1</v>
      </c>
      <c r="AT30" s="54">
        <f>MAX(0,MIN(1,(data_raw_3_day!$I$13-AP30+AO30)/AO30))</f>
        <v>1</v>
      </c>
      <c r="AU30" s="55"/>
    </row>
    <row r="31" ht="14.25" customHeight="1">
      <c r="A31" s="47">
        <v>28.0</v>
      </c>
      <c r="B31" s="48">
        <v>12250.0</v>
      </c>
      <c r="C31" s="49">
        <f t="shared" si="13"/>
        <v>203010</v>
      </c>
      <c r="D31" s="38" t="b">
        <f t="shared" si="2"/>
        <v>0</v>
      </c>
      <c r="E31" s="51"/>
      <c r="F31" s="51"/>
      <c r="G31" s="50"/>
      <c r="H31" s="51"/>
      <c r="I31" s="51"/>
      <c r="J31" s="51"/>
      <c r="K31" s="51"/>
      <c r="L31" s="51"/>
      <c r="M31" s="50">
        <v>60.0</v>
      </c>
      <c r="N31" s="50"/>
      <c r="O31" s="51"/>
      <c r="P31" s="51"/>
      <c r="R31" s="52">
        <f t="shared" si="3"/>
        <v>406.02</v>
      </c>
      <c r="S31" s="45"/>
      <c r="T31" s="46">
        <f t="shared" si="4"/>
        <v>440.6658311</v>
      </c>
      <c r="U31" s="46">
        <f t="shared" si="5"/>
        <v>670.602459</v>
      </c>
      <c r="V31" s="46">
        <f t="shared" si="6"/>
        <v>878.3630861</v>
      </c>
      <c r="W31" s="46">
        <f t="shared" si="7"/>
        <v>1214.840196</v>
      </c>
      <c r="X31" s="46">
        <f t="shared" si="8"/>
        <v>746.0104861</v>
      </c>
      <c r="Y31" s="46">
        <f t="shared" si="9"/>
        <v>1305.065691</v>
      </c>
      <c r="Z31" s="46">
        <f t="shared" si="10"/>
        <v>1831.595538</v>
      </c>
      <c r="AA31" s="46">
        <f t="shared" si="11"/>
        <v>2446.337623</v>
      </c>
      <c r="AB31" s="46"/>
      <c r="AC31" s="46">
        <f t="shared" ref="AC31:AJ31" si="41">sum($E$4:$E31)-T31</f>
        <v>24.33416889</v>
      </c>
      <c r="AD31" s="46">
        <f t="shared" si="41"/>
        <v>-205.602459</v>
      </c>
      <c r="AE31" s="46">
        <f t="shared" si="41"/>
        <v>-413.3630861</v>
      </c>
      <c r="AF31" s="46">
        <f t="shared" si="41"/>
        <v>-749.8401961</v>
      </c>
      <c r="AG31" s="46">
        <f t="shared" si="41"/>
        <v>-281.0104861</v>
      </c>
      <c r="AH31" s="46">
        <f t="shared" si="41"/>
        <v>-840.0656905</v>
      </c>
      <c r="AI31" s="46">
        <f t="shared" si="41"/>
        <v>-1366.595538</v>
      </c>
      <c r="AJ31" s="46">
        <f t="shared" si="41"/>
        <v>-1981.337623</v>
      </c>
      <c r="AK31" s="45"/>
      <c r="AL31" s="45">
        <f>SUMPRODUCT(E31:P31,item_vals!$A$2:$L$2)</f>
        <v>125</v>
      </c>
      <c r="AM31" s="45">
        <f t="shared" si="15"/>
        <v>3922.75</v>
      </c>
      <c r="AO31" s="53">
        <v>12250.0</v>
      </c>
      <c r="AP31" s="37">
        <f t="shared" si="16"/>
        <v>203010</v>
      </c>
      <c r="AQ31" s="54">
        <f>MAX(0,MIN(1,(data_raw_3_day!$F$13-AP31+AO31)/AO31))</f>
        <v>0</v>
      </c>
      <c r="AR31" s="54">
        <f>MAX(0,MIN(1,(data_raw_3_day!$G$13-AP31+AO31)/AO31))</f>
        <v>0</v>
      </c>
      <c r="AS31" s="54">
        <f>MAX(0,MIN(1,(data_raw_3_day!$H$13-AP31+AO31)/AO31))</f>
        <v>1</v>
      </c>
      <c r="AT31" s="54">
        <f>MAX(0,MIN(1,(data_raw_3_day!$I$13-AP31+AO31)/AO31))</f>
        <v>1</v>
      </c>
      <c r="AU31" s="55"/>
    </row>
    <row r="32" ht="14.25" customHeight="1">
      <c r="A32" s="47">
        <v>29.0</v>
      </c>
      <c r="B32" s="48">
        <v>22000.0</v>
      </c>
      <c r="C32" s="49">
        <f t="shared" si="13"/>
        <v>225010</v>
      </c>
      <c r="D32" s="38" t="b">
        <f t="shared" si="2"/>
        <v>0</v>
      </c>
      <c r="E32" s="56"/>
      <c r="F32" s="51"/>
      <c r="G32" s="51"/>
      <c r="H32" s="51"/>
      <c r="I32" s="51">
        <v>3.0</v>
      </c>
      <c r="J32" s="50"/>
      <c r="K32" s="51"/>
      <c r="L32" s="51"/>
      <c r="M32" s="51"/>
      <c r="N32" s="51"/>
      <c r="O32" s="50"/>
      <c r="P32" s="50"/>
      <c r="R32" s="52">
        <f t="shared" si="3"/>
        <v>450.02</v>
      </c>
      <c r="S32" s="45"/>
      <c r="T32" s="46">
        <f t="shared" si="4"/>
        <v>449.5394423</v>
      </c>
      <c r="U32" s="46">
        <f t="shared" si="5"/>
        <v>686.7630209</v>
      </c>
      <c r="V32" s="46">
        <f t="shared" si="6"/>
        <v>902.0182299</v>
      </c>
      <c r="W32" s="46">
        <f t="shared" si="7"/>
        <v>1256.846113</v>
      </c>
      <c r="X32" s="46">
        <f t="shared" si="8"/>
        <v>761.5649252</v>
      </c>
      <c r="Y32" s="46">
        <f t="shared" si="9"/>
        <v>1337.274047</v>
      </c>
      <c r="Z32" s="46">
        <f t="shared" si="10"/>
        <v>1881.92224</v>
      </c>
      <c r="AA32" s="46">
        <f t="shared" si="11"/>
        <v>2536.009619</v>
      </c>
      <c r="AB32" s="46"/>
      <c r="AC32" s="46">
        <f t="shared" ref="AC32:AJ32" si="42">sum($E$4:$E32)-T32</f>
        <v>15.46055765</v>
      </c>
      <c r="AD32" s="46">
        <f t="shared" si="42"/>
        <v>-221.7630209</v>
      </c>
      <c r="AE32" s="46">
        <f t="shared" si="42"/>
        <v>-437.0182299</v>
      </c>
      <c r="AF32" s="46">
        <f t="shared" si="42"/>
        <v>-791.8461127</v>
      </c>
      <c r="AG32" s="46">
        <f t="shared" si="42"/>
        <v>-296.5649252</v>
      </c>
      <c r="AH32" s="46">
        <f t="shared" si="42"/>
        <v>-872.2740472</v>
      </c>
      <c r="AI32" s="46">
        <f t="shared" si="42"/>
        <v>-1416.92224</v>
      </c>
      <c r="AJ32" s="46">
        <f t="shared" si="42"/>
        <v>-2071.009619</v>
      </c>
      <c r="AK32" s="45"/>
      <c r="AL32" s="45">
        <f>SUMPRODUCT(E32:P32,item_vals!$A$2:$L$2)</f>
        <v>200</v>
      </c>
      <c r="AM32" s="45">
        <f t="shared" si="15"/>
        <v>4122.75</v>
      </c>
      <c r="AO32" s="53">
        <v>22000.0</v>
      </c>
      <c r="AP32" s="37">
        <f t="shared" si="16"/>
        <v>225010</v>
      </c>
      <c r="AQ32" s="54">
        <f>MAX(0,MIN(1,(data_raw_3_day!$F$13-AP32+AO32)/AO32))</f>
        <v>0</v>
      </c>
      <c r="AR32" s="54">
        <f>MAX(0,MIN(1,(data_raw_3_day!$G$13-AP32+AO32)/AO32))</f>
        <v>0</v>
      </c>
      <c r="AS32" s="54">
        <f>MAX(0,MIN(1,(data_raw_3_day!$H$13-AP32+AO32)/AO32))</f>
        <v>0.5339545455</v>
      </c>
      <c r="AT32" s="54">
        <f>MAX(0,MIN(1,(data_raw_3_day!$I$13-AP32+AO32)/AO32))</f>
        <v>1</v>
      </c>
      <c r="AU32" s="55"/>
    </row>
    <row r="33" ht="14.25" customHeight="1">
      <c r="A33" s="47">
        <v>30.0</v>
      </c>
      <c r="B33" s="48">
        <v>67000.0</v>
      </c>
      <c r="C33" s="49">
        <f t="shared" si="13"/>
        <v>292010</v>
      </c>
      <c r="D33" s="38" t="b">
        <f t="shared" si="2"/>
        <v>1</v>
      </c>
      <c r="E33" s="50">
        <v>1000.0</v>
      </c>
      <c r="F33" s="57"/>
      <c r="G33" s="51"/>
      <c r="H33" s="51"/>
      <c r="I33" s="51"/>
      <c r="J33" s="51">
        <v>3.0</v>
      </c>
      <c r="K33" s="50">
        <v>3.0</v>
      </c>
      <c r="L33" s="50">
        <v>3.0</v>
      </c>
      <c r="M33" s="50"/>
      <c r="N33" s="51"/>
      <c r="O33" s="51"/>
      <c r="P33" s="51"/>
      <c r="R33" s="52">
        <f t="shared" si="3"/>
        <v>584.02</v>
      </c>
      <c r="S33" s="45"/>
      <c r="T33" s="46">
        <f t="shared" si="4"/>
        <v>472.0183547</v>
      </c>
      <c r="U33" s="46">
        <f t="shared" si="5"/>
        <v>727.7014668</v>
      </c>
      <c r="V33" s="46">
        <f t="shared" si="6"/>
        <v>961.9421873</v>
      </c>
      <c r="W33" s="46">
        <f t="shared" si="7"/>
        <v>1363.256828</v>
      </c>
      <c r="X33" s="46">
        <f t="shared" si="8"/>
        <v>800.967922</v>
      </c>
      <c r="Y33" s="46">
        <f t="shared" si="9"/>
        <v>1418.865274</v>
      </c>
      <c r="Z33" s="46">
        <f t="shared" si="10"/>
        <v>2009.411431</v>
      </c>
      <c r="AA33" s="46">
        <f t="shared" si="11"/>
        <v>2763.169553</v>
      </c>
      <c r="AB33" s="46"/>
      <c r="AC33" s="46">
        <f t="shared" ref="AC33:AJ33" si="43">sum($E$4:$E33)-T33</f>
        <v>992.9816453</v>
      </c>
      <c r="AD33" s="46">
        <f t="shared" si="43"/>
        <v>737.2985332</v>
      </c>
      <c r="AE33" s="46">
        <f t="shared" si="43"/>
        <v>503.0578127</v>
      </c>
      <c r="AF33" s="46">
        <f t="shared" si="43"/>
        <v>101.7431721</v>
      </c>
      <c r="AG33" s="46">
        <f t="shared" si="43"/>
        <v>664.032078</v>
      </c>
      <c r="AH33" s="46">
        <f t="shared" si="43"/>
        <v>46.13472593</v>
      </c>
      <c r="AI33" s="46">
        <f t="shared" si="43"/>
        <v>-544.4114313</v>
      </c>
      <c r="AJ33" s="46">
        <f t="shared" si="43"/>
        <v>-1298.169553</v>
      </c>
      <c r="AK33" s="45"/>
      <c r="AL33" s="45">
        <f>SUMPRODUCT(E33:P33,item_vals!$A$2:$L$2)</f>
        <v>1850</v>
      </c>
      <c r="AM33" s="45">
        <f t="shared" si="15"/>
        <v>5972.75</v>
      </c>
      <c r="AO33" s="53">
        <v>67000.0</v>
      </c>
      <c r="AP33" s="37">
        <f t="shared" si="16"/>
        <v>292010</v>
      </c>
      <c r="AQ33" s="54">
        <f>MAX(0,MIN(1,(data_raw_3_day!$F$13-AP33+AO33)/AO33))</f>
        <v>0</v>
      </c>
      <c r="AR33" s="54">
        <f>MAX(0,MIN(1,(data_raw_3_day!$G$13-AP33+AO33)/AO33))</f>
        <v>0</v>
      </c>
      <c r="AS33" s="54">
        <f>MAX(0,MIN(1,(data_raw_3_day!$H$13-AP33+AO33)/AO33))</f>
        <v>0</v>
      </c>
      <c r="AT33" s="54">
        <f>MAX(0,MIN(1,(data_raw_3_day!$I$13-AP33+AO33)/AO33))</f>
        <v>0.844238806</v>
      </c>
      <c r="AU33" s="55"/>
    </row>
    <row r="34" ht="14.25" customHeight="1"/>
    <row r="35" ht="14.25" customHeight="1">
      <c r="AL35" s="55">
        <f>SUM(AL2:AL33)/3</f>
        <v>1990.916667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>
      <c r="L50" s="58">
        <v>10.0</v>
      </c>
      <c r="M50" s="59"/>
      <c r="N50" s="59"/>
      <c r="O50" s="59"/>
      <c r="P50" s="59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59"/>
      <c r="AM50" s="59"/>
      <c r="AO50" s="59"/>
      <c r="AP50" s="59"/>
      <c r="AQ50" s="59"/>
      <c r="AR50" s="59"/>
      <c r="AS50" s="59"/>
    </row>
    <row r="51" ht="14.25" customHeight="1">
      <c r="L51" s="61"/>
      <c r="M51" s="61"/>
      <c r="N51" s="58">
        <v>15.0</v>
      </c>
      <c r="O51" s="61"/>
      <c r="P51" s="61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1"/>
      <c r="AM51" s="61"/>
      <c r="AO51" s="61"/>
      <c r="AP51" s="61"/>
      <c r="AQ51" s="61"/>
      <c r="AR51" s="61"/>
      <c r="AS51" s="61"/>
    </row>
    <row r="52" ht="14.25" customHeight="1">
      <c r="L52" s="59"/>
      <c r="M52" s="59"/>
      <c r="N52" s="59"/>
      <c r="O52" s="58">
        <v>1.0</v>
      </c>
      <c r="P52" s="59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59"/>
      <c r="AM52" s="59"/>
      <c r="AO52" s="59"/>
      <c r="AP52" s="59"/>
      <c r="AQ52" s="59"/>
      <c r="AR52" s="59"/>
      <c r="AS52" s="59"/>
    </row>
    <row r="53" ht="14.25" customHeight="1">
      <c r="L53" s="61"/>
      <c r="M53" s="61"/>
      <c r="N53" s="61"/>
      <c r="O53" s="61"/>
      <c r="P53" s="61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1"/>
      <c r="AM53" s="61"/>
      <c r="AO53" s="61"/>
      <c r="AP53" s="58">
        <v>15.0</v>
      </c>
      <c r="AQ53" s="61"/>
      <c r="AR53" s="61"/>
      <c r="AS53" s="61"/>
    </row>
    <row r="54" ht="14.25" customHeight="1">
      <c r="L54" s="59"/>
      <c r="M54" s="59"/>
      <c r="N54" s="59"/>
      <c r="O54" s="59"/>
      <c r="P54" s="59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59"/>
      <c r="AM54" s="59"/>
      <c r="AO54" s="59"/>
      <c r="AP54" s="59"/>
      <c r="AQ54" s="59"/>
      <c r="AR54" s="59"/>
      <c r="AS54" s="59"/>
    </row>
    <row r="55" ht="14.25" customHeight="1">
      <c r="L55" s="61"/>
      <c r="M55" s="61"/>
      <c r="N55" s="58">
        <v>15.0</v>
      </c>
      <c r="O55" s="61"/>
      <c r="P55" s="61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1"/>
      <c r="AM55" s="61"/>
      <c r="AO55" s="61"/>
      <c r="AP55" s="61"/>
      <c r="AQ55" s="61"/>
      <c r="AR55" s="61"/>
      <c r="AS55" s="61"/>
    </row>
    <row r="56" ht="14.25" customHeight="1">
      <c r="L56" s="58">
        <v>25.0</v>
      </c>
      <c r="M56" s="59"/>
      <c r="N56" s="59"/>
      <c r="O56" s="59"/>
      <c r="P56" s="59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58">
        <v>1.0</v>
      </c>
      <c r="AM56" s="59"/>
      <c r="AO56" s="59"/>
      <c r="AP56" s="59"/>
      <c r="AQ56" s="59"/>
      <c r="AR56" s="59"/>
      <c r="AS56" s="59"/>
    </row>
    <row r="57" ht="14.25" customHeight="1">
      <c r="L57" s="61"/>
      <c r="M57" s="61"/>
      <c r="N57" s="61"/>
      <c r="O57" s="58">
        <v>1.0</v>
      </c>
      <c r="P57" s="61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1"/>
      <c r="AM57" s="61"/>
      <c r="AO57" s="61"/>
      <c r="AP57" s="61"/>
      <c r="AQ57" s="61"/>
      <c r="AR57" s="61"/>
      <c r="AS57" s="61"/>
    </row>
    <row r="58" ht="14.25" customHeight="1">
      <c r="L58" s="59"/>
      <c r="M58" s="59"/>
      <c r="N58" s="59"/>
      <c r="O58" s="59"/>
      <c r="P58" s="58">
        <v>1.0</v>
      </c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59"/>
      <c r="AM58" s="59"/>
      <c r="AO58" s="59"/>
      <c r="AP58" s="59"/>
      <c r="AQ58" s="59"/>
      <c r="AR58" s="59"/>
      <c r="AS58" s="59"/>
    </row>
    <row r="59" ht="14.25" customHeight="1">
      <c r="L59" s="58">
        <v>40.0</v>
      </c>
      <c r="M59" s="61"/>
      <c r="N59" s="61"/>
      <c r="O59" s="61"/>
      <c r="P59" s="61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1"/>
      <c r="AM59" s="61"/>
      <c r="AO59" s="61"/>
      <c r="AP59" s="61"/>
      <c r="AQ59" s="61"/>
      <c r="AR59" s="61"/>
      <c r="AS59" s="61"/>
    </row>
    <row r="60" ht="14.25" customHeight="1">
      <c r="L60" s="59"/>
      <c r="M60" s="59"/>
      <c r="N60" s="58">
        <v>30.0</v>
      </c>
      <c r="O60" s="59"/>
      <c r="P60" s="59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59"/>
      <c r="AM60" s="59"/>
      <c r="AO60" s="59"/>
      <c r="AP60" s="59"/>
      <c r="AQ60" s="59"/>
      <c r="AR60" s="59"/>
      <c r="AS60" s="59"/>
    </row>
    <row r="61" ht="14.25" customHeight="1">
      <c r="L61" s="61"/>
      <c r="M61" s="61"/>
      <c r="N61" s="61"/>
      <c r="O61" s="61"/>
      <c r="P61" s="61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58">
        <v>1.0</v>
      </c>
      <c r="AM61" s="58">
        <v>1.0</v>
      </c>
      <c r="AO61" s="61"/>
      <c r="AP61" s="61"/>
      <c r="AQ61" s="61"/>
      <c r="AR61" s="61"/>
      <c r="AS61" s="61"/>
    </row>
    <row r="62" ht="14.25" customHeight="1">
      <c r="L62" s="59"/>
      <c r="M62" s="59"/>
      <c r="N62" s="59"/>
      <c r="O62" s="59"/>
      <c r="P62" s="59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59"/>
      <c r="AM62" s="59"/>
      <c r="AO62" s="59"/>
      <c r="AP62" s="58">
        <v>30.0</v>
      </c>
      <c r="AQ62" s="59"/>
      <c r="AR62" s="59"/>
      <c r="AS62" s="59"/>
    </row>
    <row r="63" ht="14.25" customHeight="1">
      <c r="L63" s="61"/>
      <c r="M63" s="61"/>
      <c r="N63" s="61"/>
      <c r="O63" s="61"/>
      <c r="P63" s="58">
        <v>1.0</v>
      </c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1"/>
      <c r="AM63" s="61"/>
      <c r="AO63" s="61"/>
      <c r="AP63" s="61"/>
      <c r="AQ63" s="61"/>
      <c r="AR63" s="61"/>
      <c r="AS63" s="61"/>
    </row>
    <row r="64" ht="14.25" customHeight="1">
      <c r="L64" s="59"/>
      <c r="M64" s="59"/>
      <c r="N64" s="59"/>
      <c r="O64" s="59"/>
      <c r="P64" s="59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59"/>
      <c r="AM64" s="59"/>
      <c r="AO64" s="58">
        <v>1.0</v>
      </c>
      <c r="AP64" s="59"/>
      <c r="AQ64" s="59"/>
      <c r="AR64" s="59"/>
      <c r="AS64" s="59"/>
    </row>
    <row r="65" ht="14.25" customHeight="1">
      <c r="L65" s="58">
        <v>60.0</v>
      </c>
      <c r="M65" s="61"/>
      <c r="N65" s="61"/>
      <c r="O65" s="61"/>
      <c r="P65" s="61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1"/>
      <c r="AM65" s="61"/>
      <c r="AO65" s="61"/>
      <c r="AP65" s="61"/>
      <c r="AQ65" s="61"/>
      <c r="AR65" s="61"/>
      <c r="AS65" s="61"/>
    </row>
    <row r="66" ht="14.25" customHeight="1">
      <c r="L66" s="59"/>
      <c r="M66" s="59"/>
      <c r="N66" s="58">
        <v>30.0</v>
      </c>
      <c r="O66" s="59"/>
      <c r="P66" s="59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59"/>
      <c r="AM66" s="59"/>
      <c r="AO66" s="59"/>
      <c r="AP66" s="59"/>
      <c r="AQ66" s="59"/>
      <c r="AR66" s="59"/>
      <c r="AS66" s="59"/>
    </row>
    <row r="67" ht="14.25" customHeight="1">
      <c r="L67" s="61"/>
      <c r="M67" s="61"/>
      <c r="N67" s="61"/>
      <c r="O67" s="61"/>
      <c r="P67" s="61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1"/>
      <c r="AM67" s="61"/>
      <c r="AO67" s="58">
        <v>2.0</v>
      </c>
      <c r="AP67" s="61"/>
      <c r="AQ67" s="61"/>
      <c r="AR67" s="61"/>
      <c r="AS67" s="61"/>
    </row>
    <row r="68" ht="14.25" customHeight="1">
      <c r="L68" s="59"/>
      <c r="M68" s="59"/>
      <c r="N68" s="59"/>
      <c r="O68" s="59"/>
      <c r="P68" s="59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59"/>
      <c r="AM68" s="58">
        <v>2.0</v>
      </c>
      <c r="AO68" s="59"/>
      <c r="AP68" s="59"/>
      <c r="AQ68" s="59"/>
      <c r="AR68" s="59"/>
      <c r="AS68" s="59"/>
    </row>
    <row r="69" ht="14.25" customHeight="1">
      <c r="L69" s="61"/>
      <c r="M69" s="61"/>
      <c r="N69" s="61"/>
      <c r="O69" s="58">
        <v>2.0</v>
      </c>
      <c r="P69" s="61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1"/>
      <c r="AM69" s="61"/>
      <c r="AO69" s="61"/>
      <c r="AP69" s="61"/>
      <c r="AQ69" s="61"/>
      <c r="AR69" s="61"/>
      <c r="AS69" s="61"/>
    </row>
    <row r="70" ht="14.25" customHeight="1">
      <c r="L70" s="58">
        <v>80.0</v>
      </c>
      <c r="M70" s="59"/>
      <c r="N70" s="59"/>
      <c r="O70" s="59"/>
      <c r="P70" s="59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59"/>
      <c r="AM70" s="59"/>
      <c r="AO70" s="59"/>
      <c r="AP70" s="58">
        <v>60.0</v>
      </c>
      <c r="AQ70" s="59"/>
      <c r="AR70" s="59"/>
      <c r="AS70" s="59"/>
    </row>
    <row r="71" ht="14.25" customHeight="1">
      <c r="L71" s="61"/>
      <c r="M71" s="61"/>
      <c r="N71" s="61"/>
      <c r="O71" s="61"/>
      <c r="P71" s="58">
        <v>2.0</v>
      </c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1"/>
      <c r="AM71" s="61"/>
      <c r="AO71" s="61"/>
      <c r="AP71" s="61"/>
      <c r="AQ71" s="61"/>
      <c r="AR71" s="61"/>
      <c r="AS71" s="61"/>
    </row>
    <row r="72" ht="14.25" customHeight="1">
      <c r="L72" s="59"/>
      <c r="M72" s="59"/>
      <c r="N72" s="58">
        <v>30.0</v>
      </c>
      <c r="O72" s="59"/>
      <c r="P72" s="59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59"/>
      <c r="AM72" s="59"/>
      <c r="AO72" s="59"/>
      <c r="AP72" s="59"/>
      <c r="AQ72" s="59"/>
      <c r="AR72" s="59"/>
      <c r="AS72" s="59"/>
    </row>
    <row r="73" ht="14.25" customHeight="1">
      <c r="L73" s="58">
        <v>400.0</v>
      </c>
      <c r="M73" s="61"/>
      <c r="N73" s="61"/>
      <c r="O73" s="61"/>
      <c r="P73" s="61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1"/>
      <c r="AM73" s="61"/>
      <c r="AO73" s="61"/>
      <c r="AP73" s="61"/>
      <c r="AQ73" s="61"/>
      <c r="AR73" s="61"/>
      <c r="AS73" s="61"/>
    </row>
    <row r="74" ht="14.25" customHeight="1">
      <c r="L74" s="59"/>
      <c r="M74" s="59"/>
      <c r="N74" s="59"/>
      <c r="O74" s="59"/>
      <c r="P74" s="59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59"/>
      <c r="AM74" s="59"/>
      <c r="AO74" s="59"/>
      <c r="AP74" s="59"/>
      <c r="AQ74" s="59"/>
      <c r="AR74" s="59"/>
      <c r="AS74" s="59"/>
    </row>
    <row r="75" ht="14.25" customHeight="1">
      <c r="L75" s="61"/>
      <c r="M75" s="61"/>
      <c r="N75" s="61"/>
      <c r="O75" s="61"/>
      <c r="P75" s="61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1"/>
      <c r="AM75" s="61"/>
      <c r="AO75" s="61"/>
      <c r="AP75" s="58">
        <v>80.0</v>
      </c>
      <c r="AQ75" s="61"/>
      <c r="AR75" s="61"/>
      <c r="AS75" s="61"/>
    </row>
    <row r="76" ht="14.25" customHeight="1">
      <c r="L76" s="59"/>
      <c r="M76" s="59"/>
      <c r="N76" s="59"/>
      <c r="O76" s="59"/>
      <c r="P76" s="59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58">
        <v>2.0</v>
      </c>
      <c r="AM76" s="58">
        <v>2.0</v>
      </c>
      <c r="AO76" s="58">
        <v>2.0</v>
      </c>
      <c r="AP76" s="59"/>
      <c r="AQ76" s="59"/>
      <c r="AR76" s="59"/>
      <c r="AS76" s="59"/>
    </row>
    <row r="77" ht="14.25" customHeight="1">
      <c r="L77" s="61"/>
      <c r="M77" s="61"/>
      <c r="N77" s="58">
        <v>30.0</v>
      </c>
      <c r="O77" s="61"/>
      <c r="P77" s="61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1"/>
      <c r="AM77" s="61"/>
      <c r="AO77" s="61"/>
      <c r="AP77" s="61"/>
      <c r="AQ77" s="61"/>
      <c r="AR77" s="61"/>
      <c r="AS77" s="61"/>
    </row>
    <row r="78" ht="14.25" customHeight="1">
      <c r="L78" s="64"/>
      <c r="M78" s="59"/>
      <c r="N78" s="59"/>
      <c r="O78" s="59"/>
      <c r="P78" s="59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59"/>
      <c r="AM78" s="59"/>
      <c r="AO78" s="59"/>
      <c r="AP78" s="59"/>
      <c r="AQ78" s="59"/>
      <c r="AR78" s="59"/>
      <c r="AS78" s="59"/>
    </row>
    <row r="79" ht="14.25" customHeight="1">
      <c r="L79" s="58">
        <v>1000.0</v>
      </c>
      <c r="M79" s="65"/>
      <c r="N79" s="61"/>
      <c r="O79" s="61"/>
      <c r="P79" s="61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58">
        <v>3.0</v>
      </c>
      <c r="AM79" s="58">
        <v>3.0</v>
      </c>
      <c r="AO79" s="58">
        <v>3.0</v>
      </c>
      <c r="AP79" s="61"/>
      <c r="AQ79" s="61"/>
      <c r="AR79" s="61"/>
      <c r="AS79" s="6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4:D33">
    <cfRule type="cellIs" dxfId="5" priority="1" operator="equal">
      <formula>"TRUE"</formula>
    </cfRule>
  </conditionalFormatting>
  <conditionalFormatting sqref="E4:P33">
    <cfRule type="notContainsBlanks" dxfId="9" priority="2">
      <formula>LEN(TRIM(E4))&gt;0</formula>
    </cfRule>
  </conditionalFormatting>
  <conditionalFormatting sqref="D4:D33">
    <cfRule type="cellIs" dxfId="5" priority="3" operator="equal">
      <formula>"TRUE"</formula>
    </cfRule>
  </conditionalFormatting>
  <conditionalFormatting sqref="E4:P33">
    <cfRule type="expression" dxfId="9" priority="4">
      <formula>LEN(TRIM(E4))&gt;0</formula>
    </cfRule>
  </conditionalFormatting>
  <conditionalFormatting sqref="AQ4:AU33">
    <cfRule type="expression" dxfId="4" priority="5">
      <formula>AQ4=0</formula>
    </cfRule>
  </conditionalFormatting>
  <conditionalFormatting sqref="AC4:AJ33">
    <cfRule type="cellIs" dxfId="10" priority="6" operator="lessThan">
      <formula>0</formula>
    </cfRule>
  </conditionalFormatting>
  <conditionalFormatting sqref="Q4">
    <cfRule type="notContainsBlanks" dxfId="5" priority="7">
      <formula>LEN(TRIM(Q4))&gt;0</formula>
    </cfRule>
  </conditionalFormatting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0.86"/>
    <col customWidth="1" min="4" max="4" width="9.71"/>
    <col customWidth="1" min="5" max="16" width="8.0"/>
    <col customWidth="1" min="17" max="17" width="8.71"/>
    <col customWidth="1" min="18" max="26" width="13.0"/>
    <col customWidth="1" min="27" max="27" width="5.0"/>
    <col customWidth="1" min="28" max="37" width="13.0"/>
    <col customWidth="1" min="38" max="38" width="12.0"/>
    <col customWidth="1" min="39" max="40" width="13.0"/>
    <col customWidth="1" min="41" max="41" width="12.0"/>
    <col customWidth="1" min="42" max="45" width="11.0"/>
    <col customWidth="1" min="46" max="46" width="8.71"/>
  </cols>
  <sheetData>
    <row r="1" ht="16.5" customHeight="1">
      <c r="A1" s="34" t="s">
        <v>121</v>
      </c>
    </row>
    <row r="2" ht="14.25" customHeight="1">
      <c r="S2" s="41" t="s">
        <v>88</v>
      </c>
      <c r="T2" s="41"/>
      <c r="U2" s="41"/>
      <c r="V2" s="41"/>
      <c r="W2" s="41"/>
      <c r="X2" s="41"/>
      <c r="Y2" s="41"/>
      <c r="Z2" s="41"/>
      <c r="AB2" s="42" t="s">
        <v>89</v>
      </c>
      <c r="AC2" s="41"/>
      <c r="AD2" s="41"/>
      <c r="AE2" s="41"/>
      <c r="AF2" s="41"/>
      <c r="AG2" s="41"/>
      <c r="AH2" s="41"/>
      <c r="AI2" s="41"/>
      <c r="AJ2" s="40"/>
      <c r="AK2" s="40"/>
      <c r="AN2" s="40" t="s">
        <v>122</v>
      </c>
    </row>
    <row r="3" ht="30.0" customHeight="1">
      <c r="A3" s="43" t="s">
        <v>70</v>
      </c>
      <c r="B3" s="44" t="s">
        <v>71</v>
      </c>
      <c r="C3" s="44" t="s">
        <v>72</v>
      </c>
      <c r="D3" s="44" t="s">
        <v>73</v>
      </c>
      <c r="E3" s="43" t="s">
        <v>92</v>
      </c>
      <c r="F3" s="43" t="s">
        <v>93</v>
      </c>
      <c r="G3" s="43" t="s">
        <v>94</v>
      </c>
      <c r="H3" s="43" t="s">
        <v>95</v>
      </c>
      <c r="I3" s="43" t="s">
        <v>96</v>
      </c>
      <c r="J3" s="43" t="s">
        <v>97</v>
      </c>
      <c r="K3" s="43" t="s">
        <v>98</v>
      </c>
      <c r="L3" s="43" t="s">
        <v>99</v>
      </c>
      <c r="M3" s="43" t="s">
        <v>100</v>
      </c>
      <c r="N3" s="43" t="s">
        <v>101</v>
      </c>
      <c r="O3" s="43" t="s">
        <v>102</v>
      </c>
      <c r="P3" s="43" t="s">
        <v>103</v>
      </c>
      <c r="S3" s="43" t="s">
        <v>105</v>
      </c>
      <c r="T3" s="43" t="s">
        <v>106</v>
      </c>
      <c r="U3" s="43" t="s">
        <v>107</v>
      </c>
      <c r="V3" s="43" t="s">
        <v>108</v>
      </c>
      <c r="W3" s="43" t="s">
        <v>109</v>
      </c>
      <c r="X3" s="43" t="s">
        <v>110</v>
      </c>
      <c r="Y3" s="43" t="s">
        <v>111</v>
      </c>
      <c r="Z3" s="43" t="s">
        <v>112</v>
      </c>
      <c r="AB3" s="43" t="s">
        <v>105</v>
      </c>
      <c r="AC3" s="43" t="s">
        <v>106</v>
      </c>
      <c r="AD3" s="43" t="s">
        <v>107</v>
      </c>
      <c r="AE3" s="43" t="s">
        <v>108</v>
      </c>
      <c r="AF3" s="43" t="s">
        <v>109</v>
      </c>
      <c r="AG3" s="43" t="s">
        <v>110</v>
      </c>
      <c r="AH3" s="43" t="s">
        <v>111</v>
      </c>
      <c r="AI3" s="43" t="s">
        <v>112</v>
      </c>
      <c r="AJ3" s="45"/>
      <c r="AK3" s="43" t="s">
        <v>113</v>
      </c>
      <c r="AL3" s="43" t="s">
        <v>114</v>
      </c>
      <c r="AN3" s="43" t="s">
        <v>115</v>
      </c>
      <c r="AO3" s="43" t="s">
        <v>116</v>
      </c>
      <c r="AP3" s="43" t="s">
        <v>117</v>
      </c>
      <c r="AQ3" s="43" t="s">
        <v>118</v>
      </c>
      <c r="AR3" s="43" t="s">
        <v>119</v>
      </c>
      <c r="AS3" s="43" t="s">
        <v>120</v>
      </c>
    </row>
    <row r="4" ht="14.25" customHeight="1">
      <c r="A4" s="47">
        <v>1.0</v>
      </c>
      <c r="B4" s="48">
        <v>160.0</v>
      </c>
      <c r="C4" s="49">
        <f>B4</f>
        <v>160</v>
      </c>
      <c r="D4" s="38" t="b">
        <f t="shared" ref="D4:D33" si="2">COUNTA(E4:P4)&gt;1</f>
        <v>0</v>
      </c>
      <c r="E4" s="50"/>
      <c r="F4" s="51"/>
      <c r="G4" s="50">
        <v>1.0</v>
      </c>
      <c r="H4" s="50"/>
      <c r="I4" s="50"/>
      <c r="J4" s="51"/>
      <c r="K4" s="50"/>
      <c r="L4" s="50"/>
      <c r="M4" s="51"/>
      <c r="N4" s="51"/>
      <c r="O4" s="50"/>
      <c r="P4" s="51"/>
      <c r="R4" s="66">
        <f t="shared" ref="R4:R33" si="3">AL4/C4</f>
        <v>0.2083333333</v>
      </c>
      <c r="S4" s="46">
        <f t="shared" ref="S4:S33" si="4">MAX(-753.323 + 103.47 * ln(C4), 0)</f>
        <v>0</v>
      </c>
      <c r="T4" s="46">
        <f t="shared" ref="T4:T33" si="5">max(-1480.915 + 182.938 * ln(C4), 0)</f>
        <v>0</v>
      </c>
      <c r="U4" s="46">
        <f t="shared" ref="U4:U33" si="6">max(-2266.818 + 265.622 * ln(C4), 0)</f>
        <v>0</v>
      </c>
      <c r="V4" s="46">
        <f t="shared" ref="V4:V33" si="7">max(-5836.423 + 595.247 * ln(C4), 0)</f>
        <v>0</v>
      </c>
      <c r="W4" s="46">
        <f t="shared" ref="W4:W33" si="8">max(-1405.696 + 187.738 * ln(C4), 0)</f>
        <v>0</v>
      </c>
      <c r="X4" s="46">
        <f t="shared" ref="X4:X33" si="9">max(-2910.346 + 356.024 * ln(C4), 0)</f>
        <v>0</v>
      </c>
      <c r="Y4" s="46">
        <f t="shared" ref="Y4:Y33" si="10">max(-5016.514 + 579.75 * ln(C4), 0)</f>
        <v>0</v>
      </c>
      <c r="Z4" s="46">
        <f t="shared" ref="Z4:Z33" si="11">max(-13718.301 + 1372.151 * ln(C4), 0)</f>
        <v>0</v>
      </c>
      <c r="AB4" s="46">
        <f t="shared" ref="AB4:AI4" si="1">sum($E$4:$E4)-S4</f>
        <v>0</v>
      </c>
      <c r="AC4" s="46">
        <f t="shared" si="1"/>
        <v>0</v>
      </c>
      <c r="AD4" s="46">
        <f t="shared" si="1"/>
        <v>0</v>
      </c>
      <c r="AE4" s="46">
        <f t="shared" si="1"/>
        <v>0</v>
      </c>
      <c r="AF4" s="46">
        <f t="shared" si="1"/>
        <v>0</v>
      </c>
      <c r="AG4" s="46">
        <f t="shared" si="1"/>
        <v>0</v>
      </c>
      <c r="AH4" s="46">
        <f t="shared" si="1"/>
        <v>0</v>
      </c>
      <c r="AI4" s="46">
        <f t="shared" si="1"/>
        <v>0</v>
      </c>
      <c r="AJ4" s="45"/>
      <c r="AK4" s="45">
        <f>SUMPRODUCT(E4:P4,item_vals!$A$2:$L$2)</f>
        <v>33.33333333</v>
      </c>
      <c r="AL4" s="45">
        <f>AK4</f>
        <v>33.33333333</v>
      </c>
      <c r="AN4" s="53">
        <v>160.0</v>
      </c>
      <c r="AO4" s="37">
        <f>AN4</f>
        <v>160</v>
      </c>
      <c r="AP4" s="54">
        <f>MAX(0,MIN(1,(data_raw_4_day!$F$13-AO4+AN4)/AN4))</f>
        <v>1</v>
      </c>
      <c r="AQ4" s="54">
        <f>MAX(0,MIN(1,(data_raw_4_day!$G$13-AO4+AN4)/AN4))</f>
        <v>1</v>
      </c>
      <c r="AR4" s="54">
        <f>MAX(0,MIN(1,(data_raw_4_day!$H$13-AO4+AN4)/AN4))</f>
        <v>1</v>
      </c>
      <c r="AS4" s="54">
        <f>MAX(0,MIN(1,(data_raw_4_day!$I$13-AO4+AN4)/AN4))</f>
        <v>1</v>
      </c>
      <c r="AT4" s="55"/>
    </row>
    <row r="5" ht="14.25" customHeight="1">
      <c r="A5" s="47">
        <v>2.0</v>
      </c>
      <c r="B5" s="48">
        <v>300.0</v>
      </c>
      <c r="C5" s="49">
        <f t="shared" ref="C5:C33" si="13">B5+C4</f>
        <v>460</v>
      </c>
      <c r="D5" s="38" t="b">
        <f t="shared" si="2"/>
        <v>0</v>
      </c>
      <c r="E5" s="50">
        <v>10.0</v>
      </c>
      <c r="F5" s="51"/>
      <c r="G5" s="50"/>
      <c r="H5" s="51"/>
      <c r="I5" s="51"/>
      <c r="J5" s="51"/>
      <c r="K5" s="51"/>
      <c r="L5" s="51"/>
      <c r="M5" s="51"/>
      <c r="N5" s="50"/>
      <c r="O5" s="50"/>
      <c r="P5" s="51"/>
      <c r="R5" s="66">
        <f t="shared" si="3"/>
        <v>0.09420289855</v>
      </c>
      <c r="S5" s="46">
        <f t="shared" si="4"/>
        <v>0</v>
      </c>
      <c r="T5" s="46">
        <f t="shared" si="5"/>
        <v>0</v>
      </c>
      <c r="U5" s="46">
        <f t="shared" si="6"/>
        <v>0</v>
      </c>
      <c r="V5" s="46">
        <f t="shared" si="7"/>
        <v>0</v>
      </c>
      <c r="W5" s="46">
        <f t="shared" si="8"/>
        <v>0</v>
      </c>
      <c r="X5" s="46">
        <f t="shared" si="9"/>
        <v>0</v>
      </c>
      <c r="Y5" s="46">
        <f t="shared" si="10"/>
        <v>0</v>
      </c>
      <c r="Z5" s="46">
        <f t="shared" si="11"/>
        <v>0</v>
      </c>
      <c r="AB5" s="46">
        <f t="shared" ref="AB5:AI5" si="12">sum($E$4:$E5)-S5</f>
        <v>10</v>
      </c>
      <c r="AC5" s="46">
        <f t="shared" si="12"/>
        <v>10</v>
      </c>
      <c r="AD5" s="46">
        <f t="shared" si="12"/>
        <v>10</v>
      </c>
      <c r="AE5" s="46">
        <f t="shared" si="12"/>
        <v>10</v>
      </c>
      <c r="AF5" s="46">
        <f t="shared" si="12"/>
        <v>10</v>
      </c>
      <c r="AG5" s="46">
        <f t="shared" si="12"/>
        <v>10</v>
      </c>
      <c r="AH5" s="46">
        <f t="shared" si="12"/>
        <v>10</v>
      </c>
      <c r="AI5" s="46">
        <f t="shared" si="12"/>
        <v>10</v>
      </c>
      <c r="AJ5" s="45"/>
      <c r="AK5" s="45">
        <f>SUMPRODUCT(E5:P5,item_vals!$A$2:$L$2)</f>
        <v>10</v>
      </c>
      <c r="AL5" s="45">
        <f t="shared" ref="AL5:AL33" si="15">AK5+AL4</f>
        <v>43.33333333</v>
      </c>
      <c r="AN5" s="53">
        <v>300.0</v>
      </c>
      <c r="AO5" s="37">
        <f t="shared" ref="AO5:AO33" si="16">AN5+AO4</f>
        <v>460</v>
      </c>
      <c r="AP5" s="54">
        <f>MAX(0,MIN(1,(data_raw_4_day!$F$13-AO5+AN5)/AN5))</f>
        <v>1</v>
      </c>
      <c r="AQ5" s="54">
        <f>MAX(0,MIN(1,(data_raw_4_day!$G$13-AO5+AN5)/AN5))</f>
        <v>1</v>
      </c>
      <c r="AR5" s="54">
        <f>MAX(0,MIN(1,(data_raw_4_day!$H$13-AO5+AN5)/AN5))</f>
        <v>1</v>
      </c>
      <c r="AS5" s="54">
        <f>MAX(0,MIN(1,(data_raw_4_day!$I$13-AO5+AN5)/AN5))</f>
        <v>1</v>
      </c>
      <c r="AT5" s="55"/>
    </row>
    <row r="6" ht="14.25" customHeight="1">
      <c r="A6" s="47">
        <v>3.0</v>
      </c>
      <c r="B6" s="48">
        <v>1000.0</v>
      </c>
      <c r="C6" s="49">
        <f t="shared" si="13"/>
        <v>1460</v>
      </c>
      <c r="D6" s="38" t="b">
        <f t="shared" si="2"/>
        <v>0</v>
      </c>
      <c r="E6" s="50"/>
      <c r="F6" s="51"/>
      <c r="G6" s="51"/>
      <c r="H6" s="50">
        <v>1.0</v>
      </c>
      <c r="I6" s="51"/>
      <c r="J6" s="51"/>
      <c r="K6" s="51"/>
      <c r="L6" s="51"/>
      <c r="M6" s="51"/>
      <c r="N6" s="50"/>
      <c r="O6" s="50"/>
      <c r="P6" s="50"/>
      <c r="R6" s="66">
        <f t="shared" si="3"/>
        <v>0.06392694064</v>
      </c>
      <c r="S6" s="46">
        <f t="shared" si="4"/>
        <v>0.5792567203</v>
      </c>
      <c r="T6" s="46">
        <f t="shared" si="5"/>
        <v>0</v>
      </c>
      <c r="U6" s="46">
        <f t="shared" si="6"/>
        <v>0</v>
      </c>
      <c r="V6" s="46">
        <f t="shared" si="7"/>
        <v>0</v>
      </c>
      <c r="W6" s="46">
        <f t="shared" si="8"/>
        <v>0</v>
      </c>
      <c r="X6" s="46">
        <f t="shared" si="9"/>
        <v>0</v>
      </c>
      <c r="Y6" s="46">
        <f t="shared" si="10"/>
        <v>0</v>
      </c>
      <c r="Z6" s="46">
        <f t="shared" si="11"/>
        <v>0</v>
      </c>
      <c r="AB6" s="46">
        <f t="shared" ref="AB6:AI6" si="14">sum($E$4:$E6)-S6</f>
        <v>9.42074328</v>
      </c>
      <c r="AC6" s="46">
        <f t="shared" si="14"/>
        <v>10</v>
      </c>
      <c r="AD6" s="46">
        <f t="shared" si="14"/>
        <v>10</v>
      </c>
      <c r="AE6" s="46">
        <f t="shared" si="14"/>
        <v>10</v>
      </c>
      <c r="AF6" s="46">
        <f t="shared" si="14"/>
        <v>10</v>
      </c>
      <c r="AG6" s="46">
        <f t="shared" si="14"/>
        <v>10</v>
      </c>
      <c r="AH6" s="46">
        <f t="shared" si="14"/>
        <v>10</v>
      </c>
      <c r="AI6" s="46">
        <f t="shared" si="14"/>
        <v>10</v>
      </c>
      <c r="AJ6" s="45"/>
      <c r="AK6" s="45">
        <f>SUMPRODUCT(E6:P6,item_vals!$A$2:$L$2)</f>
        <v>50</v>
      </c>
      <c r="AL6" s="45">
        <f t="shared" si="15"/>
        <v>93.33333333</v>
      </c>
      <c r="AN6" s="53">
        <v>1000.0</v>
      </c>
      <c r="AO6" s="37">
        <f t="shared" si="16"/>
        <v>1460</v>
      </c>
      <c r="AP6" s="54">
        <f>MAX(0,MIN(1,(data_raw_4_day!$F$13-AO6+AN6)/AN6))</f>
        <v>1</v>
      </c>
      <c r="AQ6" s="54">
        <f>MAX(0,MIN(1,(data_raw_4_day!$G$13-AO6+AN6)/AN6))</f>
        <v>1</v>
      </c>
      <c r="AR6" s="54">
        <f>MAX(0,MIN(1,(data_raw_4_day!$H$13-AO6+AN6)/AN6))</f>
        <v>1</v>
      </c>
      <c r="AS6" s="54">
        <f>MAX(0,MIN(1,(data_raw_4_day!$I$13-AO6+AN6)/AN6))</f>
        <v>1</v>
      </c>
      <c r="AT6" s="55"/>
    </row>
    <row r="7" ht="14.25" customHeight="1">
      <c r="A7" s="47">
        <v>4.0</v>
      </c>
      <c r="B7" s="48">
        <v>250.0</v>
      </c>
      <c r="C7" s="49">
        <f t="shared" si="13"/>
        <v>1710</v>
      </c>
      <c r="D7" s="38" t="b">
        <f t="shared" si="2"/>
        <v>0</v>
      </c>
      <c r="E7" s="51"/>
      <c r="F7" s="51"/>
      <c r="G7" s="51"/>
      <c r="H7" s="51"/>
      <c r="I7" s="51"/>
      <c r="J7" s="51"/>
      <c r="K7" s="51"/>
      <c r="L7" s="50"/>
      <c r="M7" s="51">
        <v>15.0</v>
      </c>
      <c r="N7" s="50"/>
      <c r="O7" s="51"/>
      <c r="P7" s="51"/>
      <c r="R7" s="66">
        <f t="shared" si="3"/>
        <v>0.07285575049</v>
      </c>
      <c r="S7" s="46">
        <f t="shared" si="4"/>
        <v>16.93340776</v>
      </c>
      <c r="T7" s="46">
        <f t="shared" si="5"/>
        <v>0</v>
      </c>
      <c r="U7" s="46">
        <f t="shared" si="6"/>
        <v>0</v>
      </c>
      <c r="V7" s="46">
        <f t="shared" si="7"/>
        <v>0</v>
      </c>
      <c r="W7" s="46">
        <f t="shared" si="8"/>
        <v>0</v>
      </c>
      <c r="X7" s="46">
        <f t="shared" si="9"/>
        <v>0</v>
      </c>
      <c r="Y7" s="46">
        <f t="shared" si="10"/>
        <v>0</v>
      </c>
      <c r="Z7" s="46">
        <f t="shared" si="11"/>
        <v>0</v>
      </c>
      <c r="AB7" s="46">
        <f t="shared" ref="AB7:AI7" si="17">sum($E$4:$E7)-S7</f>
        <v>-6.933407763</v>
      </c>
      <c r="AC7" s="46">
        <f t="shared" si="17"/>
        <v>10</v>
      </c>
      <c r="AD7" s="46">
        <f t="shared" si="17"/>
        <v>10</v>
      </c>
      <c r="AE7" s="46">
        <f t="shared" si="17"/>
        <v>10</v>
      </c>
      <c r="AF7" s="46">
        <f t="shared" si="17"/>
        <v>10</v>
      </c>
      <c r="AG7" s="46">
        <f t="shared" si="17"/>
        <v>10</v>
      </c>
      <c r="AH7" s="46">
        <f t="shared" si="17"/>
        <v>10</v>
      </c>
      <c r="AI7" s="46">
        <f t="shared" si="17"/>
        <v>10</v>
      </c>
      <c r="AJ7" s="45"/>
      <c r="AK7" s="45">
        <f>SUMPRODUCT(E7:P7,item_vals!$A$2:$L$2)</f>
        <v>31.25</v>
      </c>
      <c r="AL7" s="45">
        <f t="shared" si="15"/>
        <v>124.5833333</v>
      </c>
      <c r="AN7" s="53">
        <v>250.0</v>
      </c>
      <c r="AO7" s="37">
        <f t="shared" si="16"/>
        <v>1710</v>
      </c>
      <c r="AP7" s="54">
        <f>MAX(0,MIN(1,(data_raw_4_day!$F$13-AO7+AN7)/AN7))</f>
        <v>1</v>
      </c>
      <c r="AQ7" s="54">
        <f>MAX(0,MIN(1,(data_raw_4_day!$G$13-AO7+AN7)/AN7))</f>
        <v>1</v>
      </c>
      <c r="AR7" s="54">
        <f>MAX(0,MIN(1,(data_raw_4_day!$H$13-AO7+AN7)/AN7))</f>
        <v>1</v>
      </c>
      <c r="AS7" s="54">
        <f>MAX(0,MIN(1,(data_raw_4_day!$I$13-AO7+AN7)/AN7))</f>
        <v>1</v>
      </c>
      <c r="AT7" s="55"/>
    </row>
    <row r="8" ht="14.25" customHeight="1">
      <c r="A8" s="47">
        <v>5.0</v>
      </c>
      <c r="B8" s="48">
        <v>500.0</v>
      </c>
      <c r="C8" s="49">
        <f t="shared" si="13"/>
        <v>2210</v>
      </c>
      <c r="D8" s="38" t="b">
        <f t="shared" si="2"/>
        <v>0</v>
      </c>
      <c r="E8" s="50"/>
      <c r="F8" s="51"/>
      <c r="G8" s="51"/>
      <c r="H8" s="51"/>
      <c r="I8" s="51">
        <v>1.0</v>
      </c>
      <c r="J8" s="50"/>
      <c r="K8" s="51"/>
      <c r="L8" s="51"/>
      <c r="M8" s="51"/>
      <c r="N8" s="51"/>
      <c r="O8" s="51"/>
      <c r="P8" s="51"/>
      <c r="R8" s="66">
        <f t="shared" si="3"/>
        <v>0.08653846154</v>
      </c>
      <c r="S8" s="46">
        <f t="shared" si="4"/>
        <v>43.4733743</v>
      </c>
      <c r="T8" s="46">
        <f t="shared" si="5"/>
        <v>0</v>
      </c>
      <c r="U8" s="46">
        <f t="shared" si="6"/>
        <v>0</v>
      </c>
      <c r="V8" s="46">
        <f t="shared" si="7"/>
        <v>0</v>
      </c>
      <c r="W8" s="46">
        <f t="shared" si="8"/>
        <v>40.02698945</v>
      </c>
      <c r="X8" s="46">
        <f t="shared" si="9"/>
        <v>0</v>
      </c>
      <c r="Y8" s="46">
        <f t="shared" si="10"/>
        <v>0</v>
      </c>
      <c r="Z8" s="46">
        <f t="shared" si="11"/>
        <v>0</v>
      </c>
      <c r="AB8" s="46">
        <f t="shared" ref="AB8:AI8" si="18">sum($E$4:$E8)-S8</f>
        <v>-33.4733743</v>
      </c>
      <c r="AC8" s="46">
        <f t="shared" si="18"/>
        <v>10</v>
      </c>
      <c r="AD8" s="46">
        <f t="shared" si="18"/>
        <v>10</v>
      </c>
      <c r="AE8" s="46">
        <f t="shared" si="18"/>
        <v>10</v>
      </c>
      <c r="AF8" s="46">
        <f t="shared" si="18"/>
        <v>-30.02698945</v>
      </c>
      <c r="AG8" s="46">
        <f t="shared" si="18"/>
        <v>10</v>
      </c>
      <c r="AH8" s="46">
        <f t="shared" si="18"/>
        <v>10</v>
      </c>
      <c r="AI8" s="46">
        <f t="shared" si="18"/>
        <v>10</v>
      </c>
      <c r="AJ8" s="45"/>
      <c r="AK8" s="45">
        <f>SUMPRODUCT(E8:P8,item_vals!$A$2:$L$2)</f>
        <v>66.66666667</v>
      </c>
      <c r="AL8" s="45">
        <f t="shared" si="15"/>
        <v>191.25</v>
      </c>
      <c r="AN8" s="53">
        <v>500.0</v>
      </c>
      <c r="AO8" s="37">
        <f t="shared" si="16"/>
        <v>2210</v>
      </c>
      <c r="AP8" s="54">
        <f>MAX(0,MIN(1,(data_raw_4_day!$F$13-AO8+AN8)/AN8))</f>
        <v>1</v>
      </c>
      <c r="AQ8" s="54">
        <f>MAX(0,MIN(1,(data_raw_4_day!$G$13-AO8+AN8)/AN8))</f>
        <v>1</v>
      </c>
      <c r="AR8" s="54">
        <f>MAX(0,MIN(1,(data_raw_4_day!$H$13-AO8+AN8)/AN8))</f>
        <v>1</v>
      </c>
      <c r="AS8" s="54">
        <f>MAX(0,MIN(1,(data_raw_4_day!$I$13-AO8+AN8)/AN8))</f>
        <v>1</v>
      </c>
      <c r="AT8" s="55"/>
    </row>
    <row r="9" ht="14.25" customHeight="1">
      <c r="A9" s="47">
        <v>6.0</v>
      </c>
      <c r="B9" s="48">
        <v>1600.0</v>
      </c>
      <c r="C9" s="49">
        <f t="shared" si="13"/>
        <v>3810</v>
      </c>
      <c r="D9" s="38" t="b">
        <f t="shared" si="2"/>
        <v>1</v>
      </c>
      <c r="E9" s="50"/>
      <c r="F9" s="51"/>
      <c r="G9" s="51"/>
      <c r="H9" s="50">
        <v>1.0</v>
      </c>
      <c r="I9" s="51"/>
      <c r="J9" s="51">
        <v>1.0</v>
      </c>
      <c r="K9" s="51"/>
      <c r="L9" s="51"/>
      <c r="M9" s="51"/>
      <c r="N9" s="51"/>
      <c r="O9" s="50"/>
      <c r="P9" s="50"/>
      <c r="R9" s="66">
        <f t="shared" si="3"/>
        <v>0.07644356955</v>
      </c>
      <c r="S9" s="46">
        <f t="shared" si="4"/>
        <v>99.82693092</v>
      </c>
      <c r="T9" s="46">
        <f t="shared" si="5"/>
        <v>27.47914383</v>
      </c>
      <c r="U9" s="46">
        <f t="shared" si="6"/>
        <v>0</v>
      </c>
      <c r="V9" s="46">
        <f t="shared" si="7"/>
        <v>0</v>
      </c>
      <c r="W9" s="46">
        <f t="shared" si="8"/>
        <v>142.2759893</v>
      </c>
      <c r="X9" s="46">
        <f t="shared" si="9"/>
        <v>25.20875988</v>
      </c>
      <c r="Y9" s="46">
        <f t="shared" si="10"/>
        <v>0</v>
      </c>
      <c r="Z9" s="46">
        <f t="shared" si="11"/>
        <v>0</v>
      </c>
      <c r="AB9" s="46">
        <f t="shared" ref="AB9:AI9" si="19">sum($E$4:$E9)-S9</f>
        <v>-89.82693092</v>
      </c>
      <c r="AC9" s="46">
        <f t="shared" si="19"/>
        <v>-17.47914383</v>
      </c>
      <c r="AD9" s="46">
        <f t="shared" si="19"/>
        <v>10</v>
      </c>
      <c r="AE9" s="46">
        <f t="shared" si="19"/>
        <v>10</v>
      </c>
      <c r="AF9" s="46">
        <f t="shared" si="19"/>
        <v>-132.2759893</v>
      </c>
      <c r="AG9" s="46">
        <f t="shared" si="19"/>
        <v>-15.20875988</v>
      </c>
      <c r="AH9" s="46">
        <f t="shared" si="19"/>
        <v>10</v>
      </c>
      <c r="AI9" s="46">
        <f t="shared" si="19"/>
        <v>10</v>
      </c>
      <c r="AJ9" s="45"/>
      <c r="AK9" s="45">
        <f>SUMPRODUCT(E9:P9,item_vals!$A$2:$L$2)</f>
        <v>100</v>
      </c>
      <c r="AL9" s="45">
        <f t="shared" si="15"/>
        <v>291.25</v>
      </c>
      <c r="AN9" s="53">
        <v>1600.0</v>
      </c>
      <c r="AO9" s="37">
        <f t="shared" si="16"/>
        <v>3810</v>
      </c>
      <c r="AP9" s="54">
        <f>MAX(0,MIN(1,(data_raw_4_day!$F$13-AO9+AN9)/AN9))</f>
        <v>1</v>
      </c>
      <c r="AQ9" s="54">
        <f>MAX(0,MIN(1,(data_raw_4_day!$G$13-AO9+AN9)/AN9))</f>
        <v>1</v>
      </c>
      <c r="AR9" s="54">
        <f>MAX(0,MIN(1,(data_raw_4_day!$H$13-AO9+AN9)/AN9))</f>
        <v>1</v>
      </c>
      <c r="AS9" s="54">
        <f>MAX(0,MIN(1,(data_raw_4_day!$I$13-AO9+AN9)/AN9))</f>
        <v>1</v>
      </c>
      <c r="AT9" s="55"/>
    </row>
    <row r="10" ht="14.25" customHeight="1">
      <c r="A10" s="47">
        <v>7.0</v>
      </c>
      <c r="B10" s="48">
        <v>500.0</v>
      </c>
      <c r="C10" s="49">
        <f t="shared" si="13"/>
        <v>4310</v>
      </c>
      <c r="D10" s="38" t="b">
        <f t="shared" si="2"/>
        <v>0</v>
      </c>
      <c r="E10" s="50"/>
      <c r="F10" s="51"/>
      <c r="G10" s="51">
        <v>1.0</v>
      </c>
      <c r="H10" s="50"/>
      <c r="I10" s="51"/>
      <c r="J10" s="51"/>
      <c r="K10" s="50"/>
      <c r="L10" s="50"/>
      <c r="M10" s="51"/>
      <c r="N10" s="50"/>
      <c r="O10" s="51"/>
      <c r="P10" s="51"/>
      <c r="R10" s="66">
        <f t="shared" si="3"/>
        <v>0.07530935808</v>
      </c>
      <c r="S10" s="46">
        <f t="shared" si="4"/>
        <v>112.5856837</v>
      </c>
      <c r="T10" s="46">
        <f t="shared" si="5"/>
        <v>50.03699353</v>
      </c>
      <c r="U10" s="46">
        <f t="shared" si="6"/>
        <v>0</v>
      </c>
      <c r="V10" s="46">
        <f t="shared" si="7"/>
        <v>0</v>
      </c>
      <c r="W10" s="46">
        <f t="shared" si="8"/>
        <v>165.4257208</v>
      </c>
      <c r="X10" s="46">
        <f t="shared" si="9"/>
        <v>69.10962182</v>
      </c>
      <c r="Y10" s="46">
        <f t="shared" si="10"/>
        <v>0</v>
      </c>
      <c r="Z10" s="46">
        <f t="shared" si="11"/>
        <v>0</v>
      </c>
      <c r="AB10" s="46">
        <f t="shared" ref="AB10:AI10" si="20">sum($E$4:$E10)-S10</f>
        <v>-102.5856837</v>
      </c>
      <c r="AC10" s="46">
        <f t="shared" si="20"/>
        <v>-40.03699353</v>
      </c>
      <c r="AD10" s="46">
        <f t="shared" si="20"/>
        <v>10</v>
      </c>
      <c r="AE10" s="46">
        <f t="shared" si="20"/>
        <v>10</v>
      </c>
      <c r="AF10" s="46">
        <f t="shared" si="20"/>
        <v>-155.4257208</v>
      </c>
      <c r="AG10" s="46">
        <f t="shared" si="20"/>
        <v>-59.10962182</v>
      </c>
      <c r="AH10" s="46">
        <f t="shared" si="20"/>
        <v>10</v>
      </c>
      <c r="AI10" s="46">
        <f t="shared" si="20"/>
        <v>10</v>
      </c>
      <c r="AJ10" s="45"/>
      <c r="AK10" s="45">
        <f>SUMPRODUCT(E10:P10,item_vals!$A$2:$L$2)</f>
        <v>33.33333333</v>
      </c>
      <c r="AL10" s="45">
        <f t="shared" si="15"/>
        <v>324.5833333</v>
      </c>
      <c r="AN10" s="53">
        <v>500.0</v>
      </c>
      <c r="AO10" s="37">
        <f t="shared" si="16"/>
        <v>4310</v>
      </c>
      <c r="AP10" s="54">
        <f>MAX(0,MIN(1,(data_raw_4_day!$F$13-AO10+AN10)/AN10))</f>
        <v>1</v>
      </c>
      <c r="AQ10" s="54">
        <f>MAX(0,MIN(1,(data_raw_4_day!$G$13-AO10+AN10)/AN10))</f>
        <v>1</v>
      </c>
      <c r="AR10" s="54">
        <f>MAX(0,MIN(1,(data_raw_4_day!$H$13-AO10+AN10)/AN10))</f>
        <v>1</v>
      </c>
      <c r="AS10" s="54">
        <f>MAX(0,MIN(1,(data_raw_4_day!$I$13-AO10+AN10)/AN10))</f>
        <v>1</v>
      </c>
      <c r="AT10" s="55"/>
    </row>
    <row r="11" ht="14.25" customHeight="1">
      <c r="A11" s="47">
        <v>8.0</v>
      </c>
      <c r="B11" s="48">
        <v>1000.0</v>
      </c>
      <c r="C11" s="49">
        <f t="shared" si="13"/>
        <v>5310</v>
      </c>
      <c r="D11" s="38" t="b">
        <f t="shared" si="2"/>
        <v>0</v>
      </c>
      <c r="E11" s="51"/>
      <c r="F11" s="51"/>
      <c r="G11" s="51"/>
      <c r="H11" s="51">
        <v>1.0</v>
      </c>
      <c r="I11" s="51"/>
      <c r="J11" s="51"/>
      <c r="K11" s="50"/>
      <c r="L11" s="50"/>
      <c r="M11" s="51"/>
      <c r="N11" s="51"/>
      <c r="O11" s="50"/>
      <c r="P11" s="50"/>
      <c r="R11" s="66">
        <f t="shared" si="3"/>
        <v>0.07054300063</v>
      </c>
      <c r="S11" s="46">
        <f t="shared" si="4"/>
        <v>134.1751059</v>
      </c>
      <c r="T11" s="46">
        <f t="shared" si="5"/>
        <v>88.20772638</v>
      </c>
      <c r="U11" s="46">
        <f t="shared" si="6"/>
        <v>11.51409518</v>
      </c>
      <c r="V11" s="46">
        <f t="shared" si="7"/>
        <v>0</v>
      </c>
      <c r="W11" s="46">
        <f t="shared" si="8"/>
        <v>204.5979925</v>
      </c>
      <c r="X11" s="46">
        <f t="shared" si="9"/>
        <v>143.395429</v>
      </c>
      <c r="Y11" s="46">
        <f t="shared" si="10"/>
        <v>0</v>
      </c>
      <c r="Z11" s="46">
        <f t="shared" si="11"/>
        <v>0</v>
      </c>
      <c r="AB11" s="46">
        <f t="shared" ref="AB11:AI11" si="21">sum($E$4:$E11)-S11</f>
        <v>-124.1751059</v>
      </c>
      <c r="AC11" s="46">
        <f t="shared" si="21"/>
        <v>-78.20772638</v>
      </c>
      <c r="AD11" s="46">
        <f t="shared" si="21"/>
        <v>-1.514095178</v>
      </c>
      <c r="AE11" s="46">
        <f t="shared" si="21"/>
        <v>10</v>
      </c>
      <c r="AF11" s="46">
        <f t="shared" si="21"/>
        <v>-194.5979925</v>
      </c>
      <c r="AG11" s="46">
        <f t="shared" si="21"/>
        <v>-133.395429</v>
      </c>
      <c r="AH11" s="46">
        <f t="shared" si="21"/>
        <v>10</v>
      </c>
      <c r="AI11" s="46">
        <f t="shared" si="21"/>
        <v>10</v>
      </c>
      <c r="AJ11" s="45"/>
      <c r="AK11" s="45">
        <f>SUMPRODUCT(E11:P11,item_vals!$A$2:$L$2)</f>
        <v>50</v>
      </c>
      <c r="AL11" s="45">
        <f t="shared" si="15"/>
        <v>374.5833333</v>
      </c>
      <c r="AN11" s="53">
        <v>1000.0</v>
      </c>
      <c r="AO11" s="37">
        <f t="shared" si="16"/>
        <v>5310</v>
      </c>
      <c r="AP11" s="54">
        <f>MAX(0,MIN(1,(data_raw_4_day!$F$13-AO11+AN11)/AN11))</f>
        <v>1</v>
      </c>
      <c r="AQ11" s="54">
        <f>MAX(0,MIN(1,(data_raw_4_day!$G$13-AO11+AN11)/AN11))</f>
        <v>1</v>
      </c>
      <c r="AR11" s="54">
        <f>MAX(0,MIN(1,(data_raw_4_day!$H$13-AO11+AN11)/AN11))</f>
        <v>1</v>
      </c>
      <c r="AS11" s="54">
        <f>MAX(0,MIN(1,(data_raw_4_day!$I$13-AO11+AN11)/AN11))</f>
        <v>1</v>
      </c>
      <c r="AT11" s="55"/>
    </row>
    <row r="12" ht="14.25" customHeight="1">
      <c r="A12" s="47">
        <v>9.0</v>
      </c>
      <c r="B12" s="48">
        <v>3300.0</v>
      </c>
      <c r="C12" s="49">
        <f t="shared" si="13"/>
        <v>8610</v>
      </c>
      <c r="D12" s="38" t="b">
        <f t="shared" si="2"/>
        <v>1</v>
      </c>
      <c r="E12" s="50">
        <v>20.0</v>
      </c>
      <c r="F12" s="51"/>
      <c r="G12" s="51"/>
      <c r="H12" s="51"/>
      <c r="I12" s="50"/>
      <c r="J12" s="50">
        <v>1.0</v>
      </c>
      <c r="K12" s="50"/>
      <c r="L12" s="51"/>
      <c r="M12" s="51"/>
      <c r="N12" s="51"/>
      <c r="O12" s="50"/>
      <c r="P12" s="50"/>
      <c r="R12" s="66">
        <f t="shared" si="3"/>
        <v>0.05163569493</v>
      </c>
      <c r="S12" s="46">
        <f t="shared" si="4"/>
        <v>184.1855179</v>
      </c>
      <c r="T12" s="46">
        <f t="shared" si="5"/>
        <v>176.6276042</v>
      </c>
      <c r="U12" s="46">
        <f t="shared" si="6"/>
        <v>139.897836</v>
      </c>
      <c r="V12" s="46">
        <f t="shared" si="7"/>
        <v>0</v>
      </c>
      <c r="W12" s="46">
        <f t="shared" si="8"/>
        <v>295.3378663</v>
      </c>
      <c r="X12" s="46">
        <f t="shared" si="9"/>
        <v>315.473393</v>
      </c>
      <c r="Y12" s="46">
        <f t="shared" si="10"/>
        <v>236.4149966</v>
      </c>
      <c r="Z12" s="46">
        <f t="shared" si="11"/>
        <v>0</v>
      </c>
      <c r="AB12" s="46">
        <f t="shared" ref="AB12:AI12" si="22">sum($E$4:$E12)-S12</f>
        <v>-154.1855179</v>
      </c>
      <c r="AC12" s="46">
        <f t="shared" si="22"/>
        <v>-146.6276042</v>
      </c>
      <c r="AD12" s="46">
        <f t="shared" si="22"/>
        <v>-109.897836</v>
      </c>
      <c r="AE12" s="46">
        <f t="shared" si="22"/>
        <v>30</v>
      </c>
      <c r="AF12" s="46">
        <f t="shared" si="22"/>
        <v>-265.3378663</v>
      </c>
      <c r="AG12" s="46">
        <f t="shared" si="22"/>
        <v>-285.473393</v>
      </c>
      <c r="AH12" s="46">
        <f t="shared" si="22"/>
        <v>-206.4149966</v>
      </c>
      <c r="AI12" s="46">
        <f t="shared" si="22"/>
        <v>30</v>
      </c>
      <c r="AJ12" s="45"/>
      <c r="AK12" s="45">
        <f>SUMPRODUCT(E12:P12,item_vals!$A$2:$L$2)</f>
        <v>70</v>
      </c>
      <c r="AL12" s="45">
        <f t="shared" si="15"/>
        <v>444.5833333</v>
      </c>
      <c r="AN12" s="53">
        <v>3300.0</v>
      </c>
      <c r="AO12" s="37">
        <f t="shared" si="16"/>
        <v>8610</v>
      </c>
      <c r="AP12" s="54">
        <f>MAX(0,MIN(1,(data_raw_4_day!$F$13-AO12+AN12)/AN12))</f>
        <v>1</v>
      </c>
      <c r="AQ12" s="54">
        <f>MAX(0,MIN(1,(data_raw_4_day!$G$13-AO12+AN12)/AN12))</f>
        <v>1</v>
      </c>
      <c r="AR12" s="54">
        <f>MAX(0,MIN(1,(data_raw_4_day!$H$13-AO12+AN12)/AN12))</f>
        <v>1</v>
      </c>
      <c r="AS12" s="54">
        <f>MAX(0,MIN(1,(data_raw_4_day!$I$13-AO12+AN12)/AN12))</f>
        <v>1</v>
      </c>
      <c r="AT12" s="55"/>
    </row>
    <row r="13" ht="14.25" customHeight="1">
      <c r="A13" s="47">
        <v>10.0</v>
      </c>
      <c r="B13" s="48">
        <v>1100.0</v>
      </c>
      <c r="C13" s="49">
        <f t="shared" si="13"/>
        <v>9710</v>
      </c>
      <c r="D13" s="38" t="b">
        <f t="shared" si="2"/>
        <v>0</v>
      </c>
      <c r="E13" s="50"/>
      <c r="F13" s="51"/>
      <c r="G13" s="51"/>
      <c r="H13" s="51"/>
      <c r="I13" s="51"/>
      <c r="J13" s="51"/>
      <c r="K13" s="51"/>
      <c r="L13" s="51"/>
      <c r="M13" s="50">
        <v>30.0</v>
      </c>
      <c r="N13" s="51"/>
      <c r="O13" s="51"/>
      <c r="P13" s="51"/>
      <c r="R13" s="66">
        <f t="shared" si="3"/>
        <v>0.05222279437</v>
      </c>
      <c r="S13" s="46">
        <f t="shared" si="4"/>
        <v>196.6259192</v>
      </c>
      <c r="T13" s="46">
        <f t="shared" si="5"/>
        <v>198.6225992</v>
      </c>
      <c r="U13" s="46">
        <f t="shared" si="6"/>
        <v>171.8340907</v>
      </c>
      <c r="V13" s="46">
        <f t="shared" si="7"/>
        <v>0</v>
      </c>
      <c r="W13" s="46">
        <f t="shared" si="8"/>
        <v>317.9099747</v>
      </c>
      <c r="X13" s="46">
        <f t="shared" si="9"/>
        <v>358.2788577</v>
      </c>
      <c r="Y13" s="46">
        <f t="shared" si="10"/>
        <v>306.1194777</v>
      </c>
      <c r="Z13" s="46">
        <f t="shared" si="11"/>
        <v>0</v>
      </c>
      <c r="AB13" s="46">
        <f t="shared" ref="AB13:AI13" si="23">sum($E$4:$E13)-S13</f>
        <v>-166.6259192</v>
      </c>
      <c r="AC13" s="46">
        <f t="shared" si="23"/>
        <v>-168.6225992</v>
      </c>
      <c r="AD13" s="46">
        <f t="shared" si="23"/>
        <v>-141.8340907</v>
      </c>
      <c r="AE13" s="46">
        <f t="shared" si="23"/>
        <v>30</v>
      </c>
      <c r="AF13" s="46">
        <f t="shared" si="23"/>
        <v>-287.9099747</v>
      </c>
      <c r="AG13" s="46">
        <f t="shared" si="23"/>
        <v>-328.2788577</v>
      </c>
      <c r="AH13" s="46">
        <f t="shared" si="23"/>
        <v>-276.1194777</v>
      </c>
      <c r="AI13" s="46">
        <f t="shared" si="23"/>
        <v>30</v>
      </c>
      <c r="AJ13" s="45"/>
      <c r="AK13" s="45">
        <f>SUMPRODUCT(E13:P13,item_vals!$A$2:$L$2)</f>
        <v>62.5</v>
      </c>
      <c r="AL13" s="45">
        <f t="shared" si="15"/>
        <v>507.0833333</v>
      </c>
      <c r="AN13" s="53">
        <v>1100.0</v>
      </c>
      <c r="AO13" s="37">
        <f t="shared" si="16"/>
        <v>9710</v>
      </c>
      <c r="AP13" s="54">
        <f>MAX(0,MIN(1,(data_raw_4_day!$F$13-AO13+AN13)/AN13))</f>
        <v>1</v>
      </c>
      <c r="AQ13" s="54">
        <f>MAX(0,MIN(1,(data_raw_4_day!$G$13-AO13+AN13)/AN13))</f>
        <v>1</v>
      </c>
      <c r="AR13" s="54">
        <f>MAX(0,MIN(1,(data_raw_4_day!$H$13-AO13+AN13)/AN13))</f>
        <v>1</v>
      </c>
      <c r="AS13" s="54">
        <f>MAX(0,MIN(1,(data_raw_4_day!$I$13-AO13+AN13)/AN13))</f>
        <v>1</v>
      </c>
      <c r="AT13" s="55"/>
    </row>
    <row r="14" ht="14.25" customHeight="1">
      <c r="A14" s="47">
        <v>11.0</v>
      </c>
      <c r="B14" s="48">
        <v>2200.0</v>
      </c>
      <c r="C14" s="49">
        <f t="shared" si="13"/>
        <v>11910</v>
      </c>
      <c r="D14" s="38" t="b">
        <f t="shared" si="2"/>
        <v>0</v>
      </c>
      <c r="E14" s="51"/>
      <c r="F14" s="51"/>
      <c r="G14" s="50"/>
      <c r="H14" s="51"/>
      <c r="I14" s="51"/>
      <c r="J14" s="50">
        <v>1.0</v>
      </c>
      <c r="K14" s="51"/>
      <c r="L14" s="51"/>
      <c r="M14" s="51"/>
      <c r="N14" s="51"/>
      <c r="O14" s="51"/>
      <c r="P14" s="50"/>
      <c r="R14" s="66">
        <f t="shared" si="3"/>
        <v>0.04677441926</v>
      </c>
      <c r="S14" s="46">
        <f t="shared" si="4"/>
        <v>217.75678</v>
      </c>
      <c r="T14" s="46">
        <f t="shared" si="5"/>
        <v>235.9825819</v>
      </c>
      <c r="U14" s="46">
        <f t="shared" si="6"/>
        <v>226.0799737</v>
      </c>
      <c r="V14" s="46">
        <f t="shared" si="7"/>
        <v>0</v>
      </c>
      <c r="W14" s="46">
        <f t="shared" si="8"/>
        <v>356.2502235</v>
      </c>
      <c r="X14" s="46">
        <f t="shared" si="9"/>
        <v>430.986827</v>
      </c>
      <c r="Y14" s="46">
        <f t="shared" si="10"/>
        <v>424.5172407</v>
      </c>
      <c r="Z14" s="46">
        <f t="shared" si="11"/>
        <v>0</v>
      </c>
      <c r="AB14" s="46">
        <f t="shared" ref="AB14:AI14" si="24">sum($E$4:$E14)-S14</f>
        <v>-187.75678</v>
      </c>
      <c r="AC14" s="46">
        <f t="shared" si="24"/>
        <v>-205.9825819</v>
      </c>
      <c r="AD14" s="46">
        <f t="shared" si="24"/>
        <v>-196.0799737</v>
      </c>
      <c r="AE14" s="46">
        <f t="shared" si="24"/>
        <v>30</v>
      </c>
      <c r="AF14" s="46">
        <f t="shared" si="24"/>
        <v>-326.2502235</v>
      </c>
      <c r="AG14" s="46">
        <f t="shared" si="24"/>
        <v>-400.986827</v>
      </c>
      <c r="AH14" s="46">
        <f t="shared" si="24"/>
        <v>-394.5172407</v>
      </c>
      <c r="AI14" s="46">
        <f t="shared" si="24"/>
        <v>30</v>
      </c>
      <c r="AJ14" s="45"/>
      <c r="AK14" s="45">
        <f>SUMPRODUCT(E14:P14,item_vals!$A$2:$L$2)</f>
        <v>50</v>
      </c>
      <c r="AL14" s="45">
        <f t="shared" si="15"/>
        <v>557.0833333</v>
      </c>
      <c r="AN14" s="53">
        <v>2200.0</v>
      </c>
      <c r="AO14" s="37">
        <f t="shared" si="16"/>
        <v>11910</v>
      </c>
      <c r="AP14" s="54">
        <f>MAX(0,MIN(1,(data_raw_4_day!$F$13-AO14+AN14)/AN14))</f>
        <v>1</v>
      </c>
      <c r="AQ14" s="54">
        <f>MAX(0,MIN(1,(data_raw_4_day!$G$13-AO14+AN14)/AN14))</f>
        <v>1</v>
      </c>
      <c r="AR14" s="54">
        <f>MAX(0,MIN(1,(data_raw_4_day!$H$13-AO14+AN14)/AN14))</f>
        <v>1</v>
      </c>
      <c r="AS14" s="54">
        <f>MAX(0,MIN(1,(data_raw_4_day!$I$13-AO14+AN14)/AN14))</f>
        <v>1</v>
      </c>
      <c r="AT14" s="55"/>
    </row>
    <row r="15" ht="14.25" customHeight="1">
      <c r="A15" s="47">
        <v>12.0</v>
      </c>
      <c r="B15" s="48">
        <v>6500.0</v>
      </c>
      <c r="C15" s="49">
        <f t="shared" si="13"/>
        <v>18410</v>
      </c>
      <c r="D15" s="38" t="b">
        <f t="shared" si="2"/>
        <v>1</v>
      </c>
      <c r="E15" s="50">
        <v>35.0</v>
      </c>
      <c r="F15" s="51"/>
      <c r="G15" s="51"/>
      <c r="H15" s="51"/>
      <c r="I15" s="51"/>
      <c r="J15" s="50"/>
      <c r="K15" s="50">
        <v>1.0</v>
      </c>
      <c r="L15" s="50"/>
      <c r="M15" s="51"/>
      <c r="N15" s="50"/>
      <c r="O15" s="51"/>
      <c r="P15" s="51"/>
      <c r="R15" s="66">
        <f t="shared" si="3"/>
        <v>0.0357821836</v>
      </c>
      <c r="S15" s="46">
        <f t="shared" si="4"/>
        <v>262.8195804</v>
      </c>
      <c r="T15" s="46">
        <f t="shared" si="5"/>
        <v>315.6549369</v>
      </c>
      <c r="U15" s="46">
        <f t="shared" si="6"/>
        <v>341.7625015</v>
      </c>
      <c r="V15" s="46">
        <f t="shared" si="7"/>
        <v>9.289018536</v>
      </c>
      <c r="W15" s="46">
        <f t="shared" si="8"/>
        <v>438.0130534</v>
      </c>
      <c r="X15" s="46">
        <f t="shared" si="9"/>
        <v>586.0408372</v>
      </c>
      <c r="Y15" s="46">
        <f t="shared" si="10"/>
        <v>677.0074167</v>
      </c>
      <c r="Z15" s="46">
        <f t="shared" si="11"/>
        <v>0</v>
      </c>
      <c r="AB15" s="46">
        <f t="shared" ref="AB15:AI15" si="25">sum($E$4:$E15)-S15</f>
        <v>-197.8195804</v>
      </c>
      <c r="AC15" s="46">
        <f t="shared" si="25"/>
        <v>-250.6549369</v>
      </c>
      <c r="AD15" s="46">
        <f t="shared" si="25"/>
        <v>-276.7625015</v>
      </c>
      <c r="AE15" s="46">
        <f t="shared" si="25"/>
        <v>55.71098146</v>
      </c>
      <c r="AF15" s="46">
        <f t="shared" si="25"/>
        <v>-373.0130534</v>
      </c>
      <c r="AG15" s="46">
        <f t="shared" si="25"/>
        <v>-521.0408372</v>
      </c>
      <c r="AH15" s="46">
        <f t="shared" si="25"/>
        <v>-612.0074167</v>
      </c>
      <c r="AI15" s="46">
        <f t="shared" si="25"/>
        <v>65</v>
      </c>
      <c r="AJ15" s="45"/>
      <c r="AK15" s="45">
        <f>SUMPRODUCT(E15:P15,item_vals!$A$2:$L$2)</f>
        <v>101.6666667</v>
      </c>
      <c r="AL15" s="45">
        <f t="shared" si="15"/>
        <v>658.75</v>
      </c>
      <c r="AN15" s="53">
        <v>6500.0</v>
      </c>
      <c r="AO15" s="37">
        <f t="shared" si="16"/>
        <v>18410</v>
      </c>
      <c r="AP15" s="54">
        <f>MAX(0,MIN(1,(data_raw_4_day!$F$13-AO15+AN15)/AN15))</f>
        <v>1</v>
      </c>
      <c r="AQ15" s="54">
        <f>MAX(0,MIN(1,(data_raw_4_day!$G$13-AO15+AN15)/AN15))</f>
        <v>1</v>
      </c>
      <c r="AR15" s="54">
        <f>MAX(0,MIN(1,(data_raw_4_day!$H$13-AO15+AN15)/AN15))</f>
        <v>1</v>
      </c>
      <c r="AS15" s="54">
        <f>MAX(0,MIN(1,(data_raw_4_day!$I$13-AO15+AN15)/AN15))</f>
        <v>1</v>
      </c>
      <c r="AT15" s="55"/>
    </row>
    <row r="16" ht="14.25" customHeight="1">
      <c r="A16" s="47">
        <v>13.0</v>
      </c>
      <c r="B16" s="48">
        <v>2200.0</v>
      </c>
      <c r="C16" s="49">
        <f t="shared" si="13"/>
        <v>20610</v>
      </c>
      <c r="D16" s="38" t="b">
        <f t="shared" si="2"/>
        <v>0</v>
      </c>
      <c r="E16" s="51"/>
      <c r="F16" s="51"/>
      <c r="G16" s="51"/>
      <c r="H16" s="51"/>
      <c r="I16" s="51"/>
      <c r="J16" s="51"/>
      <c r="K16" s="51"/>
      <c r="L16" s="51"/>
      <c r="M16" s="51"/>
      <c r="N16" s="50">
        <v>10.0</v>
      </c>
      <c r="O16" s="50"/>
      <c r="P16" s="51"/>
      <c r="R16" s="66">
        <f t="shared" si="3"/>
        <v>0.03554504286</v>
      </c>
      <c r="S16" s="46">
        <f t="shared" si="4"/>
        <v>274.4995223</v>
      </c>
      <c r="T16" s="46">
        <f t="shared" si="5"/>
        <v>336.3054174</v>
      </c>
      <c r="U16" s="46">
        <f t="shared" si="6"/>
        <v>371.7465503</v>
      </c>
      <c r="V16" s="46">
        <f t="shared" si="7"/>
        <v>76.48192828</v>
      </c>
      <c r="W16" s="46">
        <f t="shared" si="8"/>
        <v>459.2053694</v>
      </c>
      <c r="X16" s="46">
        <f t="shared" si="9"/>
        <v>626.2296807</v>
      </c>
      <c r="Y16" s="46">
        <f t="shared" si="10"/>
        <v>742.4509879</v>
      </c>
      <c r="Z16" s="46">
        <f t="shared" si="11"/>
        <v>0</v>
      </c>
      <c r="AB16" s="46">
        <f t="shared" ref="AB16:AI16" si="26">sum($E$4:$E16)-S16</f>
        <v>-209.4995223</v>
      </c>
      <c r="AC16" s="46">
        <f t="shared" si="26"/>
        <v>-271.3054174</v>
      </c>
      <c r="AD16" s="46">
        <f t="shared" si="26"/>
        <v>-306.7465503</v>
      </c>
      <c r="AE16" s="46">
        <f t="shared" si="26"/>
        <v>-11.48192828</v>
      </c>
      <c r="AF16" s="46">
        <f t="shared" si="26"/>
        <v>-394.2053694</v>
      </c>
      <c r="AG16" s="46">
        <f t="shared" si="26"/>
        <v>-561.2296807</v>
      </c>
      <c r="AH16" s="46">
        <f t="shared" si="26"/>
        <v>-677.4509879</v>
      </c>
      <c r="AI16" s="46">
        <f t="shared" si="26"/>
        <v>65</v>
      </c>
      <c r="AJ16" s="45"/>
      <c r="AK16" s="45">
        <f>SUMPRODUCT(E16:P16,item_vals!$A$2:$L$2)</f>
        <v>73.83333333</v>
      </c>
      <c r="AL16" s="45">
        <f t="shared" si="15"/>
        <v>732.5833333</v>
      </c>
      <c r="AN16" s="53">
        <v>2200.0</v>
      </c>
      <c r="AO16" s="37">
        <f t="shared" si="16"/>
        <v>20610</v>
      </c>
      <c r="AP16" s="54">
        <f>MAX(0,MIN(1,(data_raw_4_day!$F$13-AO16+AN16)/AN16))</f>
        <v>1</v>
      </c>
      <c r="AQ16" s="54">
        <f>MAX(0,MIN(1,(data_raw_4_day!$G$13-AO16+AN16)/AN16))</f>
        <v>1</v>
      </c>
      <c r="AR16" s="54">
        <f>MAX(0,MIN(1,(data_raw_4_day!$H$13-AO16+AN16)/AN16))</f>
        <v>1</v>
      </c>
      <c r="AS16" s="54">
        <f>MAX(0,MIN(1,(data_raw_4_day!$I$13-AO16+AN16)/AN16))</f>
        <v>1</v>
      </c>
      <c r="AT16" s="55"/>
    </row>
    <row r="17" ht="14.25" customHeight="1">
      <c r="A17" s="47">
        <v>14.0</v>
      </c>
      <c r="B17" s="48">
        <v>4400.0</v>
      </c>
      <c r="C17" s="49">
        <f t="shared" si="13"/>
        <v>25010</v>
      </c>
      <c r="D17" s="38" t="b">
        <f t="shared" si="2"/>
        <v>0</v>
      </c>
      <c r="E17" s="50"/>
      <c r="F17" s="51"/>
      <c r="G17" s="50">
        <v>2.0</v>
      </c>
      <c r="H17" s="51"/>
      <c r="I17" s="50"/>
      <c r="J17" s="50"/>
      <c r="K17" s="51"/>
      <c r="L17" s="51"/>
      <c r="M17" s="51"/>
      <c r="N17" s="51"/>
      <c r="O17" s="50"/>
      <c r="P17" s="51"/>
      <c r="R17" s="66">
        <f t="shared" si="3"/>
        <v>0.03195721711</v>
      </c>
      <c r="S17" s="46">
        <f t="shared" si="4"/>
        <v>294.5209</v>
      </c>
      <c r="T17" s="46">
        <f t="shared" si="5"/>
        <v>371.7038014</v>
      </c>
      <c r="U17" s="46">
        <f t="shared" si="6"/>
        <v>423.1442346</v>
      </c>
      <c r="V17" s="46">
        <f t="shared" si="7"/>
        <v>191.6618359</v>
      </c>
      <c r="W17" s="46">
        <f t="shared" si="8"/>
        <v>495.5325504</v>
      </c>
      <c r="X17" s="46">
        <f t="shared" si="9"/>
        <v>695.1200932</v>
      </c>
      <c r="Y17" s="46">
        <f t="shared" si="10"/>
        <v>854.6322361</v>
      </c>
      <c r="Z17" s="46">
        <f t="shared" si="11"/>
        <v>177.5147464</v>
      </c>
      <c r="AB17" s="46">
        <f t="shared" ref="AB17:AI17" si="27">sum($E$4:$E17)-S17</f>
        <v>-229.5209</v>
      </c>
      <c r="AC17" s="46">
        <f t="shared" si="27"/>
        <v>-306.7038014</v>
      </c>
      <c r="AD17" s="46">
        <f t="shared" si="27"/>
        <v>-358.1442346</v>
      </c>
      <c r="AE17" s="46">
        <f t="shared" si="27"/>
        <v>-126.6618359</v>
      </c>
      <c r="AF17" s="46">
        <f t="shared" si="27"/>
        <v>-430.5325504</v>
      </c>
      <c r="AG17" s="46">
        <f t="shared" si="27"/>
        <v>-630.1200932</v>
      </c>
      <c r="AH17" s="46">
        <f t="shared" si="27"/>
        <v>-789.6322361</v>
      </c>
      <c r="AI17" s="46">
        <f t="shared" si="27"/>
        <v>-112.5147464</v>
      </c>
      <c r="AJ17" s="45"/>
      <c r="AK17" s="45">
        <f>SUMPRODUCT(E17:P17,item_vals!$A$2:$L$2)</f>
        <v>66.66666667</v>
      </c>
      <c r="AL17" s="45">
        <f t="shared" si="15"/>
        <v>799.25</v>
      </c>
      <c r="AN17" s="53">
        <v>4400.0</v>
      </c>
      <c r="AO17" s="37">
        <f t="shared" si="16"/>
        <v>25010</v>
      </c>
      <c r="AP17" s="54">
        <f>MAX(0,MIN(1,(data_raw_4_day!$F$13-AO17+AN17)/AN17))</f>
        <v>1</v>
      </c>
      <c r="AQ17" s="54">
        <f>MAX(0,MIN(1,(data_raw_4_day!$G$13-AO17+AN17)/AN17))</f>
        <v>1</v>
      </c>
      <c r="AR17" s="54">
        <f>MAX(0,MIN(1,(data_raw_4_day!$H$13-AO17+AN17)/AN17))</f>
        <v>1</v>
      </c>
      <c r="AS17" s="54">
        <f>MAX(0,MIN(1,(data_raw_4_day!$I$13-AO17+AN17)/AN17))</f>
        <v>1</v>
      </c>
      <c r="AT17" s="55"/>
    </row>
    <row r="18" ht="14.25" customHeight="1">
      <c r="A18" s="47">
        <v>15.0</v>
      </c>
      <c r="B18" s="48">
        <v>13250.0</v>
      </c>
      <c r="C18" s="49">
        <f t="shared" si="13"/>
        <v>38260</v>
      </c>
      <c r="D18" s="38" t="b">
        <f t="shared" si="2"/>
        <v>1</v>
      </c>
      <c r="E18" s="50"/>
      <c r="F18" s="51"/>
      <c r="G18" s="51"/>
      <c r="H18" s="50">
        <v>1.0</v>
      </c>
      <c r="I18" s="51"/>
      <c r="J18" s="51"/>
      <c r="K18" s="51"/>
      <c r="L18" s="51">
        <v>1.0</v>
      </c>
      <c r="M18" s="50"/>
      <c r="N18" s="51"/>
      <c r="O18" s="51"/>
      <c r="P18" s="50"/>
      <c r="R18" s="66">
        <f t="shared" si="3"/>
        <v>0.0265529709</v>
      </c>
      <c r="S18" s="46">
        <f t="shared" si="4"/>
        <v>338.5090203</v>
      </c>
      <c r="T18" s="46">
        <f t="shared" si="5"/>
        <v>449.4760905</v>
      </c>
      <c r="U18" s="46">
        <f t="shared" si="6"/>
        <v>536.0679081</v>
      </c>
      <c r="V18" s="46">
        <f t="shared" si="7"/>
        <v>444.7187282</v>
      </c>
      <c r="W18" s="46">
        <f t="shared" si="8"/>
        <v>575.3454597</v>
      </c>
      <c r="X18" s="46">
        <f t="shared" si="9"/>
        <v>846.4762984</v>
      </c>
      <c r="Y18" s="46">
        <f t="shared" si="10"/>
        <v>1101.100901</v>
      </c>
      <c r="Z18" s="46">
        <f t="shared" si="11"/>
        <v>760.8562296</v>
      </c>
      <c r="AB18" s="46">
        <f t="shared" ref="AB18:AI18" si="28">sum($E$4:$E18)-S18</f>
        <v>-273.5090203</v>
      </c>
      <c r="AC18" s="46">
        <f t="shared" si="28"/>
        <v>-384.4760905</v>
      </c>
      <c r="AD18" s="46">
        <f t="shared" si="28"/>
        <v>-471.0679081</v>
      </c>
      <c r="AE18" s="46">
        <f t="shared" si="28"/>
        <v>-379.7187282</v>
      </c>
      <c r="AF18" s="46">
        <f t="shared" si="28"/>
        <v>-510.3454597</v>
      </c>
      <c r="AG18" s="46">
        <f t="shared" si="28"/>
        <v>-781.4762984</v>
      </c>
      <c r="AH18" s="46">
        <f t="shared" si="28"/>
        <v>-1036.100901</v>
      </c>
      <c r="AI18" s="46">
        <f t="shared" si="28"/>
        <v>-695.8562296</v>
      </c>
      <c r="AJ18" s="45"/>
      <c r="AK18" s="45">
        <f>SUMPRODUCT(E18:P18,item_vals!$A$2:$L$2)</f>
        <v>216.6666667</v>
      </c>
      <c r="AL18" s="45">
        <f t="shared" si="15"/>
        <v>1015.916667</v>
      </c>
      <c r="AN18" s="53">
        <v>13250.0</v>
      </c>
      <c r="AO18" s="37">
        <f t="shared" si="16"/>
        <v>38260</v>
      </c>
      <c r="AP18" s="54">
        <f>MAX(0,MIN(1,(data_raw_4_day!$F$13-AO18+AN18)/AN18))</f>
        <v>1</v>
      </c>
      <c r="AQ18" s="54">
        <f>MAX(0,MIN(1,(data_raw_4_day!$G$13-AO18+AN18)/AN18))</f>
        <v>1</v>
      </c>
      <c r="AR18" s="54">
        <f>MAX(0,MIN(1,(data_raw_4_day!$H$13-AO18+AN18)/AN18))</f>
        <v>1</v>
      </c>
      <c r="AS18" s="54">
        <f>MAX(0,MIN(1,(data_raw_4_day!$I$13-AO18+AN18)/AN18))</f>
        <v>1</v>
      </c>
      <c r="AT18" s="55"/>
    </row>
    <row r="19" ht="14.25" customHeight="1">
      <c r="A19" s="47">
        <v>16.0</v>
      </c>
      <c r="B19" s="48">
        <v>3300.0</v>
      </c>
      <c r="C19" s="49">
        <f t="shared" si="13"/>
        <v>41560</v>
      </c>
      <c r="D19" s="38" t="b">
        <f t="shared" si="2"/>
        <v>0</v>
      </c>
      <c r="E19" s="50"/>
      <c r="F19" s="51"/>
      <c r="G19" s="51"/>
      <c r="H19" s="51"/>
      <c r="I19" s="50">
        <v>1.0</v>
      </c>
      <c r="J19" s="50"/>
      <c r="K19" s="51"/>
      <c r="L19" s="51"/>
      <c r="M19" s="50"/>
      <c r="N19" s="50"/>
      <c r="O19" s="51"/>
      <c r="P19" s="50"/>
      <c r="R19" s="66">
        <f t="shared" si="3"/>
        <v>0.02604868463</v>
      </c>
      <c r="S19" s="46">
        <f t="shared" si="4"/>
        <v>347.0694248</v>
      </c>
      <c r="T19" s="46">
        <f t="shared" si="5"/>
        <v>464.6111371</v>
      </c>
      <c r="U19" s="46">
        <f t="shared" si="6"/>
        <v>558.0436667</v>
      </c>
      <c r="V19" s="46">
        <f t="shared" si="7"/>
        <v>493.9654186</v>
      </c>
      <c r="W19" s="46">
        <f t="shared" si="8"/>
        <v>590.8776256</v>
      </c>
      <c r="X19" s="46">
        <f t="shared" si="9"/>
        <v>875.9313039</v>
      </c>
      <c r="Y19" s="46">
        <f t="shared" si="10"/>
        <v>1149.065475</v>
      </c>
      <c r="Z19" s="46">
        <f t="shared" si="11"/>
        <v>874.3786757</v>
      </c>
      <c r="AB19" s="46">
        <f t="shared" ref="AB19:AI19" si="29">sum($E$4:$E19)-S19</f>
        <v>-282.0694248</v>
      </c>
      <c r="AC19" s="46">
        <f t="shared" si="29"/>
        <v>-399.6111371</v>
      </c>
      <c r="AD19" s="46">
        <f t="shared" si="29"/>
        <v>-493.0436667</v>
      </c>
      <c r="AE19" s="46">
        <f t="shared" si="29"/>
        <v>-428.9654186</v>
      </c>
      <c r="AF19" s="46">
        <f t="shared" si="29"/>
        <v>-525.8776256</v>
      </c>
      <c r="AG19" s="46">
        <f t="shared" si="29"/>
        <v>-810.9313039</v>
      </c>
      <c r="AH19" s="46">
        <f t="shared" si="29"/>
        <v>-1084.065475</v>
      </c>
      <c r="AI19" s="46">
        <f t="shared" si="29"/>
        <v>-809.3786757</v>
      </c>
      <c r="AJ19" s="45"/>
      <c r="AK19" s="45">
        <f>SUMPRODUCT(E19:P19,item_vals!$A$2:$L$2)</f>
        <v>66.66666667</v>
      </c>
      <c r="AL19" s="45">
        <f t="shared" si="15"/>
        <v>1082.583333</v>
      </c>
      <c r="AN19" s="53">
        <v>3300.0</v>
      </c>
      <c r="AO19" s="37">
        <f t="shared" si="16"/>
        <v>41560</v>
      </c>
      <c r="AP19" s="54">
        <f>MAX(0,MIN(1,(data_raw_4_day!$F$13-AO19+AN19)/AN19))</f>
        <v>1</v>
      </c>
      <c r="AQ19" s="54">
        <f>MAX(0,MIN(1,(data_raw_4_day!$G$13-AO19+AN19)/AN19))</f>
        <v>1</v>
      </c>
      <c r="AR19" s="54">
        <f>MAX(0,MIN(1,(data_raw_4_day!$H$13-AO19+AN19)/AN19))</f>
        <v>1</v>
      </c>
      <c r="AS19" s="54">
        <f>MAX(0,MIN(1,(data_raw_4_day!$I$13-AO19+AN19)/AN19))</f>
        <v>1</v>
      </c>
      <c r="AT19" s="55"/>
    </row>
    <row r="20" ht="14.25" customHeight="1">
      <c r="A20" s="47">
        <v>17.0</v>
      </c>
      <c r="B20" s="48">
        <v>6500.0</v>
      </c>
      <c r="C20" s="49">
        <f t="shared" si="13"/>
        <v>48060</v>
      </c>
      <c r="D20" s="38" t="b">
        <f t="shared" si="2"/>
        <v>0</v>
      </c>
      <c r="E20" s="51"/>
      <c r="F20" s="51"/>
      <c r="G20" s="50"/>
      <c r="H20" s="51"/>
      <c r="I20" s="51"/>
      <c r="J20" s="50">
        <v>2.0</v>
      </c>
      <c r="K20" s="50"/>
      <c r="L20" s="51"/>
      <c r="M20" s="51"/>
      <c r="N20" s="51"/>
      <c r="O20" s="50"/>
      <c r="P20" s="51"/>
      <c r="R20" s="66">
        <f t="shared" si="3"/>
        <v>0.02460639478</v>
      </c>
      <c r="S20" s="46">
        <f t="shared" si="4"/>
        <v>362.104864</v>
      </c>
      <c r="T20" s="46">
        <f t="shared" si="5"/>
        <v>491.1942355</v>
      </c>
      <c r="U20" s="46">
        <f t="shared" si="6"/>
        <v>596.6417478</v>
      </c>
      <c r="V20" s="46">
        <f t="shared" si="7"/>
        <v>580.4619888</v>
      </c>
      <c r="W20" s="46">
        <f t="shared" si="8"/>
        <v>618.1582219</v>
      </c>
      <c r="X20" s="46">
        <f t="shared" si="9"/>
        <v>927.6658862</v>
      </c>
      <c r="Y20" s="46">
        <f t="shared" si="10"/>
        <v>1233.310144</v>
      </c>
      <c r="Z20" s="46">
        <f t="shared" si="11"/>
        <v>1073.76877</v>
      </c>
      <c r="AB20" s="46">
        <f t="shared" ref="AB20:AI20" si="30">sum($E$4:$E20)-S20</f>
        <v>-297.104864</v>
      </c>
      <c r="AC20" s="46">
        <f t="shared" si="30"/>
        <v>-426.1942355</v>
      </c>
      <c r="AD20" s="46">
        <f t="shared" si="30"/>
        <v>-531.6417478</v>
      </c>
      <c r="AE20" s="46">
        <f t="shared" si="30"/>
        <v>-515.4619888</v>
      </c>
      <c r="AF20" s="46">
        <f t="shared" si="30"/>
        <v>-553.1582219</v>
      </c>
      <c r="AG20" s="46">
        <f t="shared" si="30"/>
        <v>-862.6658862</v>
      </c>
      <c r="AH20" s="46">
        <f t="shared" si="30"/>
        <v>-1168.310144</v>
      </c>
      <c r="AI20" s="46">
        <f t="shared" si="30"/>
        <v>-1008.76877</v>
      </c>
      <c r="AJ20" s="45"/>
      <c r="AK20" s="45">
        <f>SUMPRODUCT(E20:P20,item_vals!$A$2:$L$2)</f>
        <v>100</v>
      </c>
      <c r="AL20" s="45">
        <f t="shared" si="15"/>
        <v>1182.583333</v>
      </c>
      <c r="AN20" s="53">
        <v>6500.0</v>
      </c>
      <c r="AO20" s="37">
        <f t="shared" si="16"/>
        <v>48060</v>
      </c>
      <c r="AP20" s="54">
        <f>MAX(0,MIN(1,(data_raw_4_day!$F$13-AO20+AN20)/AN20))</f>
        <v>1</v>
      </c>
      <c r="AQ20" s="54">
        <f>MAX(0,MIN(1,(data_raw_4_day!$G$13-AO20+AN20)/AN20))</f>
        <v>1</v>
      </c>
      <c r="AR20" s="54">
        <f>MAX(0,MIN(1,(data_raw_4_day!$H$13-AO20+AN20)/AN20))</f>
        <v>1</v>
      </c>
      <c r="AS20" s="54">
        <f>MAX(0,MIN(1,(data_raw_4_day!$I$13-AO20+AN20)/AN20))</f>
        <v>1</v>
      </c>
      <c r="AT20" s="55"/>
    </row>
    <row r="21" ht="14.25" customHeight="1">
      <c r="A21" s="47">
        <v>18.0</v>
      </c>
      <c r="B21" s="48">
        <v>19750.0</v>
      </c>
      <c r="C21" s="49">
        <f t="shared" si="13"/>
        <v>67810</v>
      </c>
      <c r="D21" s="38" t="b">
        <f t="shared" si="2"/>
        <v>1</v>
      </c>
      <c r="E21" s="50">
        <v>50.0</v>
      </c>
      <c r="F21" s="51"/>
      <c r="G21" s="51"/>
      <c r="H21" s="51"/>
      <c r="I21" s="50"/>
      <c r="J21" s="51"/>
      <c r="K21" s="50">
        <v>2.0</v>
      </c>
      <c r="L21" s="50"/>
      <c r="M21" s="50"/>
      <c r="N21" s="51"/>
      <c r="O21" s="51"/>
      <c r="P21" s="51"/>
      <c r="R21" s="66">
        <f t="shared" si="3"/>
        <v>0.02014329253</v>
      </c>
      <c r="S21" s="46">
        <f t="shared" si="4"/>
        <v>397.725389</v>
      </c>
      <c r="T21" s="46">
        <f t="shared" si="5"/>
        <v>554.1723701</v>
      </c>
      <c r="U21" s="46">
        <f t="shared" si="6"/>
        <v>688.0846305</v>
      </c>
      <c r="V21" s="46">
        <f t="shared" si="7"/>
        <v>785.3813915</v>
      </c>
      <c r="W21" s="46">
        <f t="shared" si="8"/>
        <v>682.7888018</v>
      </c>
      <c r="X21" s="46">
        <f t="shared" si="9"/>
        <v>1050.230511</v>
      </c>
      <c r="Y21" s="46">
        <f t="shared" si="10"/>
        <v>1432.894558</v>
      </c>
      <c r="Z21" s="46">
        <f t="shared" si="11"/>
        <v>1546.144713</v>
      </c>
      <c r="AB21" s="46">
        <f t="shared" ref="AB21:AI21" si="31">sum($E$4:$E21)-S21</f>
        <v>-282.725389</v>
      </c>
      <c r="AC21" s="46">
        <f t="shared" si="31"/>
        <v>-439.1723701</v>
      </c>
      <c r="AD21" s="46">
        <f t="shared" si="31"/>
        <v>-573.0846305</v>
      </c>
      <c r="AE21" s="46">
        <f t="shared" si="31"/>
        <v>-670.3813915</v>
      </c>
      <c r="AF21" s="46">
        <f t="shared" si="31"/>
        <v>-567.7888018</v>
      </c>
      <c r="AG21" s="46">
        <f t="shared" si="31"/>
        <v>-935.2305114</v>
      </c>
      <c r="AH21" s="46">
        <f t="shared" si="31"/>
        <v>-1317.894558</v>
      </c>
      <c r="AI21" s="46">
        <f t="shared" si="31"/>
        <v>-1431.144713</v>
      </c>
      <c r="AJ21" s="45"/>
      <c r="AK21" s="45">
        <f>SUMPRODUCT(E21:P21,item_vals!$A$2:$L$2)</f>
        <v>183.3333333</v>
      </c>
      <c r="AL21" s="45">
        <f t="shared" si="15"/>
        <v>1365.916667</v>
      </c>
      <c r="AN21" s="53">
        <v>19750.0</v>
      </c>
      <c r="AO21" s="37">
        <f t="shared" si="16"/>
        <v>67810</v>
      </c>
      <c r="AP21" s="54">
        <f>MAX(0,MIN(1,(data_raw_4_day!$F$13-AO21+AN21)/AN21))</f>
        <v>1</v>
      </c>
      <c r="AQ21" s="54">
        <f>MAX(0,MIN(1,(data_raw_4_day!$G$13-AO21+AN21)/AN21))</f>
        <v>1</v>
      </c>
      <c r="AR21" s="54">
        <f>MAX(0,MIN(1,(data_raw_4_day!$H$13-AO21+AN21)/AN21))</f>
        <v>1</v>
      </c>
      <c r="AS21" s="54">
        <f>MAX(0,MIN(1,(data_raw_4_day!$I$13-AO21+AN21)/AN21))</f>
        <v>1</v>
      </c>
      <c r="AT21" s="55"/>
    </row>
    <row r="22" ht="14.25" customHeight="1">
      <c r="A22" s="47">
        <v>19.0</v>
      </c>
      <c r="B22" s="48">
        <v>4200.0</v>
      </c>
      <c r="C22" s="49">
        <f t="shared" si="13"/>
        <v>72010</v>
      </c>
      <c r="D22" s="38" t="b">
        <f t="shared" si="2"/>
        <v>0</v>
      </c>
      <c r="E22" s="50"/>
      <c r="F22" s="51"/>
      <c r="G22" s="51"/>
      <c r="H22" s="51"/>
      <c r="I22" s="51"/>
      <c r="J22" s="51"/>
      <c r="K22" s="50"/>
      <c r="L22" s="50"/>
      <c r="M22" s="51">
        <v>60.0</v>
      </c>
      <c r="N22" s="51"/>
      <c r="O22" s="51"/>
      <c r="P22" s="51"/>
      <c r="R22" s="66">
        <f t="shared" si="3"/>
        <v>0.02070430033</v>
      </c>
      <c r="S22" s="46">
        <f t="shared" si="4"/>
        <v>403.9434519</v>
      </c>
      <c r="T22" s="46">
        <f t="shared" si="5"/>
        <v>565.166088</v>
      </c>
      <c r="U22" s="46">
        <f t="shared" si="6"/>
        <v>704.04727</v>
      </c>
      <c r="V22" s="46">
        <f t="shared" si="7"/>
        <v>821.1529513</v>
      </c>
      <c r="W22" s="46">
        <f t="shared" si="8"/>
        <v>694.0709773</v>
      </c>
      <c r="X22" s="46">
        <f t="shared" si="9"/>
        <v>1071.625888</v>
      </c>
      <c r="Y22" s="46">
        <f t="shared" si="10"/>
        <v>1467.734821</v>
      </c>
      <c r="Z22" s="46">
        <f t="shared" si="11"/>
        <v>1628.604569</v>
      </c>
      <c r="AB22" s="46">
        <f t="shared" ref="AB22:AI22" si="32">sum($E$4:$E22)-S22</f>
        <v>-288.9434519</v>
      </c>
      <c r="AC22" s="46">
        <f t="shared" si="32"/>
        <v>-450.166088</v>
      </c>
      <c r="AD22" s="46">
        <f t="shared" si="32"/>
        <v>-589.04727</v>
      </c>
      <c r="AE22" s="46">
        <f t="shared" si="32"/>
        <v>-706.1529513</v>
      </c>
      <c r="AF22" s="46">
        <f t="shared" si="32"/>
        <v>-579.0709773</v>
      </c>
      <c r="AG22" s="46">
        <f t="shared" si="32"/>
        <v>-956.6258881</v>
      </c>
      <c r="AH22" s="46">
        <f t="shared" si="32"/>
        <v>-1352.734821</v>
      </c>
      <c r="AI22" s="46">
        <f t="shared" si="32"/>
        <v>-1513.604569</v>
      </c>
      <c r="AJ22" s="45"/>
      <c r="AK22" s="45">
        <f>SUMPRODUCT(E22:P22,item_vals!$A$2:$L$2)</f>
        <v>125</v>
      </c>
      <c r="AL22" s="45">
        <f t="shared" si="15"/>
        <v>1490.916667</v>
      </c>
      <c r="AN22" s="53">
        <v>4200.0</v>
      </c>
      <c r="AO22" s="37">
        <f t="shared" si="16"/>
        <v>72010</v>
      </c>
      <c r="AP22" s="54">
        <f>MAX(0,MIN(1,(data_raw_4_day!$F$13-AO22+AN22)/AN22))</f>
        <v>1</v>
      </c>
      <c r="AQ22" s="54">
        <f>MAX(0,MIN(1,(data_raw_4_day!$G$13-AO22+AN22)/AN22))</f>
        <v>1</v>
      </c>
      <c r="AR22" s="54">
        <f>MAX(0,MIN(1,(data_raw_4_day!$H$13-AO22+AN22)/AN22))</f>
        <v>1</v>
      </c>
      <c r="AS22" s="54">
        <f>MAX(0,MIN(1,(data_raw_4_day!$I$13-AO22+AN22)/AN22))</f>
        <v>1</v>
      </c>
      <c r="AT22" s="55"/>
    </row>
    <row r="23" ht="14.25" customHeight="1">
      <c r="A23" s="47">
        <v>20.0</v>
      </c>
      <c r="B23" s="48">
        <v>8250.0</v>
      </c>
      <c r="C23" s="49">
        <f t="shared" si="13"/>
        <v>80260</v>
      </c>
      <c r="D23" s="38" t="b">
        <f t="shared" si="2"/>
        <v>0</v>
      </c>
      <c r="E23" s="50"/>
      <c r="F23" s="51"/>
      <c r="G23" s="51">
        <v>2.0</v>
      </c>
      <c r="H23" s="50"/>
      <c r="I23" s="51"/>
      <c r="J23" s="50"/>
      <c r="K23" s="50"/>
      <c r="L23" s="50"/>
      <c r="M23" s="50"/>
      <c r="N23" s="50"/>
      <c r="O23" s="51"/>
      <c r="P23" s="51"/>
      <c r="R23" s="66">
        <f t="shared" si="3"/>
        <v>0.01940671983</v>
      </c>
      <c r="S23" s="46">
        <f t="shared" si="4"/>
        <v>415.1664668</v>
      </c>
      <c r="T23" s="46">
        <f t="shared" si="5"/>
        <v>585.0087082</v>
      </c>
      <c r="U23" s="46">
        <f t="shared" si="6"/>
        <v>732.8583232</v>
      </c>
      <c r="V23" s="46">
        <f t="shared" si="7"/>
        <v>885.7172307</v>
      </c>
      <c r="W23" s="46">
        <f t="shared" si="8"/>
        <v>714.4342361</v>
      </c>
      <c r="X23" s="46">
        <f t="shared" si="9"/>
        <v>1110.242518</v>
      </c>
      <c r="Y23" s="46">
        <f t="shared" si="10"/>
        <v>1530.618197</v>
      </c>
      <c r="Z23" s="46">
        <f t="shared" si="11"/>
        <v>1777.436802</v>
      </c>
      <c r="AB23" s="46">
        <f t="shared" ref="AB23:AI23" si="33">sum($E$4:$E23)-S23</f>
        <v>-300.1664668</v>
      </c>
      <c r="AC23" s="46">
        <f t="shared" si="33"/>
        <v>-470.0087082</v>
      </c>
      <c r="AD23" s="46">
        <f t="shared" si="33"/>
        <v>-617.8583232</v>
      </c>
      <c r="AE23" s="46">
        <f t="shared" si="33"/>
        <v>-770.7172307</v>
      </c>
      <c r="AF23" s="46">
        <f t="shared" si="33"/>
        <v>-599.4342361</v>
      </c>
      <c r="AG23" s="46">
        <f t="shared" si="33"/>
        <v>-995.2425178</v>
      </c>
      <c r="AH23" s="46">
        <f t="shared" si="33"/>
        <v>-1415.618197</v>
      </c>
      <c r="AI23" s="46">
        <f t="shared" si="33"/>
        <v>-1662.436802</v>
      </c>
      <c r="AJ23" s="45"/>
      <c r="AK23" s="45">
        <f>SUMPRODUCT(E23:P23,item_vals!$A$2:$L$2)</f>
        <v>66.66666667</v>
      </c>
      <c r="AL23" s="45">
        <f t="shared" si="15"/>
        <v>1557.583333</v>
      </c>
      <c r="AN23" s="53">
        <v>8250.0</v>
      </c>
      <c r="AO23" s="37">
        <f t="shared" si="16"/>
        <v>80260</v>
      </c>
      <c r="AP23" s="54">
        <f>MAX(0,MIN(1,(data_raw_4_day!$F$13-AO23+AN23)/AN23))</f>
        <v>1</v>
      </c>
      <c r="AQ23" s="54">
        <f>MAX(0,MIN(1,(data_raw_4_day!$G$13-AO23+AN23)/AN23))</f>
        <v>1</v>
      </c>
      <c r="AR23" s="54">
        <f>MAX(0,MIN(1,(data_raw_4_day!$H$13-AO23+AN23)/AN23))</f>
        <v>1</v>
      </c>
      <c r="AS23" s="54">
        <f>MAX(0,MIN(1,(data_raw_4_day!$I$13-AO23+AN23)/AN23))</f>
        <v>1</v>
      </c>
      <c r="AT23" s="55"/>
    </row>
    <row r="24" ht="14.25" customHeight="1">
      <c r="A24" s="47">
        <v>21.0</v>
      </c>
      <c r="B24" s="48">
        <v>22000.0</v>
      </c>
      <c r="C24" s="49">
        <f t="shared" si="13"/>
        <v>102260</v>
      </c>
      <c r="D24" s="38" t="b">
        <f t="shared" si="2"/>
        <v>1</v>
      </c>
      <c r="E24" s="50"/>
      <c r="F24" s="51"/>
      <c r="G24" s="51"/>
      <c r="H24" s="51"/>
      <c r="I24" s="51"/>
      <c r="J24" s="50">
        <v>2.0</v>
      </c>
      <c r="K24" s="50"/>
      <c r="L24" s="50">
        <v>2.0</v>
      </c>
      <c r="M24" s="51"/>
      <c r="N24" s="50"/>
      <c r="O24" s="50"/>
      <c r="P24" s="51"/>
      <c r="R24" s="66">
        <f t="shared" si="3"/>
        <v>0.01946916357</v>
      </c>
      <c r="S24" s="46">
        <f t="shared" si="4"/>
        <v>440.2317872</v>
      </c>
      <c r="T24" s="46">
        <f t="shared" si="5"/>
        <v>629.324931</v>
      </c>
      <c r="U24" s="46">
        <f t="shared" si="6"/>
        <v>797.2045155</v>
      </c>
      <c r="V24" s="46">
        <f t="shared" si="7"/>
        <v>1029.914164</v>
      </c>
      <c r="W24" s="46">
        <f t="shared" si="8"/>
        <v>759.9132455</v>
      </c>
      <c r="X24" s="46">
        <f t="shared" si="9"/>
        <v>1196.488344</v>
      </c>
      <c r="Y24" s="46">
        <f t="shared" si="10"/>
        <v>1671.061025</v>
      </c>
      <c r="Z24" s="46">
        <f t="shared" si="11"/>
        <v>2109.836574</v>
      </c>
      <c r="AB24" s="46">
        <f t="shared" ref="AB24:AI24" si="34">sum($E$4:$E24)-S24</f>
        <v>-325.2317872</v>
      </c>
      <c r="AC24" s="46">
        <f t="shared" si="34"/>
        <v>-514.324931</v>
      </c>
      <c r="AD24" s="46">
        <f t="shared" si="34"/>
        <v>-682.2045155</v>
      </c>
      <c r="AE24" s="46">
        <f t="shared" si="34"/>
        <v>-914.9141645</v>
      </c>
      <c r="AF24" s="46">
        <f t="shared" si="34"/>
        <v>-644.9132455</v>
      </c>
      <c r="AG24" s="46">
        <f t="shared" si="34"/>
        <v>-1081.488344</v>
      </c>
      <c r="AH24" s="46">
        <f t="shared" si="34"/>
        <v>-1556.061025</v>
      </c>
      <c r="AI24" s="46">
        <f t="shared" si="34"/>
        <v>-1994.836574</v>
      </c>
      <c r="AJ24" s="45"/>
      <c r="AK24" s="45">
        <f>SUMPRODUCT(E24:P24,item_vals!$A$2:$L$2)</f>
        <v>433.3333333</v>
      </c>
      <c r="AL24" s="45">
        <f t="shared" si="15"/>
        <v>1990.916667</v>
      </c>
      <c r="AN24" s="53">
        <v>22000.0</v>
      </c>
      <c r="AO24" s="37">
        <f t="shared" si="16"/>
        <v>102260</v>
      </c>
      <c r="AP24" s="54">
        <f>MAX(0,MIN(1,(data_raw_4_day!$F$13-AO24+AN24)/AN24))</f>
        <v>0.5507272727</v>
      </c>
      <c r="AQ24" s="54">
        <f>MAX(0,MIN(1,(data_raw_4_day!$G$13-AO24+AN24)/AN24))</f>
        <v>1</v>
      </c>
      <c r="AR24" s="54">
        <f>MAX(0,MIN(1,(data_raw_4_day!$H$13-AO24+AN24)/AN24))</f>
        <v>1</v>
      </c>
      <c r="AS24" s="54">
        <f>MAX(0,MIN(1,(data_raw_4_day!$I$13-AO24+AN24)/AN24))</f>
        <v>1</v>
      </c>
      <c r="AT24" s="55"/>
    </row>
    <row r="25" ht="14.25" customHeight="1">
      <c r="A25" s="47">
        <v>22.0</v>
      </c>
      <c r="B25" s="48">
        <v>6000.0</v>
      </c>
      <c r="C25" s="49">
        <f t="shared" si="13"/>
        <v>108260</v>
      </c>
      <c r="D25" s="38" t="b">
        <f t="shared" si="2"/>
        <v>0</v>
      </c>
      <c r="E25" s="50"/>
      <c r="F25" s="51"/>
      <c r="G25" s="51"/>
      <c r="H25" s="50"/>
      <c r="I25" s="50"/>
      <c r="J25" s="51"/>
      <c r="K25" s="51"/>
      <c r="L25" s="51"/>
      <c r="M25" s="50"/>
      <c r="N25" s="50"/>
      <c r="O25" s="50">
        <v>10.0</v>
      </c>
      <c r="P25" s="51"/>
      <c r="R25" s="66">
        <f t="shared" si="3"/>
        <v>0.01909369419</v>
      </c>
      <c r="S25" s="46">
        <f t="shared" si="4"/>
        <v>446.1313519</v>
      </c>
      <c r="T25" s="46">
        <f t="shared" si="5"/>
        <v>639.7555347</v>
      </c>
      <c r="U25" s="46">
        <f t="shared" si="6"/>
        <v>812.3495254</v>
      </c>
      <c r="V25" s="46">
        <f t="shared" si="7"/>
        <v>1063.853453</v>
      </c>
      <c r="W25" s="46">
        <f t="shared" si="8"/>
        <v>770.6175316</v>
      </c>
      <c r="X25" s="46">
        <f t="shared" si="9"/>
        <v>1216.787818</v>
      </c>
      <c r="Y25" s="46">
        <f t="shared" si="10"/>
        <v>1704.116719</v>
      </c>
      <c r="Z25" s="46">
        <f t="shared" si="11"/>
        <v>2188.072716</v>
      </c>
      <c r="AB25" s="46">
        <f t="shared" ref="AB25:AI25" si="35">sum($E$4:$E25)-S25</f>
        <v>-331.1313519</v>
      </c>
      <c r="AC25" s="46">
        <f t="shared" si="35"/>
        <v>-524.7555347</v>
      </c>
      <c r="AD25" s="46">
        <f t="shared" si="35"/>
        <v>-697.3495254</v>
      </c>
      <c r="AE25" s="46">
        <f t="shared" si="35"/>
        <v>-948.853453</v>
      </c>
      <c r="AF25" s="46">
        <f t="shared" si="35"/>
        <v>-655.6175316</v>
      </c>
      <c r="AG25" s="46">
        <f t="shared" si="35"/>
        <v>-1101.787818</v>
      </c>
      <c r="AH25" s="46">
        <f t="shared" si="35"/>
        <v>-1589.116719</v>
      </c>
      <c r="AI25" s="46">
        <f t="shared" si="35"/>
        <v>-2073.072716</v>
      </c>
      <c r="AJ25" s="45"/>
      <c r="AK25" s="45">
        <f>SUMPRODUCT(E25:P25,item_vals!$A$2:$L$2)</f>
        <v>76.16666667</v>
      </c>
      <c r="AL25" s="45">
        <f t="shared" si="15"/>
        <v>2067.083333</v>
      </c>
      <c r="AN25" s="53">
        <v>6000.0</v>
      </c>
      <c r="AO25" s="37">
        <f t="shared" si="16"/>
        <v>108260</v>
      </c>
      <c r="AP25" s="54">
        <f>MAX(0,MIN(1,(data_raw_4_day!$F$13-AO25+AN25)/AN25))</f>
        <v>0</v>
      </c>
      <c r="AQ25" s="54">
        <f>MAX(0,MIN(1,(data_raw_4_day!$G$13-AO25+AN25)/AN25))</f>
        <v>1</v>
      </c>
      <c r="AR25" s="54">
        <f>MAX(0,MIN(1,(data_raw_4_day!$H$13-AO25+AN25)/AN25))</f>
        <v>1</v>
      </c>
      <c r="AS25" s="54">
        <f>MAX(0,MIN(1,(data_raw_4_day!$I$13-AO25+AN25)/AN25))</f>
        <v>1</v>
      </c>
      <c r="AT25" s="55"/>
    </row>
    <row r="26" ht="14.25" customHeight="1">
      <c r="A26" s="47">
        <v>23.0</v>
      </c>
      <c r="B26" s="48">
        <v>10500.0</v>
      </c>
      <c r="C26" s="49">
        <f t="shared" si="13"/>
        <v>118760</v>
      </c>
      <c r="D26" s="38" t="b">
        <f t="shared" si="2"/>
        <v>0</v>
      </c>
      <c r="E26" s="51"/>
      <c r="F26" s="51"/>
      <c r="G26" s="50"/>
      <c r="H26" s="50">
        <v>2.0</v>
      </c>
      <c r="I26" s="50"/>
      <c r="J26" s="51"/>
      <c r="K26" s="50"/>
      <c r="L26" s="51"/>
      <c r="M26" s="51"/>
      <c r="N26" s="51"/>
      <c r="O26" s="51"/>
      <c r="P26" s="51"/>
      <c r="R26" s="66">
        <f t="shared" si="3"/>
        <v>0.01824758617</v>
      </c>
      <c r="S26" s="46">
        <f t="shared" si="4"/>
        <v>455.7094568</v>
      </c>
      <c r="T26" s="46">
        <f t="shared" si="5"/>
        <v>656.6899057</v>
      </c>
      <c r="U26" s="46">
        <f t="shared" si="6"/>
        <v>836.937864</v>
      </c>
      <c r="V26" s="46">
        <f t="shared" si="7"/>
        <v>1118.954818</v>
      </c>
      <c r="W26" s="46">
        <f t="shared" si="8"/>
        <v>787.9962333</v>
      </c>
      <c r="X26" s="46">
        <f t="shared" si="9"/>
        <v>1249.744571</v>
      </c>
      <c r="Y26" s="46">
        <f t="shared" si="10"/>
        <v>1757.783544</v>
      </c>
      <c r="Z26" s="46">
        <f t="shared" si="11"/>
        <v>2315.091236</v>
      </c>
      <c r="AB26" s="46">
        <f t="shared" ref="AB26:AI26" si="36">sum($E$4:$E26)-S26</f>
        <v>-340.7094568</v>
      </c>
      <c r="AC26" s="46">
        <f t="shared" si="36"/>
        <v>-541.6899057</v>
      </c>
      <c r="AD26" s="46">
        <f t="shared" si="36"/>
        <v>-721.937864</v>
      </c>
      <c r="AE26" s="46">
        <f t="shared" si="36"/>
        <v>-1003.954818</v>
      </c>
      <c r="AF26" s="46">
        <f t="shared" si="36"/>
        <v>-672.9962333</v>
      </c>
      <c r="AG26" s="46">
        <f t="shared" si="36"/>
        <v>-1134.744571</v>
      </c>
      <c r="AH26" s="46">
        <f t="shared" si="36"/>
        <v>-1642.783544</v>
      </c>
      <c r="AI26" s="46">
        <f t="shared" si="36"/>
        <v>-2200.091236</v>
      </c>
      <c r="AJ26" s="45"/>
      <c r="AK26" s="45">
        <f>SUMPRODUCT(E26:P26,item_vals!$A$2:$L$2)</f>
        <v>100</v>
      </c>
      <c r="AL26" s="45">
        <f t="shared" si="15"/>
        <v>2167.083333</v>
      </c>
      <c r="AN26" s="53">
        <v>10500.0</v>
      </c>
      <c r="AO26" s="37">
        <f t="shared" si="16"/>
        <v>118760</v>
      </c>
      <c r="AP26" s="54">
        <f>MAX(0,MIN(1,(data_raw_4_day!$F$13-AO26+AN26)/AN26))</f>
        <v>0</v>
      </c>
      <c r="AQ26" s="54">
        <f>MAX(0,MIN(1,(data_raw_4_day!$G$13-AO26+AN26)/AN26))</f>
        <v>1</v>
      </c>
      <c r="AR26" s="54">
        <f>MAX(0,MIN(1,(data_raw_4_day!$H$13-AO26+AN26)/AN26))</f>
        <v>1</v>
      </c>
      <c r="AS26" s="54">
        <f>MAX(0,MIN(1,(data_raw_4_day!$I$13-AO26+AN26)/AN26))</f>
        <v>1</v>
      </c>
      <c r="AT26" s="55"/>
    </row>
    <row r="27" ht="14.25" customHeight="1">
      <c r="A27" s="47">
        <v>24.0</v>
      </c>
      <c r="B27" s="48">
        <v>33000.0</v>
      </c>
      <c r="C27" s="49">
        <f t="shared" si="13"/>
        <v>151760</v>
      </c>
      <c r="D27" s="38" t="b">
        <f t="shared" si="2"/>
        <v>1</v>
      </c>
      <c r="E27" s="50">
        <v>100.0</v>
      </c>
      <c r="F27" s="51"/>
      <c r="G27" s="51"/>
      <c r="H27" s="51"/>
      <c r="I27" s="50"/>
      <c r="J27" s="50">
        <v>2.0</v>
      </c>
      <c r="K27" s="50">
        <v>2.0</v>
      </c>
      <c r="L27" s="50">
        <v>2.0</v>
      </c>
      <c r="M27" s="51"/>
      <c r="N27" s="51"/>
      <c r="O27" s="51"/>
      <c r="P27" s="50"/>
      <c r="R27" s="66">
        <f t="shared" si="3"/>
        <v>0.01867257512</v>
      </c>
      <c r="S27" s="46">
        <f t="shared" si="4"/>
        <v>481.0798534</v>
      </c>
      <c r="T27" s="46">
        <f t="shared" si="5"/>
        <v>701.5455122</v>
      </c>
      <c r="U27" s="46">
        <f t="shared" si="6"/>
        <v>902.0672298</v>
      </c>
      <c r="V27" s="46">
        <f t="shared" si="7"/>
        <v>1264.906808</v>
      </c>
      <c r="W27" s="46">
        <f t="shared" si="8"/>
        <v>834.0287791</v>
      </c>
      <c r="X27" s="46">
        <f t="shared" si="9"/>
        <v>1337.040117</v>
      </c>
      <c r="Y27" s="46">
        <f t="shared" si="10"/>
        <v>1899.935737</v>
      </c>
      <c r="Z27" s="46">
        <f t="shared" si="11"/>
        <v>2651.536728</v>
      </c>
      <c r="AB27" s="46">
        <f t="shared" ref="AB27:AI27" si="37">sum($E$4:$E27)-S27</f>
        <v>-266.0798534</v>
      </c>
      <c r="AC27" s="46">
        <f t="shared" si="37"/>
        <v>-486.5455122</v>
      </c>
      <c r="AD27" s="46">
        <f t="shared" si="37"/>
        <v>-687.0672298</v>
      </c>
      <c r="AE27" s="46">
        <f t="shared" si="37"/>
        <v>-1049.906808</v>
      </c>
      <c r="AF27" s="46">
        <f t="shared" si="37"/>
        <v>-619.0287791</v>
      </c>
      <c r="AG27" s="46">
        <f t="shared" si="37"/>
        <v>-1122.040117</v>
      </c>
      <c r="AH27" s="46">
        <f t="shared" si="37"/>
        <v>-1684.935737</v>
      </c>
      <c r="AI27" s="46">
        <f t="shared" si="37"/>
        <v>-2436.536728</v>
      </c>
      <c r="AJ27" s="45"/>
      <c r="AK27" s="45">
        <f>SUMPRODUCT(E27:P27,item_vals!$A$2:$L$2)</f>
        <v>666.6666667</v>
      </c>
      <c r="AL27" s="45">
        <f t="shared" si="15"/>
        <v>2833.75</v>
      </c>
      <c r="AN27" s="53">
        <v>33000.0</v>
      </c>
      <c r="AO27" s="37">
        <f t="shared" si="16"/>
        <v>151760</v>
      </c>
      <c r="AP27" s="54">
        <f>MAX(0,MIN(1,(data_raw_4_day!$F$13-AO27+AN27)/AN27))</f>
        <v>0</v>
      </c>
      <c r="AQ27" s="54">
        <f>MAX(0,MIN(1,(data_raw_4_day!$G$13-AO27+AN27)/AN27))</f>
        <v>1</v>
      </c>
      <c r="AR27" s="54">
        <f>MAX(0,MIN(1,(data_raw_4_day!$H$13-AO27+AN27)/AN27))</f>
        <v>1</v>
      </c>
      <c r="AS27" s="54">
        <f>MAX(0,MIN(1,(data_raw_4_day!$I$13-AO27+AN27)/AN27))</f>
        <v>1</v>
      </c>
      <c r="AT27" s="55"/>
    </row>
    <row r="28" ht="14.25" customHeight="1">
      <c r="A28" s="47">
        <v>25.0</v>
      </c>
      <c r="B28" s="48">
        <v>8750.0</v>
      </c>
      <c r="C28" s="49">
        <f t="shared" si="13"/>
        <v>160510</v>
      </c>
      <c r="D28" s="38" t="b">
        <f t="shared" si="2"/>
        <v>0</v>
      </c>
      <c r="E28" s="50"/>
      <c r="F28" s="51"/>
      <c r="G28" s="51"/>
      <c r="H28" s="51"/>
      <c r="I28" s="50"/>
      <c r="J28" s="50"/>
      <c r="K28" s="51"/>
      <c r="L28" s="51"/>
      <c r="M28" s="50">
        <v>60.0</v>
      </c>
      <c r="N28" s="51"/>
      <c r="O28" s="51"/>
      <c r="P28" s="50"/>
      <c r="R28" s="66">
        <f t="shared" si="3"/>
        <v>0.01843343094</v>
      </c>
      <c r="S28" s="46">
        <f t="shared" si="4"/>
        <v>486.8799595</v>
      </c>
      <c r="T28" s="46">
        <f t="shared" si="5"/>
        <v>711.8002701</v>
      </c>
      <c r="U28" s="46">
        <f t="shared" si="6"/>
        <v>916.9569155</v>
      </c>
      <c r="V28" s="46">
        <f t="shared" si="7"/>
        <v>1298.273927</v>
      </c>
      <c r="W28" s="46">
        <f t="shared" si="8"/>
        <v>844.5526055</v>
      </c>
      <c r="X28" s="46">
        <f t="shared" si="9"/>
        <v>1356.99737</v>
      </c>
      <c r="Y28" s="46">
        <f t="shared" si="10"/>
        <v>1932.434157</v>
      </c>
      <c r="Z28" s="46">
        <f t="shared" si="11"/>
        <v>2728.453915</v>
      </c>
      <c r="AB28" s="46">
        <f t="shared" ref="AB28:AI28" si="38">sum($E$4:$E28)-S28</f>
        <v>-271.8799595</v>
      </c>
      <c r="AC28" s="46">
        <f t="shared" si="38"/>
        <v>-496.8002701</v>
      </c>
      <c r="AD28" s="46">
        <f t="shared" si="38"/>
        <v>-701.9569155</v>
      </c>
      <c r="AE28" s="46">
        <f t="shared" si="38"/>
        <v>-1083.273927</v>
      </c>
      <c r="AF28" s="46">
        <f t="shared" si="38"/>
        <v>-629.5526055</v>
      </c>
      <c r="AG28" s="46">
        <f t="shared" si="38"/>
        <v>-1141.99737</v>
      </c>
      <c r="AH28" s="46">
        <f t="shared" si="38"/>
        <v>-1717.434157</v>
      </c>
      <c r="AI28" s="46">
        <f t="shared" si="38"/>
        <v>-2513.453915</v>
      </c>
      <c r="AJ28" s="45"/>
      <c r="AK28" s="45">
        <f>SUMPRODUCT(E28:P28,item_vals!$A$2:$L$2)</f>
        <v>125</v>
      </c>
      <c r="AL28" s="45">
        <f t="shared" si="15"/>
        <v>2958.75</v>
      </c>
      <c r="AN28" s="53">
        <v>8750.0</v>
      </c>
      <c r="AO28" s="37">
        <f t="shared" si="16"/>
        <v>160510</v>
      </c>
      <c r="AP28" s="54">
        <f>MAX(0,MIN(1,(data_raw_4_day!$F$13-AO28+AN28)/AN28))</f>
        <v>0</v>
      </c>
      <c r="AQ28" s="54">
        <f>MAX(0,MIN(1,(data_raw_4_day!$G$13-AO28+AN28)/AN28))</f>
        <v>0.6301714286</v>
      </c>
      <c r="AR28" s="54">
        <f>MAX(0,MIN(1,(data_raw_4_day!$H$13-AO28+AN28)/AN28))</f>
        <v>1</v>
      </c>
      <c r="AS28" s="54">
        <f>MAX(0,MIN(1,(data_raw_4_day!$I$13-AO28+AN28)/AN28))</f>
        <v>1</v>
      </c>
      <c r="AT28" s="55"/>
    </row>
    <row r="29" ht="14.25" customHeight="1">
      <c r="A29" s="47">
        <v>26.0</v>
      </c>
      <c r="B29" s="48">
        <v>14250.0</v>
      </c>
      <c r="C29" s="49">
        <f t="shared" si="13"/>
        <v>174760</v>
      </c>
      <c r="D29" s="38" t="b">
        <f t="shared" si="2"/>
        <v>0</v>
      </c>
      <c r="E29" s="51"/>
      <c r="F29" s="51"/>
      <c r="G29" s="51"/>
      <c r="H29" s="51"/>
      <c r="I29" s="50">
        <v>2.0</v>
      </c>
      <c r="J29" s="51"/>
      <c r="K29" s="50"/>
      <c r="L29" s="50"/>
      <c r="M29" s="50"/>
      <c r="N29" s="50"/>
      <c r="O29" s="51"/>
      <c r="P29" s="51"/>
      <c r="R29" s="66">
        <f t="shared" si="3"/>
        <v>0.01769331273</v>
      </c>
      <c r="S29" s="46">
        <f t="shared" si="4"/>
        <v>495.6808443</v>
      </c>
      <c r="T29" s="46">
        <f t="shared" si="5"/>
        <v>727.3604931</v>
      </c>
      <c r="U29" s="46">
        <f t="shared" si="6"/>
        <v>939.5500211</v>
      </c>
      <c r="V29" s="46">
        <f t="shared" si="7"/>
        <v>1348.904064</v>
      </c>
      <c r="W29" s="46">
        <f t="shared" si="8"/>
        <v>860.5211038</v>
      </c>
      <c r="X29" s="46">
        <f t="shared" si="9"/>
        <v>1387.27983</v>
      </c>
      <c r="Y29" s="46">
        <f t="shared" si="10"/>
        <v>1981.74616</v>
      </c>
      <c r="Z29" s="46">
        <f t="shared" si="11"/>
        <v>2845.165454</v>
      </c>
      <c r="AB29" s="46">
        <f t="shared" ref="AB29:AI29" si="39">sum($E$4:$E29)-S29</f>
        <v>-280.6808443</v>
      </c>
      <c r="AC29" s="46">
        <f t="shared" si="39"/>
        <v>-512.3604931</v>
      </c>
      <c r="AD29" s="46">
        <f t="shared" si="39"/>
        <v>-724.5500211</v>
      </c>
      <c r="AE29" s="46">
        <f t="shared" si="39"/>
        <v>-1133.904064</v>
      </c>
      <c r="AF29" s="46">
        <f t="shared" si="39"/>
        <v>-645.5211038</v>
      </c>
      <c r="AG29" s="46">
        <f t="shared" si="39"/>
        <v>-1172.27983</v>
      </c>
      <c r="AH29" s="46">
        <f t="shared" si="39"/>
        <v>-1766.74616</v>
      </c>
      <c r="AI29" s="46">
        <f t="shared" si="39"/>
        <v>-2630.165454</v>
      </c>
      <c r="AJ29" s="45"/>
      <c r="AK29" s="45">
        <f>SUMPRODUCT(E29:P29,item_vals!$A$2:$L$2)</f>
        <v>133.3333333</v>
      </c>
      <c r="AL29" s="45">
        <f t="shared" si="15"/>
        <v>3092.083333</v>
      </c>
      <c r="AN29" s="53">
        <v>14250.0</v>
      </c>
      <c r="AO29" s="37">
        <f t="shared" si="16"/>
        <v>174760</v>
      </c>
      <c r="AP29" s="54">
        <f>MAX(0,MIN(1,(data_raw_4_day!$F$13-AO29+AN29)/AN29))</f>
        <v>0</v>
      </c>
      <c r="AQ29" s="54">
        <f>MAX(0,MIN(1,(data_raw_4_day!$G$13-AO29+AN29)/AN29))</f>
        <v>0</v>
      </c>
      <c r="AR29" s="54">
        <f>MAX(0,MIN(1,(data_raw_4_day!$H$13-AO29+AN29)/AN29))</f>
        <v>1</v>
      </c>
      <c r="AS29" s="54">
        <f>MAX(0,MIN(1,(data_raw_4_day!$I$13-AO29+AN29)/AN29))</f>
        <v>1</v>
      </c>
      <c r="AT29" s="55"/>
    </row>
    <row r="30" ht="14.25" customHeight="1">
      <c r="A30" s="47">
        <v>27.0</v>
      </c>
      <c r="B30" s="48">
        <v>44000.0</v>
      </c>
      <c r="C30" s="49">
        <f t="shared" si="13"/>
        <v>218760</v>
      </c>
      <c r="D30" s="38" t="b">
        <f t="shared" si="2"/>
        <v>1</v>
      </c>
      <c r="E30" s="50">
        <v>250.0</v>
      </c>
      <c r="F30" s="51"/>
      <c r="G30" s="51"/>
      <c r="H30" s="51"/>
      <c r="I30" s="51"/>
      <c r="J30" s="50">
        <v>3.0</v>
      </c>
      <c r="K30" s="50">
        <v>3.0</v>
      </c>
      <c r="L30" s="50">
        <v>3.0</v>
      </c>
      <c r="M30" s="50"/>
      <c r="N30" s="50"/>
      <c r="O30" s="51"/>
      <c r="P30" s="50">
        <v>20.0</v>
      </c>
      <c r="R30" s="66">
        <f t="shared" si="3"/>
        <v>0.01987452002</v>
      </c>
      <c r="S30" s="46">
        <f t="shared" si="4"/>
        <v>518.9162366</v>
      </c>
      <c r="T30" s="46">
        <f t="shared" si="5"/>
        <v>768.4413494</v>
      </c>
      <c r="U30" s="46">
        <f t="shared" si="6"/>
        <v>999.1985315</v>
      </c>
      <c r="V30" s="46">
        <f t="shared" si="7"/>
        <v>1482.573703</v>
      </c>
      <c r="W30" s="46">
        <f t="shared" si="8"/>
        <v>902.6798559</v>
      </c>
      <c r="X30" s="46">
        <f t="shared" si="9"/>
        <v>1467.229162</v>
      </c>
      <c r="Y30" s="46">
        <f t="shared" si="10"/>
        <v>2111.935767</v>
      </c>
      <c r="Z30" s="46">
        <f t="shared" si="11"/>
        <v>3153.297925</v>
      </c>
      <c r="AB30" s="46">
        <f t="shared" ref="AB30:AI30" si="40">sum($E$4:$E30)-S30</f>
        <v>-53.91623664</v>
      </c>
      <c r="AC30" s="46">
        <f t="shared" si="40"/>
        <v>-303.4413494</v>
      </c>
      <c r="AD30" s="46">
        <f t="shared" si="40"/>
        <v>-534.1985315</v>
      </c>
      <c r="AE30" s="46">
        <f t="shared" si="40"/>
        <v>-1017.573703</v>
      </c>
      <c r="AF30" s="46">
        <f t="shared" si="40"/>
        <v>-437.6798559</v>
      </c>
      <c r="AG30" s="46">
        <f t="shared" si="40"/>
        <v>-1002.229162</v>
      </c>
      <c r="AH30" s="46">
        <f t="shared" si="40"/>
        <v>-1646.935767</v>
      </c>
      <c r="AI30" s="46">
        <f t="shared" si="40"/>
        <v>-2688.297925</v>
      </c>
      <c r="AJ30" s="45"/>
      <c r="AK30" s="45">
        <f>SUMPRODUCT(E30:P30,item_vals!$A$2:$L$2)</f>
        <v>1255.666667</v>
      </c>
      <c r="AL30" s="45">
        <f t="shared" si="15"/>
        <v>4347.75</v>
      </c>
      <c r="AN30" s="53">
        <v>44000.0</v>
      </c>
      <c r="AO30" s="37">
        <f t="shared" si="16"/>
        <v>218760</v>
      </c>
      <c r="AP30" s="54">
        <f>MAX(0,MIN(1,(data_raw_4_day!$F$13-AO30+AN30)/AN30))</f>
        <v>0</v>
      </c>
      <c r="AQ30" s="54">
        <f>MAX(0,MIN(1,(data_raw_4_day!$G$13-AO30+AN30)/AN30))</f>
        <v>0</v>
      </c>
      <c r="AR30" s="54">
        <f>MAX(0,MIN(1,(data_raw_4_day!$H$13-AO30+AN30)/AN30))</f>
        <v>1</v>
      </c>
      <c r="AS30" s="54">
        <f>MAX(0,MIN(1,(data_raw_4_day!$I$13-AO30+AN30)/AN30))</f>
        <v>1</v>
      </c>
      <c r="AT30" s="55"/>
    </row>
    <row r="31" ht="14.25" customHeight="1">
      <c r="A31" s="47">
        <v>28.0</v>
      </c>
      <c r="B31" s="48">
        <v>16500.0</v>
      </c>
      <c r="C31" s="49">
        <f t="shared" si="13"/>
        <v>235260</v>
      </c>
      <c r="D31" s="38" t="b">
        <f t="shared" si="2"/>
        <v>0</v>
      </c>
      <c r="E31" s="51"/>
      <c r="F31" s="51"/>
      <c r="G31" s="50"/>
      <c r="H31" s="51"/>
      <c r="I31" s="51"/>
      <c r="J31" s="51"/>
      <c r="K31" s="51"/>
      <c r="L31" s="51"/>
      <c r="M31" s="50">
        <v>60.0</v>
      </c>
      <c r="N31" s="50"/>
      <c r="O31" s="51"/>
      <c r="P31" s="51"/>
      <c r="R31" s="66">
        <f t="shared" si="3"/>
        <v>0.01901194423</v>
      </c>
      <c r="S31" s="46">
        <f t="shared" si="4"/>
        <v>526.440166</v>
      </c>
      <c r="T31" s="46">
        <f t="shared" si="5"/>
        <v>781.7438776</v>
      </c>
      <c r="U31" s="46">
        <f t="shared" si="6"/>
        <v>1018.513513</v>
      </c>
      <c r="V31" s="46">
        <f t="shared" si="7"/>
        <v>1525.857712</v>
      </c>
      <c r="W31" s="46">
        <f t="shared" si="8"/>
        <v>916.3314211</v>
      </c>
      <c r="X31" s="46">
        <f t="shared" si="9"/>
        <v>1493.11782</v>
      </c>
      <c r="Y31" s="46">
        <f t="shared" si="10"/>
        <v>2154.092896</v>
      </c>
      <c r="Z31" s="46">
        <f t="shared" si="11"/>
        <v>3253.075322</v>
      </c>
      <c r="AB31" s="46">
        <f t="shared" ref="AB31:AI31" si="41">sum($E$4:$E31)-S31</f>
        <v>-61.44016603</v>
      </c>
      <c r="AC31" s="46">
        <f t="shared" si="41"/>
        <v>-316.7438776</v>
      </c>
      <c r="AD31" s="46">
        <f t="shared" si="41"/>
        <v>-553.5135134</v>
      </c>
      <c r="AE31" s="46">
        <f t="shared" si="41"/>
        <v>-1060.857712</v>
      </c>
      <c r="AF31" s="46">
        <f t="shared" si="41"/>
        <v>-451.3314211</v>
      </c>
      <c r="AG31" s="46">
        <f t="shared" si="41"/>
        <v>-1028.11782</v>
      </c>
      <c r="AH31" s="46">
        <f t="shared" si="41"/>
        <v>-1689.092896</v>
      </c>
      <c r="AI31" s="46">
        <f t="shared" si="41"/>
        <v>-2788.075322</v>
      </c>
      <c r="AJ31" s="45"/>
      <c r="AK31" s="45">
        <f>SUMPRODUCT(E31:P31,item_vals!$A$2:$L$2)</f>
        <v>125</v>
      </c>
      <c r="AL31" s="45">
        <f t="shared" si="15"/>
        <v>4472.75</v>
      </c>
      <c r="AN31" s="53">
        <v>16500.0</v>
      </c>
      <c r="AO31" s="37">
        <f t="shared" si="16"/>
        <v>235260</v>
      </c>
      <c r="AP31" s="54">
        <f>MAX(0,MIN(1,(data_raw_4_day!$F$13-AO31+AN31)/AN31))</f>
        <v>0</v>
      </c>
      <c r="AQ31" s="54">
        <f>MAX(0,MIN(1,(data_raw_4_day!$G$13-AO31+AN31)/AN31))</f>
        <v>0</v>
      </c>
      <c r="AR31" s="54">
        <f>MAX(0,MIN(1,(data_raw_4_day!$H$13-AO31+AN31)/AN31))</f>
        <v>1</v>
      </c>
      <c r="AS31" s="54">
        <f>MAX(0,MIN(1,(data_raw_4_day!$I$13-AO31+AN31)/AN31))</f>
        <v>1</v>
      </c>
      <c r="AT31" s="55"/>
    </row>
    <row r="32" ht="14.25" customHeight="1">
      <c r="A32" s="47">
        <v>29.0</v>
      </c>
      <c r="B32" s="48">
        <v>34000.0</v>
      </c>
      <c r="C32" s="49">
        <f t="shared" si="13"/>
        <v>269260</v>
      </c>
      <c r="D32" s="38" t="b">
        <f t="shared" si="2"/>
        <v>0</v>
      </c>
      <c r="E32" s="56"/>
      <c r="F32" s="51"/>
      <c r="G32" s="51"/>
      <c r="H32" s="51"/>
      <c r="I32" s="51">
        <v>3.0</v>
      </c>
      <c r="J32" s="50"/>
      <c r="K32" s="51"/>
      <c r="L32" s="51"/>
      <c r="M32" s="51"/>
      <c r="N32" s="51"/>
      <c r="O32" s="50"/>
      <c r="P32" s="50"/>
      <c r="R32" s="66">
        <f t="shared" si="3"/>
        <v>0.01735404442</v>
      </c>
      <c r="S32" s="46">
        <f t="shared" si="4"/>
        <v>540.407185</v>
      </c>
      <c r="T32" s="46">
        <f t="shared" si="5"/>
        <v>806.4379776</v>
      </c>
      <c r="U32" s="46">
        <f t="shared" si="6"/>
        <v>1054.36881</v>
      </c>
      <c r="V32" s="46">
        <f t="shared" si="7"/>
        <v>1606.207825</v>
      </c>
      <c r="W32" s="46">
        <f t="shared" si="8"/>
        <v>941.6734547</v>
      </c>
      <c r="X32" s="46">
        <f t="shared" si="9"/>
        <v>1541.176136</v>
      </c>
      <c r="Y32" s="46">
        <f t="shared" si="10"/>
        <v>2232.351128</v>
      </c>
      <c r="Z32" s="46">
        <f t="shared" si="11"/>
        <v>3438.29673</v>
      </c>
      <c r="AB32" s="46">
        <f t="shared" ref="AB32:AI32" si="42">sum($E$4:$E32)-S32</f>
        <v>-75.40718504</v>
      </c>
      <c r="AC32" s="46">
        <f t="shared" si="42"/>
        <v>-341.4379776</v>
      </c>
      <c r="AD32" s="46">
        <f t="shared" si="42"/>
        <v>-589.3688098</v>
      </c>
      <c r="AE32" s="46">
        <f t="shared" si="42"/>
        <v>-1141.207825</v>
      </c>
      <c r="AF32" s="46">
        <f t="shared" si="42"/>
        <v>-476.6734547</v>
      </c>
      <c r="AG32" s="46">
        <f t="shared" si="42"/>
        <v>-1076.176136</v>
      </c>
      <c r="AH32" s="46">
        <f t="shared" si="42"/>
        <v>-1767.351128</v>
      </c>
      <c r="AI32" s="46">
        <f t="shared" si="42"/>
        <v>-2973.29673</v>
      </c>
      <c r="AJ32" s="45"/>
      <c r="AK32" s="45">
        <f>SUMPRODUCT(E32:P32,item_vals!$A$2:$L$2)</f>
        <v>200</v>
      </c>
      <c r="AL32" s="45">
        <f t="shared" si="15"/>
        <v>4672.75</v>
      </c>
      <c r="AN32" s="53">
        <v>34000.0</v>
      </c>
      <c r="AO32" s="37">
        <f t="shared" si="16"/>
        <v>269260</v>
      </c>
      <c r="AP32" s="54">
        <f>MAX(0,MIN(1,(data_raw_4_day!$F$13-AO32+AN32)/AN32))</f>
        <v>0</v>
      </c>
      <c r="AQ32" s="54">
        <f>MAX(0,MIN(1,(data_raw_4_day!$G$13-AO32+AN32)/AN32))</f>
        <v>0</v>
      </c>
      <c r="AR32" s="54">
        <f>MAX(0,MIN(1,(data_raw_4_day!$H$13-AO32+AN32)/AN32))</f>
        <v>0.5737352941</v>
      </c>
      <c r="AS32" s="54">
        <f>MAX(0,MIN(1,(data_raw_4_day!$I$13-AO32+AN32)/AN32))</f>
        <v>1</v>
      </c>
      <c r="AT32" s="55"/>
    </row>
    <row r="33" ht="14.25" customHeight="1">
      <c r="A33" s="47">
        <v>30.0</v>
      </c>
      <c r="B33" s="48">
        <v>83000.0</v>
      </c>
      <c r="C33" s="49">
        <f t="shared" si="13"/>
        <v>352260</v>
      </c>
      <c r="D33" s="38" t="b">
        <f t="shared" si="2"/>
        <v>1</v>
      </c>
      <c r="E33" s="50">
        <v>1000.0</v>
      </c>
      <c r="F33" s="57"/>
      <c r="G33" s="51"/>
      <c r="H33" s="51"/>
      <c r="I33" s="51"/>
      <c r="J33" s="51">
        <v>4.0</v>
      </c>
      <c r="K33" s="50">
        <v>4.0</v>
      </c>
      <c r="L33" s="50">
        <v>4.0</v>
      </c>
      <c r="M33" s="50"/>
      <c r="N33" s="51"/>
      <c r="O33" s="51"/>
      <c r="P33" s="51"/>
      <c r="R33" s="66">
        <f t="shared" si="3"/>
        <v>0.01932119268</v>
      </c>
      <c r="S33" s="46">
        <f t="shared" si="4"/>
        <v>568.2087549</v>
      </c>
      <c r="T33" s="46">
        <f t="shared" si="5"/>
        <v>855.59197</v>
      </c>
      <c r="U33" s="46">
        <f t="shared" si="6"/>
        <v>1125.739338</v>
      </c>
      <c r="V33" s="46">
        <f t="shared" si="7"/>
        <v>1766.145982</v>
      </c>
      <c r="W33" s="46">
        <f t="shared" si="8"/>
        <v>992.1171691</v>
      </c>
      <c r="X33" s="46">
        <f t="shared" si="9"/>
        <v>1636.836966</v>
      </c>
      <c r="Y33" s="46">
        <f t="shared" si="10"/>
        <v>2388.125363</v>
      </c>
      <c r="Z33" s="46">
        <f t="shared" si="11"/>
        <v>3806.982842</v>
      </c>
      <c r="AB33" s="46">
        <f t="shared" ref="AB33:AI33" si="43">sum($E$4:$E33)-S33</f>
        <v>896.7912451</v>
      </c>
      <c r="AC33" s="46">
        <f t="shared" si="43"/>
        <v>609.40803</v>
      </c>
      <c r="AD33" s="46">
        <f t="shared" si="43"/>
        <v>339.2606615</v>
      </c>
      <c r="AE33" s="46">
        <f t="shared" si="43"/>
        <v>-301.1459817</v>
      </c>
      <c r="AF33" s="46">
        <f t="shared" si="43"/>
        <v>472.8828309</v>
      </c>
      <c r="AG33" s="46">
        <f t="shared" si="43"/>
        <v>-171.8369663</v>
      </c>
      <c r="AH33" s="46">
        <f t="shared" si="43"/>
        <v>-923.1253634</v>
      </c>
      <c r="AI33" s="46">
        <f t="shared" si="43"/>
        <v>-2341.982842</v>
      </c>
      <c r="AJ33" s="45"/>
      <c r="AK33" s="45">
        <f>SUMPRODUCT(E33:P33,item_vals!$A$2:$L$2)</f>
        <v>2133.333333</v>
      </c>
      <c r="AL33" s="45">
        <f t="shared" si="15"/>
        <v>6806.083333</v>
      </c>
      <c r="AN33" s="53">
        <v>83000.0</v>
      </c>
      <c r="AO33" s="37">
        <f t="shared" si="16"/>
        <v>352260</v>
      </c>
      <c r="AP33" s="54">
        <f>MAX(0,MIN(1,(data_raw_4_day!$F$13-AO33+AN33)/AN33))</f>
        <v>0</v>
      </c>
      <c r="AQ33" s="54">
        <f>MAX(0,MIN(1,(data_raw_4_day!$G$13-AO33+AN33)/AN33))</f>
        <v>0</v>
      </c>
      <c r="AR33" s="54">
        <f>MAX(0,MIN(1,(data_raw_4_day!$H$13-AO33+AN33)/AN33))</f>
        <v>0</v>
      </c>
      <c r="AS33" s="54">
        <f>MAX(0,MIN(1,(data_raw_4_day!$I$13-AO33+AN33)/AN33))</f>
        <v>0.9856746988</v>
      </c>
      <c r="AT33" s="55"/>
    </row>
    <row r="34" ht="14.25" customHeight="1"/>
    <row r="35" ht="14.25" customHeight="1">
      <c r="AK35" s="55">
        <f>SUM(AK2:AK33)/4</f>
        <v>1701.520833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>
      <c r="L50" s="58"/>
      <c r="M50" s="59"/>
      <c r="N50" s="59"/>
      <c r="O50" s="59"/>
      <c r="P50" s="59"/>
      <c r="S50" s="60"/>
      <c r="T50" s="60"/>
      <c r="U50" s="60"/>
      <c r="V50" s="60"/>
      <c r="W50" s="60"/>
      <c r="X50" s="60"/>
      <c r="Y50" s="60"/>
      <c r="Z50" s="60"/>
      <c r="AB50" s="60"/>
      <c r="AC50" s="60"/>
      <c r="AD50" s="60"/>
      <c r="AE50" s="60"/>
      <c r="AF50" s="60"/>
      <c r="AG50" s="60"/>
      <c r="AH50" s="60"/>
      <c r="AI50" s="60"/>
      <c r="AJ50" s="60"/>
      <c r="AK50" s="59"/>
      <c r="AL50" s="59"/>
      <c r="AN50" s="59"/>
      <c r="AO50" s="59"/>
      <c r="AP50" s="59"/>
      <c r="AQ50" s="59"/>
      <c r="AR50" s="59"/>
    </row>
    <row r="51" ht="14.25" customHeight="1">
      <c r="L51" s="61"/>
      <c r="M51" s="61"/>
      <c r="N51" s="58"/>
      <c r="O51" s="61"/>
      <c r="P51" s="61"/>
      <c r="S51" s="62"/>
      <c r="T51" s="62"/>
      <c r="U51" s="62"/>
      <c r="V51" s="62"/>
      <c r="W51" s="62"/>
      <c r="X51" s="62"/>
      <c r="Y51" s="62"/>
      <c r="Z51" s="62"/>
      <c r="AB51" s="62"/>
      <c r="AC51" s="62"/>
      <c r="AD51" s="62"/>
      <c r="AE51" s="62"/>
      <c r="AF51" s="62"/>
      <c r="AG51" s="62"/>
      <c r="AH51" s="62"/>
      <c r="AI51" s="62"/>
      <c r="AJ51" s="62"/>
      <c r="AK51" s="61"/>
      <c r="AL51" s="61"/>
      <c r="AN51" s="61"/>
      <c r="AO51" s="61"/>
      <c r="AP51" s="61"/>
      <c r="AQ51" s="61"/>
      <c r="AR51" s="61"/>
    </row>
    <row r="52" ht="14.25" customHeight="1">
      <c r="L52" s="59"/>
      <c r="M52" s="59"/>
      <c r="N52" s="59"/>
      <c r="O52" s="58"/>
      <c r="P52" s="59"/>
      <c r="S52" s="60"/>
      <c r="T52" s="60"/>
      <c r="U52" s="60"/>
      <c r="V52" s="60"/>
      <c r="W52" s="60"/>
      <c r="X52" s="60"/>
      <c r="Y52" s="60"/>
      <c r="Z52" s="60"/>
      <c r="AB52" s="60"/>
      <c r="AC52" s="60"/>
      <c r="AD52" s="60"/>
      <c r="AE52" s="60"/>
      <c r="AF52" s="60"/>
      <c r="AG52" s="60"/>
      <c r="AH52" s="60"/>
      <c r="AI52" s="60"/>
      <c r="AJ52" s="60"/>
      <c r="AK52" s="59"/>
      <c r="AL52" s="59"/>
      <c r="AN52" s="59"/>
      <c r="AO52" s="59"/>
      <c r="AP52" s="59"/>
      <c r="AQ52" s="59"/>
      <c r="AR52" s="59"/>
    </row>
    <row r="53" ht="14.25" customHeight="1">
      <c r="L53" s="61"/>
      <c r="M53" s="61"/>
      <c r="N53" s="61"/>
      <c r="O53" s="61"/>
      <c r="P53" s="61"/>
      <c r="S53" s="62"/>
      <c r="T53" s="62"/>
      <c r="U53" s="62"/>
      <c r="V53" s="62"/>
      <c r="W53" s="62"/>
      <c r="X53" s="62"/>
      <c r="Y53" s="62"/>
      <c r="Z53" s="62"/>
      <c r="AB53" s="62"/>
      <c r="AC53" s="62"/>
      <c r="AD53" s="62"/>
      <c r="AE53" s="62"/>
      <c r="AF53" s="62"/>
      <c r="AG53" s="62"/>
      <c r="AH53" s="62"/>
      <c r="AI53" s="62"/>
      <c r="AJ53" s="62"/>
      <c r="AK53" s="61"/>
      <c r="AL53" s="61"/>
      <c r="AN53" s="61"/>
      <c r="AO53" s="58"/>
      <c r="AP53" s="61"/>
      <c r="AQ53" s="61"/>
      <c r="AR53" s="61"/>
    </row>
    <row r="54" ht="14.25" customHeight="1">
      <c r="L54" s="59"/>
      <c r="M54" s="59"/>
      <c r="N54" s="59"/>
      <c r="O54" s="59"/>
      <c r="P54" s="59"/>
      <c r="S54" s="60"/>
      <c r="T54" s="60"/>
      <c r="U54" s="60"/>
      <c r="V54" s="60"/>
      <c r="W54" s="60"/>
      <c r="X54" s="60"/>
      <c r="Y54" s="60"/>
      <c r="Z54" s="60"/>
      <c r="AB54" s="60"/>
      <c r="AC54" s="60"/>
      <c r="AD54" s="60"/>
      <c r="AE54" s="60"/>
      <c r="AF54" s="60"/>
      <c r="AG54" s="60"/>
      <c r="AH54" s="60"/>
      <c r="AI54" s="60"/>
      <c r="AJ54" s="60"/>
      <c r="AK54" s="59"/>
      <c r="AL54" s="59"/>
      <c r="AN54" s="59"/>
      <c r="AO54" s="59"/>
      <c r="AP54" s="59"/>
      <c r="AQ54" s="59"/>
      <c r="AR54" s="59"/>
    </row>
    <row r="55" ht="14.25" customHeight="1">
      <c r="L55" s="61"/>
      <c r="M55" s="61"/>
      <c r="N55" s="58"/>
      <c r="O55" s="61"/>
      <c r="P55" s="61"/>
      <c r="S55" s="62"/>
      <c r="T55" s="62"/>
      <c r="U55" s="62"/>
      <c r="V55" s="62"/>
      <c r="W55" s="62"/>
      <c r="X55" s="62"/>
      <c r="Y55" s="62"/>
      <c r="Z55" s="62"/>
      <c r="AB55" s="62"/>
      <c r="AC55" s="62"/>
      <c r="AD55" s="62"/>
      <c r="AE55" s="62"/>
      <c r="AF55" s="62"/>
      <c r="AG55" s="62"/>
      <c r="AH55" s="62"/>
      <c r="AI55" s="62"/>
      <c r="AJ55" s="62"/>
      <c r="AK55" s="61"/>
      <c r="AL55" s="61"/>
      <c r="AN55" s="61"/>
      <c r="AO55" s="61"/>
      <c r="AP55" s="61"/>
      <c r="AQ55" s="61"/>
      <c r="AR55" s="61"/>
    </row>
    <row r="56" ht="14.25" customHeight="1">
      <c r="L56" s="58"/>
      <c r="M56" s="59"/>
      <c r="N56" s="59"/>
      <c r="O56" s="59"/>
      <c r="P56" s="59"/>
      <c r="S56" s="63"/>
      <c r="T56" s="63"/>
      <c r="U56" s="63"/>
      <c r="V56" s="63"/>
      <c r="W56" s="63"/>
      <c r="X56" s="63"/>
      <c r="Y56" s="63"/>
      <c r="Z56" s="63"/>
      <c r="AB56" s="63"/>
      <c r="AC56" s="63"/>
      <c r="AD56" s="63"/>
      <c r="AE56" s="63"/>
      <c r="AF56" s="63"/>
      <c r="AG56" s="63"/>
      <c r="AH56" s="63"/>
      <c r="AI56" s="63"/>
      <c r="AJ56" s="63"/>
      <c r="AK56" s="58"/>
      <c r="AL56" s="59"/>
      <c r="AN56" s="59"/>
      <c r="AO56" s="59"/>
      <c r="AP56" s="59"/>
      <c r="AQ56" s="59"/>
      <c r="AR56" s="59"/>
    </row>
    <row r="57" ht="14.25" customHeight="1">
      <c r="L57" s="61"/>
      <c r="M57" s="61"/>
      <c r="N57" s="61"/>
      <c r="O57" s="58"/>
      <c r="P57" s="61"/>
      <c r="S57" s="62"/>
      <c r="T57" s="62"/>
      <c r="U57" s="62"/>
      <c r="V57" s="62"/>
      <c r="W57" s="62"/>
      <c r="X57" s="62"/>
      <c r="Y57" s="62"/>
      <c r="Z57" s="62"/>
      <c r="AB57" s="62"/>
      <c r="AC57" s="62"/>
      <c r="AD57" s="62"/>
      <c r="AE57" s="62"/>
      <c r="AF57" s="62"/>
      <c r="AG57" s="62"/>
      <c r="AH57" s="62"/>
      <c r="AI57" s="62"/>
      <c r="AJ57" s="62"/>
      <c r="AK57" s="61"/>
      <c r="AL57" s="61"/>
      <c r="AN57" s="61"/>
      <c r="AO57" s="61"/>
      <c r="AP57" s="61"/>
      <c r="AQ57" s="61"/>
      <c r="AR57" s="61"/>
    </row>
    <row r="58" ht="14.25" customHeight="1">
      <c r="L58" s="59"/>
      <c r="M58" s="59"/>
      <c r="N58" s="59"/>
      <c r="O58" s="59"/>
      <c r="P58" s="58"/>
      <c r="S58" s="60"/>
      <c r="T58" s="60"/>
      <c r="U58" s="60"/>
      <c r="V58" s="60"/>
      <c r="W58" s="60"/>
      <c r="X58" s="60"/>
      <c r="Y58" s="60"/>
      <c r="Z58" s="60"/>
      <c r="AB58" s="60"/>
      <c r="AC58" s="60"/>
      <c r="AD58" s="60"/>
      <c r="AE58" s="60"/>
      <c r="AF58" s="60"/>
      <c r="AG58" s="60"/>
      <c r="AH58" s="60"/>
      <c r="AI58" s="60"/>
      <c r="AJ58" s="60"/>
      <c r="AK58" s="59"/>
      <c r="AL58" s="59"/>
      <c r="AN58" s="59"/>
      <c r="AO58" s="59"/>
      <c r="AP58" s="59"/>
      <c r="AQ58" s="59"/>
      <c r="AR58" s="59"/>
    </row>
    <row r="59" ht="14.25" customHeight="1">
      <c r="L59" s="58"/>
      <c r="M59" s="61"/>
      <c r="N59" s="61"/>
      <c r="O59" s="61"/>
      <c r="P59" s="61"/>
      <c r="S59" s="62"/>
      <c r="T59" s="62"/>
      <c r="U59" s="62"/>
      <c r="V59" s="62"/>
      <c r="W59" s="62"/>
      <c r="X59" s="62"/>
      <c r="Y59" s="62"/>
      <c r="Z59" s="62"/>
      <c r="AB59" s="62"/>
      <c r="AC59" s="62"/>
      <c r="AD59" s="62"/>
      <c r="AE59" s="62"/>
      <c r="AF59" s="62"/>
      <c r="AG59" s="62"/>
      <c r="AH59" s="62"/>
      <c r="AI59" s="62"/>
      <c r="AJ59" s="62"/>
      <c r="AK59" s="61"/>
      <c r="AL59" s="61"/>
      <c r="AN59" s="61"/>
      <c r="AO59" s="61"/>
      <c r="AP59" s="61"/>
      <c r="AQ59" s="61"/>
      <c r="AR59" s="61"/>
    </row>
    <row r="60" ht="14.25" customHeight="1">
      <c r="L60" s="59"/>
      <c r="M60" s="59"/>
      <c r="N60" s="58"/>
      <c r="O60" s="59"/>
      <c r="P60" s="59"/>
      <c r="S60" s="60"/>
      <c r="T60" s="60"/>
      <c r="U60" s="60"/>
      <c r="V60" s="60"/>
      <c r="W60" s="60"/>
      <c r="X60" s="60"/>
      <c r="Y60" s="60"/>
      <c r="Z60" s="60"/>
      <c r="AB60" s="60"/>
      <c r="AC60" s="60"/>
      <c r="AD60" s="60"/>
      <c r="AE60" s="60"/>
      <c r="AF60" s="60"/>
      <c r="AG60" s="60"/>
      <c r="AH60" s="60"/>
      <c r="AI60" s="60"/>
      <c r="AJ60" s="60"/>
      <c r="AK60" s="59"/>
      <c r="AL60" s="59"/>
      <c r="AN60" s="59"/>
      <c r="AO60" s="59"/>
      <c r="AP60" s="59"/>
      <c r="AQ60" s="59"/>
      <c r="AR60" s="59"/>
    </row>
    <row r="61" ht="14.25" customHeight="1">
      <c r="L61" s="61"/>
      <c r="M61" s="61"/>
      <c r="N61" s="61"/>
      <c r="O61" s="61"/>
      <c r="P61" s="61"/>
      <c r="S61" s="63"/>
      <c r="T61" s="63"/>
      <c r="U61" s="63"/>
      <c r="V61" s="63"/>
      <c r="W61" s="63"/>
      <c r="X61" s="63"/>
      <c r="Y61" s="63"/>
      <c r="Z61" s="63"/>
      <c r="AB61" s="63"/>
      <c r="AC61" s="63"/>
      <c r="AD61" s="63"/>
      <c r="AE61" s="63"/>
      <c r="AF61" s="63"/>
      <c r="AG61" s="63"/>
      <c r="AH61" s="63"/>
      <c r="AI61" s="63"/>
      <c r="AJ61" s="63"/>
      <c r="AK61" s="58"/>
      <c r="AL61" s="58"/>
      <c r="AN61" s="61"/>
      <c r="AO61" s="61"/>
      <c r="AP61" s="61"/>
      <c r="AQ61" s="61"/>
      <c r="AR61" s="61"/>
    </row>
    <row r="62" ht="14.25" customHeight="1">
      <c r="L62" s="59"/>
      <c r="M62" s="59"/>
      <c r="N62" s="59"/>
      <c r="O62" s="59"/>
      <c r="P62" s="59"/>
      <c r="S62" s="60"/>
      <c r="T62" s="60"/>
      <c r="U62" s="60"/>
      <c r="V62" s="60"/>
      <c r="W62" s="60"/>
      <c r="X62" s="60"/>
      <c r="Y62" s="60"/>
      <c r="Z62" s="60"/>
      <c r="AB62" s="60"/>
      <c r="AC62" s="60"/>
      <c r="AD62" s="60"/>
      <c r="AE62" s="60"/>
      <c r="AF62" s="60"/>
      <c r="AG62" s="60"/>
      <c r="AH62" s="60"/>
      <c r="AI62" s="60"/>
      <c r="AJ62" s="60"/>
      <c r="AK62" s="59"/>
      <c r="AL62" s="59"/>
      <c r="AN62" s="59"/>
      <c r="AO62" s="58"/>
      <c r="AP62" s="59"/>
      <c r="AQ62" s="59"/>
      <c r="AR62" s="59"/>
    </row>
    <row r="63" ht="14.25" customHeight="1">
      <c r="L63" s="61"/>
      <c r="M63" s="61"/>
      <c r="N63" s="61"/>
      <c r="O63" s="61"/>
      <c r="P63" s="58"/>
      <c r="S63" s="62"/>
      <c r="T63" s="62"/>
      <c r="U63" s="62"/>
      <c r="V63" s="62"/>
      <c r="W63" s="62"/>
      <c r="X63" s="62"/>
      <c r="Y63" s="62"/>
      <c r="Z63" s="62"/>
      <c r="AB63" s="62"/>
      <c r="AC63" s="62"/>
      <c r="AD63" s="62"/>
      <c r="AE63" s="62"/>
      <c r="AF63" s="62"/>
      <c r="AG63" s="62"/>
      <c r="AH63" s="62"/>
      <c r="AI63" s="62"/>
      <c r="AJ63" s="62"/>
      <c r="AK63" s="61"/>
      <c r="AL63" s="61"/>
      <c r="AN63" s="61"/>
      <c r="AO63" s="61"/>
      <c r="AP63" s="61"/>
      <c r="AQ63" s="61"/>
      <c r="AR63" s="61"/>
    </row>
    <row r="64" ht="14.25" customHeight="1">
      <c r="L64" s="59"/>
      <c r="M64" s="59"/>
      <c r="N64" s="59"/>
      <c r="O64" s="59"/>
      <c r="P64" s="59"/>
      <c r="S64" s="60"/>
      <c r="T64" s="60"/>
      <c r="U64" s="60"/>
      <c r="V64" s="60"/>
      <c r="W64" s="60"/>
      <c r="X64" s="60"/>
      <c r="Y64" s="60"/>
      <c r="Z64" s="60"/>
      <c r="AB64" s="60"/>
      <c r="AC64" s="60"/>
      <c r="AD64" s="60"/>
      <c r="AE64" s="60"/>
      <c r="AF64" s="60"/>
      <c r="AG64" s="60"/>
      <c r="AH64" s="60"/>
      <c r="AI64" s="60"/>
      <c r="AJ64" s="60"/>
      <c r="AK64" s="59"/>
      <c r="AL64" s="59"/>
      <c r="AN64" s="58"/>
      <c r="AO64" s="59"/>
      <c r="AP64" s="59"/>
      <c r="AQ64" s="59"/>
      <c r="AR64" s="59"/>
    </row>
    <row r="65" ht="14.25" customHeight="1">
      <c r="L65" s="58"/>
      <c r="M65" s="61"/>
      <c r="N65" s="61"/>
      <c r="O65" s="61"/>
      <c r="P65" s="61"/>
      <c r="S65" s="62"/>
      <c r="T65" s="62"/>
      <c r="U65" s="62"/>
      <c r="V65" s="62"/>
      <c r="W65" s="62"/>
      <c r="X65" s="62"/>
      <c r="Y65" s="62"/>
      <c r="Z65" s="62"/>
      <c r="AB65" s="62"/>
      <c r="AC65" s="62"/>
      <c r="AD65" s="62"/>
      <c r="AE65" s="62"/>
      <c r="AF65" s="62"/>
      <c r="AG65" s="62"/>
      <c r="AH65" s="62"/>
      <c r="AI65" s="62"/>
      <c r="AJ65" s="62"/>
      <c r="AK65" s="61"/>
      <c r="AL65" s="61"/>
      <c r="AN65" s="61"/>
      <c r="AO65" s="61"/>
      <c r="AP65" s="61"/>
      <c r="AQ65" s="61"/>
      <c r="AR65" s="61"/>
    </row>
    <row r="66" ht="14.25" customHeight="1">
      <c r="L66" s="59"/>
      <c r="M66" s="59"/>
      <c r="N66" s="58"/>
      <c r="O66" s="59"/>
      <c r="P66" s="59"/>
      <c r="S66" s="60"/>
      <c r="T66" s="60"/>
      <c r="U66" s="60"/>
      <c r="V66" s="60"/>
      <c r="W66" s="60"/>
      <c r="X66" s="60"/>
      <c r="Y66" s="60"/>
      <c r="Z66" s="60"/>
      <c r="AB66" s="60"/>
      <c r="AC66" s="60"/>
      <c r="AD66" s="60"/>
      <c r="AE66" s="60"/>
      <c r="AF66" s="60"/>
      <c r="AG66" s="60"/>
      <c r="AH66" s="60"/>
      <c r="AI66" s="60"/>
      <c r="AJ66" s="60"/>
      <c r="AK66" s="59"/>
      <c r="AL66" s="59"/>
      <c r="AN66" s="59"/>
      <c r="AO66" s="59"/>
      <c r="AP66" s="59"/>
      <c r="AQ66" s="59"/>
      <c r="AR66" s="59"/>
    </row>
    <row r="67" ht="14.25" customHeight="1">
      <c r="L67" s="61"/>
      <c r="M67" s="61"/>
      <c r="N67" s="61"/>
      <c r="O67" s="61"/>
      <c r="P67" s="61"/>
      <c r="S67" s="62"/>
      <c r="T67" s="62"/>
      <c r="U67" s="62"/>
      <c r="V67" s="62"/>
      <c r="W67" s="62"/>
      <c r="X67" s="62"/>
      <c r="Y67" s="62"/>
      <c r="Z67" s="62"/>
      <c r="AB67" s="62"/>
      <c r="AC67" s="62"/>
      <c r="AD67" s="62"/>
      <c r="AE67" s="62"/>
      <c r="AF67" s="62"/>
      <c r="AG67" s="62"/>
      <c r="AH67" s="62"/>
      <c r="AI67" s="62"/>
      <c r="AJ67" s="62"/>
      <c r="AK67" s="61"/>
      <c r="AL67" s="61"/>
      <c r="AN67" s="58"/>
      <c r="AO67" s="61"/>
      <c r="AP67" s="61"/>
      <c r="AQ67" s="61"/>
      <c r="AR67" s="61"/>
    </row>
    <row r="68" ht="14.25" customHeight="1">
      <c r="L68" s="59"/>
      <c r="M68" s="59"/>
      <c r="N68" s="59"/>
      <c r="O68" s="59"/>
      <c r="P68" s="59"/>
      <c r="S68" s="60"/>
      <c r="T68" s="60"/>
      <c r="U68" s="60"/>
      <c r="V68" s="60"/>
      <c r="W68" s="60"/>
      <c r="X68" s="60"/>
      <c r="Y68" s="60"/>
      <c r="Z68" s="60"/>
      <c r="AB68" s="60"/>
      <c r="AC68" s="60"/>
      <c r="AD68" s="60"/>
      <c r="AE68" s="60"/>
      <c r="AF68" s="60"/>
      <c r="AG68" s="60"/>
      <c r="AH68" s="60"/>
      <c r="AI68" s="60"/>
      <c r="AJ68" s="60"/>
      <c r="AK68" s="59"/>
      <c r="AL68" s="58"/>
      <c r="AN68" s="59"/>
      <c r="AO68" s="59"/>
      <c r="AP68" s="59"/>
      <c r="AQ68" s="59"/>
      <c r="AR68" s="59"/>
    </row>
    <row r="69" ht="14.25" customHeight="1">
      <c r="L69" s="61"/>
      <c r="M69" s="61"/>
      <c r="N69" s="61"/>
      <c r="O69" s="58"/>
      <c r="P69" s="61"/>
      <c r="S69" s="62"/>
      <c r="T69" s="62"/>
      <c r="U69" s="62"/>
      <c r="V69" s="62"/>
      <c r="W69" s="62"/>
      <c r="X69" s="62"/>
      <c r="Y69" s="62"/>
      <c r="Z69" s="62"/>
      <c r="AB69" s="62"/>
      <c r="AC69" s="62"/>
      <c r="AD69" s="62"/>
      <c r="AE69" s="62"/>
      <c r="AF69" s="62"/>
      <c r="AG69" s="62"/>
      <c r="AH69" s="62"/>
      <c r="AI69" s="62"/>
      <c r="AJ69" s="62"/>
      <c r="AK69" s="61"/>
      <c r="AL69" s="61"/>
      <c r="AN69" s="61"/>
      <c r="AO69" s="61"/>
      <c r="AP69" s="61"/>
      <c r="AQ69" s="61"/>
      <c r="AR69" s="61"/>
    </row>
    <row r="70" ht="14.25" customHeight="1">
      <c r="L70" s="58"/>
      <c r="M70" s="59"/>
      <c r="N70" s="59"/>
      <c r="O70" s="59"/>
      <c r="P70" s="59"/>
      <c r="S70" s="60"/>
      <c r="T70" s="60"/>
      <c r="U70" s="60"/>
      <c r="V70" s="60"/>
      <c r="W70" s="60"/>
      <c r="X70" s="60"/>
      <c r="Y70" s="60"/>
      <c r="Z70" s="60"/>
      <c r="AB70" s="60"/>
      <c r="AC70" s="60"/>
      <c r="AD70" s="60"/>
      <c r="AE70" s="60"/>
      <c r="AF70" s="60"/>
      <c r="AG70" s="60"/>
      <c r="AH70" s="60"/>
      <c r="AI70" s="60"/>
      <c r="AJ70" s="60"/>
      <c r="AK70" s="59"/>
      <c r="AL70" s="59"/>
      <c r="AN70" s="59"/>
      <c r="AO70" s="58"/>
      <c r="AP70" s="59"/>
      <c r="AQ70" s="59"/>
      <c r="AR70" s="59"/>
    </row>
    <row r="71" ht="14.25" customHeight="1">
      <c r="L71" s="61"/>
      <c r="M71" s="61"/>
      <c r="N71" s="61"/>
      <c r="O71" s="61"/>
      <c r="P71" s="58"/>
      <c r="S71" s="62"/>
      <c r="T71" s="62"/>
      <c r="U71" s="62"/>
      <c r="V71" s="62"/>
      <c r="W71" s="62"/>
      <c r="X71" s="62"/>
      <c r="Y71" s="62"/>
      <c r="Z71" s="62"/>
      <c r="AB71" s="62"/>
      <c r="AC71" s="62"/>
      <c r="AD71" s="62"/>
      <c r="AE71" s="62"/>
      <c r="AF71" s="62"/>
      <c r="AG71" s="62"/>
      <c r="AH71" s="62"/>
      <c r="AI71" s="62"/>
      <c r="AJ71" s="62"/>
      <c r="AK71" s="61"/>
      <c r="AL71" s="61"/>
      <c r="AN71" s="61"/>
      <c r="AO71" s="61"/>
      <c r="AP71" s="61"/>
      <c r="AQ71" s="61"/>
      <c r="AR71" s="61"/>
    </row>
    <row r="72" ht="14.25" customHeight="1">
      <c r="L72" s="59"/>
      <c r="M72" s="59"/>
      <c r="N72" s="58"/>
      <c r="O72" s="59"/>
      <c r="P72" s="59"/>
      <c r="S72" s="60"/>
      <c r="T72" s="60"/>
      <c r="U72" s="60"/>
      <c r="V72" s="60"/>
      <c r="W72" s="60"/>
      <c r="X72" s="60"/>
      <c r="Y72" s="60"/>
      <c r="Z72" s="60"/>
      <c r="AB72" s="60"/>
      <c r="AC72" s="60"/>
      <c r="AD72" s="60"/>
      <c r="AE72" s="60"/>
      <c r="AF72" s="60"/>
      <c r="AG72" s="60"/>
      <c r="AH72" s="60"/>
      <c r="AI72" s="60"/>
      <c r="AJ72" s="60"/>
      <c r="AK72" s="59"/>
      <c r="AL72" s="59"/>
      <c r="AN72" s="59"/>
      <c r="AO72" s="59"/>
      <c r="AP72" s="59"/>
      <c r="AQ72" s="59"/>
      <c r="AR72" s="59"/>
    </row>
    <row r="73" ht="14.25" customHeight="1">
      <c r="L73" s="58"/>
      <c r="M73" s="61"/>
      <c r="N73" s="61"/>
      <c r="O73" s="61"/>
      <c r="P73" s="61"/>
      <c r="S73" s="62"/>
      <c r="T73" s="62"/>
      <c r="U73" s="62"/>
      <c r="V73" s="62"/>
      <c r="W73" s="62"/>
      <c r="X73" s="62"/>
      <c r="Y73" s="62"/>
      <c r="Z73" s="62"/>
      <c r="AB73" s="62"/>
      <c r="AC73" s="62"/>
      <c r="AD73" s="62"/>
      <c r="AE73" s="62"/>
      <c r="AF73" s="62"/>
      <c r="AG73" s="62"/>
      <c r="AH73" s="62"/>
      <c r="AI73" s="62"/>
      <c r="AJ73" s="62"/>
      <c r="AK73" s="61"/>
      <c r="AL73" s="61"/>
      <c r="AN73" s="61"/>
      <c r="AO73" s="61"/>
      <c r="AP73" s="61"/>
      <c r="AQ73" s="61"/>
      <c r="AR73" s="61"/>
    </row>
    <row r="74" ht="14.25" customHeight="1">
      <c r="L74" s="59"/>
      <c r="M74" s="59"/>
      <c r="N74" s="59"/>
      <c r="O74" s="59"/>
      <c r="P74" s="59"/>
      <c r="S74" s="60"/>
      <c r="T74" s="60"/>
      <c r="U74" s="60"/>
      <c r="V74" s="60"/>
      <c r="W74" s="60"/>
      <c r="X74" s="60"/>
      <c r="Y74" s="60"/>
      <c r="Z74" s="60"/>
      <c r="AB74" s="60"/>
      <c r="AC74" s="60"/>
      <c r="AD74" s="60"/>
      <c r="AE74" s="60"/>
      <c r="AF74" s="60"/>
      <c r="AG74" s="60"/>
      <c r="AH74" s="60"/>
      <c r="AI74" s="60"/>
      <c r="AJ74" s="60"/>
      <c r="AK74" s="59"/>
      <c r="AL74" s="59"/>
      <c r="AN74" s="59"/>
      <c r="AO74" s="59"/>
      <c r="AP74" s="59"/>
      <c r="AQ74" s="59"/>
      <c r="AR74" s="59"/>
    </row>
    <row r="75" ht="14.25" customHeight="1">
      <c r="L75" s="61"/>
      <c r="M75" s="61"/>
      <c r="N75" s="61"/>
      <c r="O75" s="61"/>
      <c r="P75" s="61"/>
      <c r="S75" s="62"/>
      <c r="T75" s="62"/>
      <c r="U75" s="62"/>
      <c r="V75" s="62"/>
      <c r="W75" s="62"/>
      <c r="X75" s="62"/>
      <c r="Y75" s="62"/>
      <c r="Z75" s="62"/>
      <c r="AB75" s="62"/>
      <c r="AC75" s="62"/>
      <c r="AD75" s="62"/>
      <c r="AE75" s="62"/>
      <c r="AF75" s="62"/>
      <c r="AG75" s="62"/>
      <c r="AH75" s="62"/>
      <c r="AI75" s="62"/>
      <c r="AJ75" s="62"/>
      <c r="AK75" s="61"/>
      <c r="AL75" s="61"/>
      <c r="AN75" s="61"/>
      <c r="AO75" s="58"/>
      <c r="AP75" s="61"/>
      <c r="AQ75" s="61"/>
      <c r="AR75" s="61"/>
    </row>
    <row r="76" ht="14.25" customHeight="1">
      <c r="L76" s="59"/>
      <c r="M76" s="59"/>
      <c r="N76" s="59"/>
      <c r="O76" s="59"/>
      <c r="P76" s="59"/>
      <c r="S76" s="63"/>
      <c r="T76" s="63"/>
      <c r="U76" s="63"/>
      <c r="V76" s="63"/>
      <c r="W76" s="63"/>
      <c r="X76" s="63"/>
      <c r="Y76" s="63"/>
      <c r="Z76" s="63"/>
      <c r="AB76" s="63"/>
      <c r="AC76" s="63"/>
      <c r="AD76" s="63"/>
      <c r="AE76" s="63"/>
      <c r="AF76" s="63"/>
      <c r="AG76" s="63"/>
      <c r="AH76" s="63"/>
      <c r="AI76" s="63"/>
      <c r="AJ76" s="63"/>
      <c r="AK76" s="58"/>
      <c r="AL76" s="58"/>
      <c r="AN76" s="58"/>
      <c r="AO76" s="59"/>
      <c r="AP76" s="59"/>
      <c r="AQ76" s="59"/>
      <c r="AR76" s="59"/>
    </row>
    <row r="77" ht="14.25" customHeight="1">
      <c r="L77" s="61"/>
      <c r="M77" s="61"/>
      <c r="N77" s="58"/>
      <c r="O77" s="61"/>
      <c r="P77" s="61"/>
      <c r="S77" s="62"/>
      <c r="T77" s="62"/>
      <c r="U77" s="62"/>
      <c r="V77" s="62"/>
      <c r="W77" s="62"/>
      <c r="X77" s="62"/>
      <c r="Y77" s="62"/>
      <c r="Z77" s="62"/>
      <c r="AB77" s="62"/>
      <c r="AC77" s="62"/>
      <c r="AD77" s="62"/>
      <c r="AE77" s="62"/>
      <c r="AF77" s="62"/>
      <c r="AG77" s="62"/>
      <c r="AH77" s="62"/>
      <c r="AI77" s="62"/>
      <c r="AJ77" s="62"/>
      <c r="AK77" s="61"/>
      <c r="AL77" s="61"/>
      <c r="AN77" s="61"/>
      <c r="AO77" s="61"/>
      <c r="AP77" s="61"/>
      <c r="AQ77" s="61"/>
      <c r="AR77" s="61"/>
    </row>
    <row r="78" ht="14.25" customHeight="1">
      <c r="L78" s="64"/>
      <c r="M78" s="59"/>
      <c r="N78" s="59"/>
      <c r="O78" s="59"/>
      <c r="P78" s="59"/>
      <c r="S78" s="60"/>
      <c r="T78" s="60"/>
      <c r="U78" s="60"/>
      <c r="V78" s="60"/>
      <c r="W78" s="60"/>
      <c r="X78" s="60"/>
      <c r="Y78" s="60"/>
      <c r="Z78" s="60"/>
      <c r="AB78" s="60"/>
      <c r="AC78" s="60"/>
      <c r="AD78" s="60"/>
      <c r="AE78" s="60"/>
      <c r="AF78" s="60"/>
      <c r="AG78" s="60"/>
      <c r="AH78" s="60"/>
      <c r="AI78" s="60"/>
      <c r="AJ78" s="60"/>
      <c r="AK78" s="59"/>
      <c r="AL78" s="59"/>
      <c r="AN78" s="59"/>
      <c r="AO78" s="59"/>
      <c r="AP78" s="59"/>
      <c r="AQ78" s="59"/>
      <c r="AR78" s="59"/>
    </row>
    <row r="79" ht="14.25" customHeight="1">
      <c r="L79" s="58"/>
      <c r="M79" s="65"/>
      <c r="N79" s="61"/>
      <c r="O79" s="61"/>
      <c r="P79" s="61"/>
      <c r="S79" s="63"/>
      <c r="T79" s="63"/>
      <c r="U79" s="63"/>
      <c r="V79" s="63"/>
      <c r="W79" s="63"/>
      <c r="X79" s="63"/>
      <c r="Y79" s="63"/>
      <c r="Z79" s="63"/>
      <c r="AB79" s="63"/>
      <c r="AC79" s="63"/>
      <c r="AD79" s="63"/>
      <c r="AE79" s="63"/>
      <c r="AF79" s="63"/>
      <c r="AG79" s="63"/>
      <c r="AH79" s="63"/>
      <c r="AI79" s="63"/>
      <c r="AJ79" s="63"/>
      <c r="AK79" s="58"/>
      <c r="AL79" s="58"/>
      <c r="AN79" s="58"/>
      <c r="AO79" s="61"/>
      <c r="AP79" s="61"/>
      <c r="AQ79" s="61"/>
      <c r="AR79" s="6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B4:AI33">
    <cfRule type="cellIs" dxfId="10" priority="1" operator="lessThan">
      <formula>0</formula>
    </cfRule>
  </conditionalFormatting>
  <conditionalFormatting sqref="D4:D33">
    <cfRule type="cellIs" dxfId="5" priority="2" operator="equal">
      <formula>"TRUE"</formula>
    </cfRule>
  </conditionalFormatting>
  <conditionalFormatting sqref="E4:P33">
    <cfRule type="notContainsBlanks" dxfId="9" priority="3">
      <formula>LEN(TRIM(E4))&gt;0</formula>
    </cfRule>
  </conditionalFormatting>
  <conditionalFormatting sqref="D4:D33">
    <cfRule type="cellIs" dxfId="5" priority="4" operator="equal">
      <formula>"TRUE"</formula>
    </cfRule>
  </conditionalFormatting>
  <conditionalFormatting sqref="E4:P33">
    <cfRule type="expression" dxfId="9" priority="5">
      <formula>LEN(TRIM(E4))&gt;0</formula>
    </cfRule>
  </conditionalFormatting>
  <conditionalFormatting sqref="AP4:AT33">
    <cfRule type="expression" dxfId="4" priority="6">
      <formula>AP4=0</formula>
    </cfRule>
  </conditionalFormatting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0"/>
    <col customWidth="1" min="3" max="3" width="8.71"/>
    <col customWidth="1" min="4" max="4" width="4.71"/>
    <col customWidth="1" min="5" max="10" width="4.29"/>
    <col customWidth="1" min="11" max="11" width="5.14"/>
    <col customWidth="1" min="12" max="12" width="8.71"/>
    <col customWidth="1" min="13" max="24" width="8.29"/>
    <col customWidth="1" min="25" max="27" width="8.71"/>
    <col hidden="1" min="28" max="29" width="14.43"/>
    <col customWidth="1" min="30" max="32" width="8.71"/>
  </cols>
  <sheetData>
    <row r="1" ht="17.25" customHeight="1">
      <c r="A1" s="67" t="s">
        <v>123</v>
      </c>
      <c r="B1" s="68"/>
      <c r="C1" s="68"/>
      <c r="D1" s="69" t="s">
        <v>124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</row>
    <row r="2" ht="14.25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 ht="15.0" customHeight="1">
      <c r="A3" s="70" t="s">
        <v>125</v>
      </c>
      <c r="B3" s="70" t="s">
        <v>126</v>
      </c>
      <c r="C3" s="68"/>
      <c r="D3" s="68"/>
      <c r="E3" s="71" t="s">
        <v>127</v>
      </c>
      <c r="K3" s="68"/>
      <c r="L3" s="72" t="s">
        <v>128</v>
      </c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68"/>
      <c r="Z3" s="68"/>
      <c r="AA3" s="68"/>
      <c r="AB3" s="70" t="s">
        <v>129</v>
      </c>
      <c r="AC3" s="70" t="s">
        <v>130</v>
      </c>
      <c r="AD3" s="68"/>
      <c r="AE3" s="68"/>
      <c r="AF3" s="68"/>
    </row>
    <row r="4" ht="15.0" customHeight="1">
      <c r="A4" s="74">
        <v>1.0</v>
      </c>
      <c r="B4" s="75">
        <f>average(M5,M16,M26,M35,M45)</f>
        <v>22</v>
      </c>
      <c r="C4" s="68"/>
      <c r="D4" s="68"/>
      <c r="G4" s="76"/>
      <c r="H4" s="77"/>
      <c r="I4" s="76"/>
      <c r="J4" s="77"/>
      <c r="K4" s="68"/>
      <c r="L4" s="78" t="s">
        <v>125</v>
      </c>
      <c r="M4" s="79" t="s">
        <v>92</v>
      </c>
      <c r="N4" s="79" t="s">
        <v>93</v>
      </c>
      <c r="O4" s="79" t="s">
        <v>94</v>
      </c>
      <c r="P4" s="79" t="s">
        <v>95</v>
      </c>
      <c r="Q4" s="79" t="s">
        <v>96</v>
      </c>
      <c r="R4" s="79" t="s">
        <v>97</v>
      </c>
      <c r="S4" s="79" t="s">
        <v>98</v>
      </c>
      <c r="T4" s="79" t="s">
        <v>99</v>
      </c>
      <c r="U4" s="79" t="s">
        <v>100</v>
      </c>
      <c r="V4" s="79" t="s">
        <v>101</v>
      </c>
      <c r="W4" s="79" t="s">
        <v>102</v>
      </c>
      <c r="X4" s="79" t="s">
        <v>103</v>
      </c>
      <c r="Y4" s="68"/>
      <c r="Z4" s="68"/>
      <c r="AA4" s="68"/>
      <c r="AB4" s="80" t="s">
        <v>131</v>
      </c>
      <c r="AC4" s="80"/>
      <c r="AD4" s="68"/>
      <c r="AE4" s="68"/>
      <c r="AF4" s="68"/>
    </row>
    <row r="5" ht="15.0" customHeight="1">
      <c r="A5" s="81">
        <v>2.0</v>
      </c>
      <c r="B5" s="82">
        <v>0.0</v>
      </c>
      <c r="C5" s="68"/>
      <c r="D5" s="68"/>
      <c r="E5" s="76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7">
        <f>IFERROR(__xludf.DUMMYFUNCTION("""COMPUTED_VALUE"""),20.0)</f>
        <v>20</v>
      </c>
      <c r="G5" s="76"/>
      <c r="H5" s="77"/>
      <c r="I5" s="76"/>
      <c r="J5" s="77"/>
      <c r="K5" s="68"/>
      <c r="L5" s="83">
        <v>1.0</v>
      </c>
      <c r="M5" s="84">
        <v>20.0</v>
      </c>
      <c r="N5" s="85">
        <v>0.0</v>
      </c>
      <c r="O5" s="85">
        <v>0.0</v>
      </c>
      <c r="P5" s="85">
        <v>0.0</v>
      </c>
      <c r="Q5" s="85">
        <v>0.0</v>
      </c>
      <c r="R5" s="85">
        <v>0.0</v>
      </c>
      <c r="S5" s="85">
        <v>0.0</v>
      </c>
      <c r="T5" s="85">
        <v>0.0</v>
      </c>
      <c r="U5" s="85">
        <v>0.0</v>
      </c>
      <c r="V5" s="85">
        <v>0.0</v>
      </c>
      <c r="W5" s="85">
        <v>0.0</v>
      </c>
      <c r="X5" s="85">
        <v>0.0</v>
      </c>
      <c r="Y5" s="68"/>
      <c r="Z5" s="68"/>
      <c r="AA5" s="68"/>
      <c r="AB5" s="68" t="s">
        <v>93</v>
      </c>
      <c r="AC5" s="68"/>
      <c r="AD5" s="68"/>
      <c r="AE5" s="68"/>
      <c r="AF5" s="68"/>
    </row>
    <row r="6" ht="15.0" customHeight="1">
      <c r="A6" s="81">
        <v>3.0</v>
      </c>
      <c r="B6" s="82">
        <v>0.0</v>
      </c>
      <c r="C6" s="68"/>
      <c r="D6" s="68"/>
      <c r="E6" s="76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7">
        <f>IFERROR(__xludf.DUMMYFUNCTION("""COMPUTED_VALUE"""),15.0)</f>
        <v>15</v>
      </c>
      <c r="G6" s="76"/>
      <c r="H6" s="77"/>
      <c r="I6" s="76"/>
      <c r="J6" s="77"/>
      <c r="K6" s="68"/>
      <c r="L6" s="83">
        <v>2.0</v>
      </c>
      <c r="M6" s="85">
        <v>0.0</v>
      </c>
      <c r="N6" s="85">
        <v>0.0</v>
      </c>
      <c r="O6" s="85">
        <v>0.0</v>
      </c>
      <c r="P6" s="85">
        <v>0.0</v>
      </c>
      <c r="Q6" s="85">
        <v>0.0</v>
      </c>
      <c r="R6" s="85">
        <v>0.0</v>
      </c>
      <c r="S6" s="85">
        <v>0.0</v>
      </c>
      <c r="T6" s="85">
        <v>0.0</v>
      </c>
      <c r="U6" s="84">
        <v>15.0</v>
      </c>
      <c r="V6" s="85">
        <v>0.0</v>
      </c>
      <c r="W6" s="85">
        <v>0.0</v>
      </c>
      <c r="X6" s="85">
        <v>0.0</v>
      </c>
      <c r="Y6" s="68"/>
      <c r="Z6" s="68"/>
      <c r="AA6" s="68"/>
      <c r="AB6" s="68" t="s">
        <v>94</v>
      </c>
      <c r="AC6" s="80"/>
      <c r="AD6" s="68"/>
      <c r="AE6" s="68"/>
      <c r="AF6" s="68"/>
    </row>
    <row r="7" ht="15.0" customHeight="1">
      <c r="A7" s="81">
        <v>4.0</v>
      </c>
      <c r="B7" s="82">
        <f>mround(average(M8,M18,M28), 1)</f>
        <v>27</v>
      </c>
      <c r="C7" s="68"/>
      <c r="D7" s="68"/>
      <c r="E7" s="76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7">
        <f>IFERROR(__xludf.DUMMYFUNCTION("""COMPUTED_VALUE"""),1.0)</f>
        <v>1</v>
      </c>
      <c r="G7" s="76"/>
      <c r="H7" s="77"/>
      <c r="I7" s="76"/>
      <c r="J7" s="77"/>
      <c r="K7" s="68"/>
      <c r="L7" s="83">
        <v>3.0</v>
      </c>
      <c r="M7" s="85">
        <v>0.0</v>
      </c>
      <c r="N7" s="85">
        <v>0.0</v>
      </c>
      <c r="O7" s="85">
        <v>0.0</v>
      </c>
      <c r="P7" s="85">
        <v>0.0</v>
      </c>
      <c r="Q7" s="85">
        <v>0.0</v>
      </c>
      <c r="R7" s="84">
        <v>1.0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5">
        <v>0.0</v>
      </c>
      <c r="Y7" s="68"/>
      <c r="Z7" s="68"/>
      <c r="AA7" s="68"/>
      <c r="AB7" s="68" t="s">
        <v>95</v>
      </c>
      <c r="AC7" s="80"/>
      <c r="AD7" s="68"/>
      <c r="AE7" s="68"/>
      <c r="AF7" s="68"/>
    </row>
    <row r="8" ht="15.0" customHeight="1">
      <c r="A8" s="81">
        <v>5.0</v>
      </c>
      <c r="B8" s="82">
        <v>0.0</v>
      </c>
      <c r="C8" s="68"/>
      <c r="D8" s="68"/>
      <c r="E8" s="76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7">
        <f>IFERROR(__xludf.DUMMYFUNCTION("""COMPUTED_VALUE"""),25.0)</f>
        <v>25</v>
      </c>
      <c r="G8" s="76"/>
      <c r="H8" s="77"/>
      <c r="I8" s="76"/>
      <c r="J8" s="77"/>
      <c r="K8" s="68"/>
      <c r="L8" s="83">
        <v>4.0</v>
      </c>
      <c r="M8" s="84">
        <v>25.0</v>
      </c>
      <c r="N8" s="85">
        <v>0.0</v>
      </c>
      <c r="O8" s="85">
        <v>0.0</v>
      </c>
      <c r="P8" s="85">
        <v>0.0</v>
      </c>
      <c r="Q8" s="85">
        <v>0.0</v>
      </c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5">
        <v>0.0</v>
      </c>
      <c r="Y8" s="68"/>
      <c r="Z8" s="68"/>
      <c r="AA8" s="68"/>
      <c r="AB8" s="68" t="s">
        <v>96</v>
      </c>
      <c r="AC8" s="80"/>
      <c r="AD8" s="68"/>
      <c r="AE8" s="68"/>
      <c r="AF8" s="68"/>
    </row>
    <row r="9" ht="15.0" customHeight="1">
      <c r="A9" s="81">
        <v>6.0</v>
      </c>
      <c r="B9" s="82">
        <f>mround(AVERAGE(M10, M20, M30, M50),1)</f>
        <v>33</v>
      </c>
      <c r="C9" s="68"/>
      <c r="D9" s="68"/>
      <c r="E9" s="76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7">
        <f>IFERROR(__xludf.DUMMYFUNCTION("""COMPUTED_VALUE"""),1.0)</f>
        <v>1</v>
      </c>
      <c r="G9" s="76"/>
      <c r="H9" s="77"/>
      <c r="I9" s="76"/>
      <c r="J9" s="77"/>
      <c r="K9" s="68"/>
      <c r="L9" s="83">
        <v>5.0</v>
      </c>
      <c r="M9" s="85">
        <v>0.0</v>
      </c>
      <c r="N9" s="85">
        <v>0.0</v>
      </c>
      <c r="O9" s="85">
        <v>0.0</v>
      </c>
      <c r="P9" s="85">
        <v>0.0</v>
      </c>
      <c r="Q9" s="85">
        <v>0.0</v>
      </c>
      <c r="R9" s="85">
        <v>0.0</v>
      </c>
      <c r="S9" s="84">
        <v>1.0</v>
      </c>
      <c r="T9" s="85">
        <v>0.0</v>
      </c>
      <c r="U9" s="85">
        <v>0.0</v>
      </c>
      <c r="V9" s="85">
        <v>0.0</v>
      </c>
      <c r="W9" s="85">
        <v>0.0</v>
      </c>
      <c r="X9" s="85">
        <v>0.0</v>
      </c>
      <c r="Y9" s="68"/>
      <c r="Z9" s="68"/>
      <c r="AA9" s="68"/>
      <c r="AB9" s="68" t="s">
        <v>97</v>
      </c>
      <c r="AC9" s="80"/>
      <c r="AD9" s="68"/>
      <c r="AE9" s="68"/>
      <c r="AF9" s="68"/>
    </row>
    <row r="10" ht="15.0" customHeight="1">
      <c r="A10" s="86">
        <v>7.0</v>
      </c>
      <c r="B10" s="87">
        <v>100.0</v>
      </c>
      <c r="C10" s="68"/>
      <c r="D10" s="68"/>
      <c r="E10" s="76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7">
        <f>IFERROR(__xludf.DUMMYFUNCTION("""COMPUTED_VALUE"""),30.0)</f>
        <v>30</v>
      </c>
      <c r="G10" s="76"/>
      <c r="H10" s="77"/>
      <c r="I10" s="76"/>
      <c r="J10" s="77"/>
      <c r="K10" s="68"/>
      <c r="L10" s="83">
        <v>6.0</v>
      </c>
      <c r="M10" s="84">
        <v>30.0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85">
        <v>0.0</v>
      </c>
      <c r="T10" s="85">
        <v>0.0</v>
      </c>
      <c r="U10" s="85">
        <v>0.0</v>
      </c>
      <c r="V10" s="85">
        <v>0.0</v>
      </c>
      <c r="W10" s="85">
        <v>0.0</v>
      </c>
      <c r="X10" s="85">
        <v>0.0</v>
      </c>
      <c r="Y10" s="68"/>
      <c r="Z10" s="68"/>
      <c r="AA10" s="68"/>
      <c r="AB10" s="68" t="s">
        <v>98</v>
      </c>
      <c r="AC10" s="80"/>
      <c r="AD10" s="68"/>
      <c r="AE10" s="68"/>
      <c r="AF10" s="68"/>
    </row>
    <row r="11" ht="14.25" customHeight="1">
      <c r="A11" s="68"/>
      <c r="B11" s="68"/>
      <c r="C11" s="68"/>
      <c r="D11" s="68"/>
      <c r="E11" s="76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7">
        <f>IFERROR(__xludf.DUMMYFUNCTION("""COMPUTED_VALUE"""),100.0)</f>
        <v>100</v>
      </c>
      <c r="G11" s="76" t="str">
        <f>IFERROR(__xludf.DUMMYFUNCTION("""COMPUTED_VALUE"""),"")</f>
        <v/>
      </c>
      <c r="H11" s="77">
        <f>IFERROR(__xludf.DUMMYFUNCTION("""COMPUTED_VALUE"""),120.0)</f>
        <v>120</v>
      </c>
      <c r="I11" s="76" t="str">
        <f>IFERROR(__xludf.DUMMYFUNCTION("""COMPUTED_VALUE"""),"")</f>
        <v/>
      </c>
      <c r="J11" s="77">
        <f>IFERROR(__xludf.DUMMYFUNCTION("""COMPUTED_VALUE"""),60.0)</f>
        <v>60</v>
      </c>
      <c r="K11" s="68"/>
      <c r="L11" s="83">
        <v>7.0</v>
      </c>
      <c r="M11" s="84">
        <v>100.0</v>
      </c>
      <c r="N11" s="85">
        <v>0.0</v>
      </c>
      <c r="O11" s="85">
        <v>0.0</v>
      </c>
      <c r="P11" s="85">
        <v>0.0</v>
      </c>
      <c r="Q11" s="85">
        <v>0.0</v>
      </c>
      <c r="R11" s="85">
        <v>0.0</v>
      </c>
      <c r="S11" s="85">
        <v>0.0</v>
      </c>
      <c r="T11" s="85">
        <v>0.0</v>
      </c>
      <c r="U11" s="84">
        <v>120.0</v>
      </c>
      <c r="V11" s="84">
        <v>60.0</v>
      </c>
      <c r="W11" s="85">
        <v>0.0</v>
      </c>
      <c r="X11" s="85">
        <v>0.0</v>
      </c>
      <c r="Y11" s="68"/>
      <c r="Z11" s="68"/>
      <c r="AA11" s="68"/>
      <c r="AB11" s="68" t="s">
        <v>99</v>
      </c>
      <c r="AC11" s="80"/>
      <c r="AD11" s="68"/>
      <c r="AE11" s="68"/>
      <c r="AF11" s="68"/>
    </row>
    <row r="12" ht="15.0" customHeight="1">
      <c r="A12" s="88" t="s">
        <v>132</v>
      </c>
      <c r="B12" s="89">
        <f>SUM(B4:B10)</f>
        <v>182</v>
      </c>
      <c r="C12" s="68"/>
      <c r="D12" s="68"/>
      <c r="E12" s="76"/>
      <c r="F12" s="77"/>
      <c r="G12" s="76"/>
      <c r="H12" s="77"/>
      <c r="I12" s="76"/>
      <c r="J12" s="77"/>
      <c r="K12" s="68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68"/>
      <c r="Z12" s="68"/>
      <c r="AA12" s="68"/>
      <c r="AB12" s="68" t="s">
        <v>100</v>
      </c>
      <c r="AC12" s="80"/>
      <c r="AD12" s="68"/>
      <c r="AE12" s="68"/>
      <c r="AF12" s="68"/>
    </row>
    <row r="13" ht="15.0" customHeight="1">
      <c r="A13" s="88" t="s">
        <v>133</v>
      </c>
      <c r="B13" s="91">
        <f>B12/7</f>
        <v>26</v>
      </c>
      <c r="C13" s="68"/>
      <c r="D13" s="68"/>
      <c r="E13" s="76"/>
      <c r="F13" s="77"/>
      <c r="G13" s="76"/>
      <c r="H13" s="77"/>
      <c r="I13" s="76"/>
      <c r="J13" s="77"/>
      <c r="K13" s="68"/>
      <c r="L13" s="72" t="s">
        <v>134</v>
      </c>
      <c r="M13" s="72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68"/>
      <c r="Z13" s="68"/>
      <c r="AA13" s="68"/>
      <c r="AB13" s="68" t="s">
        <v>101</v>
      </c>
      <c r="AC13" s="80"/>
      <c r="AD13" s="68"/>
      <c r="AE13" s="68"/>
      <c r="AF13" s="68"/>
    </row>
    <row r="14" ht="14.2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78" t="s">
        <v>125</v>
      </c>
      <c r="M14" s="79" t="s">
        <v>92</v>
      </c>
      <c r="N14" s="79" t="s">
        <v>93</v>
      </c>
      <c r="O14" s="79" t="s">
        <v>94</v>
      </c>
      <c r="P14" s="79" t="s">
        <v>95</v>
      </c>
      <c r="Q14" s="79" t="s">
        <v>96</v>
      </c>
      <c r="R14" s="79" t="s">
        <v>97</v>
      </c>
      <c r="S14" s="79" t="s">
        <v>98</v>
      </c>
      <c r="T14" s="79" t="s">
        <v>99</v>
      </c>
      <c r="U14" s="79" t="s">
        <v>100</v>
      </c>
      <c r="V14" s="79" t="s">
        <v>101</v>
      </c>
      <c r="W14" s="79" t="s">
        <v>102</v>
      </c>
      <c r="X14" s="79" t="s">
        <v>103</v>
      </c>
      <c r="Y14" s="68"/>
      <c r="Z14" s="68"/>
      <c r="AA14" s="68"/>
      <c r="AB14" s="68" t="s">
        <v>102</v>
      </c>
      <c r="AC14" s="80"/>
      <c r="AD14" s="68"/>
      <c r="AE14" s="68"/>
      <c r="AF14" s="68"/>
    </row>
    <row r="15" ht="14.25" customHeight="1">
      <c r="A15" s="68"/>
      <c r="B15" s="68"/>
      <c r="C15" s="68"/>
      <c r="D15" s="68"/>
      <c r="E15" s="76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7">
        <f>IFERROR(__xludf.DUMMYFUNCTION("""COMPUTED_VALUE"""),20.0)</f>
        <v>20</v>
      </c>
      <c r="G15" s="76"/>
      <c r="H15" s="77"/>
      <c r="I15" s="76"/>
      <c r="J15" s="77"/>
      <c r="K15" s="68"/>
      <c r="L15" s="83">
        <v>1.0</v>
      </c>
      <c r="M15" s="85">
        <v>0.0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85">
        <v>0.0</v>
      </c>
      <c r="T15" s="85">
        <v>0.0</v>
      </c>
      <c r="U15" s="84">
        <v>20.0</v>
      </c>
      <c r="V15" s="85">
        <v>0.0</v>
      </c>
      <c r="W15" s="85">
        <v>0.0</v>
      </c>
      <c r="X15" s="85">
        <v>0.0</v>
      </c>
      <c r="Y15" s="68"/>
      <c r="Z15" s="68"/>
      <c r="AA15" s="68"/>
      <c r="AB15" s="68" t="s">
        <v>103</v>
      </c>
      <c r="AC15" s="80"/>
      <c r="AD15" s="68"/>
      <c r="AE15" s="68"/>
      <c r="AF15" s="68"/>
    </row>
    <row r="16" ht="14.25" customHeight="1">
      <c r="A16" s="68"/>
      <c r="B16" s="68"/>
      <c r="C16" s="68"/>
      <c r="D16" s="68"/>
      <c r="E16" s="76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7">
        <f>IFERROR(__xludf.DUMMYFUNCTION("""COMPUTED_VALUE"""),25.0)</f>
        <v>25</v>
      </c>
      <c r="G16" s="76"/>
      <c r="H16" s="77"/>
      <c r="I16" s="76"/>
      <c r="J16" s="77"/>
      <c r="K16" s="68"/>
      <c r="L16" s="83">
        <v>2.0</v>
      </c>
      <c r="M16" s="84">
        <v>25.0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85">
        <v>0.0</v>
      </c>
      <c r="T16" s="85">
        <v>0.0</v>
      </c>
      <c r="U16" s="85">
        <v>0.0</v>
      </c>
      <c r="V16" s="85">
        <v>0.0</v>
      </c>
      <c r="W16" s="85">
        <v>0.0</v>
      </c>
      <c r="X16" s="85">
        <v>0.0</v>
      </c>
      <c r="Y16" s="68"/>
      <c r="Z16" s="68"/>
      <c r="AA16" s="68"/>
      <c r="AB16" s="68"/>
      <c r="AC16" s="68"/>
      <c r="AD16" s="68"/>
      <c r="AE16" s="68"/>
      <c r="AF16" s="68"/>
    </row>
    <row r="17" ht="14.25" customHeight="1">
      <c r="A17" s="68"/>
      <c r="B17" s="68"/>
      <c r="C17" s="68"/>
      <c r="D17" s="68"/>
      <c r="E17" s="76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7">
        <f>IFERROR(__xludf.DUMMYFUNCTION("""COMPUTED_VALUE"""),1.0)</f>
        <v>1</v>
      </c>
      <c r="G17" s="76"/>
      <c r="H17" s="77"/>
      <c r="I17" s="76"/>
      <c r="J17" s="77"/>
      <c r="K17" s="68"/>
      <c r="L17" s="83">
        <v>3.0</v>
      </c>
      <c r="M17" s="85">
        <v>0.0</v>
      </c>
      <c r="N17" s="85">
        <v>0.0</v>
      </c>
      <c r="O17" s="85">
        <v>0.0</v>
      </c>
      <c r="P17" s="85">
        <v>0.0</v>
      </c>
      <c r="Q17" s="85">
        <v>0.0</v>
      </c>
      <c r="R17" s="84">
        <v>1.0</v>
      </c>
      <c r="S17" s="85">
        <v>0.0</v>
      </c>
      <c r="T17" s="85">
        <v>0.0</v>
      </c>
      <c r="U17" s="85">
        <v>0.0</v>
      </c>
      <c r="V17" s="85">
        <v>0.0</v>
      </c>
      <c r="W17" s="85">
        <v>0.0</v>
      </c>
      <c r="X17" s="85">
        <v>0.0</v>
      </c>
      <c r="Y17" s="68"/>
      <c r="Z17" s="68"/>
      <c r="AA17" s="68"/>
      <c r="AB17" s="68"/>
      <c r="AC17" s="68"/>
      <c r="AD17" s="68"/>
      <c r="AE17" s="68"/>
      <c r="AF17" s="68"/>
    </row>
    <row r="18" ht="14.25" customHeight="1">
      <c r="A18" s="68"/>
      <c r="B18" s="68"/>
      <c r="C18" s="68"/>
      <c r="D18" s="68"/>
      <c r="E18" s="76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7">
        <f>IFERROR(__xludf.DUMMYFUNCTION("""COMPUTED_VALUE"""),30.0)</f>
        <v>30</v>
      </c>
      <c r="G18" s="76"/>
      <c r="H18" s="77"/>
      <c r="I18" s="76"/>
      <c r="J18" s="77"/>
      <c r="K18" s="68"/>
      <c r="L18" s="83">
        <v>4.0</v>
      </c>
      <c r="M18" s="84">
        <v>30.0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85">
        <v>0.0</v>
      </c>
      <c r="T18" s="85">
        <v>0.0</v>
      </c>
      <c r="U18" s="85">
        <v>0.0</v>
      </c>
      <c r="V18" s="85">
        <v>0.0</v>
      </c>
      <c r="W18" s="85">
        <v>0.0</v>
      </c>
      <c r="X18" s="85">
        <v>0.0</v>
      </c>
      <c r="Y18" s="68"/>
      <c r="Z18" s="68"/>
      <c r="AA18" s="68"/>
      <c r="AB18" s="68"/>
      <c r="AC18" s="68"/>
      <c r="AD18" s="68"/>
      <c r="AE18" s="68"/>
      <c r="AF18" s="68"/>
    </row>
    <row r="19" ht="14.25" customHeight="1">
      <c r="A19" s="68"/>
      <c r="B19" s="68"/>
      <c r="C19" s="68"/>
      <c r="D19" s="68"/>
      <c r="E19" s="76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7">
        <f>IFERROR(__xludf.DUMMYFUNCTION("""COMPUTED_VALUE"""),1.0)</f>
        <v>1</v>
      </c>
      <c r="G19" s="76"/>
      <c r="H19" s="77"/>
      <c r="I19" s="76"/>
      <c r="J19" s="77"/>
      <c r="K19" s="68"/>
      <c r="L19" s="83">
        <v>5.0</v>
      </c>
      <c r="M19" s="85">
        <v>0.0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84">
        <v>1.0</v>
      </c>
      <c r="T19" s="85">
        <v>0.0</v>
      </c>
      <c r="U19" s="85">
        <v>0.0</v>
      </c>
      <c r="V19" s="85">
        <v>0.0</v>
      </c>
      <c r="W19" s="85">
        <v>0.0</v>
      </c>
      <c r="X19" s="85">
        <v>0.0</v>
      </c>
      <c r="Y19" s="68"/>
      <c r="Z19" s="68"/>
      <c r="AA19" s="68"/>
      <c r="AB19" s="68"/>
      <c r="AC19" s="68"/>
      <c r="AD19" s="68"/>
      <c r="AE19" s="68"/>
      <c r="AF19" s="68"/>
    </row>
    <row r="20" ht="14.25" customHeight="1">
      <c r="A20" s="68"/>
      <c r="B20" s="68"/>
      <c r="C20" s="68"/>
      <c r="D20" s="68"/>
      <c r="E20" s="76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7">
        <f>IFERROR(__xludf.DUMMYFUNCTION("""COMPUTED_VALUE"""),35.0)</f>
        <v>35</v>
      </c>
      <c r="G20" s="76"/>
      <c r="H20" s="77"/>
      <c r="I20" s="76"/>
      <c r="J20" s="77"/>
      <c r="K20" s="68"/>
      <c r="L20" s="83">
        <v>6.0</v>
      </c>
      <c r="M20" s="84">
        <v>35.0</v>
      </c>
      <c r="N20" s="85">
        <v>0.0</v>
      </c>
      <c r="O20" s="85">
        <v>0.0</v>
      </c>
      <c r="P20" s="85">
        <v>0.0</v>
      </c>
      <c r="Q20" s="85">
        <v>0.0</v>
      </c>
      <c r="R20" s="85">
        <v>0.0</v>
      </c>
      <c r="S20" s="85">
        <v>0.0</v>
      </c>
      <c r="T20" s="85">
        <v>0.0</v>
      </c>
      <c r="U20" s="85">
        <v>0.0</v>
      </c>
      <c r="V20" s="85">
        <v>0.0</v>
      </c>
      <c r="W20" s="85">
        <v>0.0</v>
      </c>
      <c r="X20" s="85">
        <v>0.0</v>
      </c>
      <c r="Y20" s="68"/>
      <c r="Z20" s="68"/>
      <c r="AA20" s="68"/>
      <c r="AB20" s="68"/>
      <c r="AC20" s="68"/>
      <c r="AD20" s="68"/>
      <c r="AE20" s="68"/>
      <c r="AF20" s="68"/>
    </row>
    <row r="21" ht="15.75" customHeight="1">
      <c r="A21" s="68"/>
      <c r="B21" s="68"/>
      <c r="C21" s="68"/>
      <c r="D21" s="68"/>
      <c r="E21" s="76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77">
        <f>IFERROR(__xludf.DUMMYFUNCTION("""COMPUTED_VALUE"""),100.0)</f>
        <v>100</v>
      </c>
      <c r="G21" s="76" t="str">
        <f>IFERROR(__xludf.DUMMYFUNCTION("""COMPUTED_VALUE"""),"")</f>
        <v/>
      </c>
      <c r="H21" s="77">
        <f>IFERROR(__xludf.DUMMYFUNCTION("""COMPUTED_VALUE"""),120.0)</f>
        <v>120</v>
      </c>
      <c r="I21" s="76" t="str">
        <f>IFERROR(__xludf.DUMMYFUNCTION("""COMPUTED_VALUE"""),"")</f>
        <v/>
      </c>
      <c r="J21" s="77">
        <f>IFERROR(__xludf.DUMMYFUNCTION("""COMPUTED_VALUE"""),60.0)</f>
        <v>60</v>
      </c>
      <c r="K21" s="68"/>
      <c r="L21" s="83">
        <v>7.0</v>
      </c>
      <c r="M21" s="84">
        <v>100.0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85">
        <v>0.0</v>
      </c>
      <c r="T21" s="85">
        <v>0.0</v>
      </c>
      <c r="U21" s="84">
        <v>120.0</v>
      </c>
      <c r="V21" s="85">
        <v>0.0</v>
      </c>
      <c r="W21" s="84">
        <v>60.0</v>
      </c>
      <c r="X21" s="85">
        <v>0.0</v>
      </c>
      <c r="Y21" s="68"/>
      <c r="Z21" s="68"/>
      <c r="AA21" s="68"/>
      <c r="AB21" s="68"/>
      <c r="AC21" s="68"/>
      <c r="AD21" s="68"/>
      <c r="AE21" s="68"/>
      <c r="AF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68"/>
      <c r="Z22" s="68"/>
      <c r="AA22" s="68"/>
      <c r="AB22" s="68"/>
      <c r="AC22" s="68"/>
      <c r="AD22" s="68"/>
      <c r="AE22" s="68"/>
      <c r="AF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72" t="s">
        <v>135</v>
      </c>
      <c r="M23" s="72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68"/>
      <c r="Z23" s="68"/>
      <c r="AA23" s="68"/>
      <c r="AB23" s="68"/>
      <c r="AC23" s="68"/>
      <c r="AD23" s="68"/>
      <c r="AE23" s="68"/>
      <c r="AF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78" t="s">
        <v>125</v>
      </c>
      <c r="M24" s="79" t="s">
        <v>92</v>
      </c>
      <c r="N24" s="79" t="s">
        <v>93</v>
      </c>
      <c r="O24" s="79" t="s">
        <v>94</v>
      </c>
      <c r="P24" s="79" t="s">
        <v>95</v>
      </c>
      <c r="Q24" s="79" t="s">
        <v>96</v>
      </c>
      <c r="R24" s="79" t="s">
        <v>97</v>
      </c>
      <c r="S24" s="79" t="s">
        <v>98</v>
      </c>
      <c r="T24" s="79" t="s">
        <v>99</v>
      </c>
      <c r="U24" s="79" t="s">
        <v>100</v>
      </c>
      <c r="V24" s="79" t="s">
        <v>101</v>
      </c>
      <c r="W24" s="79" t="s">
        <v>102</v>
      </c>
      <c r="X24" s="79" t="s">
        <v>103</v>
      </c>
      <c r="Y24" s="68"/>
      <c r="Z24" s="68"/>
      <c r="AA24" s="68"/>
      <c r="AB24" s="68"/>
      <c r="AC24" s="68"/>
      <c r="AD24" s="68"/>
      <c r="AE24" s="68"/>
      <c r="AF24" s="68"/>
    </row>
    <row r="25" ht="15.75" customHeight="1">
      <c r="A25" s="68"/>
      <c r="B25" s="68"/>
      <c r="C25" s="68"/>
      <c r="D25" s="68"/>
      <c r="E25" s="76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7">
        <f>IFERROR(__xludf.DUMMYFUNCTION("""COMPUTED_VALUE"""),15.0)</f>
        <v>15</v>
      </c>
      <c r="G25" s="76"/>
      <c r="H25" s="77"/>
      <c r="I25" s="76"/>
      <c r="J25" s="77"/>
      <c r="K25" s="68"/>
      <c r="L25" s="83">
        <v>1.0</v>
      </c>
      <c r="M25" s="85">
        <v>0.0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85">
        <v>0.0</v>
      </c>
      <c r="T25" s="85">
        <v>0.0</v>
      </c>
      <c r="U25" s="84">
        <v>15.0</v>
      </c>
      <c r="V25" s="85">
        <v>0.0</v>
      </c>
      <c r="W25" s="85">
        <v>0.0</v>
      </c>
      <c r="X25" s="85">
        <v>0.0</v>
      </c>
      <c r="Y25" s="68"/>
      <c r="Z25" s="68"/>
      <c r="AA25" s="68"/>
      <c r="AB25" s="68"/>
      <c r="AC25" s="68"/>
      <c r="AD25" s="68"/>
      <c r="AE25" s="68"/>
      <c r="AF25" s="68"/>
    </row>
    <row r="26" ht="15.75" customHeight="1">
      <c r="A26" s="68"/>
      <c r="B26" s="68"/>
      <c r="C26" s="68"/>
      <c r="D26" s="68"/>
      <c r="E26" s="76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7">
        <f>IFERROR(__xludf.DUMMYFUNCTION("""COMPUTED_VALUE"""),20.0)</f>
        <v>20</v>
      </c>
      <c r="G26" s="76"/>
      <c r="H26" s="77"/>
      <c r="I26" s="76"/>
      <c r="J26" s="77"/>
      <c r="K26" s="68"/>
      <c r="L26" s="83">
        <v>2.0</v>
      </c>
      <c r="M26" s="84">
        <v>20.0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85">
        <v>0.0</v>
      </c>
      <c r="T26" s="85">
        <v>0.0</v>
      </c>
      <c r="U26" s="85">
        <v>0.0</v>
      </c>
      <c r="V26" s="85">
        <v>0.0</v>
      </c>
      <c r="W26" s="85">
        <v>0.0</v>
      </c>
      <c r="X26" s="85">
        <v>0.0</v>
      </c>
      <c r="Y26" s="68"/>
      <c r="Z26" s="68"/>
      <c r="AA26" s="68"/>
      <c r="AB26" s="68"/>
      <c r="AC26" s="68"/>
      <c r="AD26" s="68"/>
      <c r="AE26" s="68"/>
      <c r="AF26" s="68"/>
    </row>
    <row r="27" ht="15.75" customHeight="1">
      <c r="A27" s="68"/>
      <c r="B27" s="68"/>
      <c r="C27" s="68"/>
      <c r="D27" s="68"/>
      <c r="E27" s="76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7">
        <f>IFERROR(__xludf.DUMMYFUNCTION("""COMPUTED_VALUE"""),1.0)</f>
        <v>1</v>
      </c>
      <c r="G27" s="76"/>
      <c r="H27" s="77"/>
      <c r="I27" s="76"/>
      <c r="J27" s="77"/>
      <c r="K27" s="68"/>
      <c r="L27" s="83">
        <v>3.0</v>
      </c>
      <c r="M27" s="85">
        <v>0.0</v>
      </c>
      <c r="N27" s="85">
        <v>0.0</v>
      </c>
      <c r="O27" s="85">
        <v>0.0</v>
      </c>
      <c r="P27" s="85">
        <v>0.0</v>
      </c>
      <c r="Q27" s="85">
        <v>0.0</v>
      </c>
      <c r="R27" s="84">
        <v>1.0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5">
        <v>0.0</v>
      </c>
      <c r="Y27" s="68"/>
      <c r="Z27" s="68"/>
      <c r="AA27" s="68"/>
      <c r="AB27" s="68"/>
      <c r="AC27" s="68"/>
      <c r="AD27" s="68"/>
      <c r="AE27" s="68"/>
      <c r="AF27" s="68"/>
    </row>
    <row r="28" ht="15.75" customHeight="1">
      <c r="A28" s="68"/>
      <c r="B28" s="68"/>
      <c r="C28" s="68"/>
      <c r="D28" s="68"/>
      <c r="E28" s="76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7">
        <f>IFERROR(__xludf.DUMMYFUNCTION("""COMPUTED_VALUE"""),25.0)</f>
        <v>25</v>
      </c>
      <c r="G28" s="76"/>
      <c r="H28" s="77"/>
      <c r="I28" s="76"/>
      <c r="J28" s="77"/>
      <c r="K28" s="68"/>
      <c r="L28" s="83">
        <v>4.0</v>
      </c>
      <c r="M28" s="84">
        <v>25.0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85">
        <v>0.0</v>
      </c>
      <c r="T28" s="85">
        <v>0.0</v>
      </c>
      <c r="U28" s="85">
        <v>0.0</v>
      </c>
      <c r="V28" s="85">
        <v>0.0</v>
      </c>
      <c r="W28" s="85">
        <v>0.0</v>
      </c>
      <c r="X28" s="85">
        <v>0.0</v>
      </c>
      <c r="Y28" s="68"/>
      <c r="Z28" s="68"/>
      <c r="AA28" s="68"/>
      <c r="AB28" s="68"/>
      <c r="AC28" s="68"/>
      <c r="AD28" s="68"/>
      <c r="AE28" s="68"/>
      <c r="AF28" s="68"/>
    </row>
    <row r="29" ht="15.75" customHeight="1">
      <c r="A29" s="68"/>
      <c r="B29" s="68"/>
      <c r="C29" s="68"/>
      <c r="D29" s="68"/>
      <c r="E29" s="76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7">
        <f>IFERROR(__xludf.DUMMYFUNCTION("""COMPUTED_VALUE"""),1.0)</f>
        <v>1</v>
      </c>
      <c r="G29" s="76"/>
      <c r="H29" s="77"/>
      <c r="I29" s="76"/>
      <c r="J29" s="77"/>
      <c r="K29" s="68"/>
      <c r="L29" s="83">
        <v>5.0</v>
      </c>
      <c r="M29" s="85">
        <v>0.0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84">
        <v>1.0</v>
      </c>
      <c r="T29" s="85">
        <v>0.0</v>
      </c>
      <c r="U29" s="85">
        <v>0.0</v>
      </c>
      <c r="V29" s="85">
        <v>0.0</v>
      </c>
      <c r="W29" s="85">
        <v>0.0</v>
      </c>
      <c r="X29" s="85">
        <v>0.0</v>
      </c>
      <c r="Y29" s="68"/>
      <c r="Z29" s="68"/>
      <c r="AA29" s="68"/>
      <c r="AB29" s="68"/>
      <c r="AC29" s="68"/>
      <c r="AD29" s="68"/>
      <c r="AE29" s="68"/>
      <c r="AF29" s="68"/>
    </row>
    <row r="30" ht="15.75" customHeight="1">
      <c r="A30" s="68"/>
      <c r="B30" s="68"/>
      <c r="C30" s="68"/>
      <c r="D30" s="68"/>
      <c r="E30" s="76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7">
        <f>IFERROR(__xludf.DUMMYFUNCTION("""COMPUTED_VALUE"""),30.0)</f>
        <v>30</v>
      </c>
      <c r="G30" s="76"/>
      <c r="H30" s="77"/>
      <c r="I30" s="76"/>
      <c r="J30" s="77"/>
      <c r="K30" s="68"/>
      <c r="L30" s="83">
        <v>6.0</v>
      </c>
      <c r="M30" s="84">
        <v>30.0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85">
        <v>0.0</v>
      </c>
      <c r="T30" s="85">
        <v>0.0</v>
      </c>
      <c r="U30" s="85">
        <v>0.0</v>
      </c>
      <c r="V30" s="85">
        <v>0.0</v>
      </c>
      <c r="W30" s="85">
        <v>0.0</v>
      </c>
      <c r="X30" s="85">
        <v>0.0</v>
      </c>
      <c r="Y30" s="68"/>
      <c r="Z30" s="68"/>
      <c r="AA30" s="68"/>
      <c r="AB30" s="68"/>
      <c r="AC30" s="68"/>
      <c r="AD30" s="68"/>
      <c r="AE30" s="68"/>
      <c r="AF30" s="68"/>
    </row>
    <row r="31" ht="15.75" customHeight="1">
      <c r="A31" s="68"/>
      <c r="B31" s="68"/>
      <c r="C31" s="68"/>
      <c r="D31" s="68"/>
      <c r="E31" s="76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77">
        <f>IFERROR(__xludf.DUMMYFUNCTION("""COMPUTED_VALUE"""),100.0)</f>
        <v>100</v>
      </c>
      <c r="G31" s="76" t="str">
        <f>IFERROR(__xludf.DUMMYFUNCTION("""COMPUTED_VALUE"""),"")</f>
        <v/>
      </c>
      <c r="H31" s="77">
        <f>IFERROR(__xludf.DUMMYFUNCTION("""COMPUTED_VALUE"""),120.0)</f>
        <v>120</v>
      </c>
      <c r="I31" s="76" t="str">
        <f>IFERROR(__xludf.DUMMYFUNCTION("""COMPUTED_VALUE"""),"")</f>
        <v/>
      </c>
      <c r="J31" s="77">
        <f>IFERROR(__xludf.DUMMYFUNCTION("""COMPUTED_VALUE"""),30.0)</f>
        <v>30</v>
      </c>
      <c r="K31" s="68"/>
      <c r="L31" s="83">
        <v>7.0</v>
      </c>
      <c r="M31" s="84">
        <v>100.0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85">
        <v>0.0</v>
      </c>
      <c r="T31" s="85">
        <v>0.0</v>
      </c>
      <c r="U31" s="84">
        <v>120.0</v>
      </c>
      <c r="V31" s="85">
        <v>0.0</v>
      </c>
      <c r="W31" s="85">
        <v>0.0</v>
      </c>
      <c r="X31" s="84">
        <v>30.0</v>
      </c>
      <c r="Y31" s="68"/>
      <c r="Z31" s="68"/>
      <c r="AA31" s="68"/>
      <c r="AB31" s="68"/>
      <c r="AC31" s="68"/>
      <c r="AD31" s="68"/>
      <c r="AE31" s="68"/>
      <c r="AF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68"/>
      <c r="Z32" s="68"/>
      <c r="AA32" s="68"/>
      <c r="AB32" s="68"/>
      <c r="AC32" s="68"/>
      <c r="AD32" s="68"/>
      <c r="AE32" s="68"/>
      <c r="AF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72" t="s">
        <v>136</v>
      </c>
      <c r="M33" s="72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68"/>
      <c r="Z33" s="68"/>
      <c r="AA33" s="68"/>
      <c r="AB33" s="68"/>
      <c r="AC33" s="68"/>
      <c r="AD33" s="68"/>
      <c r="AE33" s="68"/>
      <c r="AF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78" t="s">
        <v>125</v>
      </c>
      <c r="M34" s="79" t="s">
        <v>92</v>
      </c>
      <c r="N34" s="79" t="s">
        <v>93</v>
      </c>
      <c r="O34" s="79" t="s">
        <v>94</v>
      </c>
      <c r="P34" s="79" t="s">
        <v>95</v>
      </c>
      <c r="Q34" s="79" t="s">
        <v>96</v>
      </c>
      <c r="R34" s="79" t="s">
        <v>97</v>
      </c>
      <c r="S34" s="79" t="s">
        <v>98</v>
      </c>
      <c r="T34" s="79" t="s">
        <v>99</v>
      </c>
      <c r="U34" s="79" t="s">
        <v>100</v>
      </c>
      <c r="V34" s="79" t="s">
        <v>101</v>
      </c>
      <c r="W34" s="79" t="s">
        <v>102</v>
      </c>
      <c r="X34" s="79" t="s">
        <v>103</v>
      </c>
      <c r="Y34" s="68"/>
      <c r="Z34" s="68"/>
      <c r="AA34" s="68"/>
      <c r="AB34" s="68"/>
      <c r="AC34" s="68"/>
      <c r="AD34" s="68"/>
      <c r="AE34" s="68"/>
      <c r="AF34" s="68"/>
    </row>
    <row r="35" ht="15.75" customHeight="1">
      <c r="A35" s="68"/>
      <c r="B35" s="68"/>
      <c r="C35" s="68"/>
      <c r="D35" s="68"/>
      <c r="E35" s="76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7">
        <f>IFERROR(__xludf.DUMMYFUNCTION("""COMPUTED_VALUE"""),25.0)</f>
        <v>25</v>
      </c>
      <c r="G35" s="76"/>
      <c r="H35" s="77"/>
      <c r="I35" s="76"/>
      <c r="J35" s="77"/>
      <c r="K35" s="68"/>
      <c r="L35" s="83">
        <v>1.0</v>
      </c>
      <c r="M35" s="84">
        <v>25.0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5">
        <v>0.0</v>
      </c>
      <c r="Y35" s="68"/>
      <c r="Z35" s="68"/>
      <c r="AA35" s="68"/>
      <c r="AB35" s="68"/>
      <c r="AC35" s="68"/>
      <c r="AD35" s="68"/>
      <c r="AE35" s="68"/>
      <c r="AF35" s="68"/>
    </row>
    <row r="36" ht="15.75" customHeight="1">
      <c r="A36" s="68"/>
      <c r="B36" s="68"/>
      <c r="C36" s="68"/>
      <c r="D36" s="68"/>
      <c r="E36" s="76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7">
        <f>IFERROR(__xludf.DUMMYFUNCTION("""COMPUTED_VALUE"""),30.0)</f>
        <v>30</v>
      </c>
      <c r="G36" s="76"/>
      <c r="H36" s="77"/>
      <c r="I36" s="76"/>
      <c r="J36" s="77"/>
      <c r="K36" s="68"/>
      <c r="L36" s="83">
        <v>2.0</v>
      </c>
      <c r="M36" s="85">
        <v>0.0</v>
      </c>
      <c r="N36" s="85">
        <v>0.0</v>
      </c>
      <c r="O36" s="85">
        <v>0.0</v>
      </c>
      <c r="P36" s="85">
        <v>0.0</v>
      </c>
      <c r="Q36" s="85">
        <v>0.0</v>
      </c>
      <c r="R36" s="85">
        <v>0.0</v>
      </c>
      <c r="S36" s="85">
        <v>0.0</v>
      </c>
      <c r="T36" s="85">
        <v>0.0</v>
      </c>
      <c r="U36" s="84">
        <v>30.0</v>
      </c>
      <c r="V36" s="85">
        <v>0.0</v>
      </c>
      <c r="W36" s="85">
        <v>0.0</v>
      </c>
      <c r="X36" s="85">
        <v>0.0</v>
      </c>
      <c r="Y36" s="68"/>
      <c r="Z36" s="68"/>
      <c r="AA36" s="68"/>
      <c r="AB36" s="68"/>
      <c r="AC36" s="68"/>
      <c r="AD36" s="68"/>
      <c r="AE36" s="68"/>
      <c r="AF36" s="68"/>
    </row>
    <row r="37" ht="15.75" customHeight="1">
      <c r="A37" s="68"/>
      <c r="B37" s="68"/>
      <c r="C37" s="68"/>
      <c r="D37" s="68"/>
      <c r="E37" s="76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7">
        <f>IFERROR(__xludf.DUMMYFUNCTION("""COMPUTED_VALUE"""),1.0)</f>
        <v>1</v>
      </c>
      <c r="G37" s="76"/>
      <c r="H37" s="77"/>
      <c r="I37" s="76"/>
      <c r="J37" s="77"/>
      <c r="K37" s="68"/>
      <c r="L37" s="83">
        <v>3.0</v>
      </c>
      <c r="M37" s="85">
        <v>0.0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84">
        <v>1.0</v>
      </c>
      <c r="T37" s="85">
        <v>0.0</v>
      </c>
      <c r="U37" s="85">
        <v>0.0</v>
      </c>
      <c r="V37" s="85">
        <v>0.0</v>
      </c>
      <c r="W37" s="85">
        <v>0.0</v>
      </c>
      <c r="X37" s="85">
        <v>0.0</v>
      </c>
      <c r="Y37" s="68"/>
      <c r="Z37" s="68"/>
      <c r="AA37" s="68"/>
      <c r="AB37" s="68"/>
      <c r="AC37" s="68"/>
      <c r="AD37" s="68"/>
      <c r="AE37" s="68"/>
      <c r="AF37" s="68"/>
    </row>
    <row r="38" ht="15.75" customHeight="1">
      <c r="A38" s="68"/>
      <c r="B38" s="68"/>
      <c r="C38" s="68"/>
      <c r="D38" s="68"/>
      <c r="E38" s="76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7">
        <f>IFERROR(__xludf.DUMMYFUNCTION("""COMPUTED_VALUE"""),1.0)</f>
        <v>1</v>
      </c>
      <c r="G38" s="76"/>
      <c r="H38" s="77"/>
      <c r="I38" s="76"/>
      <c r="J38" s="77"/>
      <c r="K38" s="68"/>
      <c r="L38" s="83">
        <v>4.0</v>
      </c>
      <c r="M38" s="85">
        <v>0.0</v>
      </c>
      <c r="N38" s="85">
        <v>0.0</v>
      </c>
      <c r="O38" s="85">
        <v>0.0</v>
      </c>
      <c r="P38" s="85">
        <v>0.0</v>
      </c>
      <c r="Q38" s="85">
        <v>0.0</v>
      </c>
      <c r="R38" s="84">
        <v>1.0</v>
      </c>
      <c r="S38" s="85">
        <v>0.0</v>
      </c>
      <c r="T38" s="85">
        <v>0.0</v>
      </c>
      <c r="U38" s="85">
        <v>0.0</v>
      </c>
      <c r="V38" s="85">
        <v>0.0</v>
      </c>
      <c r="W38" s="85">
        <v>0.0</v>
      </c>
      <c r="X38" s="85">
        <v>0.0</v>
      </c>
      <c r="Y38" s="68"/>
      <c r="Z38" s="68"/>
      <c r="AA38" s="68"/>
      <c r="AB38" s="68"/>
      <c r="AC38" s="68"/>
      <c r="AD38" s="68"/>
      <c r="AE38" s="68"/>
      <c r="AF38" s="68"/>
    </row>
    <row r="39" ht="15.75" customHeight="1">
      <c r="A39" s="68"/>
      <c r="B39" s="68"/>
      <c r="C39" s="68"/>
      <c r="D39" s="68"/>
      <c r="E39" s="76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7">
        <f>IFERROR(__xludf.DUMMYFUNCTION("""COMPUTED_VALUE"""),30.0)</f>
        <v>30</v>
      </c>
      <c r="G39" s="76"/>
      <c r="H39" s="77"/>
      <c r="I39" s="76"/>
      <c r="J39" s="77"/>
      <c r="K39" s="68"/>
      <c r="L39" s="83">
        <v>5.0</v>
      </c>
      <c r="M39" s="84">
        <v>30.0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5">
        <v>0.0</v>
      </c>
      <c r="Y39" s="68"/>
      <c r="Z39" s="68"/>
      <c r="AA39" s="68"/>
      <c r="AB39" s="68"/>
      <c r="AC39" s="68"/>
      <c r="AD39" s="68"/>
      <c r="AE39" s="68"/>
      <c r="AF39" s="68"/>
    </row>
    <row r="40" ht="15.75" customHeight="1">
      <c r="A40" s="68"/>
      <c r="B40" s="68"/>
      <c r="C40" s="68"/>
      <c r="D40" s="68"/>
      <c r="E40" s="76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7">
        <f>IFERROR(__xludf.DUMMYFUNCTION("""COMPUTED_VALUE"""),1.0)</f>
        <v>1</v>
      </c>
      <c r="G40" s="76"/>
      <c r="H40" s="77"/>
      <c r="I40" s="76"/>
      <c r="J40" s="77"/>
      <c r="K40" s="68"/>
      <c r="L40" s="83">
        <v>6.0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4">
        <v>1.0</v>
      </c>
      <c r="S40" s="85">
        <v>0.0</v>
      </c>
      <c r="T40" s="85">
        <v>0.0</v>
      </c>
      <c r="U40" s="85">
        <v>0.0</v>
      </c>
      <c r="V40" s="85">
        <v>0.0</v>
      </c>
      <c r="W40" s="85">
        <v>0.0</v>
      </c>
      <c r="X40" s="85">
        <v>0.0</v>
      </c>
      <c r="Y40" s="68"/>
      <c r="Z40" s="68"/>
      <c r="AA40" s="68"/>
      <c r="AB40" s="68"/>
      <c r="AC40" s="68"/>
      <c r="AD40" s="68"/>
      <c r="AE40" s="68"/>
      <c r="AF40" s="68"/>
    </row>
    <row r="41" ht="15.75" customHeight="1">
      <c r="A41" s="68"/>
      <c r="B41" s="68"/>
      <c r="C41" s="68"/>
      <c r="D41" s="68"/>
      <c r="E41" s="76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77">
        <f>IFERROR(__xludf.DUMMYFUNCTION("""COMPUTED_VALUE"""),100.0)</f>
        <v>100</v>
      </c>
      <c r="G41" s="76" t="str">
        <f>IFERROR(__xludf.DUMMYFUNCTION("""COMPUTED_VALUE"""),"")</f>
        <v/>
      </c>
      <c r="H41" s="77">
        <f>IFERROR(__xludf.DUMMYFUNCTION("""COMPUTED_VALUE"""),1.0)</f>
        <v>1</v>
      </c>
      <c r="I41" s="76" t="str">
        <f>IFERROR(__xludf.DUMMYFUNCTION("""COMPUTED_VALUE"""),"")</f>
        <v/>
      </c>
      <c r="J41" s="77">
        <f>IFERROR(__xludf.DUMMYFUNCTION("""COMPUTED_VALUE"""),120.0)</f>
        <v>120</v>
      </c>
      <c r="K41" s="68"/>
      <c r="L41" s="83">
        <v>7.0</v>
      </c>
      <c r="M41" s="84">
        <v>100.0</v>
      </c>
      <c r="N41" s="85">
        <v>0.0</v>
      </c>
      <c r="O41" s="85">
        <v>0.0</v>
      </c>
      <c r="P41" s="85">
        <v>0.0</v>
      </c>
      <c r="Q41" s="85">
        <v>0.0</v>
      </c>
      <c r="R41" s="85">
        <v>0.0</v>
      </c>
      <c r="S41" s="85">
        <v>0.0</v>
      </c>
      <c r="T41" s="84">
        <v>1.0</v>
      </c>
      <c r="U41" s="84">
        <v>120.0</v>
      </c>
      <c r="V41" s="85">
        <v>0.0</v>
      </c>
      <c r="W41" s="85">
        <v>0.0</v>
      </c>
      <c r="X41" s="85">
        <v>0.0</v>
      </c>
      <c r="Y41" s="68"/>
      <c r="Z41" s="68"/>
      <c r="AA41" s="68"/>
      <c r="AB41" s="68"/>
      <c r="AC41" s="68"/>
      <c r="AD41" s="68"/>
      <c r="AE41" s="68"/>
      <c r="AF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68"/>
      <c r="Z42" s="68"/>
      <c r="AA42" s="68"/>
      <c r="AB42" s="68"/>
      <c r="AC42" s="68"/>
      <c r="AD42" s="68"/>
      <c r="AE42" s="68"/>
      <c r="AF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2" t="s">
        <v>137</v>
      </c>
      <c r="M43" s="72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68"/>
      <c r="Z43" s="68"/>
      <c r="AA43" s="68"/>
      <c r="AB43" s="68"/>
      <c r="AC43" s="68"/>
      <c r="AD43" s="68"/>
      <c r="AE43" s="68"/>
      <c r="AF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78" t="s">
        <v>125</v>
      </c>
      <c r="M44" s="79" t="s">
        <v>92</v>
      </c>
      <c r="N44" s="79" t="s">
        <v>93</v>
      </c>
      <c r="O44" s="79" t="s">
        <v>94</v>
      </c>
      <c r="P44" s="79" t="s">
        <v>95</v>
      </c>
      <c r="Q44" s="79" t="s">
        <v>96</v>
      </c>
      <c r="R44" s="79" t="s">
        <v>97</v>
      </c>
      <c r="S44" s="79" t="s">
        <v>98</v>
      </c>
      <c r="T44" s="79" t="s">
        <v>99</v>
      </c>
      <c r="U44" s="79" t="s">
        <v>100</v>
      </c>
      <c r="V44" s="79" t="s">
        <v>101</v>
      </c>
      <c r="W44" s="79" t="s">
        <v>102</v>
      </c>
      <c r="X44" s="79" t="s">
        <v>103</v>
      </c>
      <c r="Y44" s="68"/>
      <c r="Z44" s="68"/>
      <c r="AA44" s="68"/>
      <c r="AB44" s="68"/>
      <c r="AC44" s="68"/>
      <c r="AD44" s="68"/>
      <c r="AE44" s="68"/>
      <c r="AF44" s="68"/>
    </row>
    <row r="45" ht="15.75" customHeight="1">
      <c r="A45" s="68"/>
      <c r="B45" s="68"/>
      <c r="C45" s="68"/>
      <c r="D45" s="68"/>
      <c r="E45" s="76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7">
        <f>IFERROR(__xludf.DUMMYFUNCTION("""COMPUTED_VALUE"""),20.0)</f>
        <v>20</v>
      </c>
      <c r="G45" s="76"/>
      <c r="H45" s="77"/>
      <c r="I45" s="76"/>
      <c r="J45" s="77"/>
      <c r="K45" s="68"/>
      <c r="L45" s="83">
        <v>1.0</v>
      </c>
      <c r="M45" s="84">
        <v>20.0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5">
        <v>0.0</v>
      </c>
      <c r="Y45" s="68"/>
      <c r="Z45" s="68"/>
      <c r="AA45" s="68"/>
      <c r="AB45" s="68"/>
      <c r="AC45" s="68"/>
      <c r="AD45" s="68"/>
      <c r="AE45" s="68"/>
      <c r="AF45" s="68"/>
    </row>
    <row r="46" ht="15.75" customHeight="1">
      <c r="A46" s="68"/>
      <c r="B46" s="68"/>
      <c r="C46" s="68"/>
      <c r="D46" s="68"/>
      <c r="E46" s="76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7">
        <f>IFERROR(__xludf.DUMMYFUNCTION("""COMPUTED_VALUE"""),15.0)</f>
        <v>15</v>
      </c>
      <c r="G46" s="76"/>
      <c r="H46" s="77"/>
      <c r="I46" s="76"/>
      <c r="J46" s="77"/>
      <c r="K46" s="68"/>
      <c r="L46" s="83">
        <v>2.0</v>
      </c>
      <c r="M46" s="85">
        <v>0.0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85">
        <v>0.0</v>
      </c>
      <c r="T46" s="85">
        <v>0.0</v>
      </c>
      <c r="U46" s="84">
        <v>15.0</v>
      </c>
      <c r="V46" s="85">
        <v>0.0</v>
      </c>
      <c r="W46" s="85">
        <v>0.0</v>
      </c>
      <c r="X46" s="85">
        <v>0.0</v>
      </c>
      <c r="Y46" s="68"/>
      <c r="Z46" s="68"/>
      <c r="AA46" s="68"/>
      <c r="AB46" s="68"/>
      <c r="AC46" s="68"/>
      <c r="AD46" s="68"/>
      <c r="AE46" s="68"/>
      <c r="AF46" s="68"/>
    </row>
    <row r="47" ht="15.75" customHeight="1">
      <c r="A47" s="68"/>
      <c r="B47" s="68"/>
      <c r="C47" s="68"/>
      <c r="D47" s="68"/>
      <c r="E47" s="76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7">
        <f>IFERROR(__xludf.DUMMYFUNCTION("""COMPUTED_VALUE"""),1.0)</f>
        <v>1</v>
      </c>
      <c r="G47" s="76"/>
      <c r="H47" s="77"/>
      <c r="I47" s="76"/>
      <c r="J47" s="77"/>
      <c r="K47" s="68"/>
      <c r="L47" s="83">
        <v>3.0</v>
      </c>
      <c r="M47" s="85">
        <v>0.0</v>
      </c>
      <c r="N47" s="85">
        <v>0.0</v>
      </c>
      <c r="O47" s="85">
        <v>0.0</v>
      </c>
      <c r="P47" s="85">
        <v>0.0</v>
      </c>
      <c r="Q47" s="85">
        <v>0.0</v>
      </c>
      <c r="R47" s="84">
        <v>1.0</v>
      </c>
      <c r="S47" s="85">
        <v>0.0</v>
      </c>
      <c r="T47" s="85">
        <v>0.0</v>
      </c>
      <c r="U47" s="85">
        <v>0.0</v>
      </c>
      <c r="V47" s="85">
        <v>0.0</v>
      </c>
      <c r="W47" s="85">
        <v>0.0</v>
      </c>
      <c r="X47" s="85">
        <v>0.0</v>
      </c>
      <c r="Y47" s="68"/>
      <c r="Z47" s="68"/>
      <c r="AA47" s="68"/>
      <c r="AB47" s="68"/>
      <c r="AC47" s="68"/>
      <c r="AD47" s="68"/>
      <c r="AE47" s="68"/>
      <c r="AF47" s="68"/>
    </row>
    <row r="48" ht="15.75" customHeight="1">
      <c r="A48" s="68"/>
      <c r="B48" s="68"/>
      <c r="C48" s="68"/>
      <c r="D48" s="68"/>
      <c r="E48" s="76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7">
        <f>IFERROR(__xludf.DUMMYFUNCTION("""COMPUTED_VALUE"""),1.0)</f>
        <v>1</v>
      </c>
      <c r="G48" s="76"/>
      <c r="H48" s="77"/>
      <c r="I48" s="76"/>
      <c r="J48" s="77"/>
      <c r="K48" s="68"/>
      <c r="L48" s="83">
        <v>4.0</v>
      </c>
      <c r="M48" s="85">
        <v>0.0</v>
      </c>
      <c r="N48" s="85">
        <v>0.0</v>
      </c>
      <c r="O48" s="85">
        <v>0.0</v>
      </c>
      <c r="P48" s="85">
        <v>0.0</v>
      </c>
      <c r="Q48" s="85">
        <v>0.0</v>
      </c>
      <c r="R48" s="85">
        <v>0.0</v>
      </c>
      <c r="S48" s="84">
        <v>1.0</v>
      </c>
      <c r="T48" s="85">
        <v>0.0</v>
      </c>
      <c r="U48" s="85">
        <v>0.0</v>
      </c>
      <c r="V48" s="85">
        <v>0.0</v>
      </c>
      <c r="W48" s="85">
        <v>0.0</v>
      </c>
      <c r="X48" s="85">
        <v>0.0</v>
      </c>
      <c r="Y48" s="68"/>
      <c r="Z48" s="68"/>
      <c r="AA48" s="68"/>
      <c r="AB48" s="68"/>
      <c r="AC48" s="68"/>
      <c r="AD48" s="68"/>
      <c r="AE48" s="68"/>
      <c r="AF48" s="68"/>
    </row>
    <row r="49" ht="15.75" customHeight="1">
      <c r="A49" s="68"/>
      <c r="B49" s="68"/>
      <c r="C49" s="68"/>
      <c r="D49" s="68"/>
      <c r="E49" s="76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7">
        <f>IFERROR(__xludf.DUMMYFUNCTION("""COMPUTED_VALUE"""),60.0)</f>
        <v>60</v>
      </c>
      <c r="G49" s="76"/>
      <c r="H49" s="77"/>
      <c r="I49" s="76"/>
      <c r="J49" s="77"/>
      <c r="K49" s="68"/>
      <c r="L49" s="83">
        <v>5.0</v>
      </c>
      <c r="M49" s="85">
        <v>0.0</v>
      </c>
      <c r="N49" s="85">
        <v>0.0</v>
      </c>
      <c r="O49" s="85">
        <v>0.0</v>
      </c>
      <c r="P49" s="85">
        <v>0.0</v>
      </c>
      <c r="Q49" s="85">
        <v>0.0</v>
      </c>
      <c r="R49" s="85">
        <v>0.0</v>
      </c>
      <c r="S49" s="85">
        <v>0.0</v>
      </c>
      <c r="T49" s="85">
        <v>0.0</v>
      </c>
      <c r="U49" s="84">
        <v>60.0</v>
      </c>
      <c r="V49" s="85">
        <v>0.0</v>
      </c>
      <c r="W49" s="85">
        <v>0.0</v>
      </c>
      <c r="X49" s="85">
        <v>0.0</v>
      </c>
      <c r="Y49" s="68"/>
      <c r="Z49" s="68"/>
      <c r="AA49" s="68"/>
      <c r="AB49" s="68"/>
      <c r="AC49" s="68"/>
      <c r="AD49" s="68"/>
      <c r="AE49" s="68"/>
      <c r="AF49" s="68"/>
    </row>
    <row r="50" ht="15.75" customHeight="1">
      <c r="A50" s="68"/>
      <c r="B50" s="68"/>
      <c r="C50" s="68"/>
      <c r="D50" s="68"/>
      <c r="E50" s="76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7">
        <f>IFERROR(__xludf.DUMMYFUNCTION("""COMPUTED_VALUE"""),35.0)</f>
        <v>35</v>
      </c>
      <c r="G50" s="76"/>
      <c r="H50" s="77"/>
      <c r="I50" s="76"/>
      <c r="J50" s="77"/>
      <c r="K50" s="68"/>
      <c r="L50" s="83">
        <v>6.0</v>
      </c>
      <c r="M50" s="84">
        <v>35.0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85">
        <v>0.0</v>
      </c>
      <c r="T50" s="85">
        <v>0.0</v>
      </c>
      <c r="U50" s="85">
        <v>0.0</v>
      </c>
      <c r="V50" s="85">
        <v>0.0</v>
      </c>
      <c r="W50" s="85">
        <v>0.0</v>
      </c>
      <c r="X50" s="85">
        <v>0.0</v>
      </c>
      <c r="Y50" s="68"/>
      <c r="Z50" s="68"/>
      <c r="AA50" s="68"/>
      <c r="AB50" s="68"/>
      <c r="AC50" s="68"/>
      <c r="AD50" s="68"/>
      <c r="AE50" s="68"/>
      <c r="AF50" s="68"/>
    </row>
    <row r="51" ht="15.75" customHeight="1">
      <c r="A51" s="68"/>
      <c r="B51" s="68"/>
      <c r="C51" s="68"/>
      <c r="D51" s="68"/>
      <c r="E51" s="76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77">
        <f>IFERROR(__xludf.DUMMYFUNCTION("""COMPUTED_VALUE"""),100.0)</f>
        <v>100</v>
      </c>
      <c r="G51" s="76" t="str">
        <f>IFERROR(__xludf.DUMMYFUNCTION("""COMPUTED_VALUE"""),"")</f>
        <v/>
      </c>
      <c r="H51" s="77">
        <f>IFERROR(__xludf.DUMMYFUNCTION("""COMPUTED_VALUE"""),1.0)</f>
        <v>1</v>
      </c>
      <c r="I51" s="76" t="str">
        <f>IFERROR(__xludf.DUMMYFUNCTION("""COMPUTED_VALUE"""),"")</f>
        <v/>
      </c>
      <c r="J51" s="77">
        <f>IFERROR(__xludf.DUMMYFUNCTION("""COMPUTED_VALUE"""),120.0)</f>
        <v>120</v>
      </c>
      <c r="K51" s="68"/>
      <c r="L51" s="83">
        <v>7.0</v>
      </c>
      <c r="M51" s="84">
        <v>100.0</v>
      </c>
      <c r="N51" s="85">
        <v>0.0</v>
      </c>
      <c r="O51" s="85">
        <v>0.0</v>
      </c>
      <c r="P51" s="85">
        <v>0.0</v>
      </c>
      <c r="Q51" s="85">
        <v>0.0</v>
      </c>
      <c r="R51" s="84">
        <v>1.0</v>
      </c>
      <c r="S51" s="85">
        <v>0.0</v>
      </c>
      <c r="T51" s="85">
        <v>0.0</v>
      </c>
      <c r="U51" s="84">
        <v>120.0</v>
      </c>
      <c r="V51" s="85">
        <v>0.0</v>
      </c>
      <c r="W51" s="85">
        <v>0.0</v>
      </c>
      <c r="X51" s="85">
        <v>0.0</v>
      </c>
      <c r="Y51" s="68"/>
      <c r="Z51" s="68"/>
      <c r="AA51" s="68"/>
      <c r="AB51" s="68"/>
      <c r="AC51" s="68"/>
      <c r="AD51" s="68"/>
      <c r="AE51" s="68"/>
      <c r="AF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</row>
  </sheetData>
  <mergeCells count="1">
    <mergeCell ref="E3:J3"/>
  </mergeCells>
  <conditionalFormatting sqref="M4:X51">
    <cfRule type="cellIs" dxfId="11" priority="1" operator="greaterThan">
      <formula>0</formula>
    </cfRule>
  </conditionalFormatting>
  <conditionalFormatting sqref="M4:X51">
    <cfRule type="cellIs" dxfId="1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5.0"/>
    <col customWidth="1" min="3" max="3" width="8.71"/>
    <col customWidth="1" min="4" max="4" width="4.29"/>
    <col customWidth="1" min="5" max="10" width="3.86"/>
    <col customWidth="1" min="11" max="11" width="4.86"/>
    <col customWidth="1" min="12" max="12" width="8.71"/>
    <col customWidth="1" min="13" max="24" width="8.29"/>
    <col customWidth="1" min="25" max="27" width="8.71"/>
    <col hidden="1" min="28" max="29" width="14.43"/>
    <col customWidth="1" min="30" max="32" width="8.71"/>
  </cols>
  <sheetData>
    <row r="1" ht="17.25" customHeight="1">
      <c r="A1" s="67" t="s">
        <v>138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</row>
    <row r="2" ht="15.0" customHeight="1">
      <c r="A2" s="92"/>
      <c r="B2" s="68"/>
      <c r="C2" s="68"/>
      <c r="D2" s="68"/>
      <c r="E2" s="68"/>
      <c r="F2" s="68"/>
      <c r="G2" s="68"/>
      <c r="H2" s="68"/>
      <c r="I2" s="68"/>
      <c r="J2" s="68"/>
      <c r="K2" s="68"/>
      <c r="L2" s="80" t="s">
        <v>139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 ht="15.0" customHeight="1">
      <c r="A3" s="70" t="s">
        <v>125</v>
      </c>
      <c r="B3" s="70" t="s">
        <v>126</v>
      </c>
      <c r="C3" s="68"/>
      <c r="D3" s="68"/>
      <c r="E3" s="71" t="s">
        <v>127</v>
      </c>
      <c r="K3" s="68"/>
      <c r="L3" s="72" t="s">
        <v>128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68"/>
      <c r="Z3" s="68"/>
      <c r="AA3" s="68"/>
      <c r="AB3" s="70" t="s">
        <v>129</v>
      </c>
      <c r="AC3" s="70" t="s">
        <v>130</v>
      </c>
      <c r="AD3" s="68"/>
      <c r="AE3" s="68"/>
      <c r="AF3" s="68"/>
    </row>
    <row r="4" ht="15.0" customHeight="1">
      <c r="A4" s="93">
        <v>1.0</v>
      </c>
      <c r="B4" s="94">
        <f>average(M5,M16,M26,M35,M45)</f>
        <v>10</v>
      </c>
      <c r="C4" s="68"/>
      <c r="D4" s="68"/>
      <c r="G4" s="76"/>
      <c r="H4" s="77"/>
      <c r="I4" s="76"/>
      <c r="J4" s="77"/>
      <c r="K4" s="68"/>
      <c r="L4" s="78" t="s">
        <v>125</v>
      </c>
      <c r="M4" s="79" t="s">
        <v>92</v>
      </c>
      <c r="N4" s="79" t="s">
        <v>93</v>
      </c>
      <c r="O4" s="79" t="s">
        <v>94</v>
      </c>
      <c r="P4" s="79" t="s">
        <v>95</v>
      </c>
      <c r="Q4" s="79" t="s">
        <v>96</v>
      </c>
      <c r="R4" s="79" t="s">
        <v>97</v>
      </c>
      <c r="S4" s="79" t="s">
        <v>98</v>
      </c>
      <c r="T4" s="79" t="s">
        <v>99</v>
      </c>
      <c r="U4" s="79" t="s">
        <v>100</v>
      </c>
      <c r="V4" s="79" t="s">
        <v>101</v>
      </c>
      <c r="W4" s="79" t="s">
        <v>102</v>
      </c>
      <c r="X4" s="79" t="s">
        <v>103</v>
      </c>
      <c r="Y4" s="68"/>
      <c r="Z4" s="68"/>
      <c r="AA4" s="68"/>
      <c r="AB4" s="80" t="s">
        <v>131</v>
      </c>
      <c r="AC4" s="80"/>
      <c r="AD4" s="68"/>
      <c r="AE4" s="68"/>
      <c r="AF4" s="68"/>
    </row>
    <row r="5" ht="15.0" customHeight="1">
      <c r="A5" s="95">
        <v>2.0</v>
      </c>
      <c r="B5" s="96">
        <v>0.0</v>
      </c>
      <c r="C5" s="68"/>
      <c r="D5" s="68"/>
      <c r="E5" s="76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7">
        <f>IFERROR(__xludf.DUMMYFUNCTION("""COMPUTED_VALUE"""),10.0)</f>
        <v>10</v>
      </c>
      <c r="G5" s="76"/>
      <c r="H5" s="77"/>
      <c r="I5" s="76"/>
      <c r="J5" s="77"/>
      <c r="K5" s="68"/>
      <c r="L5" s="83">
        <v>1.0</v>
      </c>
      <c r="M5" s="97">
        <v>10.0</v>
      </c>
      <c r="N5" s="85">
        <v>0.0</v>
      </c>
      <c r="O5" s="85">
        <v>0.0</v>
      </c>
      <c r="P5" s="85">
        <v>0.0</v>
      </c>
      <c r="Q5" s="85">
        <v>0.0</v>
      </c>
      <c r="R5" s="85">
        <v>0.0</v>
      </c>
      <c r="S5" s="85">
        <v>0.0</v>
      </c>
      <c r="T5" s="85">
        <v>0.0</v>
      </c>
      <c r="U5" s="85">
        <v>0.0</v>
      </c>
      <c r="V5" s="85">
        <v>0.0</v>
      </c>
      <c r="W5" s="85">
        <v>0.0</v>
      </c>
      <c r="X5" s="85">
        <v>0.0</v>
      </c>
      <c r="Y5" s="68"/>
      <c r="Z5" s="68"/>
      <c r="AA5" s="68"/>
      <c r="AB5" s="68" t="s">
        <v>93</v>
      </c>
      <c r="AC5" s="68"/>
      <c r="AD5" s="68"/>
      <c r="AE5" s="68"/>
      <c r="AF5" s="68"/>
    </row>
    <row r="6" ht="15.0" customHeight="1">
      <c r="A6" s="95">
        <v>3.0</v>
      </c>
      <c r="B6" s="96">
        <v>0.0</v>
      </c>
      <c r="C6" s="68"/>
      <c r="D6" s="68"/>
      <c r="E6" s="76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7">
        <f>IFERROR(__xludf.DUMMYFUNCTION("""COMPUTED_VALUE"""),15.0)</f>
        <v>15</v>
      </c>
      <c r="G6" s="76"/>
      <c r="H6" s="77"/>
      <c r="I6" s="76"/>
      <c r="J6" s="77"/>
      <c r="K6" s="68"/>
      <c r="L6" s="83">
        <v>2.0</v>
      </c>
      <c r="M6" s="85">
        <v>0.0</v>
      </c>
      <c r="N6" s="85">
        <v>0.0</v>
      </c>
      <c r="O6" s="85">
        <v>0.0</v>
      </c>
      <c r="P6" s="85">
        <v>0.0</v>
      </c>
      <c r="Q6" s="85">
        <v>0.0</v>
      </c>
      <c r="R6" s="85">
        <v>0.0</v>
      </c>
      <c r="S6" s="85">
        <v>0.0</v>
      </c>
      <c r="T6" s="85">
        <v>0.0</v>
      </c>
      <c r="U6" s="84">
        <v>15.0</v>
      </c>
      <c r="V6" s="85">
        <v>0.0</v>
      </c>
      <c r="W6" s="85">
        <v>0.0</v>
      </c>
      <c r="X6" s="85">
        <v>0.0</v>
      </c>
      <c r="Y6" s="68"/>
      <c r="Z6" s="68"/>
      <c r="AA6" s="68"/>
      <c r="AB6" s="68" t="s">
        <v>94</v>
      </c>
      <c r="AC6" s="80"/>
      <c r="AD6" s="68"/>
      <c r="AE6" s="68"/>
      <c r="AF6" s="68"/>
    </row>
    <row r="7" ht="15.0" customHeight="1">
      <c r="A7" s="95">
        <v>4.0</v>
      </c>
      <c r="B7" s="98">
        <f>mround(average(M8,M18,M28), 1)</f>
        <v>10</v>
      </c>
      <c r="C7" s="68"/>
      <c r="D7" s="68"/>
      <c r="E7" s="76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7">
        <f>IFERROR(__xludf.DUMMYFUNCTION("""COMPUTED_VALUE"""),1.0)</f>
        <v>1</v>
      </c>
      <c r="G7" s="76"/>
      <c r="H7" s="77"/>
      <c r="I7" s="76"/>
      <c r="J7" s="77"/>
      <c r="K7" s="68"/>
      <c r="L7" s="83">
        <v>3.0</v>
      </c>
      <c r="M7" s="85">
        <v>0.0</v>
      </c>
      <c r="N7" s="85">
        <v>0.0</v>
      </c>
      <c r="O7" s="85">
        <v>0.0</v>
      </c>
      <c r="P7" s="85">
        <v>0.0</v>
      </c>
      <c r="Q7" s="85">
        <v>0.0</v>
      </c>
      <c r="R7" s="84">
        <v>1.0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5">
        <v>0.0</v>
      </c>
      <c r="Y7" s="68"/>
      <c r="Z7" s="68"/>
      <c r="AA7" s="68"/>
      <c r="AB7" s="68" t="s">
        <v>95</v>
      </c>
      <c r="AC7" s="80"/>
      <c r="AD7" s="68"/>
      <c r="AE7" s="68"/>
      <c r="AF7" s="68"/>
    </row>
    <row r="8" ht="15.0" customHeight="1">
      <c r="A8" s="95">
        <v>5.0</v>
      </c>
      <c r="B8" s="96">
        <v>0.0</v>
      </c>
      <c r="C8" s="68"/>
      <c r="D8" s="68"/>
      <c r="E8" s="76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7">
        <f>IFERROR(__xludf.DUMMYFUNCTION("""COMPUTED_VALUE"""),10.0)</f>
        <v>10</v>
      </c>
      <c r="G8" s="76"/>
      <c r="H8" s="77"/>
      <c r="I8" s="76"/>
      <c r="J8" s="77"/>
      <c r="K8" s="68"/>
      <c r="L8" s="83">
        <v>4.0</v>
      </c>
      <c r="M8" s="97">
        <v>10.0</v>
      </c>
      <c r="N8" s="85">
        <v>0.0</v>
      </c>
      <c r="O8" s="85">
        <v>0.0</v>
      </c>
      <c r="P8" s="85">
        <v>0.0</v>
      </c>
      <c r="Q8" s="85">
        <v>0.0</v>
      </c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5">
        <v>0.0</v>
      </c>
      <c r="Y8" s="68"/>
      <c r="Z8" s="68"/>
      <c r="AA8" s="68"/>
      <c r="AB8" s="68" t="s">
        <v>96</v>
      </c>
      <c r="AC8" s="80"/>
      <c r="AD8" s="68"/>
      <c r="AE8" s="68"/>
      <c r="AF8" s="68"/>
    </row>
    <row r="9" ht="15.0" customHeight="1">
      <c r="A9" s="95">
        <v>6.0</v>
      </c>
      <c r="B9" s="98">
        <f>mround(AVERAGE(M10, M20, M30, M50),1)</f>
        <v>10</v>
      </c>
      <c r="C9" s="68"/>
      <c r="D9" s="68"/>
      <c r="E9" s="76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7">
        <f>IFERROR(__xludf.DUMMYFUNCTION("""COMPUTED_VALUE"""),1.0)</f>
        <v>1</v>
      </c>
      <c r="G9" s="76"/>
      <c r="H9" s="77"/>
      <c r="I9" s="76"/>
      <c r="J9" s="77"/>
      <c r="K9" s="68"/>
      <c r="L9" s="83">
        <v>5.0</v>
      </c>
      <c r="M9" s="85">
        <v>0.0</v>
      </c>
      <c r="N9" s="85">
        <v>0.0</v>
      </c>
      <c r="O9" s="85">
        <v>0.0</v>
      </c>
      <c r="P9" s="85">
        <v>0.0</v>
      </c>
      <c r="Q9" s="85">
        <v>0.0</v>
      </c>
      <c r="R9" s="85">
        <v>0.0</v>
      </c>
      <c r="S9" s="84">
        <v>1.0</v>
      </c>
      <c r="T9" s="85">
        <v>0.0</v>
      </c>
      <c r="U9" s="85">
        <v>0.0</v>
      </c>
      <c r="V9" s="85">
        <v>0.0</v>
      </c>
      <c r="W9" s="85">
        <v>0.0</v>
      </c>
      <c r="X9" s="85">
        <v>0.0</v>
      </c>
      <c r="Y9" s="68"/>
      <c r="Z9" s="68"/>
      <c r="AA9" s="68"/>
      <c r="AB9" s="68" t="s">
        <v>97</v>
      </c>
      <c r="AC9" s="80"/>
      <c r="AD9" s="68"/>
      <c r="AE9" s="68"/>
      <c r="AF9" s="68"/>
    </row>
    <row r="10" ht="15.0" customHeight="1">
      <c r="A10" s="99">
        <v>7.0</v>
      </c>
      <c r="B10" s="100">
        <v>100.0</v>
      </c>
      <c r="C10" s="68"/>
      <c r="D10" s="68"/>
      <c r="E10" s="76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7">
        <f>IFERROR(__xludf.DUMMYFUNCTION("""COMPUTED_VALUE"""),10.0)</f>
        <v>10</v>
      </c>
      <c r="G10" s="76"/>
      <c r="H10" s="77"/>
      <c r="I10" s="76"/>
      <c r="J10" s="77"/>
      <c r="K10" s="68"/>
      <c r="L10" s="83">
        <v>6.0</v>
      </c>
      <c r="M10" s="97">
        <v>10.0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85">
        <v>0.0</v>
      </c>
      <c r="T10" s="85">
        <v>0.0</v>
      </c>
      <c r="U10" s="85">
        <v>0.0</v>
      </c>
      <c r="V10" s="85">
        <v>0.0</v>
      </c>
      <c r="W10" s="85">
        <v>0.0</v>
      </c>
      <c r="X10" s="85">
        <v>0.0</v>
      </c>
      <c r="Y10" s="68"/>
      <c r="Z10" s="68"/>
      <c r="AA10" s="68"/>
      <c r="AB10" s="68" t="s">
        <v>98</v>
      </c>
      <c r="AC10" s="80"/>
      <c r="AD10" s="68"/>
      <c r="AE10" s="68"/>
      <c r="AF10" s="68"/>
    </row>
    <row r="11" ht="14.25" customHeight="1">
      <c r="A11" s="68"/>
      <c r="B11" s="68"/>
      <c r="C11" s="68"/>
      <c r="D11" s="68"/>
      <c r="E11" s="76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7">
        <f>IFERROR(__xludf.DUMMYFUNCTION("""COMPUTED_VALUE"""),100.0)</f>
        <v>100</v>
      </c>
      <c r="G11" s="76" t="str">
        <f>IFERROR(__xludf.DUMMYFUNCTION("""COMPUTED_VALUE"""),"")</f>
        <v/>
      </c>
      <c r="H11" s="77">
        <f>IFERROR(__xludf.DUMMYFUNCTION("""COMPUTED_VALUE"""),120.0)</f>
        <v>120</v>
      </c>
      <c r="I11" s="76" t="str">
        <f>IFERROR(__xludf.DUMMYFUNCTION("""COMPUTED_VALUE"""),"")</f>
        <v/>
      </c>
      <c r="J11" s="77">
        <f>IFERROR(__xludf.DUMMYFUNCTION("""COMPUTED_VALUE"""),60.0)</f>
        <v>60</v>
      </c>
      <c r="K11" s="68"/>
      <c r="L11" s="83">
        <v>7.0</v>
      </c>
      <c r="M11" s="84">
        <v>100.0</v>
      </c>
      <c r="N11" s="85">
        <v>0.0</v>
      </c>
      <c r="O11" s="85">
        <v>0.0</v>
      </c>
      <c r="P11" s="85">
        <v>0.0</v>
      </c>
      <c r="Q11" s="85">
        <v>0.0</v>
      </c>
      <c r="R11" s="85">
        <v>0.0</v>
      </c>
      <c r="S11" s="85">
        <v>0.0</v>
      </c>
      <c r="T11" s="85">
        <v>0.0</v>
      </c>
      <c r="U11" s="84">
        <v>120.0</v>
      </c>
      <c r="V11" s="84">
        <v>60.0</v>
      </c>
      <c r="W11" s="85">
        <v>0.0</v>
      </c>
      <c r="X11" s="85">
        <v>0.0</v>
      </c>
      <c r="Y11" s="68"/>
      <c r="Z11" s="68"/>
      <c r="AA11" s="68"/>
      <c r="AB11" s="68" t="s">
        <v>99</v>
      </c>
      <c r="AC11" s="80"/>
      <c r="AD11" s="68"/>
      <c r="AE11" s="68"/>
      <c r="AF11" s="68"/>
    </row>
    <row r="12" ht="15.0" customHeight="1">
      <c r="A12" s="88" t="s">
        <v>132</v>
      </c>
      <c r="B12" s="89">
        <f>SUM(B4:B10)</f>
        <v>130</v>
      </c>
      <c r="C12" s="68"/>
      <c r="D12" s="68"/>
      <c r="E12" s="76"/>
      <c r="F12" s="77"/>
      <c r="G12" s="76"/>
      <c r="H12" s="77"/>
      <c r="I12" s="76"/>
      <c r="J12" s="77"/>
      <c r="K12" s="68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68"/>
      <c r="Z12" s="68"/>
      <c r="AA12" s="68"/>
      <c r="AB12" s="68" t="s">
        <v>100</v>
      </c>
      <c r="AC12" s="80"/>
      <c r="AD12" s="68"/>
      <c r="AE12" s="68"/>
      <c r="AF12" s="68"/>
    </row>
    <row r="13" ht="15.0" customHeight="1">
      <c r="A13" s="88" t="s">
        <v>133</v>
      </c>
      <c r="B13" s="91">
        <f>B12/7</f>
        <v>18.57142857</v>
      </c>
      <c r="C13" s="68"/>
      <c r="D13" s="68"/>
      <c r="E13" s="76"/>
      <c r="F13" s="77"/>
      <c r="G13" s="76"/>
      <c r="H13" s="77"/>
      <c r="I13" s="76"/>
      <c r="J13" s="77"/>
      <c r="K13" s="68"/>
      <c r="L13" s="72" t="s">
        <v>134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68"/>
      <c r="Z13" s="68"/>
      <c r="AA13" s="68"/>
      <c r="AB13" s="68" t="s">
        <v>101</v>
      </c>
      <c r="AC13" s="80"/>
      <c r="AD13" s="68"/>
      <c r="AE13" s="68"/>
      <c r="AF13" s="68"/>
    </row>
    <row r="14" ht="14.2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78" t="s">
        <v>125</v>
      </c>
      <c r="M14" s="79" t="s">
        <v>92</v>
      </c>
      <c r="N14" s="79" t="s">
        <v>93</v>
      </c>
      <c r="O14" s="79" t="s">
        <v>94</v>
      </c>
      <c r="P14" s="79" t="s">
        <v>95</v>
      </c>
      <c r="Q14" s="79" t="s">
        <v>96</v>
      </c>
      <c r="R14" s="79" t="s">
        <v>97</v>
      </c>
      <c r="S14" s="79" t="s">
        <v>98</v>
      </c>
      <c r="T14" s="79" t="s">
        <v>99</v>
      </c>
      <c r="U14" s="79" t="s">
        <v>100</v>
      </c>
      <c r="V14" s="79" t="s">
        <v>101</v>
      </c>
      <c r="W14" s="79" t="s">
        <v>102</v>
      </c>
      <c r="X14" s="79" t="s">
        <v>103</v>
      </c>
      <c r="Y14" s="68"/>
      <c r="Z14" s="68"/>
      <c r="AA14" s="68"/>
      <c r="AB14" s="68" t="s">
        <v>102</v>
      </c>
      <c r="AC14" s="80"/>
      <c r="AD14" s="68"/>
      <c r="AE14" s="68"/>
      <c r="AF14" s="68"/>
    </row>
    <row r="15" ht="15.0" customHeight="1">
      <c r="A15" s="88" t="s">
        <v>140</v>
      </c>
      <c r="B15" s="101">
        <f>B12/daily_rewards_old!B12</f>
        <v>0.7142857143</v>
      </c>
      <c r="C15" s="68"/>
      <c r="D15" s="68"/>
      <c r="E15" s="76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7">
        <f>IFERROR(__xludf.DUMMYFUNCTION("""COMPUTED_VALUE"""),20.0)</f>
        <v>20</v>
      </c>
      <c r="G15" s="76"/>
      <c r="H15" s="77"/>
      <c r="I15" s="76"/>
      <c r="J15" s="77"/>
      <c r="K15" s="68"/>
      <c r="L15" s="83">
        <v>1.0</v>
      </c>
      <c r="M15" s="85">
        <v>0.0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85">
        <v>0.0</v>
      </c>
      <c r="T15" s="85">
        <v>0.0</v>
      </c>
      <c r="U15" s="84">
        <v>20.0</v>
      </c>
      <c r="V15" s="85">
        <v>0.0</v>
      </c>
      <c r="W15" s="85">
        <v>0.0</v>
      </c>
      <c r="X15" s="85">
        <v>0.0</v>
      </c>
      <c r="Y15" s="68"/>
      <c r="Z15" s="68"/>
      <c r="AA15" s="68"/>
      <c r="AB15" s="68" t="s">
        <v>103</v>
      </c>
      <c r="AC15" s="80"/>
      <c r="AD15" s="68"/>
      <c r="AE15" s="68"/>
      <c r="AF15" s="68"/>
    </row>
    <row r="16" ht="14.25" customHeight="1">
      <c r="A16" s="68"/>
      <c r="B16" s="68"/>
      <c r="C16" s="68"/>
      <c r="D16" s="68"/>
      <c r="E16" s="76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7">
        <f>IFERROR(__xludf.DUMMYFUNCTION("""COMPUTED_VALUE"""),10.0)</f>
        <v>10</v>
      </c>
      <c r="G16" s="76"/>
      <c r="H16" s="77"/>
      <c r="I16" s="76"/>
      <c r="J16" s="77"/>
      <c r="K16" s="68"/>
      <c r="L16" s="83">
        <v>2.0</v>
      </c>
      <c r="M16" s="97">
        <v>10.0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85">
        <v>0.0</v>
      </c>
      <c r="T16" s="85">
        <v>0.0</v>
      </c>
      <c r="U16" s="85">
        <v>0.0</v>
      </c>
      <c r="V16" s="85">
        <v>0.0</v>
      </c>
      <c r="W16" s="85">
        <v>0.0</v>
      </c>
      <c r="X16" s="85">
        <v>0.0</v>
      </c>
      <c r="Y16" s="68"/>
      <c r="Z16" s="68"/>
      <c r="AA16" s="68"/>
      <c r="AB16" s="68"/>
      <c r="AC16" s="68"/>
      <c r="AD16" s="68"/>
      <c r="AE16" s="68"/>
      <c r="AF16" s="68"/>
    </row>
    <row r="17" ht="14.25" customHeight="1">
      <c r="A17" s="68"/>
      <c r="B17" s="68"/>
      <c r="C17" s="68"/>
      <c r="D17" s="68"/>
      <c r="E17" s="76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7">
        <f>IFERROR(__xludf.DUMMYFUNCTION("""COMPUTED_VALUE"""),1.0)</f>
        <v>1</v>
      </c>
      <c r="G17" s="76"/>
      <c r="H17" s="77"/>
      <c r="I17" s="76"/>
      <c r="J17" s="77"/>
      <c r="K17" s="68"/>
      <c r="L17" s="83">
        <v>3.0</v>
      </c>
      <c r="M17" s="85">
        <v>0.0</v>
      </c>
      <c r="N17" s="85">
        <v>0.0</v>
      </c>
      <c r="O17" s="85">
        <v>0.0</v>
      </c>
      <c r="P17" s="85">
        <v>0.0</v>
      </c>
      <c r="Q17" s="85">
        <v>0.0</v>
      </c>
      <c r="R17" s="84">
        <v>1.0</v>
      </c>
      <c r="S17" s="85">
        <v>0.0</v>
      </c>
      <c r="T17" s="85">
        <v>0.0</v>
      </c>
      <c r="U17" s="85">
        <v>0.0</v>
      </c>
      <c r="V17" s="85">
        <v>0.0</v>
      </c>
      <c r="W17" s="85">
        <v>0.0</v>
      </c>
      <c r="X17" s="85">
        <v>0.0</v>
      </c>
      <c r="Y17" s="68"/>
      <c r="Z17" s="68"/>
      <c r="AA17" s="68"/>
      <c r="AB17" s="68"/>
      <c r="AC17" s="68"/>
      <c r="AD17" s="68"/>
      <c r="AE17" s="68"/>
      <c r="AF17" s="68"/>
    </row>
    <row r="18" ht="14.25" customHeight="1">
      <c r="A18" s="68"/>
      <c r="B18" s="68"/>
      <c r="C18" s="68"/>
      <c r="D18" s="68"/>
      <c r="E18" s="76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7">
        <f>IFERROR(__xludf.DUMMYFUNCTION("""COMPUTED_VALUE"""),10.0)</f>
        <v>10</v>
      </c>
      <c r="G18" s="76"/>
      <c r="H18" s="77"/>
      <c r="I18" s="76"/>
      <c r="J18" s="77"/>
      <c r="K18" s="68"/>
      <c r="L18" s="83">
        <v>4.0</v>
      </c>
      <c r="M18" s="97">
        <v>10.0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85">
        <v>0.0</v>
      </c>
      <c r="T18" s="85">
        <v>0.0</v>
      </c>
      <c r="U18" s="85">
        <v>0.0</v>
      </c>
      <c r="V18" s="85">
        <v>0.0</v>
      </c>
      <c r="W18" s="85">
        <v>0.0</v>
      </c>
      <c r="X18" s="85">
        <v>0.0</v>
      </c>
      <c r="Y18" s="68"/>
      <c r="Z18" s="68"/>
      <c r="AA18" s="68"/>
      <c r="AB18" s="68"/>
      <c r="AC18" s="68"/>
      <c r="AD18" s="68"/>
      <c r="AE18" s="68"/>
      <c r="AF18" s="68"/>
    </row>
    <row r="19" ht="14.25" customHeight="1">
      <c r="A19" s="68"/>
      <c r="B19" s="68"/>
      <c r="C19" s="68"/>
      <c r="D19" s="68"/>
      <c r="E19" s="76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7">
        <f>IFERROR(__xludf.DUMMYFUNCTION("""COMPUTED_VALUE"""),1.0)</f>
        <v>1</v>
      </c>
      <c r="G19" s="76"/>
      <c r="H19" s="77"/>
      <c r="I19" s="76"/>
      <c r="J19" s="77"/>
      <c r="K19" s="68"/>
      <c r="L19" s="83">
        <v>5.0</v>
      </c>
      <c r="M19" s="85">
        <v>0.0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84">
        <v>1.0</v>
      </c>
      <c r="T19" s="85">
        <v>0.0</v>
      </c>
      <c r="U19" s="85">
        <v>0.0</v>
      </c>
      <c r="V19" s="85">
        <v>0.0</v>
      </c>
      <c r="W19" s="85">
        <v>0.0</v>
      </c>
      <c r="X19" s="85">
        <v>0.0</v>
      </c>
      <c r="Y19" s="68"/>
      <c r="Z19" s="68"/>
      <c r="AA19" s="68"/>
      <c r="AB19" s="68"/>
      <c r="AC19" s="68"/>
      <c r="AD19" s="68"/>
      <c r="AE19" s="68"/>
      <c r="AF19" s="68"/>
    </row>
    <row r="20" ht="14.25" customHeight="1">
      <c r="A20" s="68"/>
      <c r="B20" s="68"/>
      <c r="C20" s="68"/>
      <c r="D20" s="68"/>
      <c r="E20" s="76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7">
        <f>IFERROR(__xludf.DUMMYFUNCTION("""COMPUTED_VALUE"""),10.0)</f>
        <v>10</v>
      </c>
      <c r="G20" s="76"/>
      <c r="H20" s="77"/>
      <c r="I20" s="76"/>
      <c r="J20" s="77"/>
      <c r="K20" s="68"/>
      <c r="L20" s="83">
        <v>6.0</v>
      </c>
      <c r="M20" s="97">
        <v>10.0</v>
      </c>
      <c r="N20" s="85">
        <v>0.0</v>
      </c>
      <c r="O20" s="85">
        <v>0.0</v>
      </c>
      <c r="P20" s="85">
        <v>0.0</v>
      </c>
      <c r="Q20" s="85">
        <v>0.0</v>
      </c>
      <c r="R20" s="85">
        <v>0.0</v>
      </c>
      <c r="S20" s="85">
        <v>0.0</v>
      </c>
      <c r="T20" s="85">
        <v>0.0</v>
      </c>
      <c r="U20" s="85">
        <v>0.0</v>
      </c>
      <c r="V20" s="85">
        <v>0.0</v>
      </c>
      <c r="W20" s="85">
        <v>0.0</v>
      </c>
      <c r="X20" s="85">
        <v>0.0</v>
      </c>
      <c r="Y20" s="68"/>
      <c r="Z20" s="68"/>
      <c r="AA20" s="68"/>
      <c r="AB20" s="68"/>
      <c r="AC20" s="68"/>
      <c r="AD20" s="68"/>
      <c r="AE20" s="68"/>
      <c r="AF20" s="68"/>
    </row>
    <row r="21" ht="15.75" customHeight="1">
      <c r="A21" s="68"/>
      <c r="B21" s="68"/>
      <c r="C21" s="68"/>
      <c r="D21" s="68"/>
      <c r="E21" s="76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77">
        <f>IFERROR(__xludf.DUMMYFUNCTION("""COMPUTED_VALUE"""),100.0)</f>
        <v>100</v>
      </c>
      <c r="G21" s="76" t="str">
        <f>IFERROR(__xludf.DUMMYFUNCTION("""COMPUTED_VALUE"""),"")</f>
        <v/>
      </c>
      <c r="H21" s="77">
        <f>IFERROR(__xludf.DUMMYFUNCTION("""COMPUTED_VALUE"""),120.0)</f>
        <v>120</v>
      </c>
      <c r="I21" s="76" t="str">
        <f>IFERROR(__xludf.DUMMYFUNCTION("""COMPUTED_VALUE"""),"")</f>
        <v/>
      </c>
      <c r="J21" s="77">
        <f>IFERROR(__xludf.DUMMYFUNCTION("""COMPUTED_VALUE"""),60.0)</f>
        <v>60</v>
      </c>
      <c r="K21" s="68"/>
      <c r="L21" s="83">
        <v>7.0</v>
      </c>
      <c r="M21" s="84">
        <v>100.0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85">
        <v>0.0</v>
      </c>
      <c r="T21" s="85">
        <v>0.0</v>
      </c>
      <c r="U21" s="84">
        <v>120.0</v>
      </c>
      <c r="V21" s="85">
        <v>0.0</v>
      </c>
      <c r="W21" s="84">
        <v>60.0</v>
      </c>
      <c r="X21" s="85">
        <v>0.0</v>
      </c>
      <c r="Y21" s="68"/>
      <c r="Z21" s="68"/>
      <c r="AA21" s="68"/>
      <c r="AB21" s="68"/>
      <c r="AC21" s="68"/>
      <c r="AD21" s="68"/>
      <c r="AE21" s="68"/>
      <c r="AF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68"/>
      <c r="Z22" s="68"/>
      <c r="AA22" s="68"/>
      <c r="AB22" s="68"/>
      <c r="AC22" s="68"/>
      <c r="AD22" s="68"/>
      <c r="AE22" s="68"/>
      <c r="AF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72" t="s">
        <v>135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68"/>
      <c r="Z23" s="68"/>
      <c r="AA23" s="68"/>
      <c r="AB23" s="68"/>
      <c r="AC23" s="68"/>
      <c r="AD23" s="68"/>
      <c r="AE23" s="68"/>
      <c r="AF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78" t="s">
        <v>125</v>
      </c>
      <c r="M24" s="79" t="s">
        <v>92</v>
      </c>
      <c r="N24" s="79" t="s">
        <v>93</v>
      </c>
      <c r="O24" s="79" t="s">
        <v>94</v>
      </c>
      <c r="P24" s="79" t="s">
        <v>95</v>
      </c>
      <c r="Q24" s="79" t="s">
        <v>96</v>
      </c>
      <c r="R24" s="79" t="s">
        <v>97</v>
      </c>
      <c r="S24" s="79" t="s">
        <v>98</v>
      </c>
      <c r="T24" s="79" t="s">
        <v>99</v>
      </c>
      <c r="U24" s="79" t="s">
        <v>100</v>
      </c>
      <c r="V24" s="79" t="s">
        <v>101</v>
      </c>
      <c r="W24" s="79" t="s">
        <v>102</v>
      </c>
      <c r="X24" s="79" t="s">
        <v>103</v>
      </c>
      <c r="Y24" s="68"/>
      <c r="Z24" s="68"/>
      <c r="AA24" s="68"/>
      <c r="AB24" s="68"/>
      <c r="AC24" s="68"/>
      <c r="AD24" s="68"/>
      <c r="AE24" s="68"/>
      <c r="AF24" s="68"/>
    </row>
    <row r="25" ht="15.75" customHeight="1">
      <c r="A25" s="68"/>
      <c r="B25" s="68"/>
      <c r="C25" s="68"/>
      <c r="D25" s="68"/>
      <c r="E25" s="76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7">
        <f>IFERROR(__xludf.DUMMYFUNCTION("""COMPUTED_VALUE"""),15.0)</f>
        <v>15</v>
      </c>
      <c r="G25" s="76"/>
      <c r="H25" s="77"/>
      <c r="I25" s="76"/>
      <c r="J25" s="77"/>
      <c r="K25" s="68"/>
      <c r="L25" s="83">
        <v>1.0</v>
      </c>
      <c r="M25" s="85">
        <v>0.0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85">
        <v>0.0</v>
      </c>
      <c r="T25" s="85">
        <v>0.0</v>
      </c>
      <c r="U25" s="84">
        <v>15.0</v>
      </c>
      <c r="V25" s="85">
        <v>0.0</v>
      </c>
      <c r="W25" s="85">
        <v>0.0</v>
      </c>
      <c r="X25" s="85">
        <v>0.0</v>
      </c>
      <c r="Y25" s="68"/>
      <c r="Z25" s="68"/>
      <c r="AA25" s="68"/>
      <c r="AB25" s="68"/>
      <c r="AC25" s="68"/>
      <c r="AD25" s="68"/>
      <c r="AE25" s="68"/>
      <c r="AF25" s="68"/>
    </row>
    <row r="26" ht="15.75" customHeight="1">
      <c r="A26" s="68"/>
      <c r="B26" s="68"/>
      <c r="C26" s="68"/>
      <c r="D26" s="68"/>
      <c r="E26" s="76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7">
        <f>IFERROR(__xludf.DUMMYFUNCTION("""COMPUTED_VALUE"""),10.0)</f>
        <v>10</v>
      </c>
      <c r="G26" s="76"/>
      <c r="H26" s="77"/>
      <c r="I26" s="76"/>
      <c r="J26" s="77"/>
      <c r="K26" s="68"/>
      <c r="L26" s="83">
        <v>2.0</v>
      </c>
      <c r="M26" s="97">
        <v>10.0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85">
        <v>0.0</v>
      </c>
      <c r="T26" s="85">
        <v>0.0</v>
      </c>
      <c r="U26" s="85">
        <v>0.0</v>
      </c>
      <c r="V26" s="85">
        <v>0.0</v>
      </c>
      <c r="W26" s="85">
        <v>0.0</v>
      </c>
      <c r="X26" s="85">
        <v>0.0</v>
      </c>
      <c r="Y26" s="68"/>
      <c r="Z26" s="68"/>
      <c r="AA26" s="68"/>
      <c r="AB26" s="68"/>
      <c r="AC26" s="68"/>
      <c r="AD26" s="68"/>
      <c r="AE26" s="68"/>
      <c r="AF26" s="68"/>
    </row>
    <row r="27" ht="15.75" customHeight="1">
      <c r="A27" s="68"/>
      <c r="B27" s="68"/>
      <c r="C27" s="68"/>
      <c r="D27" s="68"/>
      <c r="E27" s="76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7">
        <f>IFERROR(__xludf.DUMMYFUNCTION("""COMPUTED_VALUE"""),1.0)</f>
        <v>1</v>
      </c>
      <c r="G27" s="76"/>
      <c r="H27" s="77"/>
      <c r="I27" s="76"/>
      <c r="J27" s="77"/>
      <c r="K27" s="68"/>
      <c r="L27" s="83">
        <v>3.0</v>
      </c>
      <c r="M27" s="85">
        <v>0.0</v>
      </c>
      <c r="N27" s="85">
        <v>0.0</v>
      </c>
      <c r="O27" s="85">
        <v>0.0</v>
      </c>
      <c r="P27" s="85">
        <v>0.0</v>
      </c>
      <c r="Q27" s="85">
        <v>0.0</v>
      </c>
      <c r="R27" s="84">
        <v>1.0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5">
        <v>0.0</v>
      </c>
      <c r="Y27" s="68"/>
      <c r="Z27" s="68"/>
      <c r="AA27" s="68"/>
      <c r="AB27" s="68"/>
      <c r="AC27" s="68"/>
      <c r="AD27" s="68"/>
      <c r="AE27" s="68"/>
      <c r="AF27" s="68"/>
    </row>
    <row r="28" ht="15.75" customHeight="1">
      <c r="A28" s="68"/>
      <c r="B28" s="68"/>
      <c r="C28" s="68"/>
      <c r="D28" s="68"/>
      <c r="E28" s="76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7">
        <f>IFERROR(__xludf.DUMMYFUNCTION("""COMPUTED_VALUE"""),10.0)</f>
        <v>10</v>
      </c>
      <c r="G28" s="76"/>
      <c r="H28" s="77"/>
      <c r="I28" s="76"/>
      <c r="J28" s="77"/>
      <c r="K28" s="68"/>
      <c r="L28" s="83">
        <v>4.0</v>
      </c>
      <c r="M28" s="97">
        <v>10.0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85">
        <v>0.0</v>
      </c>
      <c r="T28" s="85">
        <v>0.0</v>
      </c>
      <c r="U28" s="85">
        <v>0.0</v>
      </c>
      <c r="V28" s="85">
        <v>0.0</v>
      </c>
      <c r="W28" s="85">
        <v>0.0</v>
      </c>
      <c r="X28" s="85">
        <v>0.0</v>
      </c>
      <c r="Y28" s="68"/>
      <c r="Z28" s="68"/>
      <c r="AA28" s="68"/>
      <c r="AB28" s="68"/>
      <c r="AC28" s="68"/>
      <c r="AD28" s="68"/>
      <c r="AE28" s="68"/>
      <c r="AF28" s="68"/>
    </row>
    <row r="29" ht="15.75" customHeight="1">
      <c r="A29" s="68"/>
      <c r="B29" s="68"/>
      <c r="C29" s="68"/>
      <c r="D29" s="68"/>
      <c r="E29" s="76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7">
        <f>IFERROR(__xludf.DUMMYFUNCTION("""COMPUTED_VALUE"""),1.0)</f>
        <v>1</v>
      </c>
      <c r="G29" s="76"/>
      <c r="H29" s="77"/>
      <c r="I29" s="76"/>
      <c r="J29" s="77"/>
      <c r="K29" s="68"/>
      <c r="L29" s="83">
        <v>5.0</v>
      </c>
      <c r="M29" s="85">
        <v>0.0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84">
        <v>1.0</v>
      </c>
      <c r="T29" s="85">
        <v>0.0</v>
      </c>
      <c r="U29" s="85">
        <v>0.0</v>
      </c>
      <c r="V29" s="85">
        <v>0.0</v>
      </c>
      <c r="W29" s="85">
        <v>0.0</v>
      </c>
      <c r="X29" s="85">
        <v>0.0</v>
      </c>
      <c r="Y29" s="68"/>
      <c r="Z29" s="68"/>
      <c r="AA29" s="68"/>
      <c r="AB29" s="68"/>
      <c r="AC29" s="68"/>
      <c r="AD29" s="68"/>
      <c r="AE29" s="68"/>
      <c r="AF29" s="68"/>
    </row>
    <row r="30" ht="15.75" customHeight="1">
      <c r="A30" s="68"/>
      <c r="B30" s="68"/>
      <c r="C30" s="68"/>
      <c r="D30" s="68"/>
      <c r="E30" s="76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7">
        <f>IFERROR(__xludf.DUMMYFUNCTION("""COMPUTED_VALUE"""),10.0)</f>
        <v>10</v>
      </c>
      <c r="G30" s="76"/>
      <c r="H30" s="77"/>
      <c r="I30" s="76"/>
      <c r="J30" s="77"/>
      <c r="K30" s="68"/>
      <c r="L30" s="83">
        <v>6.0</v>
      </c>
      <c r="M30" s="97">
        <v>10.0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85">
        <v>0.0</v>
      </c>
      <c r="T30" s="85">
        <v>0.0</v>
      </c>
      <c r="U30" s="85">
        <v>0.0</v>
      </c>
      <c r="V30" s="85">
        <v>0.0</v>
      </c>
      <c r="W30" s="85">
        <v>0.0</v>
      </c>
      <c r="X30" s="85">
        <v>0.0</v>
      </c>
      <c r="Y30" s="68"/>
      <c r="Z30" s="68"/>
      <c r="AA30" s="68"/>
      <c r="AB30" s="68"/>
      <c r="AC30" s="68"/>
      <c r="AD30" s="68"/>
      <c r="AE30" s="68"/>
      <c r="AF30" s="68"/>
    </row>
    <row r="31" ht="15.75" customHeight="1">
      <c r="A31" s="68"/>
      <c r="B31" s="68"/>
      <c r="C31" s="68"/>
      <c r="D31" s="68"/>
      <c r="E31" s="76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77">
        <f>IFERROR(__xludf.DUMMYFUNCTION("""COMPUTED_VALUE"""),100.0)</f>
        <v>100</v>
      </c>
      <c r="G31" s="76" t="str">
        <f>IFERROR(__xludf.DUMMYFUNCTION("""COMPUTED_VALUE"""),"")</f>
        <v/>
      </c>
      <c r="H31" s="77">
        <f>IFERROR(__xludf.DUMMYFUNCTION("""COMPUTED_VALUE"""),120.0)</f>
        <v>120</v>
      </c>
      <c r="I31" s="76" t="str">
        <f>IFERROR(__xludf.DUMMYFUNCTION("""COMPUTED_VALUE"""),"")</f>
        <v/>
      </c>
      <c r="J31" s="77">
        <f>IFERROR(__xludf.DUMMYFUNCTION("""COMPUTED_VALUE"""),30.0)</f>
        <v>30</v>
      </c>
      <c r="K31" s="68"/>
      <c r="L31" s="83">
        <v>7.0</v>
      </c>
      <c r="M31" s="84">
        <v>100.0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85">
        <v>0.0</v>
      </c>
      <c r="T31" s="85">
        <v>0.0</v>
      </c>
      <c r="U31" s="84">
        <v>120.0</v>
      </c>
      <c r="V31" s="85">
        <v>0.0</v>
      </c>
      <c r="W31" s="85">
        <v>0.0</v>
      </c>
      <c r="X31" s="84">
        <v>30.0</v>
      </c>
      <c r="Y31" s="68"/>
      <c r="Z31" s="68"/>
      <c r="AA31" s="68"/>
      <c r="AB31" s="68"/>
      <c r="AC31" s="68"/>
      <c r="AD31" s="68"/>
      <c r="AE31" s="68"/>
      <c r="AF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68"/>
      <c r="Z32" s="68"/>
      <c r="AA32" s="68"/>
      <c r="AB32" s="68"/>
      <c r="AC32" s="68"/>
      <c r="AD32" s="68"/>
      <c r="AE32" s="68"/>
      <c r="AF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72" t="s">
        <v>136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68"/>
      <c r="Z33" s="68"/>
      <c r="AA33" s="68"/>
      <c r="AB33" s="68"/>
      <c r="AC33" s="68"/>
      <c r="AD33" s="68"/>
      <c r="AE33" s="68"/>
      <c r="AF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78" t="s">
        <v>125</v>
      </c>
      <c r="M34" s="79" t="s">
        <v>92</v>
      </c>
      <c r="N34" s="79" t="s">
        <v>93</v>
      </c>
      <c r="O34" s="79" t="s">
        <v>94</v>
      </c>
      <c r="P34" s="79" t="s">
        <v>95</v>
      </c>
      <c r="Q34" s="79" t="s">
        <v>96</v>
      </c>
      <c r="R34" s="79" t="s">
        <v>97</v>
      </c>
      <c r="S34" s="79" t="s">
        <v>98</v>
      </c>
      <c r="T34" s="79" t="s">
        <v>99</v>
      </c>
      <c r="U34" s="79" t="s">
        <v>100</v>
      </c>
      <c r="V34" s="79" t="s">
        <v>101</v>
      </c>
      <c r="W34" s="79" t="s">
        <v>102</v>
      </c>
      <c r="X34" s="79" t="s">
        <v>103</v>
      </c>
      <c r="Y34" s="68"/>
      <c r="Z34" s="68"/>
      <c r="AA34" s="68"/>
      <c r="AB34" s="68"/>
      <c r="AC34" s="68"/>
      <c r="AD34" s="68"/>
      <c r="AE34" s="68"/>
      <c r="AF34" s="68"/>
    </row>
    <row r="35" ht="15.75" customHeight="1">
      <c r="A35" s="68"/>
      <c r="B35" s="68"/>
      <c r="C35" s="68"/>
      <c r="D35" s="68"/>
      <c r="E35" s="76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7">
        <f>IFERROR(__xludf.DUMMYFUNCTION("""COMPUTED_VALUE"""),10.0)</f>
        <v>10</v>
      </c>
      <c r="G35" s="76"/>
      <c r="H35" s="77"/>
      <c r="I35" s="76"/>
      <c r="J35" s="77"/>
      <c r="K35" s="68"/>
      <c r="L35" s="83">
        <v>1.0</v>
      </c>
      <c r="M35" s="97">
        <v>10.0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5">
        <v>0.0</v>
      </c>
      <c r="Y35" s="68"/>
      <c r="Z35" s="68"/>
      <c r="AA35" s="68"/>
      <c r="AB35" s="68"/>
      <c r="AC35" s="68"/>
      <c r="AD35" s="68"/>
      <c r="AE35" s="68"/>
      <c r="AF35" s="68"/>
    </row>
    <row r="36" ht="15.75" customHeight="1">
      <c r="A36" s="68"/>
      <c r="B36" s="68"/>
      <c r="C36" s="68"/>
      <c r="D36" s="68"/>
      <c r="E36" s="76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7">
        <f>IFERROR(__xludf.DUMMYFUNCTION("""COMPUTED_VALUE"""),30.0)</f>
        <v>30</v>
      </c>
      <c r="G36" s="76"/>
      <c r="H36" s="77"/>
      <c r="I36" s="76"/>
      <c r="J36" s="77"/>
      <c r="K36" s="68"/>
      <c r="L36" s="83">
        <v>2.0</v>
      </c>
      <c r="M36" s="85">
        <v>0.0</v>
      </c>
      <c r="N36" s="85">
        <v>0.0</v>
      </c>
      <c r="O36" s="85">
        <v>0.0</v>
      </c>
      <c r="P36" s="85">
        <v>0.0</v>
      </c>
      <c r="Q36" s="85">
        <v>0.0</v>
      </c>
      <c r="R36" s="85">
        <v>0.0</v>
      </c>
      <c r="S36" s="85">
        <v>0.0</v>
      </c>
      <c r="T36" s="85">
        <v>0.0</v>
      </c>
      <c r="U36" s="84">
        <v>30.0</v>
      </c>
      <c r="V36" s="85">
        <v>0.0</v>
      </c>
      <c r="W36" s="85">
        <v>0.0</v>
      </c>
      <c r="X36" s="85">
        <v>0.0</v>
      </c>
      <c r="Y36" s="68"/>
      <c r="Z36" s="68"/>
      <c r="AA36" s="68"/>
      <c r="AB36" s="68"/>
      <c r="AC36" s="68"/>
      <c r="AD36" s="68"/>
      <c r="AE36" s="68"/>
      <c r="AF36" s="68"/>
    </row>
    <row r="37" ht="15.75" customHeight="1">
      <c r="A37" s="68"/>
      <c r="B37" s="68"/>
      <c r="C37" s="68"/>
      <c r="D37" s="68"/>
      <c r="E37" s="76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7">
        <f>IFERROR(__xludf.DUMMYFUNCTION("""COMPUTED_VALUE"""),1.0)</f>
        <v>1</v>
      </c>
      <c r="G37" s="76"/>
      <c r="H37" s="77"/>
      <c r="I37" s="76"/>
      <c r="J37" s="77"/>
      <c r="K37" s="68"/>
      <c r="L37" s="83">
        <v>3.0</v>
      </c>
      <c r="M37" s="85">
        <v>0.0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84">
        <v>1.0</v>
      </c>
      <c r="T37" s="85">
        <v>0.0</v>
      </c>
      <c r="U37" s="85">
        <v>0.0</v>
      </c>
      <c r="V37" s="85">
        <v>0.0</v>
      </c>
      <c r="W37" s="85">
        <v>0.0</v>
      </c>
      <c r="X37" s="85">
        <v>0.0</v>
      </c>
      <c r="Y37" s="68"/>
      <c r="Z37" s="68"/>
      <c r="AA37" s="68"/>
      <c r="AB37" s="68"/>
      <c r="AC37" s="68"/>
      <c r="AD37" s="68"/>
      <c r="AE37" s="68"/>
      <c r="AF37" s="68"/>
    </row>
    <row r="38" ht="15.75" customHeight="1">
      <c r="A38" s="68"/>
      <c r="B38" s="68"/>
      <c r="C38" s="68"/>
      <c r="D38" s="68"/>
      <c r="E38" s="76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7">
        <f>IFERROR(__xludf.DUMMYFUNCTION("""COMPUTED_VALUE"""),1.0)</f>
        <v>1</v>
      </c>
      <c r="G38" s="76"/>
      <c r="H38" s="77"/>
      <c r="I38" s="76"/>
      <c r="J38" s="77"/>
      <c r="K38" s="68"/>
      <c r="L38" s="83">
        <v>4.0</v>
      </c>
      <c r="M38" s="85">
        <v>0.0</v>
      </c>
      <c r="N38" s="85">
        <v>0.0</v>
      </c>
      <c r="O38" s="85">
        <v>0.0</v>
      </c>
      <c r="P38" s="85">
        <v>0.0</v>
      </c>
      <c r="Q38" s="85">
        <v>0.0</v>
      </c>
      <c r="R38" s="84">
        <v>1.0</v>
      </c>
      <c r="S38" s="85">
        <v>0.0</v>
      </c>
      <c r="T38" s="85">
        <v>0.0</v>
      </c>
      <c r="U38" s="85">
        <v>0.0</v>
      </c>
      <c r="V38" s="85">
        <v>0.0</v>
      </c>
      <c r="W38" s="85">
        <v>0.0</v>
      </c>
      <c r="X38" s="85">
        <v>0.0</v>
      </c>
      <c r="Y38" s="68"/>
      <c r="Z38" s="68"/>
      <c r="AA38" s="68"/>
      <c r="AB38" s="68"/>
      <c r="AC38" s="68"/>
      <c r="AD38" s="68"/>
      <c r="AE38" s="68"/>
      <c r="AF38" s="68"/>
    </row>
    <row r="39" ht="15.75" customHeight="1">
      <c r="A39" s="68"/>
      <c r="B39" s="68"/>
      <c r="C39" s="68"/>
      <c r="D39" s="68"/>
      <c r="E39" s="76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7">
        <f>IFERROR(__xludf.DUMMYFUNCTION("""COMPUTED_VALUE"""),10.0)</f>
        <v>10</v>
      </c>
      <c r="G39" s="76"/>
      <c r="H39" s="77"/>
      <c r="I39" s="76"/>
      <c r="J39" s="77"/>
      <c r="K39" s="68"/>
      <c r="L39" s="83">
        <v>5.0</v>
      </c>
      <c r="M39" s="97">
        <v>10.0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5">
        <v>0.0</v>
      </c>
      <c r="Y39" s="68"/>
      <c r="Z39" s="68"/>
      <c r="AA39" s="68"/>
      <c r="AB39" s="68"/>
      <c r="AC39" s="68"/>
      <c r="AD39" s="68"/>
      <c r="AE39" s="68"/>
      <c r="AF39" s="68"/>
    </row>
    <row r="40" ht="15.75" customHeight="1">
      <c r="A40" s="68"/>
      <c r="B40" s="68"/>
      <c r="C40" s="68"/>
      <c r="D40" s="68"/>
      <c r="E40" s="76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7">
        <f>IFERROR(__xludf.DUMMYFUNCTION("""COMPUTED_VALUE"""),1.0)</f>
        <v>1</v>
      </c>
      <c r="G40" s="76"/>
      <c r="H40" s="77"/>
      <c r="I40" s="76"/>
      <c r="J40" s="77"/>
      <c r="K40" s="68"/>
      <c r="L40" s="83">
        <v>6.0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4">
        <v>1.0</v>
      </c>
      <c r="S40" s="85">
        <v>0.0</v>
      </c>
      <c r="T40" s="85">
        <v>0.0</v>
      </c>
      <c r="U40" s="85">
        <v>0.0</v>
      </c>
      <c r="V40" s="85">
        <v>0.0</v>
      </c>
      <c r="W40" s="85">
        <v>0.0</v>
      </c>
      <c r="X40" s="85">
        <v>0.0</v>
      </c>
      <c r="Y40" s="68"/>
      <c r="Z40" s="68"/>
      <c r="AA40" s="68"/>
      <c r="AB40" s="68"/>
      <c r="AC40" s="68"/>
      <c r="AD40" s="68"/>
      <c r="AE40" s="68"/>
      <c r="AF40" s="68"/>
    </row>
    <row r="41" ht="15.75" customHeight="1">
      <c r="A41" s="68"/>
      <c r="B41" s="68"/>
      <c r="C41" s="68"/>
      <c r="D41" s="68"/>
      <c r="E41" s="76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77">
        <f>IFERROR(__xludf.DUMMYFUNCTION("""COMPUTED_VALUE"""),100.0)</f>
        <v>100</v>
      </c>
      <c r="G41" s="76" t="str">
        <f>IFERROR(__xludf.DUMMYFUNCTION("""COMPUTED_VALUE"""),"")</f>
        <v/>
      </c>
      <c r="H41" s="77">
        <f>IFERROR(__xludf.DUMMYFUNCTION("""COMPUTED_VALUE"""),1.0)</f>
        <v>1</v>
      </c>
      <c r="I41" s="76" t="str">
        <f>IFERROR(__xludf.DUMMYFUNCTION("""COMPUTED_VALUE"""),"")</f>
        <v/>
      </c>
      <c r="J41" s="77">
        <f>IFERROR(__xludf.DUMMYFUNCTION("""COMPUTED_VALUE"""),120.0)</f>
        <v>120</v>
      </c>
      <c r="K41" s="68"/>
      <c r="L41" s="83">
        <v>7.0</v>
      </c>
      <c r="M41" s="84">
        <v>100.0</v>
      </c>
      <c r="N41" s="85">
        <v>0.0</v>
      </c>
      <c r="O41" s="85">
        <v>0.0</v>
      </c>
      <c r="P41" s="85">
        <v>0.0</v>
      </c>
      <c r="Q41" s="85">
        <v>0.0</v>
      </c>
      <c r="R41" s="85">
        <v>0.0</v>
      </c>
      <c r="S41" s="85">
        <v>0.0</v>
      </c>
      <c r="T41" s="84">
        <v>1.0</v>
      </c>
      <c r="U41" s="84">
        <v>120.0</v>
      </c>
      <c r="V41" s="85">
        <v>0.0</v>
      </c>
      <c r="W41" s="85">
        <v>0.0</v>
      </c>
      <c r="X41" s="85">
        <v>0.0</v>
      </c>
      <c r="Y41" s="68"/>
      <c r="Z41" s="68"/>
      <c r="AA41" s="68"/>
      <c r="AB41" s="68"/>
      <c r="AC41" s="68"/>
      <c r="AD41" s="68"/>
      <c r="AE41" s="68"/>
      <c r="AF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68"/>
      <c r="Z42" s="68"/>
      <c r="AA42" s="68"/>
      <c r="AB42" s="68"/>
      <c r="AC42" s="68"/>
      <c r="AD42" s="68"/>
      <c r="AE42" s="68"/>
      <c r="AF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2" t="s">
        <v>137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68"/>
      <c r="Z43" s="68"/>
      <c r="AA43" s="68"/>
      <c r="AB43" s="68"/>
      <c r="AC43" s="68"/>
      <c r="AD43" s="68"/>
      <c r="AE43" s="68"/>
      <c r="AF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78" t="s">
        <v>125</v>
      </c>
      <c r="M44" s="79" t="s">
        <v>92</v>
      </c>
      <c r="N44" s="79" t="s">
        <v>93</v>
      </c>
      <c r="O44" s="79" t="s">
        <v>94</v>
      </c>
      <c r="P44" s="79" t="s">
        <v>95</v>
      </c>
      <c r="Q44" s="79" t="s">
        <v>96</v>
      </c>
      <c r="R44" s="79" t="s">
        <v>97</v>
      </c>
      <c r="S44" s="79" t="s">
        <v>98</v>
      </c>
      <c r="T44" s="79" t="s">
        <v>99</v>
      </c>
      <c r="U44" s="79" t="s">
        <v>100</v>
      </c>
      <c r="V44" s="79" t="s">
        <v>101</v>
      </c>
      <c r="W44" s="79" t="s">
        <v>102</v>
      </c>
      <c r="X44" s="79" t="s">
        <v>103</v>
      </c>
      <c r="Y44" s="68"/>
      <c r="Z44" s="68"/>
      <c r="AA44" s="68"/>
      <c r="AB44" s="68"/>
      <c r="AC44" s="68"/>
      <c r="AD44" s="68"/>
      <c r="AE44" s="68"/>
      <c r="AF44" s="68"/>
    </row>
    <row r="45" ht="15.75" customHeight="1">
      <c r="A45" s="68"/>
      <c r="B45" s="68"/>
      <c r="C45" s="68"/>
      <c r="D45" s="68"/>
      <c r="E45" s="76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7">
        <f>IFERROR(__xludf.DUMMYFUNCTION("""COMPUTED_VALUE"""),10.0)</f>
        <v>10</v>
      </c>
      <c r="G45" s="76"/>
      <c r="H45" s="77"/>
      <c r="I45" s="76"/>
      <c r="J45" s="77"/>
      <c r="K45" s="68"/>
      <c r="L45" s="83">
        <v>1.0</v>
      </c>
      <c r="M45" s="97">
        <v>10.0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5">
        <v>0.0</v>
      </c>
      <c r="Y45" s="68"/>
      <c r="Z45" s="68"/>
      <c r="AA45" s="68"/>
      <c r="AB45" s="68"/>
      <c r="AC45" s="68"/>
      <c r="AD45" s="68"/>
      <c r="AE45" s="68"/>
      <c r="AF45" s="68"/>
    </row>
    <row r="46" ht="15.75" customHeight="1">
      <c r="A46" s="68"/>
      <c r="B46" s="68"/>
      <c r="C46" s="68"/>
      <c r="D46" s="68"/>
      <c r="E46" s="76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7">
        <f>IFERROR(__xludf.DUMMYFUNCTION("""COMPUTED_VALUE"""),15.0)</f>
        <v>15</v>
      </c>
      <c r="G46" s="76"/>
      <c r="H46" s="77"/>
      <c r="I46" s="76"/>
      <c r="J46" s="77"/>
      <c r="K46" s="68"/>
      <c r="L46" s="83">
        <v>2.0</v>
      </c>
      <c r="M46" s="85">
        <v>0.0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85">
        <v>0.0</v>
      </c>
      <c r="T46" s="85">
        <v>0.0</v>
      </c>
      <c r="U46" s="84">
        <v>15.0</v>
      </c>
      <c r="V46" s="85">
        <v>0.0</v>
      </c>
      <c r="W46" s="85">
        <v>0.0</v>
      </c>
      <c r="X46" s="85">
        <v>0.0</v>
      </c>
      <c r="Y46" s="68"/>
      <c r="Z46" s="68"/>
      <c r="AA46" s="68"/>
      <c r="AB46" s="68"/>
      <c r="AC46" s="68"/>
      <c r="AD46" s="68"/>
      <c r="AE46" s="68"/>
      <c r="AF46" s="68"/>
    </row>
    <row r="47" ht="15.75" customHeight="1">
      <c r="A47" s="68"/>
      <c r="B47" s="68"/>
      <c r="C47" s="68"/>
      <c r="D47" s="68"/>
      <c r="E47" s="76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7">
        <f>IFERROR(__xludf.DUMMYFUNCTION("""COMPUTED_VALUE"""),1.0)</f>
        <v>1</v>
      </c>
      <c r="G47" s="76"/>
      <c r="H47" s="77"/>
      <c r="I47" s="76"/>
      <c r="J47" s="77"/>
      <c r="K47" s="68"/>
      <c r="L47" s="83">
        <v>3.0</v>
      </c>
      <c r="M47" s="85">
        <v>0.0</v>
      </c>
      <c r="N47" s="85">
        <v>0.0</v>
      </c>
      <c r="O47" s="85">
        <v>0.0</v>
      </c>
      <c r="P47" s="85">
        <v>0.0</v>
      </c>
      <c r="Q47" s="85">
        <v>0.0</v>
      </c>
      <c r="R47" s="84">
        <v>1.0</v>
      </c>
      <c r="S47" s="85">
        <v>0.0</v>
      </c>
      <c r="T47" s="85">
        <v>0.0</v>
      </c>
      <c r="U47" s="85">
        <v>0.0</v>
      </c>
      <c r="V47" s="85">
        <v>0.0</v>
      </c>
      <c r="W47" s="85">
        <v>0.0</v>
      </c>
      <c r="X47" s="85">
        <v>0.0</v>
      </c>
      <c r="Y47" s="68"/>
      <c r="Z47" s="68"/>
      <c r="AA47" s="68"/>
      <c r="AB47" s="68"/>
      <c r="AC47" s="68"/>
      <c r="AD47" s="68"/>
      <c r="AE47" s="68"/>
      <c r="AF47" s="68"/>
    </row>
    <row r="48" ht="15.75" customHeight="1">
      <c r="A48" s="68"/>
      <c r="B48" s="68"/>
      <c r="C48" s="68"/>
      <c r="D48" s="68"/>
      <c r="E48" s="76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7">
        <f>IFERROR(__xludf.DUMMYFUNCTION("""COMPUTED_VALUE"""),1.0)</f>
        <v>1</v>
      </c>
      <c r="G48" s="76"/>
      <c r="H48" s="77"/>
      <c r="I48" s="76"/>
      <c r="J48" s="77"/>
      <c r="K48" s="68"/>
      <c r="L48" s="83">
        <v>4.0</v>
      </c>
      <c r="M48" s="85">
        <v>0.0</v>
      </c>
      <c r="N48" s="85">
        <v>0.0</v>
      </c>
      <c r="O48" s="85">
        <v>0.0</v>
      </c>
      <c r="P48" s="85">
        <v>0.0</v>
      </c>
      <c r="Q48" s="85">
        <v>0.0</v>
      </c>
      <c r="R48" s="85">
        <v>0.0</v>
      </c>
      <c r="S48" s="84">
        <v>1.0</v>
      </c>
      <c r="T48" s="85">
        <v>0.0</v>
      </c>
      <c r="U48" s="85">
        <v>0.0</v>
      </c>
      <c r="V48" s="85">
        <v>0.0</v>
      </c>
      <c r="W48" s="85">
        <v>0.0</v>
      </c>
      <c r="X48" s="85">
        <v>0.0</v>
      </c>
      <c r="Y48" s="68"/>
      <c r="Z48" s="68"/>
      <c r="AA48" s="68"/>
      <c r="AB48" s="68"/>
      <c r="AC48" s="68"/>
      <c r="AD48" s="68"/>
      <c r="AE48" s="68"/>
      <c r="AF48" s="68"/>
    </row>
    <row r="49" ht="15.75" customHeight="1">
      <c r="A49" s="68"/>
      <c r="B49" s="68"/>
      <c r="C49" s="68"/>
      <c r="D49" s="68"/>
      <c r="E49" s="76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7">
        <f>IFERROR(__xludf.DUMMYFUNCTION("""COMPUTED_VALUE"""),60.0)</f>
        <v>60</v>
      </c>
      <c r="G49" s="76"/>
      <c r="H49" s="77"/>
      <c r="I49" s="76"/>
      <c r="J49" s="77"/>
      <c r="K49" s="68"/>
      <c r="L49" s="83">
        <v>5.0</v>
      </c>
      <c r="M49" s="85">
        <v>0.0</v>
      </c>
      <c r="N49" s="85">
        <v>0.0</v>
      </c>
      <c r="O49" s="85">
        <v>0.0</v>
      </c>
      <c r="P49" s="85">
        <v>0.0</v>
      </c>
      <c r="Q49" s="85">
        <v>0.0</v>
      </c>
      <c r="R49" s="85">
        <v>0.0</v>
      </c>
      <c r="S49" s="85">
        <v>0.0</v>
      </c>
      <c r="T49" s="85">
        <v>0.0</v>
      </c>
      <c r="U49" s="84">
        <v>60.0</v>
      </c>
      <c r="V49" s="85">
        <v>0.0</v>
      </c>
      <c r="W49" s="85">
        <v>0.0</v>
      </c>
      <c r="X49" s="85">
        <v>0.0</v>
      </c>
      <c r="Y49" s="68"/>
      <c r="Z49" s="68"/>
      <c r="AA49" s="68"/>
      <c r="AB49" s="68"/>
      <c r="AC49" s="68"/>
      <c r="AD49" s="68"/>
      <c r="AE49" s="68"/>
      <c r="AF49" s="68"/>
    </row>
    <row r="50" ht="15.75" customHeight="1">
      <c r="A50" s="68"/>
      <c r="B50" s="68"/>
      <c r="C50" s="68"/>
      <c r="D50" s="68"/>
      <c r="E50" s="76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7">
        <f>IFERROR(__xludf.DUMMYFUNCTION("""COMPUTED_VALUE"""),10.0)</f>
        <v>10</v>
      </c>
      <c r="G50" s="76"/>
      <c r="H50" s="77"/>
      <c r="I50" s="76"/>
      <c r="J50" s="77"/>
      <c r="K50" s="68"/>
      <c r="L50" s="83">
        <v>6.0</v>
      </c>
      <c r="M50" s="97">
        <v>10.0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85">
        <v>0.0</v>
      </c>
      <c r="T50" s="85">
        <v>0.0</v>
      </c>
      <c r="U50" s="85">
        <v>0.0</v>
      </c>
      <c r="V50" s="85">
        <v>0.0</v>
      </c>
      <c r="W50" s="85">
        <v>0.0</v>
      </c>
      <c r="X50" s="85">
        <v>0.0</v>
      </c>
      <c r="Y50" s="68"/>
      <c r="Z50" s="68"/>
      <c r="AA50" s="68"/>
      <c r="AB50" s="68"/>
      <c r="AC50" s="68"/>
      <c r="AD50" s="68"/>
      <c r="AE50" s="68"/>
      <c r="AF50" s="68"/>
    </row>
    <row r="51" ht="15.75" customHeight="1">
      <c r="A51" s="68"/>
      <c r="B51" s="68"/>
      <c r="C51" s="68"/>
      <c r="D51" s="68"/>
      <c r="E51" s="76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77">
        <f>IFERROR(__xludf.DUMMYFUNCTION("""COMPUTED_VALUE"""),100.0)</f>
        <v>100</v>
      </c>
      <c r="G51" s="76" t="str">
        <f>IFERROR(__xludf.DUMMYFUNCTION("""COMPUTED_VALUE"""),"")</f>
        <v/>
      </c>
      <c r="H51" s="77">
        <f>IFERROR(__xludf.DUMMYFUNCTION("""COMPUTED_VALUE"""),1.0)</f>
        <v>1</v>
      </c>
      <c r="I51" s="76" t="str">
        <f>IFERROR(__xludf.DUMMYFUNCTION("""COMPUTED_VALUE"""),"")</f>
        <v/>
      </c>
      <c r="J51" s="77">
        <f>IFERROR(__xludf.DUMMYFUNCTION("""COMPUTED_VALUE"""),120.0)</f>
        <v>120</v>
      </c>
      <c r="K51" s="68"/>
      <c r="L51" s="83">
        <v>7.0</v>
      </c>
      <c r="M51" s="84">
        <v>100.0</v>
      </c>
      <c r="N51" s="85">
        <v>0.0</v>
      </c>
      <c r="O51" s="85">
        <v>0.0</v>
      </c>
      <c r="P51" s="85">
        <v>0.0</v>
      </c>
      <c r="Q51" s="85">
        <v>0.0</v>
      </c>
      <c r="R51" s="84">
        <v>1.0</v>
      </c>
      <c r="S51" s="85">
        <v>0.0</v>
      </c>
      <c r="T51" s="85">
        <v>0.0</v>
      </c>
      <c r="U51" s="84">
        <v>120.0</v>
      </c>
      <c r="V51" s="85">
        <v>0.0</v>
      </c>
      <c r="W51" s="85">
        <v>0.0</v>
      </c>
      <c r="X51" s="85">
        <v>0.0</v>
      </c>
      <c r="Y51" s="68"/>
      <c r="Z51" s="68"/>
      <c r="AA51" s="68"/>
      <c r="AB51" s="68"/>
      <c r="AC51" s="68"/>
      <c r="AD51" s="68"/>
      <c r="AE51" s="68"/>
      <c r="AF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1" priority="1" operator="greaterThan">
      <formula>0</formula>
    </cfRule>
  </conditionalFormatting>
  <conditionalFormatting sqref="Q41:T41">
    <cfRule type="cellIs" dxfId="1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5.0"/>
    <col customWidth="1" min="4" max="13" width="4.57"/>
    <col customWidth="1" min="14" max="25" width="10.86"/>
    <col customWidth="1" min="26" max="26" width="8.71"/>
    <col hidden="1" min="27" max="28" width="14.43"/>
    <col customWidth="1" min="29" max="33" width="8.71"/>
  </cols>
  <sheetData>
    <row r="1" ht="17.25" customHeight="1">
      <c r="A1" s="67" t="s">
        <v>141</v>
      </c>
      <c r="B1" s="68"/>
      <c r="C1" s="68"/>
      <c r="D1" s="69" t="s">
        <v>142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</row>
    <row r="2" ht="15.0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ht="15.0" customHeight="1">
      <c r="A3" s="70" t="s">
        <v>143</v>
      </c>
      <c r="B3" s="70" t="s">
        <v>144</v>
      </c>
      <c r="C3" s="70" t="s">
        <v>126</v>
      </c>
      <c r="D3" s="68"/>
      <c r="E3" s="71" t="s">
        <v>127</v>
      </c>
      <c r="M3" s="68"/>
      <c r="N3" s="102" t="s">
        <v>93</v>
      </c>
      <c r="O3" s="102" t="s">
        <v>94</v>
      </c>
      <c r="P3" s="102" t="s">
        <v>95</v>
      </c>
      <c r="Q3" s="102" t="s">
        <v>96</v>
      </c>
      <c r="R3" s="102" t="s">
        <v>97</v>
      </c>
      <c r="S3" s="102" t="s">
        <v>98</v>
      </c>
      <c r="T3" s="102" t="s">
        <v>99</v>
      </c>
      <c r="U3" s="103" t="s">
        <v>100</v>
      </c>
      <c r="V3" s="102" t="s">
        <v>101</v>
      </c>
      <c r="W3" s="102" t="s">
        <v>102</v>
      </c>
      <c r="X3" s="102" t="s">
        <v>103</v>
      </c>
      <c r="Y3" s="104" t="s">
        <v>145</v>
      </c>
      <c r="Z3" s="68"/>
      <c r="AA3" s="104" t="s">
        <v>129</v>
      </c>
      <c r="AB3" s="104" t="s">
        <v>130</v>
      </c>
      <c r="AC3" s="68"/>
      <c r="AD3" s="68"/>
      <c r="AE3" s="68"/>
      <c r="AF3" s="68"/>
      <c r="AG3" s="68"/>
    </row>
    <row r="4" ht="15.0" customHeight="1">
      <c r="A4" s="93">
        <v>1.0</v>
      </c>
      <c r="B4" s="105">
        <v>10.0</v>
      </c>
      <c r="C4" s="106">
        <v>15.0</v>
      </c>
      <c r="D4" s="68"/>
      <c r="E4" s="76" t="str">
        <f>IFERROR(__xludf.DUMMYFUNCTION("LET(
  names, HSTACK(""Coins"", $N$3:$X$3),
  amounts, HSTACK(C4, N4:X4),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4" s="77">
        <f>IFERROR(__xludf.DUMMYFUNCTION("""COMPUTED_VALUE"""),15.0)</f>
        <v>15</v>
      </c>
      <c r="G4" s="76" t="str">
        <f>IFERROR(__xludf.DUMMYFUNCTION("""COMPUTED_VALUE"""),"")</f>
        <v/>
      </c>
      <c r="H4" s="77">
        <f>IFERROR(__xludf.DUMMYFUNCTION("""COMPUTED_VALUE"""),1.0)</f>
        <v>1</v>
      </c>
      <c r="I4" s="76" t="str">
        <f>IFERROR(__xludf.DUMMYFUNCTION("""COMPUTED_VALUE"""),"")</f>
        <v/>
      </c>
      <c r="J4" s="77">
        <f>IFERROR(__xludf.DUMMYFUNCTION("""COMPUTED_VALUE"""),1.0)</f>
        <v>1</v>
      </c>
      <c r="K4" s="77"/>
      <c r="L4" s="77"/>
      <c r="M4" s="68"/>
      <c r="N4" s="107">
        <v>0.0</v>
      </c>
      <c r="O4" s="108">
        <v>1.0</v>
      </c>
      <c r="P4" s="108">
        <v>0.0</v>
      </c>
      <c r="Q4" s="108">
        <v>1.0</v>
      </c>
      <c r="R4" s="108">
        <v>0.0</v>
      </c>
      <c r="S4" s="108">
        <v>0.0</v>
      </c>
      <c r="T4" s="108">
        <v>0.0</v>
      </c>
      <c r="U4" s="109">
        <v>0.0</v>
      </c>
      <c r="V4" s="108">
        <v>0.0</v>
      </c>
      <c r="W4" s="108">
        <v>0.0</v>
      </c>
      <c r="X4" s="110">
        <v>0.0</v>
      </c>
      <c r="Y4" s="111">
        <f t="shared" ref="Y4:Y13" si="1">SUMPRODUCT(N4:X4, {0,33,50,67,167,67,50,4.17,7.56,12.17,16.22})</f>
        <v>100</v>
      </c>
      <c r="Z4" s="68"/>
      <c r="AA4" s="112" t="s">
        <v>131</v>
      </c>
      <c r="AB4" s="80"/>
      <c r="AC4" s="68"/>
      <c r="AD4" s="68"/>
      <c r="AE4" s="68"/>
      <c r="AF4" s="68"/>
      <c r="AG4" s="68"/>
    </row>
    <row r="5" ht="15.0" customHeight="1">
      <c r="A5" s="95">
        <v>2.0</v>
      </c>
      <c r="B5" s="113">
        <v>10.0</v>
      </c>
      <c r="C5" s="114">
        <v>15.0</v>
      </c>
      <c r="D5" s="68"/>
      <c r="E5" s="76" t="str">
        <f>IFERROR(__xludf.DUMMYFUNCTION("LET(
  names, HSTACK(""Coins"", $N$3:$X$3),
  amounts, HSTACK(C5, N5:X5),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7">
        <f>IFERROR(__xludf.DUMMYFUNCTION("""COMPUTED_VALUE"""),15.0)</f>
        <v>15</v>
      </c>
      <c r="G5" s="76" t="str">
        <f>IFERROR(__xludf.DUMMYFUNCTION("""COMPUTED_VALUE"""),"")</f>
        <v/>
      </c>
      <c r="H5" s="77">
        <f>IFERROR(__xludf.DUMMYFUNCTION("""COMPUTED_VALUE"""),1.0)</f>
        <v>1</v>
      </c>
      <c r="I5" s="76" t="str">
        <f>IFERROR(__xludf.DUMMYFUNCTION("""COMPUTED_VALUE"""),"")</f>
        <v/>
      </c>
      <c r="J5" s="77">
        <f>IFERROR(__xludf.DUMMYFUNCTION("""COMPUTED_VALUE"""),15.0)</f>
        <v>15</v>
      </c>
      <c r="K5" s="77"/>
      <c r="L5" s="77"/>
      <c r="M5" s="68"/>
      <c r="N5" s="115">
        <v>0.0</v>
      </c>
      <c r="O5" s="109">
        <v>0.0</v>
      </c>
      <c r="P5" s="109">
        <v>1.0</v>
      </c>
      <c r="Q5" s="109">
        <v>0.0</v>
      </c>
      <c r="R5" s="109">
        <v>0.0</v>
      </c>
      <c r="S5" s="109">
        <v>0.0</v>
      </c>
      <c r="T5" s="109">
        <v>0.0</v>
      </c>
      <c r="U5" s="109">
        <v>15.0</v>
      </c>
      <c r="V5" s="109">
        <v>0.0</v>
      </c>
      <c r="W5" s="109">
        <v>0.0</v>
      </c>
      <c r="X5" s="116">
        <v>0.0</v>
      </c>
      <c r="Y5" s="111">
        <f t="shared" si="1"/>
        <v>112.55</v>
      </c>
      <c r="Z5" s="68"/>
      <c r="AA5" s="76" t="str">
        <f t="array" ref="AA5:AA15">TRANSPOSE(N3:X3)</f>
        <v>SPT</v>
      </c>
      <c r="AB5" s="68"/>
      <c r="AC5" s="68"/>
      <c r="AD5" s="68"/>
      <c r="AE5" s="68"/>
      <c r="AF5" s="68"/>
      <c r="AG5" s="68"/>
    </row>
    <row r="6" ht="15.0" customHeight="1">
      <c r="A6" s="95">
        <v>3.0</v>
      </c>
      <c r="B6" s="113">
        <v>10.0</v>
      </c>
      <c r="C6" s="114">
        <v>15.0</v>
      </c>
      <c r="D6" s="68"/>
      <c r="E6" s="76" t="str">
        <f>IFERROR(__xludf.DUMMYFUNCTION("LET(
  names, HSTACK(""Coins"", $N$3:$X$3),
  amounts, HSTACK(C6, N6:X6),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7">
        <f>IFERROR(__xludf.DUMMYFUNCTION("""COMPUTED_VALUE"""),15.0)</f>
        <v>15</v>
      </c>
      <c r="G6" s="76" t="str">
        <f>IFERROR(__xludf.DUMMYFUNCTION("""COMPUTED_VALUE"""),"")</f>
        <v/>
      </c>
      <c r="H6" s="77">
        <f>IFERROR(__xludf.DUMMYFUNCTION("""COMPUTED_VALUE"""),1.0)</f>
        <v>1</v>
      </c>
      <c r="I6" s="76" t="str">
        <f>IFERROR(__xludf.DUMMYFUNCTION("""COMPUTED_VALUE"""),"")</f>
        <v/>
      </c>
      <c r="J6" s="77">
        <f>IFERROR(__xludf.DUMMYFUNCTION("""COMPUTED_VALUE"""),15.0)</f>
        <v>15</v>
      </c>
      <c r="K6" s="77"/>
      <c r="L6" s="77"/>
      <c r="M6" s="68"/>
      <c r="N6" s="115">
        <v>0.0</v>
      </c>
      <c r="O6" s="109">
        <v>1.0</v>
      </c>
      <c r="P6" s="109">
        <v>0.0</v>
      </c>
      <c r="Q6" s="109">
        <v>0.0</v>
      </c>
      <c r="R6" s="109">
        <v>0.0</v>
      </c>
      <c r="S6" s="109">
        <v>0.0</v>
      </c>
      <c r="T6" s="109">
        <v>0.0</v>
      </c>
      <c r="U6" s="109">
        <v>15.0</v>
      </c>
      <c r="V6" s="109">
        <v>0.0</v>
      </c>
      <c r="W6" s="109">
        <v>0.0</v>
      </c>
      <c r="X6" s="116">
        <v>0.0</v>
      </c>
      <c r="Y6" s="111">
        <f t="shared" si="1"/>
        <v>95.55</v>
      </c>
      <c r="Z6" s="68"/>
      <c r="AA6" s="76" t="s">
        <v>94</v>
      </c>
      <c r="AB6" s="80"/>
      <c r="AC6" s="68"/>
      <c r="AD6" s="68"/>
      <c r="AE6" s="68"/>
      <c r="AF6" s="68"/>
      <c r="AG6" s="68"/>
    </row>
    <row r="7" ht="15.0" customHeight="1">
      <c r="A7" s="95">
        <v>4.0</v>
      </c>
      <c r="B7" s="113">
        <v>10.0</v>
      </c>
      <c r="C7" s="114">
        <v>20.0</v>
      </c>
      <c r="D7" s="68"/>
      <c r="E7" s="76" t="str">
        <f>IFERROR(__xludf.DUMMYFUNCTION("LET(
  names, HSTACK(""Coins"", $N$3:$X$3),
  amounts, HSTACK(C7, N7:X7),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7">
        <f>IFERROR(__xludf.DUMMYFUNCTION("""COMPUTED_VALUE"""),20.0)</f>
        <v>20</v>
      </c>
      <c r="G7" s="76" t="str">
        <f>IFERROR(__xludf.DUMMYFUNCTION("""COMPUTED_VALUE"""),"")</f>
        <v/>
      </c>
      <c r="H7" s="77">
        <f>IFERROR(__xludf.DUMMYFUNCTION("""COMPUTED_VALUE"""),1.0)</f>
        <v>1</v>
      </c>
      <c r="I7" s="76" t="str">
        <f>IFERROR(__xludf.DUMMYFUNCTION("""COMPUTED_VALUE"""),"")</f>
        <v/>
      </c>
      <c r="J7" s="77">
        <f>IFERROR(__xludf.DUMMYFUNCTION("""COMPUTED_VALUE"""),15.0)</f>
        <v>15</v>
      </c>
      <c r="K7" s="77"/>
      <c r="L7" s="77"/>
      <c r="M7" s="68"/>
      <c r="N7" s="115">
        <v>0.0</v>
      </c>
      <c r="O7" s="109">
        <v>1.0</v>
      </c>
      <c r="P7" s="109">
        <v>0.0</v>
      </c>
      <c r="Q7" s="109">
        <v>0.0</v>
      </c>
      <c r="R7" s="109">
        <v>0.0</v>
      </c>
      <c r="S7" s="109">
        <v>0.0</v>
      </c>
      <c r="T7" s="109">
        <v>0.0</v>
      </c>
      <c r="U7" s="109">
        <v>15.0</v>
      </c>
      <c r="V7" s="109">
        <v>0.0</v>
      </c>
      <c r="W7" s="109">
        <v>0.0</v>
      </c>
      <c r="X7" s="116">
        <v>0.0</v>
      </c>
      <c r="Y7" s="111">
        <f t="shared" si="1"/>
        <v>95.55</v>
      </c>
      <c r="Z7" s="68"/>
      <c r="AA7" s="76" t="s">
        <v>95</v>
      </c>
      <c r="AB7" s="80"/>
      <c r="AC7" s="68"/>
      <c r="AD7" s="68"/>
      <c r="AE7" s="68"/>
      <c r="AF7" s="68"/>
      <c r="AG7" s="68"/>
    </row>
    <row r="8" ht="15.0" customHeight="1">
      <c r="A8" s="95">
        <v>5.0</v>
      </c>
      <c r="B8" s="113">
        <v>10.0</v>
      </c>
      <c r="C8" s="114">
        <v>20.0</v>
      </c>
      <c r="D8" s="68"/>
      <c r="E8" s="76" t="str">
        <f>IFERROR(__xludf.DUMMYFUNCTION("LET(
  names, HSTACK(""Coins"", $N$3:$X$3),
  amounts, HSTACK(C8, N8:X8),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7">
        <f>IFERROR(__xludf.DUMMYFUNCTION("""COMPUTED_VALUE"""),20.0)</f>
        <v>20</v>
      </c>
      <c r="G8" s="76" t="str">
        <f>IFERROR(__xludf.DUMMYFUNCTION("""COMPUTED_VALUE"""),"")</f>
        <v/>
      </c>
      <c r="H8" s="77">
        <f>IFERROR(__xludf.DUMMYFUNCTION("""COMPUTED_VALUE"""),1.0)</f>
        <v>1</v>
      </c>
      <c r="I8" s="76" t="str">
        <f>IFERROR(__xludf.DUMMYFUNCTION("""COMPUTED_VALUE"""),"")</f>
        <v/>
      </c>
      <c r="J8" s="77">
        <f>IFERROR(__xludf.DUMMYFUNCTION("""COMPUTED_VALUE"""),1.0)</f>
        <v>1</v>
      </c>
      <c r="K8" s="77"/>
      <c r="L8" s="77"/>
      <c r="M8" s="68"/>
      <c r="N8" s="115">
        <v>0.0</v>
      </c>
      <c r="O8" s="109">
        <v>1.0</v>
      </c>
      <c r="P8" s="109">
        <v>0.0</v>
      </c>
      <c r="Q8" s="109">
        <v>0.0</v>
      </c>
      <c r="R8" s="109">
        <v>0.0</v>
      </c>
      <c r="S8" s="109">
        <v>1.0</v>
      </c>
      <c r="T8" s="109">
        <v>0.0</v>
      </c>
      <c r="U8" s="109">
        <v>0.0</v>
      </c>
      <c r="V8" s="109">
        <v>0.0</v>
      </c>
      <c r="W8" s="109">
        <v>0.0</v>
      </c>
      <c r="X8" s="116">
        <v>0.0</v>
      </c>
      <c r="Y8" s="111">
        <f t="shared" si="1"/>
        <v>100</v>
      </c>
      <c r="Z8" s="68"/>
      <c r="AA8" s="76" t="s">
        <v>96</v>
      </c>
      <c r="AB8" s="80"/>
      <c r="AC8" s="68"/>
      <c r="AD8" s="68"/>
      <c r="AE8" s="68"/>
      <c r="AF8" s="68"/>
      <c r="AG8" s="68"/>
    </row>
    <row r="9" ht="15.0" customHeight="1">
      <c r="A9" s="95">
        <v>6.0</v>
      </c>
      <c r="B9" s="113">
        <v>10.0</v>
      </c>
      <c r="C9" s="114">
        <v>20.0</v>
      </c>
      <c r="D9" s="68"/>
      <c r="E9" s="76" t="str">
        <f>IFERROR(__xludf.DUMMYFUNCTION("LET(
  names, HSTACK(""Coins"", $N$3:$X$3),
  amounts, HSTACK(C9, N9:X9),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7">
        <f>IFERROR(__xludf.DUMMYFUNCTION("""COMPUTED_VALUE"""),20.0)</f>
        <v>20</v>
      </c>
      <c r="G9" s="76" t="str">
        <f>IFERROR(__xludf.DUMMYFUNCTION("""COMPUTED_VALUE"""),"")</f>
        <v/>
      </c>
      <c r="H9" s="77">
        <f>IFERROR(__xludf.DUMMYFUNCTION("""COMPUTED_VALUE"""),1.0)</f>
        <v>1</v>
      </c>
      <c r="I9" s="76" t="str">
        <f>IFERROR(__xludf.DUMMYFUNCTION("""COMPUTED_VALUE"""),"")</f>
        <v/>
      </c>
      <c r="J9" s="77">
        <f>IFERROR(__xludf.DUMMYFUNCTION("""COMPUTED_VALUE"""),15.0)</f>
        <v>15</v>
      </c>
      <c r="K9" s="77"/>
      <c r="L9" s="77"/>
      <c r="M9" s="68"/>
      <c r="N9" s="115">
        <v>0.0</v>
      </c>
      <c r="O9" s="109">
        <v>0.0</v>
      </c>
      <c r="P9" s="109">
        <v>0.0</v>
      </c>
      <c r="Q9" s="109">
        <v>0.0</v>
      </c>
      <c r="R9" s="109">
        <v>1.0</v>
      </c>
      <c r="S9" s="109">
        <v>0.0</v>
      </c>
      <c r="T9" s="109">
        <v>0.0</v>
      </c>
      <c r="U9" s="109">
        <v>15.0</v>
      </c>
      <c r="V9" s="109">
        <v>0.0</v>
      </c>
      <c r="W9" s="109">
        <v>0.0</v>
      </c>
      <c r="X9" s="116">
        <v>0.0</v>
      </c>
      <c r="Y9" s="111">
        <f t="shared" si="1"/>
        <v>229.55</v>
      </c>
      <c r="Z9" s="68"/>
      <c r="AA9" s="76" t="s">
        <v>97</v>
      </c>
      <c r="AB9" s="80"/>
      <c r="AC9" s="68"/>
      <c r="AD9" s="68"/>
      <c r="AE9" s="68"/>
      <c r="AF9" s="68"/>
      <c r="AG9" s="68"/>
    </row>
    <row r="10" ht="15.0" customHeight="1">
      <c r="A10" s="95">
        <v>7.0</v>
      </c>
      <c r="B10" s="113">
        <v>10.0</v>
      </c>
      <c r="C10" s="114">
        <v>25.0</v>
      </c>
      <c r="D10" s="68"/>
      <c r="E10" s="76" t="str">
        <f>IFERROR(__xludf.DUMMYFUNCTION("LET(
  names, HSTACK(""Coins"", $N$3:$X$3),
  amounts, HSTACK(C10, N10:X10),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7">
        <f>IFERROR(__xludf.DUMMYFUNCTION("""COMPUTED_VALUE"""),25.0)</f>
        <v>25</v>
      </c>
      <c r="G10" s="76" t="str">
        <f>IFERROR(__xludf.DUMMYFUNCTION("""COMPUTED_VALUE"""),"")</f>
        <v/>
      </c>
      <c r="H10" s="77">
        <f>IFERROR(__xludf.DUMMYFUNCTION("""COMPUTED_VALUE"""),1.0)</f>
        <v>1</v>
      </c>
      <c r="I10" s="76" t="str">
        <f>IFERROR(__xludf.DUMMYFUNCTION("""COMPUTED_VALUE"""),"")</f>
        <v/>
      </c>
      <c r="J10" s="77">
        <f>IFERROR(__xludf.DUMMYFUNCTION("""COMPUTED_VALUE"""),30.0)</f>
        <v>30</v>
      </c>
      <c r="K10" s="77"/>
      <c r="L10" s="77"/>
      <c r="M10" s="68"/>
      <c r="N10" s="115">
        <v>0.0</v>
      </c>
      <c r="O10" s="109">
        <v>0.0</v>
      </c>
      <c r="P10" s="109">
        <v>0.0</v>
      </c>
      <c r="Q10" s="109">
        <v>0.0</v>
      </c>
      <c r="R10" s="109">
        <v>0.0</v>
      </c>
      <c r="S10" s="109">
        <v>1.0</v>
      </c>
      <c r="T10" s="109">
        <v>0.0</v>
      </c>
      <c r="U10" s="109">
        <v>30.0</v>
      </c>
      <c r="V10" s="109">
        <v>0.0</v>
      </c>
      <c r="W10" s="109">
        <v>0.0</v>
      </c>
      <c r="X10" s="116">
        <v>0.0</v>
      </c>
      <c r="Y10" s="111">
        <f t="shared" si="1"/>
        <v>192.1</v>
      </c>
      <c r="Z10" s="68"/>
      <c r="AA10" s="76" t="s">
        <v>98</v>
      </c>
      <c r="AB10" s="80"/>
      <c r="AC10" s="68"/>
      <c r="AD10" s="68"/>
      <c r="AE10" s="68"/>
      <c r="AF10" s="68"/>
      <c r="AG10" s="68"/>
    </row>
    <row r="11" ht="15.0" customHeight="1">
      <c r="A11" s="95">
        <v>8.0</v>
      </c>
      <c r="B11" s="113">
        <v>10.0</v>
      </c>
      <c r="C11" s="114">
        <v>25.0</v>
      </c>
      <c r="D11" s="68"/>
      <c r="E11" s="76" t="str">
        <f>IFERROR(__xludf.DUMMYFUNCTION("LET(
  names, HSTACK(""Coins"", $N$3:$X$3),
  amounts, HSTACK(C11, N11:X11),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7">
        <f>IFERROR(__xludf.DUMMYFUNCTION("""COMPUTED_VALUE"""),25.0)</f>
        <v>25</v>
      </c>
      <c r="G11" s="76" t="str">
        <f>IFERROR(__xludf.DUMMYFUNCTION("""COMPUTED_VALUE"""),"")</f>
        <v/>
      </c>
      <c r="H11" s="77">
        <f>IFERROR(__xludf.DUMMYFUNCTION("""COMPUTED_VALUE"""),1.0)</f>
        <v>1</v>
      </c>
      <c r="I11" s="76" t="str">
        <f>IFERROR(__xludf.DUMMYFUNCTION("""COMPUTED_VALUE"""),"")</f>
        <v/>
      </c>
      <c r="J11" s="77">
        <f>IFERROR(__xludf.DUMMYFUNCTION("""COMPUTED_VALUE"""),1.0)</f>
        <v>1</v>
      </c>
      <c r="K11" s="77"/>
      <c r="L11" s="77"/>
      <c r="M11" s="68"/>
      <c r="N11" s="115">
        <v>0.0</v>
      </c>
      <c r="O11" s="109">
        <v>0.0</v>
      </c>
      <c r="P11" s="109">
        <v>1.0</v>
      </c>
      <c r="Q11" s="109">
        <v>0.0</v>
      </c>
      <c r="R11" s="109">
        <v>1.0</v>
      </c>
      <c r="S11" s="109">
        <v>0.0</v>
      </c>
      <c r="T11" s="109">
        <v>0.0</v>
      </c>
      <c r="U11" s="109">
        <v>0.0</v>
      </c>
      <c r="V11" s="109">
        <v>0.0</v>
      </c>
      <c r="W11" s="109">
        <v>0.0</v>
      </c>
      <c r="X11" s="116">
        <v>0.0</v>
      </c>
      <c r="Y11" s="111">
        <f t="shared" si="1"/>
        <v>217</v>
      </c>
      <c r="Z11" s="68"/>
      <c r="AA11" s="76" t="s">
        <v>99</v>
      </c>
      <c r="AB11" s="80"/>
      <c r="AC11" s="68"/>
      <c r="AD11" s="68"/>
      <c r="AE11" s="68"/>
      <c r="AF11" s="68"/>
      <c r="AG11" s="68"/>
    </row>
    <row r="12" ht="15.0" customHeight="1">
      <c r="A12" s="95">
        <v>9.0</v>
      </c>
      <c r="B12" s="113">
        <v>10.0</v>
      </c>
      <c r="C12" s="114">
        <v>25.0</v>
      </c>
      <c r="D12" s="68"/>
      <c r="E12" s="76" t="str">
        <f>IFERROR(__xludf.DUMMYFUNCTION("LET(
  names, HSTACK(""Coins"", $N$3:$X$3),
  amounts, HSTACK(C12, N12:X12),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77">
        <f>IFERROR(__xludf.DUMMYFUNCTION("""COMPUTED_VALUE"""),25.0)</f>
        <v>25</v>
      </c>
      <c r="G12" s="76" t="str">
        <f>IFERROR(__xludf.DUMMYFUNCTION("""COMPUTED_VALUE"""),"")</f>
        <v/>
      </c>
      <c r="H12" s="77">
        <f>IFERROR(__xludf.DUMMYFUNCTION("""COMPUTED_VALUE"""),1.0)</f>
        <v>1</v>
      </c>
      <c r="I12" s="76" t="str">
        <f>IFERROR(__xludf.DUMMYFUNCTION("""COMPUTED_VALUE"""),"")</f>
        <v/>
      </c>
      <c r="J12" s="77">
        <f>IFERROR(__xludf.DUMMYFUNCTION("""COMPUTED_VALUE"""),60.0)</f>
        <v>60</v>
      </c>
      <c r="K12" s="77"/>
      <c r="L12" s="77"/>
      <c r="M12" s="68"/>
      <c r="N12" s="115">
        <v>0.0</v>
      </c>
      <c r="O12" s="109">
        <v>0.0</v>
      </c>
      <c r="P12" s="109">
        <v>1.0</v>
      </c>
      <c r="Q12" s="109">
        <v>0.0</v>
      </c>
      <c r="R12" s="109">
        <v>0.0</v>
      </c>
      <c r="S12" s="109">
        <v>0.0</v>
      </c>
      <c r="T12" s="109">
        <v>0.0</v>
      </c>
      <c r="U12" s="109">
        <v>60.0</v>
      </c>
      <c r="V12" s="109">
        <v>0.0</v>
      </c>
      <c r="W12" s="109">
        <v>0.0</v>
      </c>
      <c r="X12" s="116">
        <v>0.0</v>
      </c>
      <c r="Y12" s="111">
        <f t="shared" si="1"/>
        <v>300.2</v>
      </c>
      <c r="Z12" s="68"/>
      <c r="AA12" s="76" t="s">
        <v>100</v>
      </c>
      <c r="AB12" s="80"/>
      <c r="AC12" s="68"/>
      <c r="AD12" s="68"/>
      <c r="AE12" s="68"/>
      <c r="AF12" s="68"/>
      <c r="AG12" s="68"/>
    </row>
    <row r="13" ht="15.0" customHeight="1">
      <c r="A13" s="99">
        <v>10.0</v>
      </c>
      <c r="B13" s="117">
        <v>10.0</v>
      </c>
      <c r="C13" s="118">
        <v>30.0</v>
      </c>
      <c r="D13" s="68"/>
      <c r="E13" s="76" t="str">
        <f>IFERROR(__xludf.DUMMYFUNCTION("LET(
  names, HSTACK(""Coins"", $N$3:$X$3),
  amounts, HSTACK(C13, N13:X13),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77">
        <f>IFERROR(__xludf.DUMMYFUNCTION("""COMPUTED_VALUE"""),30.0)</f>
        <v>30</v>
      </c>
      <c r="G13" s="76" t="str">
        <f>IFERROR(__xludf.DUMMYFUNCTION("""COMPUTED_VALUE"""),"")</f>
        <v/>
      </c>
      <c r="H13" s="77">
        <f>IFERROR(__xludf.DUMMYFUNCTION("""COMPUTED_VALUE"""),1.0)</f>
        <v>1</v>
      </c>
      <c r="I13" s="76" t="str">
        <f>IFERROR(__xludf.DUMMYFUNCTION("""COMPUTED_VALUE"""),"")</f>
        <v/>
      </c>
      <c r="J13" s="77">
        <f>IFERROR(__xludf.DUMMYFUNCTION("""COMPUTED_VALUE"""),1.0)</f>
        <v>1</v>
      </c>
      <c r="K13" s="77"/>
      <c r="L13" s="77"/>
      <c r="M13" s="68"/>
      <c r="N13" s="119">
        <v>0.0</v>
      </c>
      <c r="O13" s="120">
        <v>0.0</v>
      </c>
      <c r="P13" s="120">
        <v>0.0</v>
      </c>
      <c r="Q13" s="120">
        <v>1.0</v>
      </c>
      <c r="R13" s="120">
        <v>0.0</v>
      </c>
      <c r="S13" s="120">
        <v>0.0</v>
      </c>
      <c r="T13" s="120">
        <v>1.0</v>
      </c>
      <c r="U13" s="120">
        <v>0.0</v>
      </c>
      <c r="V13" s="120">
        <v>0.0</v>
      </c>
      <c r="W13" s="120">
        <v>0.0</v>
      </c>
      <c r="X13" s="121">
        <v>0.0</v>
      </c>
      <c r="Y13" s="111">
        <f t="shared" si="1"/>
        <v>117</v>
      </c>
      <c r="Z13" s="68"/>
      <c r="AA13" s="76" t="s">
        <v>101</v>
      </c>
      <c r="AB13" s="80"/>
      <c r="AC13" s="68"/>
      <c r="AD13" s="68"/>
      <c r="AE13" s="68"/>
      <c r="AF13" s="68"/>
      <c r="AG13" s="68"/>
    </row>
    <row r="14" ht="15.0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76" t="s">
        <v>102</v>
      </c>
      <c r="AB14" s="80"/>
      <c r="AC14" s="68"/>
      <c r="AD14" s="68"/>
      <c r="AE14" s="68"/>
      <c r="AF14" s="68"/>
      <c r="AG14" s="68"/>
    </row>
    <row r="15" ht="15.0" customHeight="1">
      <c r="A15" s="88" t="s">
        <v>132</v>
      </c>
      <c r="B15" s="89">
        <f t="shared" ref="B15:C15" si="2">SUM(B4:B13)</f>
        <v>100</v>
      </c>
      <c r="C15" s="89">
        <f t="shared" si="2"/>
        <v>210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 t="s">
        <v>103</v>
      </c>
      <c r="AB15" s="80"/>
      <c r="AC15" s="68"/>
      <c r="AD15" s="68"/>
      <c r="AE15" s="68"/>
      <c r="AF15" s="68"/>
      <c r="AG15" s="68"/>
    </row>
    <row r="16" ht="15.0" customHeight="1">
      <c r="A16" s="88" t="s">
        <v>146</v>
      </c>
      <c r="B16" s="68"/>
      <c r="C16" s="91">
        <f>C15/B15</f>
        <v>2.1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ht="15.0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ht="15.0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ht="15.0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</row>
    <row r="20" ht="15.0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</row>
  </sheetData>
  <mergeCells count="1">
    <mergeCell ref="E3:L3"/>
  </mergeCells>
  <conditionalFormatting sqref="N4:X13">
    <cfRule type="cellIs" dxfId="11" priority="1" operator="greaterThan">
      <formula>0</formula>
    </cfRule>
  </conditionalFormatting>
  <conditionalFormatting sqref="N4:X13">
    <cfRule type="cellIs" dxfId="1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9.57"/>
    <col customWidth="1" min="4" max="4" width="4.43"/>
    <col customWidth="1" min="5" max="5" width="3.86"/>
    <col customWidth="1" min="6" max="6" width="2.86"/>
    <col customWidth="1" min="7" max="7" width="3.86"/>
    <col customWidth="1" min="8" max="8" width="2.86"/>
    <col customWidth="1" min="9" max="9" width="3.86"/>
    <col customWidth="1" min="10" max="10" width="2.86"/>
    <col customWidth="1" min="11" max="11" width="4.43"/>
    <col customWidth="1" hidden="1" min="12" max="13" width="12.71"/>
    <col customWidth="1" min="14" max="14" width="4.43"/>
    <col customWidth="1" min="15" max="25" width="10.71"/>
    <col customWidth="1" min="26" max="27" width="8.71"/>
    <col hidden="1" min="28" max="29" width="14.43"/>
    <col customWidth="1" min="30" max="30" width="8.71"/>
  </cols>
  <sheetData>
    <row r="1" ht="17.25" customHeight="1">
      <c r="A1" s="122" t="s">
        <v>147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ht="15.0" customHeight="1">
      <c r="A2" s="92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</row>
    <row r="3" ht="15.0" customHeight="1">
      <c r="A3" s="92"/>
      <c r="B3" s="123" t="s">
        <v>60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80" t="s">
        <v>139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ht="14.25" customHeight="1">
      <c r="A4" s="70" t="s">
        <v>143</v>
      </c>
      <c r="B4" s="70" t="s">
        <v>144</v>
      </c>
      <c r="C4" s="70" t="s">
        <v>126</v>
      </c>
      <c r="D4" s="124"/>
      <c r="E4" s="71" t="s">
        <v>127</v>
      </c>
      <c r="K4" s="124"/>
      <c r="L4" s="125" t="s">
        <v>148</v>
      </c>
      <c r="M4" s="125" t="s">
        <v>149</v>
      </c>
      <c r="N4" s="68"/>
      <c r="O4" s="104" t="s">
        <v>93</v>
      </c>
      <c r="P4" s="104" t="s">
        <v>94</v>
      </c>
      <c r="Q4" s="104" t="s">
        <v>95</v>
      </c>
      <c r="R4" s="104" t="s">
        <v>96</v>
      </c>
      <c r="S4" s="104" t="s">
        <v>97</v>
      </c>
      <c r="T4" s="104" t="s">
        <v>98</v>
      </c>
      <c r="U4" s="104" t="s">
        <v>99</v>
      </c>
      <c r="V4" s="126" t="s">
        <v>100</v>
      </c>
      <c r="W4" s="104" t="s">
        <v>101</v>
      </c>
      <c r="X4" s="104" t="s">
        <v>102</v>
      </c>
      <c r="Y4" s="104" t="s">
        <v>103</v>
      </c>
      <c r="Z4" s="126" t="s">
        <v>145</v>
      </c>
      <c r="AA4" s="124"/>
      <c r="AB4" s="104" t="s">
        <v>129</v>
      </c>
      <c r="AC4" s="104" t="s">
        <v>130</v>
      </c>
      <c r="AD4" s="124"/>
    </row>
    <row r="5" ht="15.0" customHeight="1">
      <c r="A5" s="93">
        <v>1.0</v>
      </c>
      <c r="B5" s="127">
        <v>10.0</v>
      </c>
      <c r="C5" s="128">
        <v>10.0</v>
      </c>
      <c r="D5" s="68"/>
      <c r="E5" s="76" t="str">
        <f>IFERROR(__xludf.DUMMYFUNCTION("LET(
  names, HSTACK(""Coins"", O$4:Y$4),
  amounts, HSTACK(C5, O5:Y5),
  lookupNames, $AB$5:$AB$16,
  lookupImages, $AC$5:$AC$16,
  imgs, MAP(names, LAMBDA(n, XLOOKUP(n, lookupNames, lookupImages))),
  keepImgs, FILTER(imgs, amounts&lt;&gt;0),
  keepAmounts, F"&amp;"ILTER(amounts, amounts&lt;&gt;0),
  MAKEARRAY(
    1,
    COLUMNS(keepAmounts)*2,
    LAMBDA(r,c,
      IF(
        ISODD(c),
        INDEX(keepImgs, 1, ROUNDUP(c/2)),
        INDEX(keepAmounts, 1, c/2)
      )
    )
  )
)"),"")</f>
        <v/>
      </c>
      <c r="F5" s="77">
        <f>IFERROR(__xludf.DUMMYFUNCTION("""COMPUTED_VALUE"""),10.0)</f>
        <v>10</v>
      </c>
      <c r="G5" s="76" t="str">
        <f>IFERROR(__xludf.DUMMYFUNCTION("""COMPUTED_VALUE"""),"")</f>
        <v/>
      </c>
      <c r="H5" s="77">
        <f>IFERROR(__xludf.DUMMYFUNCTION("""COMPUTED_VALUE"""),1.0)</f>
        <v>1</v>
      </c>
      <c r="I5" s="76" t="str">
        <f>IFERROR(__xludf.DUMMYFUNCTION("""COMPUTED_VALUE"""),"")</f>
        <v/>
      </c>
      <c r="J5" s="77">
        <f>IFERROR(__xludf.DUMMYFUNCTION("""COMPUTED_VALUE"""),15.0)</f>
        <v>15</v>
      </c>
      <c r="K5" s="68"/>
      <c r="L5" s="129">
        <v>15.0</v>
      </c>
      <c r="M5" s="130">
        <v>10.0</v>
      </c>
      <c r="N5" s="68"/>
      <c r="O5" s="131">
        <v>0.0</v>
      </c>
      <c r="P5" s="108">
        <v>1.0</v>
      </c>
      <c r="Q5" s="108">
        <v>0.0</v>
      </c>
      <c r="R5" s="132">
        <v>0.0</v>
      </c>
      <c r="S5" s="132">
        <v>0.0</v>
      </c>
      <c r="T5" s="132">
        <v>0.0</v>
      </c>
      <c r="U5" s="132">
        <v>0.0</v>
      </c>
      <c r="V5" s="109">
        <v>15.0</v>
      </c>
      <c r="W5" s="132">
        <v>0.0</v>
      </c>
      <c r="X5" s="132">
        <v>0.0</v>
      </c>
      <c r="Y5" s="133">
        <v>0.0</v>
      </c>
      <c r="Z5" s="111">
        <f t="shared" ref="Z5:Z14" si="1">SUMPRODUCT(O5:Y5, {0,33,50,67,167,67,50,4.17,7.56,12.17,16.22})</f>
        <v>95.55</v>
      </c>
      <c r="AA5" s="68">
        <v>100.0</v>
      </c>
      <c r="AB5" s="112" t="s">
        <v>131</v>
      </c>
      <c r="AC5" s="80"/>
      <c r="AD5" s="68">
        <f t="shared" ref="AD5:AD14" si="2">Z5-AA5</f>
        <v>-4.45</v>
      </c>
    </row>
    <row r="6" ht="15.0" customHeight="1">
      <c r="A6" s="95">
        <v>2.0</v>
      </c>
      <c r="B6" s="134">
        <v>10.0</v>
      </c>
      <c r="C6" s="135">
        <v>0.0</v>
      </c>
      <c r="D6" s="68"/>
      <c r="E6" s="76" t="str">
        <f>IFERROR(__xludf.DUMMYFUNCTION("LET(
  names, HSTACK(""Coins"", O$4:Y$4),
  amounts, HSTACK(C6, O6:Y6),
  lookupNames, $AB$5:$AB$16,
  lookupImages, $AC$5:$AC$16,
  imgs, MAP(names, LAMBDA(n, XLOOKUP(n, lookupNames, lookupImages))),
  keepImgs, FILTER(imgs, amounts&lt;&gt;0),
  keepAmounts, F"&amp;"ILTER(amounts, amounts&lt;&gt;0),
  MAKEARRAY(
    1,
    COLUMNS(keepAmounts)*2,
    LAMBDA(r,c,
      IF(
        ISODD(c),
        INDEX(keepImgs, 1, ROUNDUP(c/2)),
        INDEX(keepAmounts, 1, c/2)
      )
    )
  )
)"),"")</f>
        <v/>
      </c>
      <c r="F6" s="77">
        <f>IFERROR(__xludf.DUMMYFUNCTION("""COMPUTED_VALUE"""),1.0)</f>
        <v>1</v>
      </c>
      <c r="G6" s="76" t="str">
        <f>IFERROR(__xludf.DUMMYFUNCTION("""COMPUTED_VALUE"""),"")</f>
        <v/>
      </c>
      <c r="H6" s="77">
        <f>IFERROR(__xludf.DUMMYFUNCTION("""COMPUTED_VALUE"""),1.0)</f>
        <v>1</v>
      </c>
      <c r="I6" s="76" t="str">
        <f>IFERROR(__xludf.DUMMYFUNCTION("""COMPUTED_VALUE"""),"")</f>
        <v/>
      </c>
      <c r="J6" s="77">
        <f>IFERROR(__xludf.DUMMYFUNCTION("""COMPUTED_VALUE"""),15.0)</f>
        <v>15</v>
      </c>
      <c r="K6" s="68"/>
      <c r="L6" s="129">
        <v>15.0</v>
      </c>
      <c r="M6" s="130">
        <v>10.0</v>
      </c>
      <c r="N6" s="68"/>
      <c r="O6" s="136">
        <v>0.0</v>
      </c>
      <c r="P6" s="109">
        <v>1.0</v>
      </c>
      <c r="Q6" s="109">
        <v>1.0</v>
      </c>
      <c r="R6" s="109">
        <v>0.0</v>
      </c>
      <c r="S6" s="109">
        <v>0.0</v>
      </c>
      <c r="T6" s="137">
        <v>0.0</v>
      </c>
      <c r="U6" s="137">
        <v>0.0</v>
      </c>
      <c r="V6" s="109">
        <v>15.0</v>
      </c>
      <c r="W6" s="137">
        <v>0.0</v>
      </c>
      <c r="X6" s="137">
        <v>0.0</v>
      </c>
      <c r="Y6" s="138">
        <v>0.0</v>
      </c>
      <c r="Z6" s="111">
        <f t="shared" si="1"/>
        <v>145.55</v>
      </c>
      <c r="AA6" s="68">
        <v>112.55</v>
      </c>
      <c r="AB6" s="76" t="str">
        <f t="array" ref="AB6:AB16">TRANSPOSE(O4:Y4)</f>
        <v>SPT</v>
      </c>
      <c r="AC6" s="68"/>
      <c r="AD6" s="68">
        <f t="shared" si="2"/>
        <v>33</v>
      </c>
    </row>
    <row r="7" ht="15.0" customHeight="1">
      <c r="A7" s="95">
        <v>3.0</v>
      </c>
      <c r="B7" s="134">
        <v>10.0</v>
      </c>
      <c r="C7" s="135">
        <v>10.0</v>
      </c>
      <c r="D7" s="68"/>
      <c r="E7" s="76" t="str">
        <f>IFERROR(__xludf.DUMMYFUNCTION("LET(
  names, HSTACK(""Coins"", O$4:Y$4),
  amounts, HSTACK(C7, O7:Y7),
  lookupNames, $AB$5:$AB$16,
  lookupImages, $AC$5:$AC$16,
  imgs, MAP(names, LAMBDA(n, XLOOKUP(n, lookupNames, lookupImages))),
  keepImgs, FILTER(imgs, amounts&lt;&gt;0),
  keepAmounts, F"&amp;"ILTER(amounts, amounts&lt;&gt;0),
  MAKEARRAY(
    1,
    COLUMNS(keepAmounts)*2,
    LAMBDA(r,c,
      IF(
        ISODD(c),
        INDEX(keepImgs, 1, ROUNDUP(c/2)),
        INDEX(keepAmounts, 1, c/2)
      )
    )
  )
)"),"")</f>
        <v/>
      </c>
      <c r="F7" s="77">
        <f>IFERROR(__xludf.DUMMYFUNCTION("""COMPUTED_VALUE"""),10.0)</f>
        <v>10</v>
      </c>
      <c r="G7" s="76" t="str">
        <f>IFERROR(__xludf.DUMMYFUNCTION("""COMPUTED_VALUE"""),"")</f>
        <v/>
      </c>
      <c r="H7" s="77">
        <f>IFERROR(__xludf.DUMMYFUNCTION("""COMPUTED_VALUE"""),1.0)</f>
        <v>1</v>
      </c>
      <c r="I7" s="76" t="str">
        <f>IFERROR(__xludf.DUMMYFUNCTION("""COMPUTED_VALUE"""),"")</f>
        <v/>
      </c>
      <c r="J7" s="77">
        <f>IFERROR(__xludf.DUMMYFUNCTION("""COMPUTED_VALUE"""),15.0)</f>
        <v>15</v>
      </c>
      <c r="K7" s="68"/>
      <c r="L7" s="129">
        <v>15.0</v>
      </c>
      <c r="M7" s="130">
        <v>10.0</v>
      </c>
      <c r="N7" s="68"/>
      <c r="O7" s="136">
        <v>0.0</v>
      </c>
      <c r="P7" s="109">
        <v>0.0</v>
      </c>
      <c r="Q7" s="137">
        <v>0.0</v>
      </c>
      <c r="R7" s="109">
        <v>1.0</v>
      </c>
      <c r="S7" s="137">
        <v>0.0</v>
      </c>
      <c r="T7" s="137">
        <v>0.0</v>
      </c>
      <c r="U7" s="137">
        <v>0.0</v>
      </c>
      <c r="V7" s="109">
        <v>15.0</v>
      </c>
      <c r="W7" s="137">
        <v>0.0</v>
      </c>
      <c r="X7" s="137">
        <v>0.0</v>
      </c>
      <c r="Y7" s="138">
        <v>0.0</v>
      </c>
      <c r="Z7" s="111">
        <f t="shared" si="1"/>
        <v>129.55</v>
      </c>
      <c r="AA7" s="68">
        <v>95.55</v>
      </c>
      <c r="AB7" s="76" t="s">
        <v>94</v>
      </c>
      <c r="AC7" s="80"/>
      <c r="AD7" s="68">
        <f t="shared" si="2"/>
        <v>34</v>
      </c>
    </row>
    <row r="8" ht="14.25" customHeight="1">
      <c r="A8" s="95">
        <v>4.0</v>
      </c>
      <c r="B8" s="134">
        <v>10.0</v>
      </c>
      <c r="C8" s="135">
        <v>0.0</v>
      </c>
      <c r="D8" s="68"/>
      <c r="E8" s="76" t="str">
        <f>IFERROR(__xludf.DUMMYFUNCTION("LET(
  names, HSTACK(""Coins"", O$4:Y$4),
  amounts, HSTACK(C8, O8:Y8),
  lookupNames, $AB$5:$AB$16,
  lookupImages, $AC$5:$AC$16,
  imgs, MAP(names, LAMBDA(n, XLOOKUP(n, lookupNames, lookupImages))),
  keepImgs, FILTER(imgs, amounts&lt;&gt;0),
  keepAmounts, F"&amp;"ILTER(amounts, amounts&lt;&gt;0),
  MAKEARRAY(
    1,
    COLUMNS(keepAmounts)*2,
    LAMBDA(r,c,
      IF(
        ISODD(c),
        INDEX(keepImgs, 1, ROUNDUP(c/2)),
        INDEX(keepAmounts, 1, c/2)
      )
    )
  )
)"),"")</f>
        <v/>
      </c>
      <c r="F8" s="77">
        <f>IFERROR(__xludf.DUMMYFUNCTION("""COMPUTED_VALUE"""),1.0)</f>
        <v>1</v>
      </c>
      <c r="G8" s="76" t="str">
        <f>IFERROR(__xludf.DUMMYFUNCTION("""COMPUTED_VALUE"""),"")</f>
        <v/>
      </c>
      <c r="H8" s="77">
        <f>IFERROR(__xludf.DUMMYFUNCTION("""COMPUTED_VALUE"""),1.0)</f>
        <v>1</v>
      </c>
      <c r="I8" s="76" t="str">
        <f>IFERROR(__xludf.DUMMYFUNCTION("""COMPUTED_VALUE"""),"")</f>
        <v/>
      </c>
      <c r="J8" s="77">
        <f>IFERROR(__xludf.DUMMYFUNCTION("""COMPUTED_VALUE"""),15.0)</f>
        <v>15</v>
      </c>
      <c r="K8" s="68"/>
      <c r="L8" s="129">
        <v>20.0</v>
      </c>
      <c r="M8" s="130">
        <v>10.0</v>
      </c>
      <c r="N8" s="68"/>
      <c r="O8" s="136">
        <v>0.0</v>
      </c>
      <c r="P8" s="109">
        <v>1.0</v>
      </c>
      <c r="Q8" s="137">
        <v>0.0</v>
      </c>
      <c r="R8" s="137">
        <v>0.0</v>
      </c>
      <c r="S8" s="137">
        <v>0.0</v>
      </c>
      <c r="T8" s="109">
        <v>1.0</v>
      </c>
      <c r="U8" s="137">
        <v>0.0</v>
      </c>
      <c r="V8" s="109">
        <v>15.0</v>
      </c>
      <c r="W8" s="137">
        <v>0.0</v>
      </c>
      <c r="X8" s="137">
        <v>0.0</v>
      </c>
      <c r="Y8" s="138">
        <v>0.0</v>
      </c>
      <c r="Z8" s="111">
        <f t="shared" si="1"/>
        <v>162.55</v>
      </c>
      <c r="AA8" s="68">
        <v>95.55</v>
      </c>
      <c r="AB8" s="76" t="s">
        <v>95</v>
      </c>
      <c r="AC8" s="80"/>
      <c r="AD8" s="68">
        <f t="shared" si="2"/>
        <v>67</v>
      </c>
    </row>
    <row r="9" ht="15.0" customHeight="1">
      <c r="A9" s="95">
        <v>5.0</v>
      </c>
      <c r="B9" s="134">
        <v>10.0</v>
      </c>
      <c r="C9" s="139">
        <v>0.0</v>
      </c>
      <c r="D9" s="68"/>
      <c r="E9" s="76" t="str">
        <f>IFERROR(__xludf.DUMMYFUNCTION("LET(
  names, HSTACK(""Coins"", O$4:Y$4),
  amounts, HSTACK(C9, O9:Y9),
  lookupNames, $AB$5:$AB$16,
  lookupImages, $AC$5:$AC$16,
  imgs, MAP(names, LAMBDA(n, XLOOKUP(n, lookupNames, lookupImages))),
  keepImgs, FILTER(imgs, amounts&lt;&gt;0),
  keepAmounts, F"&amp;"ILTER(amounts, amounts&lt;&gt;0),
  MAKEARRAY(
    1,
    COLUMNS(keepAmounts)*2,
    LAMBDA(r,c,
      IF(
        ISODD(c),
        INDEX(keepImgs, 1, ROUNDUP(c/2)),
        INDEX(keepAmounts, 1, c/2)
      )
    )
  )
)"),"")</f>
        <v/>
      </c>
      <c r="F9" s="77">
        <f>IFERROR(__xludf.DUMMYFUNCTION("""COMPUTED_VALUE"""),1.0)</f>
        <v>1</v>
      </c>
      <c r="G9" s="76" t="str">
        <f>IFERROR(__xludf.DUMMYFUNCTION("""COMPUTED_VALUE"""),"")</f>
        <v/>
      </c>
      <c r="H9" s="77">
        <f>IFERROR(__xludf.DUMMYFUNCTION("""COMPUTED_VALUE"""),1.0)</f>
        <v>1</v>
      </c>
      <c r="I9" s="76" t="str">
        <f>IFERROR(__xludf.DUMMYFUNCTION("""COMPUTED_VALUE"""),"")</f>
        <v/>
      </c>
      <c r="J9" s="77">
        <f>IFERROR(__xludf.DUMMYFUNCTION("""COMPUTED_VALUE"""),15.0)</f>
        <v>15</v>
      </c>
      <c r="K9" s="68"/>
      <c r="L9" s="129">
        <v>20.0</v>
      </c>
      <c r="M9" s="130">
        <v>10.0</v>
      </c>
      <c r="N9" s="68"/>
      <c r="O9" s="136">
        <v>0.0</v>
      </c>
      <c r="P9" s="137">
        <v>0.0</v>
      </c>
      <c r="Q9" s="140">
        <v>1.0</v>
      </c>
      <c r="R9" s="109">
        <v>1.0</v>
      </c>
      <c r="S9" s="109">
        <v>0.0</v>
      </c>
      <c r="T9" s="137">
        <v>0.0</v>
      </c>
      <c r="U9" s="137">
        <v>0.0</v>
      </c>
      <c r="V9" s="109">
        <v>15.0</v>
      </c>
      <c r="W9" s="137">
        <v>0.0</v>
      </c>
      <c r="X9" s="137">
        <v>0.0</v>
      </c>
      <c r="Y9" s="138">
        <v>0.0</v>
      </c>
      <c r="Z9" s="111">
        <f t="shared" si="1"/>
        <v>179.55</v>
      </c>
      <c r="AA9" s="68">
        <v>100.0</v>
      </c>
      <c r="AB9" s="76" t="s">
        <v>96</v>
      </c>
      <c r="AC9" s="80"/>
      <c r="AD9" s="68">
        <f t="shared" si="2"/>
        <v>79.55</v>
      </c>
    </row>
    <row r="10" ht="15.0" customHeight="1">
      <c r="A10" s="95">
        <v>6.0</v>
      </c>
      <c r="B10" s="134">
        <v>10.0</v>
      </c>
      <c r="C10" s="135">
        <v>0.0</v>
      </c>
      <c r="D10" s="68"/>
      <c r="E10" s="76" t="str">
        <f>IFERROR(__xludf.DUMMYFUNCTION("LET(
  names, HSTACK(""Coins"", O$4:Y$4),
  amounts, HSTACK(C10, O10:Y10),
  lookupNames, $AB$5:$AB$16,
  lookupImages, $AC$5:$AC$16,
  imgs, MAP(names, LAMBDA(n, XLOOKUP(n, lookupNames, lookupImages))),
  keepImgs, FILTER(imgs, amounts&lt;&gt;0),
  keepAmounts"&amp;",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7">
        <f>IFERROR(__xludf.DUMMYFUNCTION("""COMPUTED_VALUE"""),1.0)</f>
        <v>1</v>
      </c>
      <c r="G10" s="76" t="str">
        <f>IFERROR(__xludf.DUMMYFUNCTION("""COMPUTED_VALUE"""),"")</f>
        <v/>
      </c>
      <c r="H10" s="77">
        <f>IFERROR(__xludf.DUMMYFUNCTION("""COMPUTED_VALUE"""),1.0)</f>
        <v>1</v>
      </c>
      <c r="I10" s="76" t="str">
        <f>IFERROR(__xludf.DUMMYFUNCTION("""COMPUTED_VALUE"""),"")</f>
        <v/>
      </c>
      <c r="J10" s="77">
        <f>IFERROR(__xludf.DUMMYFUNCTION("""COMPUTED_VALUE"""),20.0)</f>
        <v>20</v>
      </c>
      <c r="K10" s="68"/>
      <c r="L10" s="129">
        <v>20.0</v>
      </c>
      <c r="M10" s="130">
        <v>15.0</v>
      </c>
      <c r="N10" s="68"/>
      <c r="O10" s="136">
        <v>0.0</v>
      </c>
      <c r="P10" s="137">
        <v>0.0</v>
      </c>
      <c r="Q10" s="109">
        <v>1.0</v>
      </c>
      <c r="R10" s="137">
        <v>0.0</v>
      </c>
      <c r="S10" s="109">
        <v>0.0</v>
      </c>
      <c r="T10" s="137">
        <v>0.0</v>
      </c>
      <c r="U10" s="109">
        <v>1.0</v>
      </c>
      <c r="V10" s="109">
        <v>20.0</v>
      </c>
      <c r="W10" s="137">
        <v>0.0</v>
      </c>
      <c r="X10" s="137">
        <v>0.0</v>
      </c>
      <c r="Y10" s="138">
        <v>0.0</v>
      </c>
      <c r="Z10" s="111">
        <f t="shared" si="1"/>
        <v>183.4</v>
      </c>
      <c r="AA10" s="68">
        <v>229.55</v>
      </c>
      <c r="AB10" s="76" t="s">
        <v>97</v>
      </c>
      <c r="AC10" s="80"/>
      <c r="AD10" s="68">
        <f t="shared" si="2"/>
        <v>-46.15</v>
      </c>
    </row>
    <row r="11" ht="15.0" customHeight="1">
      <c r="A11" s="95">
        <v>7.0</v>
      </c>
      <c r="B11" s="134">
        <v>10.0</v>
      </c>
      <c r="C11" s="135">
        <v>10.0</v>
      </c>
      <c r="D11" s="68"/>
      <c r="E11" s="76" t="str">
        <f>IFERROR(__xludf.DUMMYFUNCTION("LET(
  names, HSTACK(""Coins"", O$4:Y$4),
  amounts, HSTACK(C11, O11:Y11),
  lookupNames, $AB$5:$AB$16,
  lookupImages, $AC$5:$AC$16,
  imgs, MAP(names, LAMBDA(n, XLOOKUP(n, lookupNames, lookupImages))),
  keepImgs, FILTER(imgs, amounts&lt;&gt;0),
  keepAmounts"&amp;",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7">
        <f>IFERROR(__xludf.DUMMYFUNCTION("""COMPUTED_VALUE"""),10.0)</f>
        <v>10</v>
      </c>
      <c r="G11" s="76" t="str">
        <f>IFERROR(__xludf.DUMMYFUNCTION("""COMPUTED_VALUE"""),"")</f>
        <v/>
      </c>
      <c r="H11" s="77">
        <f>IFERROR(__xludf.DUMMYFUNCTION("""COMPUTED_VALUE"""),1.0)</f>
        <v>1</v>
      </c>
      <c r="I11" s="76" t="str">
        <f>IFERROR(__xludf.DUMMYFUNCTION("""COMPUTED_VALUE"""),"")</f>
        <v/>
      </c>
      <c r="J11" s="77">
        <f>IFERROR(__xludf.DUMMYFUNCTION("""COMPUTED_VALUE"""),20.0)</f>
        <v>20</v>
      </c>
      <c r="K11" s="68"/>
      <c r="L11" s="129">
        <v>25.0</v>
      </c>
      <c r="M11" s="130">
        <v>15.0</v>
      </c>
      <c r="N11" s="68"/>
      <c r="O11" s="136">
        <v>0.0</v>
      </c>
      <c r="P11" s="137">
        <v>0.0</v>
      </c>
      <c r="Q11" s="109">
        <v>0.0</v>
      </c>
      <c r="R11" s="109">
        <v>1.0</v>
      </c>
      <c r="S11" s="109">
        <v>0.0</v>
      </c>
      <c r="T11" s="137">
        <v>0.0</v>
      </c>
      <c r="U11" s="137">
        <v>0.0</v>
      </c>
      <c r="V11" s="109">
        <v>20.0</v>
      </c>
      <c r="W11" s="137">
        <v>0.0</v>
      </c>
      <c r="X11" s="137">
        <v>0.0</v>
      </c>
      <c r="Y11" s="138">
        <v>0.0</v>
      </c>
      <c r="Z11" s="111">
        <f t="shared" si="1"/>
        <v>150.4</v>
      </c>
      <c r="AA11" s="68">
        <v>192.1</v>
      </c>
      <c r="AB11" s="76" t="s">
        <v>98</v>
      </c>
      <c r="AC11" s="80"/>
      <c r="AD11" s="68">
        <f t="shared" si="2"/>
        <v>-41.7</v>
      </c>
    </row>
    <row r="12" ht="14.25" customHeight="1">
      <c r="A12" s="95">
        <v>8.0</v>
      </c>
      <c r="B12" s="134">
        <v>10.0</v>
      </c>
      <c r="C12" s="135">
        <v>0.0</v>
      </c>
      <c r="D12" s="68"/>
      <c r="E12" s="76" t="str">
        <f>IFERROR(__xludf.DUMMYFUNCTION("LET(
  names, HSTACK(""Coins"", O$4:Y$4),
  amounts, HSTACK(C12, O12:Y12),
  lookupNames, $AB$5:$AB$16,
  lookupImages, $AC$5:$AC$16,
  imgs, MAP(names, LAMBDA(n, XLOOKUP(n, lookupNames, lookupImages))),
  keepImgs, FILTER(imgs, amounts&lt;&gt;0),
  keepAmounts"&amp;",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77">
        <f>IFERROR(__xludf.DUMMYFUNCTION("""COMPUTED_VALUE"""),1.0)</f>
        <v>1</v>
      </c>
      <c r="G12" s="76" t="str">
        <f>IFERROR(__xludf.DUMMYFUNCTION("""COMPUTED_VALUE"""),"")</f>
        <v/>
      </c>
      <c r="H12" s="77">
        <f>IFERROR(__xludf.DUMMYFUNCTION("""COMPUTED_VALUE"""),1.0)</f>
        <v>1</v>
      </c>
      <c r="I12" s="76" t="str">
        <f>IFERROR(__xludf.DUMMYFUNCTION("""COMPUTED_VALUE"""),"")</f>
        <v/>
      </c>
      <c r="J12" s="77">
        <f>IFERROR(__xludf.DUMMYFUNCTION("""COMPUTED_VALUE"""),30.0)</f>
        <v>30</v>
      </c>
      <c r="K12" s="68"/>
      <c r="L12" s="129">
        <v>25.0</v>
      </c>
      <c r="M12" s="130">
        <v>15.0</v>
      </c>
      <c r="N12" s="68"/>
      <c r="O12" s="136">
        <v>0.0</v>
      </c>
      <c r="P12" s="137">
        <v>0.0</v>
      </c>
      <c r="Q12" s="109">
        <v>1.0</v>
      </c>
      <c r="R12" s="137">
        <v>0.0</v>
      </c>
      <c r="S12" s="109">
        <v>1.0</v>
      </c>
      <c r="T12" s="137">
        <v>0.0</v>
      </c>
      <c r="U12" s="137">
        <v>0.0</v>
      </c>
      <c r="V12" s="109">
        <v>30.0</v>
      </c>
      <c r="W12" s="137">
        <v>0.0</v>
      </c>
      <c r="X12" s="137">
        <v>0.0</v>
      </c>
      <c r="Y12" s="138">
        <v>0.0</v>
      </c>
      <c r="Z12" s="111">
        <f t="shared" si="1"/>
        <v>342.1</v>
      </c>
      <c r="AA12" s="68">
        <v>217.0</v>
      </c>
      <c r="AB12" s="76" t="s">
        <v>99</v>
      </c>
      <c r="AC12" s="80"/>
      <c r="AD12" s="68">
        <f t="shared" si="2"/>
        <v>125.1</v>
      </c>
    </row>
    <row r="13" ht="15.0" customHeight="1">
      <c r="A13" s="95">
        <v>9.0</v>
      </c>
      <c r="B13" s="134">
        <v>10.0</v>
      </c>
      <c r="C13" s="135">
        <v>10.0</v>
      </c>
      <c r="D13" s="68"/>
      <c r="E13" s="76" t="str">
        <f>IFERROR(__xludf.DUMMYFUNCTION("LET(
  names, HSTACK(""Coins"", O$4:Y$4),
  amounts, HSTACK(C13, O13:Y13),
  lookupNames, $AB$5:$AB$16,
  lookupImages, $AC$5:$AC$16,
  imgs, MAP(names, LAMBDA(n, XLOOKUP(n, lookupNames, lookupImages))),
  keepImgs, FILTER(imgs, amounts&lt;&gt;0),
  keepAmounts"&amp;",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77">
        <f>IFERROR(__xludf.DUMMYFUNCTION("""COMPUTED_VALUE"""),10.0)</f>
        <v>10</v>
      </c>
      <c r="G13" s="76" t="str">
        <f>IFERROR(__xludf.DUMMYFUNCTION("""COMPUTED_VALUE"""),"")</f>
        <v/>
      </c>
      <c r="H13" s="77">
        <f>IFERROR(__xludf.DUMMYFUNCTION("""COMPUTED_VALUE"""),1.0)</f>
        <v>1</v>
      </c>
      <c r="I13" s="76" t="str">
        <f>IFERROR(__xludf.DUMMYFUNCTION("""COMPUTED_VALUE"""),"")</f>
        <v/>
      </c>
      <c r="J13" s="77">
        <f>IFERROR(__xludf.DUMMYFUNCTION("""COMPUTED_VALUE"""),60.0)</f>
        <v>60</v>
      </c>
      <c r="K13" s="68"/>
      <c r="L13" s="129">
        <v>25.0</v>
      </c>
      <c r="M13" s="130">
        <v>15.0</v>
      </c>
      <c r="N13" s="68"/>
      <c r="O13" s="136">
        <v>0.0</v>
      </c>
      <c r="P13" s="137">
        <v>0.0</v>
      </c>
      <c r="Q13" s="109">
        <v>0.0</v>
      </c>
      <c r="R13" s="137">
        <v>0.0</v>
      </c>
      <c r="S13" s="137">
        <v>0.0</v>
      </c>
      <c r="T13" s="109">
        <v>1.0</v>
      </c>
      <c r="U13" s="137">
        <v>0.0</v>
      </c>
      <c r="V13" s="109">
        <v>60.0</v>
      </c>
      <c r="W13" s="137">
        <v>0.0</v>
      </c>
      <c r="X13" s="137">
        <v>0.0</v>
      </c>
      <c r="Y13" s="138">
        <v>0.0</v>
      </c>
      <c r="Z13" s="111">
        <f t="shared" si="1"/>
        <v>317.2</v>
      </c>
      <c r="AA13" s="68">
        <v>300.2</v>
      </c>
      <c r="AB13" s="76" t="s">
        <v>100</v>
      </c>
      <c r="AC13" s="80"/>
      <c r="AD13" s="68">
        <f t="shared" si="2"/>
        <v>17</v>
      </c>
    </row>
    <row r="14" ht="15.0" customHeight="1">
      <c r="A14" s="99">
        <v>10.0</v>
      </c>
      <c r="B14" s="141">
        <v>10.0</v>
      </c>
      <c r="C14" s="142">
        <v>20.0</v>
      </c>
      <c r="D14" s="68"/>
      <c r="E14" s="76" t="str">
        <f>IFERROR(__xludf.DUMMYFUNCTION("LET(
  names, HSTACK(""Coins"", O$4:Y$4),
  amounts, HSTACK(C14, O14:Y14),
  lookupNames, $AB$5:$AB$16,
  lookupImages, $AC$5:$AC$16,
  imgs, MAP(names, LAMBDA(n, XLOOKUP(n, lookupNames, lookupImages))),
  keepImgs, FILTER(imgs, amounts&lt;&gt;0),
  keepAmounts"&amp;", FILTER(amounts, amounts&lt;&gt;0),
  MAKEARRAY(
    1,
    COLUMNS(keepAmounts)*2,
    LAMBDA(r,c,
      IF(
        ISODD(c),
        INDEX(keepImgs, 1, ROUNDUP(c/2)),
        INDEX(keepAmounts, 1, c/2)
      )
    )
  )
)"),"")</f>
        <v/>
      </c>
      <c r="F14" s="77">
        <f>IFERROR(__xludf.DUMMYFUNCTION("""COMPUTED_VALUE"""),20.0)</f>
        <v>20</v>
      </c>
      <c r="G14" s="76" t="str">
        <f>IFERROR(__xludf.DUMMYFUNCTION("""COMPUTED_VALUE"""),"")</f>
        <v/>
      </c>
      <c r="H14" s="77">
        <f>IFERROR(__xludf.DUMMYFUNCTION("""COMPUTED_VALUE"""),1.0)</f>
        <v>1</v>
      </c>
      <c r="I14" s="76" t="str">
        <f>IFERROR(__xludf.DUMMYFUNCTION("""COMPUTED_VALUE"""),"")</f>
        <v/>
      </c>
      <c r="J14" s="77">
        <f>IFERROR(__xludf.DUMMYFUNCTION("""COMPUTED_VALUE"""),60.0)</f>
        <v>60</v>
      </c>
      <c r="K14" s="68"/>
      <c r="L14" s="129">
        <v>30.0</v>
      </c>
      <c r="M14" s="130">
        <v>20.0</v>
      </c>
      <c r="N14" s="68"/>
      <c r="O14" s="143">
        <v>0.0</v>
      </c>
      <c r="P14" s="144">
        <v>0.0</v>
      </c>
      <c r="Q14" s="144">
        <v>0.0</v>
      </c>
      <c r="R14" s="120">
        <v>0.0</v>
      </c>
      <c r="S14" s="144">
        <v>0.0</v>
      </c>
      <c r="T14" s="144">
        <v>0.0</v>
      </c>
      <c r="U14" s="120">
        <v>1.0</v>
      </c>
      <c r="V14" s="120">
        <v>60.0</v>
      </c>
      <c r="W14" s="144">
        <v>0.0</v>
      </c>
      <c r="X14" s="144">
        <v>0.0</v>
      </c>
      <c r="Y14" s="145">
        <v>0.0</v>
      </c>
      <c r="Z14" s="111">
        <f t="shared" si="1"/>
        <v>300.2</v>
      </c>
      <c r="AA14" s="68">
        <v>117.0</v>
      </c>
      <c r="AB14" s="76" t="s">
        <v>101</v>
      </c>
      <c r="AC14" s="80"/>
      <c r="AD14" s="68">
        <f t="shared" si="2"/>
        <v>183.2</v>
      </c>
    </row>
    <row r="15" ht="15.0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76" t="s">
        <v>102</v>
      </c>
      <c r="AC15" s="80"/>
      <c r="AD15" s="68"/>
    </row>
    <row r="16" ht="15.0" customHeight="1">
      <c r="A16" s="88" t="s">
        <v>132</v>
      </c>
      <c r="B16" s="89">
        <f t="shared" ref="B16:C16" si="3">SUM(B5:B14)</f>
        <v>100</v>
      </c>
      <c r="C16" s="89">
        <f t="shared" si="3"/>
        <v>60</v>
      </c>
      <c r="D16" s="68"/>
      <c r="E16" s="68"/>
      <c r="F16" s="68"/>
      <c r="G16" s="68"/>
      <c r="H16" s="68"/>
      <c r="I16" s="68"/>
      <c r="J16" s="68"/>
      <c r="K16" s="68"/>
      <c r="L16" s="146">
        <f t="shared" ref="L16:M16" si="4">SUM(L5:L14)</f>
        <v>210</v>
      </c>
      <c r="M16" s="146">
        <f t="shared" si="4"/>
        <v>130</v>
      </c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 t="s">
        <v>103</v>
      </c>
      <c r="AC16" s="80"/>
      <c r="AD16" s="68"/>
    </row>
    <row r="17" ht="15.0" customHeight="1">
      <c r="A17" s="88" t="s">
        <v>146</v>
      </c>
      <c r="B17" s="68"/>
      <c r="C17" s="91">
        <f>C16/B16</f>
        <v>0.6</v>
      </c>
      <c r="D17" s="68"/>
      <c r="E17" s="68"/>
      <c r="F17" s="68"/>
      <c r="G17" s="68"/>
      <c r="H17" s="68"/>
      <c r="I17" s="68"/>
      <c r="J17" s="68"/>
      <c r="K17" s="68"/>
      <c r="L17" s="147" t="str">
        <f t="shared" ref="L17:M17" si="5">L16/#REF!</f>
        <v>#REF!</v>
      </c>
      <c r="M17" s="147" t="str">
        <f t="shared" si="5"/>
        <v>#REF!</v>
      </c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</row>
    <row r="18" ht="15.0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148"/>
      <c r="M18" s="14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</row>
    <row r="19" ht="15.0" customHeight="1">
      <c r="A19" s="88" t="s">
        <v>150</v>
      </c>
      <c r="B19" s="68"/>
      <c r="C19" s="149">
        <f>C16/saga_progression_old!$C$15</f>
        <v>0.2857142857</v>
      </c>
      <c r="D19" s="68"/>
      <c r="E19" s="68"/>
      <c r="F19" s="68"/>
      <c r="G19" s="68"/>
      <c r="H19" s="68"/>
      <c r="I19" s="68"/>
      <c r="J19" s="68"/>
      <c r="K19" s="68"/>
      <c r="L19" s="149" t="str">
        <f t="shared" ref="L19:M19" si="6">L16/'Copy of saga_progression_old'!$C$15</f>
        <v>#REF!</v>
      </c>
      <c r="M19" s="149" t="str">
        <f t="shared" si="6"/>
        <v>#REF!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</row>
    <row r="20" ht="15.0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</row>
    <row r="22" ht="15.75" customHeight="1">
      <c r="A22" s="68"/>
      <c r="B22" s="150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</row>
  </sheetData>
  <mergeCells count="1">
    <mergeCell ref="E4:J4"/>
  </mergeCells>
  <conditionalFormatting sqref="C5:C14 O5:Y14">
    <cfRule type="cellIs" dxfId="11" priority="1" operator="greaterThan">
      <formula>0</formula>
    </cfRule>
  </conditionalFormatting>
  <conditionalFormatting sqref="C5:C14 O5:Y14">
    <cfRule type="cellIs" dxfId="1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14"/>
    <col customWidth="1" min="3" max="3" width="10.43"/>
    <col customWidth="1" min="4" max="4" width="17.29"/>
    <col customWidth="1" min="5" max="5" width="13.57"/>
    <col customWidth="1" min="6" max="6" width="14.43"/>
    <col customWidth="1" min="7" max="9" width="11.57"/>
    <col customWidth="1" min="10" max="10" width="10.71"/>
    <col customWidth="1" min="11" max="12" width="9.0"/>
    <col customWidth="1" min="13" max="13" width="10.43"/>
    <col customWidth="1" min="14" max="14" width="10.0"/>
    <col customWidth="1" min="15" max="15" width="13.57"/>
    <col customWidth="1" min="16" max="16" width="11.57"/>
    <col customWidth="1" min="17" max="17" width="9.29"/>
    <col customWidth="1" min="18" max="18" width="8.29"/>
    <col customWidth="1" min="19" max="19" width="13.0"/>
    <col customWidth="1" min="20" max="20" width="12.71"/>
    <col customWidth="1" min="21" max="22" width="13.0"/>
    <col customWidth="1" min="23" max="26" width="8.14"/>
    <col customWidth="1" min="27" max="52" width="13.57"/>
  </cols>
  <sheetData>
    <row r="1" ht="48.0" customHeight="1">
      <c r="A1" s="151" t="s">
        <v>151</v>
      </c>
      <c r="B1" s="151" t="s">
        <v>152</v>
      </c>
      <c r="C1" s="151" t="s">
        <v>153</v>
      </c>
      <c r="D1" s="151" t="s">
        <v>154</v>
      </c>
      <c r="E1" s="151" t="s">
        <v>155</v>
      </c>
      <c r="F1" s="151" t="s">
        <v>156</v>
      </c>
      <c r="G1" s="151" t="s">
        <v>157</v>
      </c>
      <c r="H1" s="151" t="s">
        <v>158</v>
      </c>
      <c r="I1" s="151" t="s">
        <v>159</v>
      </c>
      <c r="J1" s="151" t="s">
        <v>160</v>
      </c>
      <c r="K1" s="151" t="s">
        <v>161</v>
      </c>
      <c r="L1" s="151" t="s">
        <v>162</v>
      </c>
      <c r="M1" s="151" t="s">
        <v>163</v>
      </c>
      <c r="N1" s="151" t="s">
        <v>164</v>
      </c>
      <c r="O1" s="151" t="s">
        <v>165</v>
      </c>
      <c r="P1" s="151" t="s">
        <v>166</v>
      </c>
      <c r="Q1" s="151" t="s">
        <v>167</v>
      </c>
      <c r="R1" s="151" t="s">
        <v>168</v>
      </c>
      <c r="S1" s="152" t="s">
        <v>169</v>
      </c>
      <c r="T1" s="152" t="s">
        <v>170</v>
      </c>
      <c r="U1" s="152" t="s">
        <v>171</v>
      </c>
      <c r="V1" s="152" t="s">
        <v>172</v>
      </c>
      <c r="W1" s="152" t="s">
        <v>173</v>
      </c>
      <c r="X1" s="152" t="s">
        <v>174</v>
      </c>
      <c r="Y1" s="152" t="s">
        <v>175</v>
      </c>
      <c r="Z1" s="152" t="s">
        <v>176</v>
      </c>
      <c r="AA1" s="152" t="s">
        <v>177</v>
      </c>
      <c r="AB1" s="152" t="s">
        <v>178</v>
      </c>
      <c r="AC1" s="152" t="s">
        <v>179</v>
      </c>
      <c r="AD1" s="152" t="s">
        <v>180</v>
      </c>
      <c r="AE1" s="152" t="s">
        <v>181</v>
      </c>
      <c r="AF1" s="152" t="s">
        <v>182</v>
      </c>
      <c r="AG1" s="152" t="s">
        <v>183</v>
      </c>
      <c r="AH1" s="152" t="s">
        <v>184</v>
      </c>
      <c r="AI1" s="152" t="s">
        <v>185</v>
      </c>
      <c r="AJ1" s="152" t="s">
        <v>186</v>
      </c>
      <c r="AK1" s="152" t="s">
        <v>187</v>
      </c>
      <c r="AL1" s="152" t="s">
        <v>188</v>
      </c>
      <c r="AM1" s="152" t="s">
        <v>189</v>
      </c>
      <c r="AN1" s="152" t="s">
        <v>190</v>
      </c>
      <c r="AO1" s="152" t="s">
        <v>191</v>
      </c>
      <c r="AP1" s="152" t="s">
        <v>192</v>
      </c>
      <c r="AQ1" s="152" t="s">
        <v>193</v>
      </c>
      <c r="AR1" s="152" t="s">
        <v>194</v>
      </c>
      <c r="AS1" s="152" t="s">
        <v>195</v>
      </c>
      <c r="AT1" s="152" t="s">
        <v>196</v>
      </c>
      <c r="AU1" s="152" t="s">
        <v>197</v>
      </c>
      <c r="AV1" s="152" t="s">
        <v>198</v>
      </c>
      <c r="AW1" s="152" t="s">
        <v>199</v>
      </c>
      <c r="AX1" s="152" t="s">
        <v>200</v>
      </c>
      <c r="AY1" s="152" t="s">
        <v>201</v>
      </c>
      <c r="AZ1" s="152" t="s">
        <v>202</v>
      </c>
    </row>
    <row r="2" ht="14.25" customHeight="1">
      <c r="A2" s="153" t="s">
        <v>203</v>
      </c>
      <c r="B2" s="153" t="s">
        <v>204</v>
      </c>
      <c r="C2" s="153">
        <v>309.0</v>
      </c>
      <c r="D2" s="153">
        <v>51782.7</v>
      </c>
      <c r="E2" s="153">
        <v>6451.0</v>
      </c>
      <c r="F2" s="153">
        <v>16129.0</v>
      </c>
      <c r="G2" s="153">
        <v>37126.0</v>
      </c>
      <c r="H2" s="153">
        <v>73003.0</v>
      </c>
      <c r="I2" s="153">
        <v>111576.0</v>
      </c>
      <c r="J2" s="153">
        <v>90.65</v>
      </c>
      <c r="K2" s="153">
        <v>2.03</v>
      </c>
      <c r="L2" s="153">
        <v>571.23</v>
      </c>
      <c r="M2" s="153">
        <v>287.32</v>
      </c>
      <c r="N2" s="153">
        <v>0.0</v>
      </c>
      <c r="O2" s="153">
        <v>15.98</v>
      </c>
      <c r="P2" s="153">
        <v>271.34</v>
      </c>
      <c r="Q2" s="153">
        <v>22.32</v>
      </c>
      <c r="R2" s="153">
        <v>265.0</v>
      </c>
      <c r="S2" s="153">
        <v>24.87</v>
      </c>
      <c r="T2" s="153">
        <v>25.0</v>
      </c>
      <c r="U2" s="153" t="s">
        <v>205</v>
      </c>
      <c r="V2" s="153">
        <v>25.0</v>
      </c>
      <c r="W2" s="153">
        <v>1.0</v>
      </c>
      <c r="X2" s="153">
        <v>0.9903</v>
      </c>
      <c r="Y2" s="153">
        <v>0.9482</v>
      </c>
      <c r="Z2" s="153">
        <v>0.9482</v>
      </c>
      <c r="AA2" s="153">
        <v>0.945</v>
      </c>
      <c r="AB2" s="153">
        <v>0.932</v>
      </c>
      <c r="AC2" s="153">
        <v>0.932</v>
      </c>
      <c r="AD2" s="153">
        <v>0.9159</v>
      </c>
      <c r="AE2" s="153">
        <v>0.8706</v>
      </c>
      <c r="AF2" s="153">
        <v>0.8608</v>
      </c>
      <c r="AG2" s="153">
        <v>0.8252</v>
      </c>
      <c r="AH2" s="153">
        <v>0.7249</v>
      </c>
      <c r="AI2" s="153">
        <v>0.6958</v>
      </c>
      <c r="AJ2" s="153">
        <v>0.6408</v>
      </c>
      <c r="AK2" s="153">
        <v>0.4887</v>
      </c>
      <c r="AL2" s="153">
        <v>0.466</v>
      </c>
      <c r="AM2" s="153">
        <v>0.4013</v>
      </c>
      <c r="AN2" s="153">
        <v>0.2816</v>
      </c>
      <c r="AO2" s="153">
        <v>0.2589</v>
      </c>
      <c r="AP2" s="153">
        <v>0.2201</v>
      </c>
      <c r="AQ2" s="153">
        <v>0.1262</v>
      </c>
      <c r="AR2" s="153">
        <v>0.11</v>
      </c>
      <c r="AS2" s="153">
        <v>0.0841</v>
      </c>
      <c r="AT2" s="153">
        <v>0.0421</v>
      </c>
      <c r="AU2" s="153">
        <v>0.0356</v>
      </c>
      <c r="AV2" s="153">
        <v>0.0259</v>
      </c>
      <c r="AW2" s="153">
        <v>0.0097</v>
      </c>
      <c r="AX2" s="153">
        <v>0.0097</v>
      </c>
      <c r="AY2" s="153">
        <v>0.0065</v>
      </c>
      <c r="AZ2" s="153">
        <v>0.0032</v>
      </c>
    </row>
    <row r="3" ht="14.25" customHeight="1">
      <c r="A3" s="153" t="s">
        <v>203</v>
      </c>
      <c r="B3" s="153" t="s">
        <v>206</v>
      </c>
      <c r="C3" s="153">
        <v>34549.0</v>
      </c>
      <c r="D3" s="153">
        <v>6522.5</v>
      </c>
      <c r="E3" s="153">
        <v>723.0</v>
      </c>
      <c r="F3" s="153">
        <v>1706.0</v>
      </c>
      <c r="G3" s="153">
        <v>3935.0</v>
      </c>
      <c r="H3" s="153">
        <v>8299.0</v>
      </c>
      <c r="I3" s="153">
        <v>14022.0</v>
      </c>
      <c r="J3" s="153">
        <v>11.29</v>
      </c>
      <c r="K3" s="153">
        <v>1.78</v>
      </c>
      <c r="L3" s="153">
        <v>577.43</v>
      </c>
      <c r="M3" s="153">
        <v>101.63</v>
      </c>
      <c r="N3" s="153">
        <v>8.12</v>
      </c>
      <c r="O3" s="153">
        <v>33.72</v>
      </c>
      <c r="P3" s="153">
        <v>59.78</v>
      </c>
      <c r="Q3" s="153">
        <v>93.33</v>
      </c>
      <c r="R3" s="153">
        <v>8.3</v>
      </c>
      <c r="S3" s="153">
        <v>11.73</v>
      </c>
      <c r="T3" s="153">
        <v>25.0</v>
      </c>
      <c r="U3" s="153">
        <v>25.0</v>
      </c>
      <c r="V3" s="153">
        <v>29.51</v>
      </c>
      <c r="W3" s="153">
        <v>0.9996</v>
      </c>
      <c r="X3" s="153">
        <v>0.9656</v>
      </c>
      <c r="Y3" s="153">
        <v>0.7836</v>
      </c>
      <c r="Z3" s="153">
        <v>0.7468</v>
      </c>
      <c r="AA3" s="153">
        <v>0.6836</v>
      </c>
      <c r="AB3" s="153">
        <v>0.51</v>
      </c>
      <c r="AC3" s="153">
        <v>0.4677</v>
      </c>
      <c r="AD3" s="153">
        <v>0.3916</v>
      </c>
      <c r="AE3" s="153">
        <v>0.2384</v>
      </c>
      <c r="AF3" s="153">
        <v>0.2005</v>
      </c>
      <c r="AG3" s="153">
        <v>0.141</v>
      </c>
      <c r="AH3" s="153">
        <v>0.0503</v>
      </c>
      <c r="AI3" s="153">
        <v>0.0376</v>
      </c>
      <c r="AJ3" s="153">
        <v>0.0223</v>
      </c>
      <c r="AK3" s="153">
        <v>0.0117</v>
      </c>
      <c r="AL3" s="153">
        <v>0.0106</v>
      </c>
      <c r="AM3" s="153">
        <v>0.009</v>
      </c>
      <c r="AN3" s="153">
        <v>0.0051</v>
      </c>
      <c r="AO3" s="153">
        <v>0.0044</v>
      </c>
      <c r="AP3" s="153">
        <v>0.0033</v>
      </c>
      <c r="AQ3" s="153">
        <v>0.0018</v>
      </c>
      <c r="AR3" s="153">
        <v>0.0015</v>
      </c>
      <c r="AS3" s="153">
        <v>0.0011</v>
      </c>
      <c r="AT3" s="153">
        <v>5.0E-4</v>
      </c>
      <c r="AU3" s="153">
        <v>3.0E-4</v>
      </c>
      <c r="AV3" s="153">
        <v>2.0E-4</v>
      </c>
      <c r="AW3" s="153">
        <v>1.0E-4</v>
      </c>
      <c r="AX3" s="153">
        <v>0.0</v>
      </c>
      <c r="AY3" s="153">
        <v>0.0</v>
      </c>
      <c r="AZ3" s="153">
        <v>0.0</v>
      </c>
    </row>
    <row r="4" ht="14.25" customHeight="1">
      <c r="A4" s="153" t="s">
        <v>203</v>
      </c>
      <c r="B4" s="153" t="s">
        <v>207</v>
      </c>
      <c r="C4" s="153">
        <v>20766.0</v>
      </c>
      <c r="D4" s="153">
        <v>19610.1</v>
      </c>
      <c r="E4" s="153">
        <v>4628.0</v>
      </c>
      <c r="F4" s="153">
        <v>8025.0</v>
      </c>
      <c r="G4" s="153">
        <v>15214.0</v>
      </c>
      <c r="H4" s="153">
        <v>25019.0</v>
      </c>
      <c r="I4" s="153">
        <v>36800.0</v>
      </c>
      <c r="J4" s="153">
        <v>33.65</v>
      </c>
      <c r="K4" s="153">
        <v>2.09</v>
      </c>
      <c r="L4" s="153">
        <v>582.7</v>
      </c>
      <c r="M4" s="153">
        <v>205.8</v>
      </c>
      <c r="N4" s="153">
        <v>22.46</v>
      </c>
      <c r="O4" s="153">
        <v>37.43</v>
      </c>
      <c r="P4" s="153">
        <v>145.92</v>
      </c>
      <c r="Q4" s="153">
        <v>198.92</v>
      </c>
      <c r="R4" s="153">
        <v>6.88</v>
      </c>
      <c r="S4" s="153">
        <v>12.42</v>
      </c>
      <c r="T4" s="153">
        <v>25.67</v>
      </c>
      <c r="U4" s="153">
        <v>25.0</v>
      </c>
      <c r="V4" s="153">
        <v>34.59</v>
      </c>
      <c r="W4" s="153">
        <v>1.0</v>
      </c>
      <c r="X4" s="153">
        <v>0.9963</v>
      </c>
      <c r="Y4" s="153">
        <v>0.977</v>
      </c>
      <c r="Z4" s="153">
        <v>0.9711</v>
      </c>
      <c r="AA4" s="153">
        <v>0.9609</v>
      </c>
      <c r="AB4" s="153">
        <v>0.925</v>
      </c>
      <c r="AC4" s="153">
        <v>0.9104</v>
      </c>
      <c r="AD4" s="153">
        <v>0.8728</v>
      </c>
      <c r="AE4" s="153">
        <v>0.7246</v>
      </c>
      <c r="AF4" s="153">
        <v>0.6832</v>
      </c>
      <c r="AG4" s="153">
        <v>0.604</v>
      </c>
      <c r="AH4" s="153">
        <v>0.4074</v>
      </c>
      <c r="AI4" s="153">
        <v>0.3478</v>
      </c>
      <c r="AJ4" s="153">
        <v>0.2503</v>
      </c>
      <c r="AK4" s="153">
        <v>0.09</v>
      </c>
      <c r="AL4" s="153">
        <v>0.0717</v>
      </c>
      <c r="AM4" s="153">
        <v>0.0494</v>
      </c>
      <c r="AN4" s="153">
        <v>0.0239</v>
      </c>
      <c r="AO4" s="153">
        <v>0.0217</v>
      </c>
      <c r="AP4" s="153">
        <v>0.0171</v>
      </c>
      <c r="AQ4" s="153">
        <v>0.0101</v>
      </c>
      <c r="AR4" s="153">
        <v>0.0087</v>
      </c>
      <c r="AS4" s="153">
        <v>0.0072</v>
      </c>
      <c r="AT4" s="153">
        <v>0.0034</v>
      </c>
      <c r="AU4" s="153">
        <v>0.0026</v>
      </c>
      <c r="AV4" s="153">
        <v>0.0019</v>
      </c>
      <c r="AW4" s="153">
        <v>6.0E-4</v>
      </c>
      <c r="AX4" s="153">
        <v>4.0E-4</v>
      </c>
      <c r="AY4" s="153">
        <v>2.0E-4</v>
      </c>
      <c r="AZ4" s="153">
        <v>0.0</v>
      </c>
    </row>
    <row r="5" ht="14.25" customHeight="1">
      <c r="A5" s="153" t="s">
        <v>203</v>
      </c>
      <c r="B5" s="153" t="s">
        <v>208</v>
      </c>
      <c r="C5" s="153">
        <v>12923.0</v>
      </c>
      <c r="D5" s="153">
        <v>37626.1</v>
      </c>
      <c r="E5" s="153">
        <v>9067.0</v>
      </c>
      <c r="F5" s="153">
        <v>15896.0</v>
      </c>
      <c r="G5" s="153">
        <v>30450.0</v>
      </c>
      <c r="H5" s="153">
        <v>49097.0</v>
      </c>
      <c r="I5" s="153">
        <v>71132.0</v>
      </c>
      <c r="J5" s="153">
        <v>66.04</v>
      </c>
      <c r="K5" s="153">
        <v>2.19</v>
      </c>
      <c r="L5" s="153">
        <v>569.72</v>
      </c>
      <c r="M5" s="153">
        <v>364.92</v>
      </c>
      <c r="N5" s="153">
        <v>44.32</v>
      </c>
      <c r="O5" s="153">
        <v>38.34</v>
      </c>
      <c r="P5" s="153">
        <v>282.26</v>
      </c>
      <c r="Q5" s="153">
        <v>353.37</v>
      </c>
      <c r="R5" s="153">
        <v>11.55</v>
      </c>
      <c r="S5" s="153">
        <v>21.89</v>
      </c>
      <c r="T5" s="153">
        <v>26.12</v>
      </c>
      <c r="U5" s="153">
        <v>25.0</v>
      </c>
      <c r="V5" s="153">
        <v>35.31</v>
      </c>
      <c r="W5" s="153">
        <v>1.0</v>
      </c>
      <c r="X5" s="153">
        <v>0.9983</v>
      </c>
      <c r="Y5" s="153">
        <v>0.988</v>
      </c>
      <c r="Z5" s="153">
        <v>0.9856</v>
      </c>
      <c r="AA5" s="153">
        <v>0.9802</v>
      </c>
      <c r="AB5" s="153">
        <v>0.9612</v>
      </c>
      <c r="AC5" s="153">
        <v>0.9559</v>
      </c>
      <c r="AD5" s="153">
        <v>0.9453</v>
      </c>
      <c r="AE5" s="153">
        <v>0.906</v>
      </c>
      <c r="AF5" s="153">
        <v>0.8899</v>
      </c>
      <c r="AG5" s="153">
        <v>0.8446</v>
      </c>
      <c r="AH5" s="153">
        <v>0.6967</v>
      </c>
      <c r="AI5" s="153">
        <v>0.6593</v>
      </c>
      <c r="AJ5" s="153">
        <v>0.5864</v>
      </c>
      <c r="AK5" s="153">
        <v>0.3888</v>
      </c>
      <c r="AL5" s="153">
        <v>0.3387</v>
      </c>
      <c r="AM5" s="153">
        <v>0.261</v>
      </c>
      <c r="AN5" s="153">
        <v>0.1133</v>
      </c>
      <c r="AO5" s="153">
        <v>0.0972</v>
      </c>
      <c r="AP5" s="153">
        <v>0.0721</v>
      </c>
      <c r="AQ5" s="153">
        <v>0.0373</v>
      </c>
      <c r="AR5" s="153">
        <v>0.0327</v>
      </c>
      <c r="AS5" s="153">
        <v>0.0274</v>
      </c>
      <c r="AT5" s="153">
        <v>0.0138</v>
      </c>
      <c r="AU5" s="153">
        <v>0.0118</v>
      </c>
      <c r="AV5" s="153">
        <v>0.0087</v>
      </c>
      <c r="AW5" s="153">
        <v>0.0036</v>
      </c>
      <c r="AX5" s="153">
        <v>0.0024</v>
      </c>
      <c r="AY5" s="153">
        <v>0.0016</v>
      </c>
      <c r="AZ5" s="153">
        <v>6.0E-4</v>
      </c>
    </row>
    <row r="6" ht="14.25" customHeight="1">
      <c r="A6" s="153" t="s">
        <v>203</v>
      </c>
      <c r="B6" s="153" t="s">
        <v>209</v>
      </c>
      <c r="C6" s="153">
        <v>6061.0</v>
      </c>
      <c r="D6" s="153">
        <v>77167.2</v>
      </c>
      <c r="E6" s="153">
        <v>20753.0</v>
      </c>
      <c r="F6" s="153">
        <v>37625.0</v>
      </c>
      <c r="G6" s="153">
        <v>67452.0</v>
      </c>
      <c r="H6" s="153">
        <v>101834.0</v>
      </c>
      <c r="I6" s="153">
        <v>145036.0</v>
      </c>
      <c r="J6" s="153">
        <v>141.77</v>
      </c>
      <c r="K6" s="153">
        <v>2.36</v>
      </c>
      <c r="L6" s="153">
        <v>544.31</v>
      </c>
      <c r="M6" s="153">
        <v>700.96</v>
      </c>
      <c r="N6" s="153">
        <v>93.71</v>
      </c>
      <c r="O6" s="153">
        <v>40.53</v>
      </c>
      <c r="P6" s="153">
        <v>566.72</v>
      </c>
      <c r="Q6" s="153">
        <v>711.54</v>
      </c>
      <c r="R6" s="153">
        <v>-10.58</v>
      </c>
      <c r="S6" s="153">
        <v>40.46</v>
      </c>
      <c r="T6" s="153">
        <v>28.74</v>
      </c>
      <c r="U6" s="153">
        <v>27.78</v>
      </c>
      <c r="V6" s="153">
        <v>38.74</v>
      </c>
      <c r="W6" s="153">
        <v>1.0</v>
      </c>
      <c r="X6" s="153">
        <v>0.9993</v>
      </c>
      <c r="Y6" s="153">
        <v>0.9941</v>
      </c>
      <c r="Z6" s="153">
        <v>0.9929</v>
      </c>
      <c r="AA6" s="153">
        <v>0.9904</v>
      </c>
      <c r="AB6" s="153">
        <v>0.9847</v>
      </c>
      <c r="AC6" s="153">
        <v>0.9835</v>
      </c>
      <c r="AD6" s="153">
        <v>0.9787</v>
      </c>
      <c r="AE6" s="153">
        <v>0.9632</v>
      </c>
      <c r="AF6" s="153">
        <v>0.9581</v>
      </c>
      <c r="AG6" s="153">
        <v>0.951</v>
      </c>
      <c r="AH6" s="153">
        <v>0.9167</v>
      </c>
      <c r="AI6" s="153">
        <v>0.901</v>
      </c>
      <c r="AJ6" s="153">
        <v>0.8647</v>
      </c>
      <c r="AK6" s="153">
        <v>0.7441</v>
      </c>
      <c r="AL6" s="153">
        <v>0.7174</v>
      </c>
      <c r="AM6" s="153">
        <v>0.6611</v>
      </c>
      <c r="AN6" s="153">
        <v>0.496</v>
      </c>
      <c r="AO6" s="153">
        <v>0.4593</v>
      </c>
      <c r="AP6" s="153">
        <v>0.3932</v>
      </c>
      <c r="AQ6" s="153">
        <v>0.248</v>
      </c>
      <c r="AR6" s="153">
        <v>0.2168</v>
      </c>
      <c r="AS6" s="153">
        <v>0.1722</v>
      </c>
      <c r="AT6" s="153">
        <v>0.0896</v>
      </c>
      <c r="AU6" s="153">
        <v>0.0751</v>
      </c>
      <c r="AV6" s="153">
        <v>0.0546</v>
      </c>
      <c r="AW6" s="153">
        <v>0.0216</v>
      </c>
      <c r="AX6" s="153">
        <v>0.0158</v>
      </c>
      <c r="AY6" s="153">
        <v>0.0102</v>
      </c>
      <c r="AZ6" s="153">
        <v>0.0031</v>
      </c>
    </row>
    <row r="7" ht="14.25" customHeight="1">
      <c r="A7" s="153" t="s">
        <v>203</v>
      </c>
      <c r="B7" s="153" t="s">
        <v>210</v>
      </c>
      <c r="C7" s="153">
        <v>730.0</v>
      </c>
      <c r="D7" s="153">
        <v>144330.7</v>
      </c>
      <c r="E7" s="153">
        <v>44084.0</v>
      </c>
      <c r="F7" s="153">
        <v>76647.0</v>
      </c>
      <c r="G7" s="153">
        <v>127482.0</v>
      </c>
      <c r="H7" s="153">
        <v>194447.0</v>
      </c>
      <c r="I7" s="153">
        <v>265201.0</v>
      </c>
      <c r="J7" s="153">
        <v>282.47</v>
      </c>
      <c r="K7" s="153">
        <v>2.18</v>
      </c>
      <c r="L7" s="153">
        <v>510.96</v>
      </c>
      <c r="M7" s="153">
        <v>1335.1</v>
      </c>
      <c r="N7" s="153">
        <v>239.81</v>
      </c>
      <c r="O7" s="153">
        <v>48.8</v>
      </c>
      <c r="P7" s="153">
        <v>1046.49</v>
      </c>
      <c r="Q7" s="153">
        <v>1425.63</v>
      </c>
      <c r="R7" s="153">
        <v>-90.53</v>
      </c>
      <c r="S7" s="153">
        <v>54.96</v>
      </c>
      <c r="T7" s="153">
        <v>38.97</v>
      </c>
      <c r="U7" s="153">
        <v>25.0</v>
      </c>
      <c r="V7" s="153">
        <v>45.83</v>
      </c>
      <c r="W7" s="153">
        <v>1.0</v>
      </c>
      <c r="X7" s="153">
        <v>0.9986</v>
      </c>
      <c r="Y7" s="153">
        <v>0.9973</v>
      </c>
      <c r="Z7" s="153">
        <v>0.9959</v>
      </c>
      <c r="AA7" s="153">
        <v>0.9959</v>
      </c>
      <c r="AB7" s="153">
        <v>0.9945</v>
      </c>
      <c r="AC7" s="153">
        <v>0.9945</v>
      </c>
      <c r="AD7" s="153">
        <v>0.9945</v>
      </c>
      <c r="AE7" s="153">
        <v>0.9932</v>
      </c>
      <c r="AF7" s="153">
        <v>0.9932</v>
      </c>
      <c r="AG7" s="153">
        <v>0.9918</v>
      </c>
      <c r="AH7" s="153">
        <v>0.9849</v>
      </c>
      <c r="AI7" s="153">
        <v>0.9822</v>
      </c>
      <c r="AJ7" s="153">
        <v>0.9781</v>
      </c>
      <c r="AK7" s="153">
        <v>0.9356</v>
      </c>
      <c r="AL7" s="153">
        <v>0.9151</v>
      </c>
      <c r="AM7" s="153">
        <v>0.8753</v>
      </c>
      <c r="AN7" s="153">
        <v>0.7836</v>
      </c>
      <c r="AO7" s="153">
        <v>0.7658</v>
      </c>
      <c r="AP7" s="153">
        <v>0.7384</v>
      </c>
      <c r="AQ7" s="153">
        <v>0.6164</v>
      </c>
      <c r="AR7" s="153">
        <v>0.5877</v>
      </c>
      <c r="AS7" s="153">
        <v>0.5466</v>
      </c>
      <c r="AT7" s="153">
        <v>0.3932</v>
      </c>
      <c r="AU7" s="153">
        <v>0.3781</v>
      </c>
      <c r="AV7" s="153">
        <v>0.3274</v>
      </c>
      <c r="AW7" s="153">
        <v>0.1822</v>
      </c>
      <c r="AX7" s="153">
        <v>0.1589</v>
      </c>
      <c r="AY7" s="153">
        <v>0.0932</v>
      </c>
      <c r="AZ7" s="153">
        <v>0.0247</v>
      </c>
    </row>
    <row r="8" ht="14.25" customHeight="1">
      <c r="A8" s="153" t="s">
        <v>211</v>
      </c>
      <c r="B8" s="153" t="s">
        <v>204</v>
      </c>
      <c r="C8" s="153">
        <v>179.0</v>
      </c>
      <c r="D8" s="153">
        <v>45706.0</v>
      </c>
      <c r="E8" s="153">
        <v>5269.0</v>
      </c>
      <c r="F8" s="153">
        <v>15335.0</v>
      </c>
      <c r="G8" s="153">
        <v>35604.0</v>
      </c>
      <c r="H8" s="153">
        <v>60431.0</v>
      </c>
      <c r="I8" s="153">
        <v>91683.0</v>
      </c>
      <c r="J8" s="153">
        <v>80.55</v>
      </c>
      <c r="K8" s="153">
        <v>2.03</v>
      </c>
      <c r="L8" s="153">
        <v>567.4</v>
      </c>
      <c r="M8" s="153">
        <v>367.72</v>
      </c>
      <c r="N8" s="153">
        <v>0.0</v>
      </c>
      <c r="O8" s="153">
        <v>7.81</v>
      </c>
      <c r="P8" s="153">
        <v>359.91</v>
      </c>
      <c r="Q8" s="153">
        <v>144.53</v>
      </c>
      <c r="R8" s="153">
        <v>223.19</v>
      </c>
      <c r="S8" s="153">
        <v>15.91</v>
      </c>
      <c r="T8" s="153">
        <v>25.0</v>
      </c>
      <c r="U8" s="153" t="s">
        <v>205</v>
      </c>
      <c r="V8" s="153" t="s">
        <v>205</v>
      </c>
      <c r="W8" s="153">
        <v>1.0</v>
      </c>
      <c r="X8" s="153">
        <v>0.9944</v>
      </c>
      <c r="Y8" s="153">
        <v>0.9497</v>
      </c>
      <c r="Z8" s="153">
        <v>0.9497</v>
      </c>
      <c r="AA8" s="153">
        <v>0.9441</v>
      </c>
      <c r="AB8" s="153">
        <v>0.9274</v>
      </c>
      <c r="AC8" s="153">
        <v>0.9218</v>
      </c>
      <c r="AD8" s="153">
        <v>0.8994</v>
      </c>
      <c r="AE8" s="153">
        <v>0.8492</v>
      </c>
      <c r="AF8" s="153">
        <v>0.838</v>
      </c>
      <c r="AG8" s="153">
        <v>0.7989</v>
      </c>
      <c r="AH8" s="153">
        <v>0.7207</v>
      </c>
      <c r="AI8" s="153">
        <v>0.7039</v>
      </c>
      <c r="AJ8" s="153">
        <v>0.648</v>
      </c>
      <c r="AK8" s="153">
        <v>0.4637</v>
      </c>
      <c r="AL8" s="153">
        <v>0.4469</v>
      </c>
      <c r="AM8" s="153">
        <v>0.352</v>
      </c>
      <c r="AN8" s="153">
        <v>0.1844</v>
      </c>
      <c r="AO8" s="153">
        <v>0.1732</v>
      </c>
      <c r="AP8" s="153">
        <v>0.1397</v>
      </c>
      <c r="AQ8" s="153">
        <v>0.0782</v>
      </c>
      <c r="AR8" s="153">
        <v>0.0726</v>
      </c>
      <c r="AS8" s="153">
        <v>0.0615</v>
      </c>
      <c r="AT8" s="153">
        <v>0.0335</v>
      </c>
      <c r="AU8" s="153">
        <v>0.0335</v>
      </c>
      <c r="AV8" s="153">
        <v>0.0335</v>
      </c>
      <c r="AW8" s="153">
        <v>0.0112</v>
      </c>
      <c r="AX8" s="153">
        <v>0.0056</v>
      </c>
      <c r="AY8" s="153">
        <v>0.0</v>
      </c>
      <c r="AZ8" s="153">
        <v>0.0</v>
      </c>
    </row>
    <row r="9" ht="14.25" customHeight="1">
      <c r="A9" s="153" t="s">
        <v>211</v>
      </c>
      <c r="B9" s="153" t="s">
        <v>206</v>
      </c>
      <c r="C9" s="153">
        <v>24151.0</v>
      </c>
      <c r="D9" s="153">
        <v>6818.1</v>
      </c>
      <c r="E9" s="153">
        <v>878.0</v>
      </c>
      <c r="F9" s="153">
        <v>1960.0</v>
      </c>
      <c r="G9" s="153">
        <v>4410.0</v>
      </c>
      <c r="H9" s="153">
        <v>8852.0</v>
      </c>
      <c r="I9" s="153">
        <v>14396.0</v>
      </c>
      <c r="J9" s="153">
        <v>11.67</v>
      </c>
      <c r="K9" s="153">
        <v>1.9</v>
      </c>
      <c r="L9" s="153">
        <v>584.05</v>
      </c>
      <c r="M9" s="153">
        <v>145.82</v>
      </c>
      <c r="N9" s="153">
        <v>7.72</v>
      </c>
      <c r="O9" s="153">
        <v>36.23</v>
      </c>
      <c r="P9" s="153">
        <v>101.86</v>
      </c>
      <c r="Q9" s="153">
        <v>137.93</v>
      </c>
      <c r="R9" s="153">
        <v>7.89</v>
      </c>
      <c r="S9" s="153">
        <v>11.31</v>
      </c>
      <c r="T9" s="153">
        <v>25.0</v>
      </c>
      <c r="U9" s="153">
        <v>25.0</v>
      </c>
      <c r="V9" s="153">
        <v>34.87</v>
      </c>
      <c r="W9" s="153">
        <v>0.9999</v>
      </c>
      <c r="X9" s="153">
        <v>0.9783</v>
      </c>
      <c r="Y9" s="153">
        <v>0.8162</v>
      </c>
      <c r="Z9" s="153">
        <v>0.7801</v>
      </c>
      <c r="AA9" s="153">
        <v>0.7201</v>
      </c>
      <c r="AB9" s="153">
        <v>0.5503</v>
      </c>
      <c r="AC9" s="153">
        <v>0.5071</v>
      </c>
      <c r="AD9" s="153">
        <v>0.4298</v>
      </c>
      <c r="AE9" s="153">
        <v>0.258</v>
      </c>
      <c r="AF9" s="153">
        <v>0.2167</v>
      </c>
      <c r="AG9" s="153">
        <v>0.1497</v>
      </c>
      <c r="AH9" s="153">
        <v>0.053</v>
      </c>
      <c r="AI9" s="153">
        <v>0.0383</v>
      </c>
      <c r="AJ9" s="153">
        <v>0.0231</v>
      </c>
      <c r="AK9" s="153">
        <v>0.0109</v>
      </c>
      <c r="AL9" s="153">
        <v>0.0099</v>
      </c>
      <c r="AM9" s="153">
        <v>0.0077</v>
      </c>
      <c r="AN9" s="153">
        <v>0.0037</v>
      </c>
      <c r="AO9" s="153">
        <v>0.0033</v>
      </c>
      <c r="AP9" s="153">
        <v>0.0024</v>
      </c>
      <c r="AQ9" s="153">
        <v>0.0016</v>
      </c>
      <c r="AR9" s="153">
        <v>0.0013</v>
      </c>
      <c r="AS9" s="153">
        <v>0.001</v>
      </c>
      <c r="AT9" s="153">
        <v>3.0E-4</v>
      </c>
      <c r="AU9" s="153">
        <v>3.0E-4</v>
      </c>
      <c r="AV9" s="153">
        <v>3.0E-4</v>
      </c>
      <c r="AW9" s="153">
        <v>2.0E-4</v>
      </c>
      <c r="AX9" s="153">
        <v>2.0E-4</v>
      </c>
      <c r="AY9" s="153">
        <v>1.0E-4</v>
      </c>
      <c r="AZ9" s="153">
        <v>0.0</v>
      </c>
    </row>
    <row r="10" ht="14.25" customHeight="1">
      <c r="A10" s="153" t="s">
        <v>211</v>
      </c>
      <c r="B10" s="153" t="s">
        <v>207</v>
      </c>
      <c r="C10" s="153">
        <v>11237.0</v>
      </c>
      <c r="D10" s="153">
        <v>19666.1</v>
      </c>
      <c r="E10" s="153">
        <v>4642.0</v>
      </c>
      <c r="F10" s="153">
        <v>8605.0</v>
      </c>
      <c r="G10" s="153">
        <v>15870.0</v>
      </c>
      <c r="H10" s="153">
        <v>25367.0</v>
      </c>
      <c r="I10" s="153">
        <v>36639.0</v>
      </c>
      <c r="J10" s="153">
        <v>33.64</v>
      </c>
      <c r="K10" s="153">
        <v>2.12</v>
      </c>
      <c r="L10" s="153">
        <v>584.56</v>
      </c>
      <c r="M10" s="153">
        <v>352.7</v>
      </c>
      <c r="N10" s="153">
        <v>21.87</v>
      </c>
      <c r="O10" s="153">
        <v>37.72</v>
      </c>
      <c r="P10" s="153">
        <v>293.11</v>
      </c>
      <c r="Q10" s="153">
        <v>357.26</v>
      </c>
      <c r="R10" s="153">
        <v>-4.56</v>
      </c>
      <c r="S10" s="153">
        <v>12.17</v>
      </c>
      <c r="T10" s="153">
        <v>26.01</v>
      </c>
      <c r="U10" s="153">
        <v>50.0</v>
      </c>
      <c r="V10" s="153">
        <v>34.08</v>
      </c>
      <c r="W10" s="153">
        <v>1.0</v>
      </c>
      <c r="X10" s="153">
        <v>0.9967</v>
      </c>
      <c r="Y10" s="153">
        <v>0.9736</v>
      </c>
      <c r="Z10" s="153">
        <v>0.9674</v>
      </c>
      <c r="AA10" s="153">
        <v>0.9557</v>
      </c>
      <c r="AB10" s="153">
        <v>0.9209</v>
      </c>
      <c r="AC10" s="153">
        <v>0.9074</v>
      </c>
      <c r="AD10" s="153">
        <v>0.8817</v>
      </c>
      <c r="AE10" s="153">
        <v>0.7489</v>
      </c>
      <c r="AF10" s="153">
        <v>0.707</v>
      </c>
      <c r="AG10" s="153">
        <v>0.6285</v>
      </c>
      <c r="AH10" s="153">
        <v>0.4264</v>
      </c>
      <c r="AI10" s="153">
        <v>0.365</v>
      </c>
      <c r="AJ10" s="153">
        <v>0.2582</v>
      </c>
      <c r="AK10" s="153">
        <v>0.0888</v>
      </c>
      <c r="AL10" s="153">
        <v>0.0708</v>
      </c>
      <c r="AM10" s="153">
        <v>0.0465</v>
      </c>
      <c r="AN10" s="153">
        <v>0.02</v>
      </c>
      <c r="AO10" s="153">
        <v>0.0176</v>
      </c>
      <c r="AP10" s="153">
        <v>0.0132</v>
      </c>
      <c r="AQ10" s="153">
        <v>0.0075</v>
      </c>
      <c r="AR10" s="153">
        <v>0.0067</v>
      </c>
      <c r="AS10" s="153">
        <v>0.0052</v>
      </c>
      <c r="AT10" s="153">
        <v>0.0028</v>
      </c>
      <c r="AU10" s="153">
        <v>0.002</v>
      </c>
      <c r="AV10" s="153">
        <v>0.0012</v>
      </c>
      <c r="AW10" s="153">
        <v>1.0E-4</v>
      </c>
      <c r="AX10" s="153">
        <v>1.0E-4</v>
      </c>
      <c r="AY10" s="153">
        <v>1.0E-4</v>
      </c>
      <c r="AZ10" s="153">
        <v>0.0</v>
      </c>
    </row>
    <row r="11" ht="14.25" customHeight="1">
      <c r="A11" s="153" t="s">
        <v>211</v>
      </c>
      <c r="B11" s="153" t="s">
        <v>208</v>
      </c>
      <c r="C11" s="153">
        <v>5978.0</v>
      </c>
      <c r="D11" s="153">
        <v>37288.1</v>
      </c>
      <c r="E11" s="153">
        <v>9985.0</v>
      </c>
      <c r="F11" s="153">
        <v>16931.0</v>
      </c>
      <c r="G11" s="153">
        <v>30740.0</v>
      </c>
      <c r="H11" s="153">
        <v>49597.0</v>
      </c>
      <c r="I11" s="153">
        <v>69784.0</v>
      </c>
      <c r="J11" s="153">
        <v>63.87</v>
      </c>
      <c r="K11" s="153">
        <v>2.14</v>
      </c>
      <c r="L11" s="153">
        <v>583.77</v>
      </c>
      <c r="M11" s="153">
        <v>701.0</v>
      </c>
      <c r="N11" s="153">
        <v>41.5</v>
      </c>
      <c r="O11" s="153">
        <v>35.43</v>
      </c>
      <c r="P11" s="153">
        <v>624.07</v>
      </c>
      <c r="Q11" s="153">
        <v>710.78</v>
      </c>
      <c r="R11" s="153">
        <v>-9.77</v>
      </c>
      <c r="S11" s="153">
        <v>20.24</v>
      </c>
      <c r="T11" s="153">
        <v>26.08</v>
      </c>
      <c r="U11" s="153">
        <v>31.25</v>
      </c>
      <c r="V11" s="153">
        <v>32.95</v>
      </c>
      <c r="W11" s="153">
        <v>1.0</v>
      </c>
      <c r="X11" s="153">
        <v>0.9983</v>
      </c>
      <c r="Y11" s="153">
        <v>0.9858</v>
      </c>
      <c r="Z11" s="153">
        <v>0.9831</v>
      </c>
      <c r="AA11" s="153">
        <v>0.9788</v>
      </c>
      <c r="AB11" s="153">
        <v>0.9637</v>
      </c>
      <c r="AC11" s="153">
        <v>0.9604</v>
      </c>
      <c r="AD11" s="153">
        <v>0.9505</v>
      </c>
      <c r="AE11" s="153">
        <v>0.918</v>
      </c>
      <c r="AF11" s="153">
        <v>0.9041</v>
      </c>
      <c r="AG11" s="153">
        <v>0.866</v>
      </c>
      <c r="AH11" s="153">
        <v>0.7165</v>
      </c>
      <c r="AI11" s="153">
        <v>0.6723</v>
      </c>
      <c r="AJ11" s="153">
        <v>0.5908</v>
      </c>
      <c r="AK11" s="153">
        <v>0.3899</v>
      </c>
      <c r="AL11" s="153">
        <v>0.3443</v>
      </c>
      <c r="AM11" s="153">
        <v>0.2663</v>
      </c>
      <c r="AN11" s="153">
        <v>0.1109</v>
      </c>
      <c r="AO11" s="153">
        <v>0.0912</v>
      </c>
      <c r="AP11" s="153">
        <v>0.0671</v>
      </c>
      <c r="AQ11" s="153">
        <v>0.0314</v>
      </c>
      <c r="AR11" s="153">
        <v>0.0248</v>
      </c>
      <c r="AS11" s="153">
        <v>0.0177</v>
      </c>
      <c r="AT11" s="153">
        <v>0.01</v>
      </c>
      <c r="AU11" s="153">
        <v>0.0089</v>
      </c>
      <c r="AV11" s="153">
        <v>0.0062</v>
      </c>
      <c r="AW11" s="153">
        <v>0.0027</v>
      </c>
      <c r="AX11" s="153">
        <v>0.0017</v>
      </c>
      <c r="AY11" s="153">
        <v>7.0E-4</v>
      </c>
      <c r="AZ11" s="153">
        <v>2.0E-4</v>
      </c>
    </row>
    <row r="12" ht="14.25" customHeight="1">
      <c r="A12" s="153" t="s">
        <v>211</v>
      </c>
      <c r="B12" s="153" t="s">
        <v>209</v>
      </c>
      <c r="C12" s="153">
        <v>2435.0</v>
      </c>
      <c r="D12" s="153">
        <v>77710.4</v>
      </c>
      <c r="E12" s="153">
        <v>21896.0</v>
      </c>
      <c r="F12" s="153">
        <v>35934.0</v>
      </c>
      <c r="G12" s="153">
        <v>65920.0</v>
      </c>
      <c r="H12" s="153">
        <v>101792.0</v>
      </c>
      <c r="I12" s="153">
        <v>147895.0</v>
      </c>
      <c r="J12" s="153">
        <v>134.79</v>
      </c>
      <c r="K12" s="153">
        <v>2.23</v>
      </c>
      <c r="L12" s="153">
        <v>576.51</v>
      </c>
      <c r="M12" s="153">
        <v>1450.14</v>
      </c>
      <c r="N12" s="153">
        <v>84.71</v>
      </c>
      <c r="O12" s="153">
        <v>35.25</v>
      </c>
      <c r="P12" s="153">
        <v>1330.17</v>
      </c>
      <c r="Q12" s="153">
        <v>1498.7</v>
      </c>
      <c r="R12" s="153">
        <v>-48.57</v>
      </c>
      <c r="S12" s="153">
        <v>35.66</v>
      </c>
      <c r="T12" s="153">
        <v>28.6</v>
      </c>
      <c r="U12" s="153">
        <v>25.0</v>
      </c>
      <c r="V12" s="153">
        <v>43.0</v>
      </c>
      <c r="W12" s="153">
        <v>1.0</v>
      </c>
      <c r="X12" s="153">
        <v>0.9992</v>
      </c>
      <c r="Y12" s="153">
        <v>0.9918</v>
      </c>
      <c r="Z12" s="153">
        <v>0.9906</v>
      </c>
      <c r="AA12" s="153">
        <v>0.9881</v>
      </c>
      <c r="AB12" s="153">
        <v>0.9832</v>
      </c>
      <c r="AC12" s="153">
        <v>0.9807</v>
      </c>
      <c r="AD12" s="153">
        <v>0.9741</v>
      </c>
      <c r="AE12" s="153">
        <v>0.9544</v>
      </c>
      <c r="AF12" s="153">
        <v>0.952</v>
      </c>
      <c r="AG12" s="153">
        <v>0.9437</v>
      </c>
      <c r="AH12" s="153">
        <v>0.9207</v>
      </c>
      <c r="AI12" s="153">
        <v>0.908</v>
      </c>
      <c r="AJ12" s="153">
        <v>0.8674</v>
      </c>
      <c r="AK12" s="153">
        <v>0.7281</v>
      </c>
      <c r="AL12" s="153">
        <v>0.7018</v>
      </c>
      <c r="AM12" s="153">
        <v>0.6435</v>
      </c>
      <c r="AN12" s="153">
        <v>0.4858</v>
      </c>
      <c r="AO12" s="153">
        <v>0.4559</v>
      </c>
      <c r="AP12" s="153">
        <v>0.3975</v>
      </c>
      <c r="AQ12" s="153">
        <v>0.2468</v>
      </c>
      <c r="AR12" s="153">
        <v>0.2164</v>
      </c>
      <c r="AS12" s="153">
        <v>0.1729</v>
      </c>
      <c r="AT12" s="153">
        <v>0.094</v>
      </c>
      <c r="AU12" s="153">
        <v>0.0776</v>
      </c>
      <c r="AV12" s="153">
        <v>0.0608</v>
      </c>
      <c r="AW12" s="153">
        <v>0.0283</v>
      </c>
      <c r="AX12" s="153">
        <v>0.0209</v>
      </c>
      <c r="AY12" s="153">
        <v>0.0131</v>
      </c>
      <c r="AZ12" s="153">
        <v>0.0053</v>
      </c>
    </row>
    <row r="13" ht="14.25" customHeight="1">
      <c r="A13" s="153" t="s">
        <v>211</v>
      </c>
      <c r="B13" s="153" t="s">
        <v>210</v>
      </c>
      <c r="C13" s="153">
        <v>258.0</v>
      </c>
      <c r="D13" s="153">
        <v>157682.3</v>
      </c>
      <c r="E13" s="153">
        <v>59022.0</v>
      </c>
      <c r="F13" s="153">
        <v>82623.0</v>
      </c>
      <c r="G13" s="153">
        <v>138432.0</v>
      </c>
      <c r="H13" s="153">
        <v>214757.0</v>
      </c>
      <c r="I13" s="153">
        <v>281574.0</v>
      </c>
      <c r="J13" s="153">
        <v>282.69</v>
      </c>
      <c r="K13" s="153">
        <v>2.11</v>
      </c>
      <c r="L13" s="153">
        <v>557.8</v>
      </c>
      <c r="M13" s="153">
        <v>3204.37</v>
      </c>
      <c r="N13" s="153">
        <v>205.58</v>
      </c>
      <c r="O13" s="153">
        <v>44.26</v>
      </c>
      <c r="P13" s="153">
        <v>2954.53</v>
      </c>
      <c r="Q13" s="153">
        <v>3249.47</v>
      </c>
      <c r="R13" s="153">
        <v>-45.1</v>
      </c>
      <c r="S13" s="153">
        <v>53.04</v>
      </c>
      <c r="T13" s="153">
        <v>39.29</v>
      </c>
      <c r="U13" s="153">
        <v>25.0</v>
      </c>
      <c r="V13" s="153">
        <v>50.0</v>
      </c>
      <c r="W13" s="153">
        <v>1.0</v>
      </c>
      <c r="X13" s="153">
        <v>1.0</v>
      </c>
      <c r="Y13" s="153">
        <v>1.0</v>
      </c>
      <c r="Z13" s="153">
        <v>1.0</v>
      </c>
      <c r="AA13" s="153">
        <v>1.0</v>
      </c>
      <c r="AB13" s="153">
        <v>0.9961</v>
      </c>
      <c r="AC13" s="153">
        <v>0.9922</v>
      </c>
      <c r="AD13" s="153">
        <v>0.9922</v>
      </c>
      <c r="AE13" s="153">
        <v>0.9922</v>
      </c>
      <c r="AF13" s="153">
        <v>0.9845</v>
      </c>
      <c r="AG13" s="153">
        <v>0.9806</v>
      </c>
      <c r="AH13" s="153">
        <v>0.9729</v>
      </c>
      <c r="AI13" s="153">
        <v>0.9729</v>
      </c>
      <c r="AJ13" s="153">
        <v>0.9729</v>
      </c>
      <c r="AK13" s="153">
        <v>0.9457</v>
      </c>
      <c r="AL13" s="153">
        <v>0.9419</v>
      </c>
      <c r="AM13" s="153">
        <v>0.9341</v>
      </c>
      <c r="AN13" s="153">
        <v>0.8411</v>
      </c>
      <c r="AO13" s="153">
        <v>0.8023</v>
      </c>
      <c r="AP13" s="153">
        <v>0.7558</v>
      </c>
      <c r="AQ13" s="153">
        <v>0.6705</v>
      </c>
      <c r="AR13" s="153">
        <v>0.6473</v>
      </c>
      <c r="AS13" s="153">
        <v>0.5891</v>
      </c>
      <c r="AT13" s="153">
        <v>0.4302</v>
      </c>
      <c r="AU13" s="153">
        <v>0.4031</v>
      </c>
      <c r="AV13" s="153">
        <v>0.3411</v>
      </c>
      <c r="AW13" s="153">
        <v>0.2442</v>
      </c>
      <c r="AX13" s="153">
        <v>0.2132</v>
      </c>
      <c r="AY13" s="153">
        <v>0.124</v>
      </c>
      <c r="AZ13" s="153">
        <v>0.0581</v>
      </c>
    </row>
    <row r="14" ht="14.25" customHeight="1"/>
    <row r="15" ht="14.25" customHeight="1">
      <c r="A15" s="15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8.0"/>
    <col customWidth="1" min="4" max="4" width="18.0"/>
    <col customWidth="1" min="5" max="5" width="14.0"/>
    <col customWidth="1" min="6" max="6" width="15.0"/>
    <col customWidth="1" min="7" max="10" width="11.0"/>
    <col customWidth="1" min="11" max="12" width="9.0"/>
    <col customWidth="1" min="13" max="13" width="11.0"/>
    <col customWidth="1" min="14" max="14" width="10.0"/>
    <col customWidth="1" min="15" max="15" width="14.0"/>
    <col customWidth="1" min="16" max="16" width="12.0"/>
    <col customWidth="1" min="17" max="18" width="8.71"/>
    <col customWidth="1" min="19" max="22" width="13.0"/>
    <col customWidth="1" min="23" max="26" width="8.71"/>
  </cols>
  <sheetData>
    <row r="1" ht="48.0" customHeight="1">
      <c r="A1" s="151" t="s">
        <v>151</v>
      </c>
      <c r="B1" s="151" t="s">
        <v>152</v>
      </c>
      <c r="C1" s="151" t="s">
        <v>153</v>
      </c>
      <c r="D1" s="151" t="s">
        <v>154</v>
      </c>
      <c r="E1" s="151" t="s">
        <v>155</v>
      </c>
      <c r="F1" s="151" t="s">
        <v>156</v>
      </c>
      <c r="G1" s="151" t="s">
        <v>157</v>
      </c>
      <c r="H1" s="151" t="s">
        <v>158</v>
      </c>
      <c r="I1" s="151" t="s">
        <v>159</v>
      </c>
      <c r="J1" s="151" t="s">
        <v>160</v>
      </c>
      <c r="K1" s="151" t="s">
        <v>161</v>
      </c>
      <c r="L1" s="151" t="s">
        <v>162</v>
      </c>
      <c r="M1" s="151" t="s">
        <v>163</v>
      </c>
      <c r="N1" s="151" t="s">
        <v>164</v>
      </c>
      <c r="O1" s="151" t="s">
        <v>165</v>
      </c>
      <c r="P1" s="151" t="s">
        <v>166</v>
      </c>
      <c r="Q1" s="151" t="s">
        <v>167</v>
      </c>
      <c r="R1" s="151" t="s">
        <v>168</v>
      </c>
      <c r="S1" s="152" t="s">
        <v>169</v>
      </c>
      <c r="T1" s="152" t="s">
        <v>170</v>
      </c>
      <c r="U1" s="152" t="s">
        <v>171</v>
      </c>
      <c r="V1" s="152" t="s">
        <v>172</v>
      </c>
      <c r="W1" s="155" t="s">
        <v>173</v>
      </c>
      <c r="X1" s="155" t="s">
        <v>174</v>
      </c>
      <c r="Y1" s="155" t="s">
        <v>175</v>
      </c>
      <c r="Z1" s="155" t="s">
        <v>176</v>
      </c>
      <c r="AA1" s="155" t="s">
        <v>177</v>
      </c>
      <c r="AB1" s="155" t="s">
        <v>178</v>
      </c>
      <c r="AC1" s="155" t="s">
        <v>179</v>
      </c>
      <c r="AD1" s="155" t="s">
        <v>180</v>
      </c>
      <c r="AE1" s="155" t="s">
        <v>181</v>
      </c>
      <c r="AF1" s="155" t="s">
        <v>182</v>
      </c>
      <c r="AG1" s="155" t="s">
        <v>183</v>
      </c>
      <c r="AH1" s="155" t="s">
        <v>184</v>
      </c>
      <c r="AI1" s="155" t="s">
        <v>185</v>
      </c>
      <c r="AJ1" s="155" t="s">
        <v>186</v>
      </c>
      <c r="AK1" s="155" t="s">
        <v>187</v>
      </c>
      <c r="AL1" s="155" t="s">
        <v>188</v>
      </c>
      <c r="AM1" s="155" t="s">
        <v>189</v>
      </c>
      <c r="AN1" s="155" t="s">
        <v>190</v>
      </c>
      <c r="AO1" s="155" t="s">
        <v>191</v>
      </c>
      <c r="AP1" s="155" t="s">
        <v>192</v>
      </c>
      <c r="AQ1" s="155" t="s">
        <v>193</v>
      </c>
      <c r="AR1" s="155" t="s">
        <v>194</v>
      </c>
      <c r="AS1" s="155" t="s">
        <v>195</v>
      </c>
      <c r="AT1" s="155" t="s">
        <v>196</v>
      </c>
      <c r="AU1" s="155" t="s">
        <v>197</v>
      </c>
      <c r="AV1" s="155" t="s">
        <v>198</v>
      </c>
      <c r="AW1" s="155" t="s">
        <v>199</v>
      </c>
      <c r="AX1" s="155" t="s">
        <v>200</v>
      </c>
      <c r="AY1" s="155" t="s">
        <v>201</v>
      </c>
      <c r="AZ1" s="155" t="s">
        <v>202</v>
      </c>
    </row>
    <row r="2" ht="14.25" customHeight="1">
      <c r="A2" s="156" t="s">
        <v>203</v>
      </c>
      <c r="B2" s="156" t="s">
        <v>204</v>
      </c>
      <c r="C2" s="157">
        <v>268.0</v>
      </c>
      <c r="D2" s="157">
        <v>72340.7</v>
      </c>
      <c r="E2" s="157">
        <v>7814.0</v>
      </c>
      <c r="F2" s="157">
        <v>24766.0</v>
      </c>
      <c r="G2" s="157">
        <v>55624.0</v>
      </c>
      <c r="H2" s="157">
        <v>109443.0</v>
      </c>
      <c r="I2" s="157">
        <v>153169.0</v>
      </c>
      <c r="J2" s="157">
        <v>125.77</v>
      </c>
      <c r="K2" s="157">
        <v>2.72</v>
      </c>
      <c r="L2" s="157">
        <v>575.19</v>
      </c>
      <c r="M2" s="157">
        <v>272.81</v>
      </c>
      <c r="N2" s="157">
        <v>0.0</v>
      </c>
      <c r="O2" s="157">
        <v>15.11</v>
      </c>
      <c r="P2" s="157">
        <v>257.7</v>
      </c>
      <c r="Q2" s="157">
        <v>16.85</v>
      </c>
      <c r="R2" s="157">
        <v>255.96</v>
      </c>
      <c r="S2" s="153">
        <v>18.89</v>
      </c>
      <c r="T2" s="153">
        <v>25.0</v>
      </c>
      <c r="U2" s="153" t="s">
        <v>205</v>
      </c>
      <c r="V2" s="153">
        <v>25.0</v>
      </c>
      <c r="W2" s="40">
        <v>1.0</v>
      </c>
      <c r="X2" s="40">
        <v>0.9888</v>
      </c>
      <c r="Y2" s="40">
        <v>0.9627</v>
      </c>
      <c r="Z2" s="40">
        <v>0.9627</v>
      </c>
      <c r="AA2" s="40">
        <v>0.959</v>
      </c>
      <c r="AB2" s="40">
        <v>0.944</v>
      </c>
      <c r="AC2" s="40">
        <v>0.9366</v>
      </c>
      <c r="AD2" s="40">
        <v>0.9291</v>
      </c>
      <c r="AE2" s="40">
        <v>0.8955</v>
      </c>
      <c r="AF2" s="40">
        <v>0.8918</v>
      </c>
      <c r="AG2" s="40">
        <v>0.8731</v>
      </c>
      <c r="AH2" s="40">
        <v>0.7985</v>
      </c>
      <c r="AI2" s="40">
        <v>0.7724</v>
      </c>
      <c r="AJ2" s="40">
        <v>0.7463</v>
      </c>
      <c r="AK2" s="40">
        <v>0.6306</v>
      </c>
      <c r="AL2" s="40">
        <v>0.6119</v>
      </c>
      <c r="AM2" s="40">
        <v>0.5634</v>
      </c>
      <c r="AN2" s="40">
        <v>0.4179</v>
      </c>
      <c r="AO2" s="40">
        <v>0.3993</v>
      </c>
      <c r="AP2" s="40">
        <v>0.3806</v>
      </c>
      <c r="AQ2" s="40">
        <v>0.2687</v>
      </c>
      <c r="AR2" s="40">
        <v>0.2575</v>
      </c>
      <c r="AS2" s="40">
        <v>0.1978</v>
      </c>
      <c r="AT2" s="40">
        <v>0.1045</v>
      </c>
      <c r="AU2" s="40">
        <v>0.0821</v>
      </c>
      <c r="AV2" s="40">
        <v>0.0597</v>
      </c>
      <c r="AW2" s="40">
        <v>0.0299</v>
      </c>
      <c r="AX2" s="40">
        <v>0.0149</v>
      </c>
      <c r="AY2" s="40">
        <v>0.0075</v>
      </c>
      <c r="AZ2" s="40">
        <v>0.0075</v>
      </c>
    </row>
    <row r="3" ht="14.25" customHeight="1">
      <c r="A3" s="156" t="s">
        <v>203</v>
      </c>
      <c r="B3" s="156" t="s">
        <v>206</v>
      </c>
      <c r="C3" s="157">
        <v>38863.0</v>
      </c>
      <c r="D3" s="157">
        <v>7906.1</v>
      </c>
      <c r="E3" s="157">
        <v>772.0</v>
      </c>
      <c r="F3" s="157">
        <v>1911.0</v>
      </c>
      <c r="G3" s="157">
        <v>4553.0</v>
      </c>
      <c r="H3" s="157">
        <v>10021.0</v>
      </c>
      <c r="I3" s="157">
        <v>17251.0</v>
      </c>
      <c r="J3" s="157">
        <v>13.69</v>
      </c>
      <c r="K3" s="157">
        <v>2.13</v>
      </c>
      <c r="L3" s="157">
        <v>577.4</v>
      </c>
      <c r="M3" s="157">
        <v>126.92</v>
      </c>
      <c r="N3" s="157">
        <v>9.92</v>
      </c>
      <c r="O3" s="157">
        <v>41.77</v>
      </c>
      <c r="P3" s="157">
        <v>75.23</v>
      </c>
      <c r="Q3" s="157">
        <v>112.49</v>
      </c>
      <c r="R3" s="157">
        <v>14.43</v>
      </c>
      <c r="S3" s="153">
        <v>11.78</v>
      </c>
      <c r="T3" s="153">
        <v>25.0</v>
      </c>
      <c r="U3" s="153">
        <v>25.0</v>
      </c>
      <c r="V3" s="153">
        <v>33.52</v>
      </c>
      <c r="W3" s="40">
        <v>0.9995</v>
      </c>
      <c r="X3" s="40">
        <v>0.9661</v>
      </c>
      <c r="Y3" s="40">
        <v>0.8038</v>
      </c>
      <c r="Z3" s="40">
        <v>0.7707</v>
      </c>
      <c r="AA3" s="40">
        <v>0.7149</v>
      </c>
      <c r="AB3" s="40">
        <v>0.5559</v>
      </c>
      <c r="AC3" s="40">
        <v>0.5168</v>
      </c>
      <c r="AD3" s="40">
        <v>0.4472</v>
      </c>
      <c r="AE3" s="40">
        <v>0.3001</v>
      </c>
      <c r="AF3" s="40">
        <v>0.2609</v>
      </c>
      <c r="AG3" s="40">
        <v>0.198</v>
      </c>
      <c r="AH3" s="40">
        <v>0.0855</v>
      </c>
      <c r="AI3" s="40">
        <v>0.0639</v>
      </c>
      <c r="AJ3" s="40">
        <v>0.0366</v>
      </c>
      <c r="AK3" s="40">
        <v>0.0143</v>
      </c>
      <c r="AL3" s="40">
        <v>0.0129</v>
      </c>
      <c r="AM3" s="40">
        <v>0.0112</v>
      </c>
      <c r="AN3" s="40">
        <v>0.0075</v>
      </c>
      <c r="AO3" s="40">
        <v>0.0072</v>
      </c>
      <c r="AP3" s="40">
        <v>0.0061</v>
      </c>
      <c r="AQ3" s="40">
        <v>0.004</v>
      </c>
      <c r="AR3" s="40">
        <v>0.0035</v>
      </c>
      <c r="AS3" s="40">
        <v>0.0027</v>
      </c>
      <c r="AT3" s="40">
        <v>0.0014</v>
      </c>
      <c r="AU3" s="40">
        <v>0.0011</v>
      </c>
      <c r="AV3" s="40">
        <v>7.0E-4</v>
      </c>
      <c r="AW3" s="40">
        <v>3.0E-4</v>
      </c>
      <c r="AX3" s="40">
        <v>2.0E-4</v>
      </c>
      <c r="AY3" s="40">
        <v>1.0E-4</v>
      </c>
      <c r="AZ3" s="40">
        <v>0.0</v>
      </c>
    </row>
    <row r="4" ht="14.25" customHeight="1">
      <c r="A4" s="156" t="s">
        <v>203</v>
      </c>
      <c r="B4" s="156" t="s">
        <v>207</v>
      </c>
      <c r="C4" s="157">
        <v>22522.0</v>
      </c>
      <c r="D4" s="157">
        <v>24490.1</v>
      </c>
      <c r="E4" s="157">
        <v>5536.0</v>
      </c>
      <c r="F4" s="157">
        <v>9419.0</v>
      </c>
      <c r="G4" s="157">
        <v>19134.0</v>
      </c>
      <c r="H4" s="157">
        <v>31258.0</v>
      </c>
      <c r="I4" s="157">
        <v>45422.0</v>
      </c>
      <c r="J4" s="157">
        <v>42.06</v>
      </c>
      <c r="K4" s="157">
        <v>2.59</v>
      </c>
      <c r="L4" s="157">
        <v>582.27</v>
      </c>
      <c r="M4" s="157">
        <v>257.7</v>
      </c>
      <c r="N4" s="157">
        <v>27.86</v>
      </c>
      <c r="O4" s="157">
        <v>46.94</v>
      </c>
      <c r="P4" s="157">
        <v>182.9</v>
      </c>
      <c r="Q4" s="157">
        <v>244.11</v>
      </c>
      <c r="R4" s="157">
        <v>13.58</v>
      </c>
      <c r="S4" s="153">
        <v>12.29</v>
      </c>
      <c r="T4" s="153">
        <v>25.67</v>
      </c>
      <c r="U4" s="153">
        <v>25.0</v>
      </c>
      <c r="V4" s="153">
        <v>33.17</v>
      </c>
      <c r="W4" s="40">
        <v>1.0</v>
      </c>
      <c r="X4" s="40">
        <v>0.9972</v>
      </c>
      <c r="Y4" s="40">
        <v>0.9838</v>
      </c>
      <c r="Z4" s="40">
        <v>0.9796</v>
      </c>
      <c r="AA4" s="40">
        <v>0.9729</v>
      </c>
      <c r="AB4" s="40">
        <v>0.9474</v>
      </c>
      <c r="AC4" s="40">
        <v>0.9375</v>
      </c>
      <c r="AD4" s="40">
        <v>0.9085</v>
      </c>
      <c r="AE4" s="40">
        <v>0.7749</v>
      </c>
      <c r="AF4" s="40">
        <v>0.7393</v>
      </c>
      <c r="AG4" s="40">
        <v>0.6766</v>
      </c>
      <c r="AH4" s="40">
        <v>0.519</v>
      </c>
      <c r="AI4" s="40">
        <v>0.4629</v>
      </c>
      <c r="AJ4" s="40">
        <v>0.3672</v>
      </c>
      <c r="AK4" s="40">
        <v>0.1586</v>
      </c>
      <c r="AL4" s="40">
        <v>0.1282</v>
      </c>
      <c r="AM4" s="40">
        <v>0.0845</v>
      </c>
      <c r="AN4" s="40">
        <v>0.037</v>
      </c>
      <c r="AO4" s="40">
        <v>0.0334</v>
      </c>
      <c r="AP4" s="40">
        <v>0.0279</v>
      </c>
      <c r="AQ4" s="40">
        <v>0.0187</v>
      </c>
      <c r="AR4" s="40">
        <v>0.0162</v>
      </c>
      <c r="AS4" s="40">
        <v>0.0133</v>
      </c>
      <c r="AT4" s="40">
        <v>0.007</v>
      </c>
      <c r="AU4" s="40">
        <v>0.0062</v>
      </c>
      <c r="AV4" s="40">
        <v>0.0045</v>
      </c>
      <c r="AW4" s="40">
        <v>0.0021</v>
      </c>
      <c r="AX4" s="40">
        <v>0.0017</v>
      </c>
      <c r="AY4" s="40">
        <v>9.0E-4</v>
      </c>
      <c r="AZ4" s="40">
        <v>1.0E-4</v>
      </c>
    </row>
    <row r="5" ht="14.25" customHeight="1">
      <c r="A5" s="156" t="s">
        <v>203</v>
      </c>
      <c r="B5" s="156" t="s">
        <v>208</v>
      </c>
      <c r="C5" s="157">
        <v>13823.0</v>
      </c>
      <c r="D5" s="157">
        <v>47180.2</v>
      </c>
      <c r="E5" s="157">
        <v>11180.0</v>
      </c>
      <c r="F5" s="157">
        <v>18851.0</v>
      </c>
      <c r="G5" s="157">
        <v>38620.0</v>
      </c>
      <c r="H5" s="157">
        <v>61778.0</v>
      </c>
      <c r="I5" s="157">
        <v>88902.0</v>
      </c>
      <c r="J5" s="157">
        <v>83.17</v>
      </c>
      <c r="K5" s="157">
        <v>2.73</v>
      </c>
      <c r="L5" s="157">
        <v>567.3</v>
      </c>
      <c r="M5" s="157">
        <v>446.17</v>
      </c>
      <c r="N5" s="157">
        <v>55.42</v>
      </c>
      <c r="O5" s="157">
        <v>47.27</v>
      </c>
      <c r="P5" s="157">
        <v>343.48</v>
      </c>
      <c r="Q5" s="157">
        <v>432.89</v>
      </c>
      <c r="R5" s="157">
        <v>13.28</v>
      </c>
      <c r="S5" s="153">
        <v>20.13</v>
      </c>
      <c r="T5" s="153">
        <v>26.14</v>
      </c>
      <c r="U5" s="153">
        <v>25.0</v>
      </c>
      <c r="V5" s="153">
        <v>36.27</v>
      </c>
      <c r="W5" s="40">
        <v>1.0</v>
      </c>
      <c r="X5" s="40">
        <v>0.9991</v>
      </c>
      <c r="Y5" s="40">
        <v>0.9928</v>
      </c>
      <c r="Z5" s="40">
        <v>0.9912</v>
      </c>
      <c r="AA5" s="40">
        <v>0.9882</v>
      </c>
      <c r="AB5" s="40">
        <v>0.9748</v>
      </c>
      <c r="AC5" s="40">
        <v>0.9711</v>
      </c>
      <c r="AD5" s="40">
        <v>0.9633</v>
      </c>
      <c r="AE5" s="40">
        <v>0.9357</v>
      </c>
      <c r="AF5" s="40">
        <v>0.9231</v>
      </c>
      <c r="AG5" s="40">
        <v>0.8854</v>
      </c>
      <c r="AH5" s="40">
        <v>0.7552</v>
      </c>
      <c r="AI5" s="40">
        <v>0.7231</v>
      </c>
      <c r="AJ5" s="40">
        <v>0.6646</v>
      </c>
      <c r="AK5" s="40">
        <v>0.504</v>
      </c>
      <c r="AL5" s="40">
        <v>0.4621</v>
      </c>
      <c r="AM5" s="40">
        <v>0.3888</v>
      </c>
      <c r="AN5" s="40">
        <v>0.2033</v>
      </c>
      <c r="AO5" s="40">
        <v>0.1762</v>
      </c>
      <c r="AP5" s="40">
        <v>0.1346</v>
      </c>
      <c r="AQ5" s="40">
        <v>0.0669</v>
      </c>
      <c r="AR5" s="40">
        <v>0.0577</v>
      </c>
      <c r="AS5" s="40">
        <v>0.0449</v>
      </c>
      <c r="AT5" s="40">
        <v>0.0263</v>
      </c>
      <c r="AU5" s="40">
        <v>0.0236</v>
      </c>
      <c r="AV5" s="40">
        <v>0.0185</v>
      </c>
      <c r="AW5" s="40">
        <v>0.0098</v>
      </c>
      <c r="AX5" s="40">
        <v>0.0077</v>
      </c>
      <c r="AY5" s="40">
        <v>0.0045</v>
      </c>
      <c r="AZ5" s="40">
        <v>0.0017</v>
      </c>
    </row>
    <row r="6" ht="14.25" customHeight="1">
      <c r="A6" s="156" t="s">
        <v>203</v>
      </c>
      <c r="B6" s="156" t="s">
        <v>209</v>
      </c>
      <c r="C6" s="157">
        <v>6439.0</v>
      </c>
      <c r="D6" s="157">
        <v>96527.0</v>
      </c>
      <c r="E6" s="157">
        <v>24408.0</v>
      </c>
      <c r="F6" s="157">
        <v>44118.0</v>
      </c>
      <c r="G6" s="157">
        <v>83292.0</v>
      </c>
      <c r="H6" s="157">
        <v>128357.0</v>
      </c>
      <c r="I6" s="157">
        <v>185129.0</v>
      </c>
      <c r="J6" s="157">
        <v>177.59</v>
      </c>
      <c r="K6" s="157">
        <v>2.93</v>
      </c>
      <c r="L6" s="157">
        <v>543.53</v>
      </c>
      <c r="M6" s="157">
        <v>841.39</v>
      </c>
      <c r="N6" s="157">
        <v>117.07</v>
      </c>
      <c r="O6" s="157">
        <v>50.4</v>
      </c>
      <c r="P6" s="157">
        <v>673.92</v>
      </c>
      <c r="Q6" s="157">
        <v>873.18</v>
      </c>
      <c r="R6" s="157">
        <v>-31.79</v>
      </c>
      <c r="S6" s="153">
        <v>35.36</v>
      </c>
      <c r="T6" s="153">
        <v>28.75</v>
      </c>
      <c r="U6" s="153">
        <v>30.0</v>
      </c>
      <c r="V6" s="153">
        <v>44.69</v>
      </c>
      <c r="W6" s="40">
        <v>1.0</v>
      </c>
      <c r="X6" s="40">
        <v>0.9992</v>
      </c>
      <c r="Y6" s="40">
        <v>0.9964</v>
      </c>
      <c r="Z6" s="40">
        <v>0.9958</v>
      </c>
      <c r="AA6" s="40">
        <v>0.9935</v>
      </c>
      <c r="AB6" s="40">
        <v>0.9897</v>
      </c>
      <c r="AC6" s="40">
        <v>0.9885</v>
      </c>
      <c r="AD6" s="40">
        <v>0.9848</v>
      </c>
      <c r="AE6" s="40">
        <v>0.9739</v>
      </c>
      <c r="AF6" s="40">
        <v>0.9708</v>
      </c>
      <c r="AG6" s="40">
        <v>0.9654</v>
      </c>
      <c r="AH6" s="40">
        <v>0.9432</v>
      </c>
      <c r="AI6" s="40">
        <v>0.9303</v>
      </c>
      <c r="AJ6" s="40">
        <v>0.8942</v>
      </c>
      <c r="AK6" s="40">
        <v>0.7886</v>
      </c>
      <c r="AL6" s="40">
        <v>0.7678</v>
      </c>
      <c r="AM6" s="40">
        <v>0.7236</v>
      </c>
      <c r="AN6" s="40">
        <v>0.5999</v>
      </c>
      <c r="AO6" s="40">
        <v>0.5749</v>
      </c>
      <c r="AP6" s="40">
        <v>0.5189</v>
      </c>
      <c r="AQ6" s="40">
        <v>0.387</v>
      </c>
      <c r="AR6" s="40">
        <v>0.3504</v>
      </c>
      <c r="AS6" s="40">
        <v>0.2941</v>
      </c>
      <c r="AT6" s="40">
        <v>0.1645</v>
      </c>
      <c r="AU6" s="40">
        <v>0.1444</v>
      </c>
      <c r="AV6" s="40">
        <v>0.1182</v>
      </c>
      <c r="AW6" s="40">
        <v>0.0553</v>
      </c>
      <c r="AX6" s="40">
        <v>0.0418</v>
      </c>
      <c r="AY6" s="40">
        <v>0.023</v>
      </c>
      <c r="AZ6" s="40">
        <v>0.009</v>
      </c>
    </row>
    <row r="7" ht="14.25" customHeight="1">
      <c r="A7" s="156" t="s">
        <v>203</v>
      </c>
      <c r="B7" s="156" t="s">
        <v>210</v>
      </c>
      <c r="C7" s="157">
        <v>777.0</v>
      </c>
      <c r="D7" s="157">
        <v>173958.4</v>
      </c>
      <c r="E7" s="157">
        <v>44295.0</v>
      </c>
      <c r="F7" s="157">
        <v>82596.0</v>
      </c>
      <c r="G7" s="157">
        <v>139889.0</v>
      </c>
      <c r="H7" s="157">
        <v>246841.0</v>
      </c>
      <c r="I7" s="157">
        <v>343988.0</v>
      </c>
      <c r="J7" s="157">
        <v>336.56</v>
      </c>
      <c r="K7" s="157">
        <v>2.58</v>
      </c>
      <c r="L7" s="157">
        <v>516.87</v>
      </c>
      <c r="M7" s="157">
        <v>1649.81</v>
      </c>
      <c r="N7" s="157">
        <v>299.58</v>
      </c>
      <c r="O7" s="157">
        <v>60.75</v>
      </c>
      <c r="P7" s="157">
        <v>1289.48</v>
      </c>
      <c r="Q7" s="157">
        <v>1775.72</v>
      </c>
      <c r="R7" s="157">
        <v>-125.91</v>
      </c>
      <c r="S7" s="153">
        <v>53.54</v>
      </c>
      <c r="T7" s="153">
        <v>38.97</v>
      </c>
      <c r="U7" s="153">
        <v>25.0</v>
      </c>
      <c r="V7" s="153">
        <v>41.67</v>
      </c>
      <c r="W7" s="40">
        <v>1.0</v>
      </c>
      <c r="X7" s="40">
        <v>0.9987</v>
      </c>
      <c r="Y7" s="40">
        <v>0.9974</v>
      </c>
      <c r="Z7" s="40">
        <v>0.9974</v>
      </c>
      <c r="AA7" s="40">
        <v>0.9961</v>
      </c>
      <c r="AB7" s="40">
        <v>0.9961</v>
      </c>
      <c r="AC7" s="40">
        <v>0.9949</v>
      </c>
      <c r="AD7" s="40">
        <v>0.9949</v>
      </c>
      <c r="AE7" s="40">
        <v>0.9936</v>
      </c>
      <c r="AF7" s="40">
        <v>0.9923</v>
      </c>
      <c r="AG7" s="40">
        <v>0.9897</v>
      </c>
      <c r="AH7" s="40">
        <v>0.9833</v>
      </c>
      <c r="AI7" s="40">
        <v>0.982</v>
      </c>
      <c r="AJ7" s="40">
        <v>0.9794</v>
      </c>
      <c r="AK7" s="40">
        <v>0.9421</v>
      </c>
      <c r="AL7" s="40">
        <v>0.9202</v>
      </c>
      <c r="AM7" s="40">
        <v>0.8764</v>
      </c>
      <c r="AN7" s="40">
        <v>0.7979</v>
      </c>
      <c r="AO7" s="40">
        <v>0.7825</v>
      </c>
      <c r="AP7" s="40">
        <v>0.7606</v>
      </c>
      <c r="AQ7" s="40">
        <v>0.6474</v>
      </c>
      <c r="AR7" s="40">
        <v>0.6203</v>
      </c>
      <c r="AS7" s="40">
        <v>0.5869</v>
      </c>
      <c r="AT7" s="40">
        <v>0.471</v>
      </c>
      <c r="AU7" s="40">
        <v>0.4556</v>
      </c>
      <c r="AV7" s="40">
        <v>0.4299</v>
      </c>
      <c r="AW7" s="40">
        <v>0.3282</v>
      </c>
      <c r="AX7" s="40">
        <v>0.2844</v>
      </c>
      <c r="AY7" s="40">
        <v>0.2085</v>
      </c>
      <c r="AZ7" s="40">
        <v>0.0978</v>
      </c>
    </row>
    <row r="8" ht="14.25" customHeight="1">
      <c r="A8" s="156" t="s">
        <v>211</v>
      </c>
      <c r="B8" s="156" t="s">
        <v>204</v>
      </c>
      <c r="C8" s="157">
        <v>167.0</v>
      </c>
      <c r="D8" s="157">
        <v>63633.4</v>
      </c>
      <c r="E8" s="157">
        <v>10648.0</v>
      </c>
      <c r="F8" s="157">
        <v>26518.0</v>
      </c>
      <c r="G8" s="157">
        <v>51036.0</v>
      </c>
      <c r="H8" s="157">
        <v>80031.0</v>
      </c>
      <c r="I8" s="157">
        <v>135279.0</v>
      </c>
      <c r="J8" s="157">
        <v>111.83</v>
      </c>
      <c r="K8" s="157">
        <v>2.68</v>
      </c>
      <c r="L8" s="157">
        <v>569.01</v>
      </c>
      <c r="M8" s="157">
        <v>398.47</v>
      </c>
      <c r="N8" s="157">
        <v>0.66</v>
      </c>
      <c r="O8" s="157">
        <v>8.4</v>
      </c>
      <c r="P8" s="157">
        <v>389.42</v>
      </c>
      <c r="Q8" s="157">
        <v>164.15</v>
      </c>
      <c r="R8" s="157">
        <v>234.32</v>
      </c>
      <c r="S8" s="153">
        <v>16.5</v>
      </c>
      <c r="T8" s="153">
        <v>25.0</v>
      </c>
      <c r="U8" s="153" t="s">
        <v>205</v>
      </c>
      <c r="V8" s="153" t="s">
        <v>205</v>
      </c>
      <c r="W8" s="40">
        <v>1.0</v>
      </c>
      <c r="X8" s="40">
        <v>0.994</v>
      </c>
      <c r="Y8" s="40">
        <v>0.9701</v>
      </c>
      <c r="Z8" s="40">
        <v>0.9641</v>
      </c>
      <c r="AA8" s="40">
        <v>0.9641</v>
      </c>
      <c r="AB8" s="40">
        <v>0.9521</v>
      </c>
      <c r="AC8" s="40">
        <v>0.9521</v>
      </c>
      <c r="AD8" s="40">
        <v>0.9461</v>
      </c>
      <c r="AE8" s="40">
        <v>0.9162</v>
      </c>
      <c r="AF8" s="40">
        <v>0.9102</v>
      </c>
      <c r="AG8" s="40">
        <v>0.8922</v>
      </c>
      <c r="AH8" s="40">
        <v>0.8263</v>
      </c>
      <c r="AI8" s="40">
        <v>0.8084</v>
      </c>
      <c r="AJ8" s="40">
        <v>0.7665</v>
      </c>
      <c r="AK8" s="40">
        <v>0.6287</v>
      </c>
      <c r="AL8" s="40">
        <v>0.6048</v>
      </c>
      <c r="AM8" s="40">
        <v>0.521</v>
      </c>
      <c r="AN8" s="40">
        <v>0.3593</v>
      </c>
      <c r="AO8" s="40">
        <v>0.3234</v>
      </c>
      <c r="AP8" s="40">
        <v>0.2515</v>
      </c>
      <c r="AQ8" s="40">
        <v>0.1437</v>
      </c>
      <c r="AR8" s="40">
        <v>0.1257</v>
      </c>
      <c r="AS8" s="40">
        <v>0.1198</v>
      </c>
      <c r="AT8" s="40">
        <v>0.0659</v>
      </c>
      <c r="AU8" s="40">
        <v>0.0659</v>
      </c>
      <c r="AV8" s="40">
        <v>0.0599</v>
      </c>
      <c r="AW8" s="40">
        <v>0.0299</v>
      </c>
      <c r="AX8" s="40">
        <v>0.018</v>
      </c>
      <c r="AY8" s="40">
        <v>0.006</v>
      </c>
      <c r="AZ8" s="40">
        <v>0.0</v>
      </c>
    </row>
    <row r="9" ht="14.25" customHeight="1">
      <c r="A9" s="156" t="s">
        <v>211</v>
      </c>
      <c r="B9" s="156" t="s">
        <v>206</v>
      </c>
      <c r="C9" s="157">
        <v>26352.0</v>
      </c>
      <c r="D9" s="157">
        <v>8513.2</v>
      </c>
      <c r="E9" s="157">
        <v>1017.0</v>
      </c>
      <c r="F9" s="157">
        <v>2378.0</v>
      </c>
      <c r="G9" s="157">
        <v>5438.0</v>
      </c>
      <c r="H9" s="157">
        <v>11064.0</v>
      </c>
      <c r="I9" s="157">
        <v>17880.0</v>
      </c>
      <c r="J9" s="157">
        <v>14.56</v>
      </c>
      <c r="K9" s="157">
        <v>2.33</v>
      </c>
      <c r="L9" s="157">
        <v>584.43</v>
      </c>
      <c r="M9" s="157">
        <v>191.49</v>
      </c>
      <c r="N9" s="157">
        <v>9.69</v>
      </c>
      <c r="O9" s="157">
        <v>45.76</v>
      </c>
      <c r="P9" s="157">
        <v>136.03</v>
      </c>
      <c r="Q9" s="157">
        <v>172.31</v>
      </c>
      <c r="R9" s="157">
        <v>19.17</v>
      </c>
      <c r="S9" s="153">
        <v>11.39</v>
      </c>
      <c r="T9" s="153">
        <v>25.0</v>
      </c>
      <c r="U9" s="153">
        <v>25.0</v>
      </c>
      <c r="V9" s="153">
        <v>34.28</v>
      </c>
      <c r="W9" s="40">
        <v>0.9998</v>
      </c>
      <c r="X9" s="40">
        <v>0.9817</v>
      </c>
      <c r="Y9" s="40">
        <v>0.8451</v>
      </c>
      <c r="Z9" s="40">
        <v>0.8172</v>
      </c>
      <c r="AA9" s="40">
        <v>0.7662</v>
      </c>
      <c r="AB9" s="40">
        <v>0.6162</v>
      </c>
      <c r="AC9" s="40">
        <v>0.5767</v>
      </c>
      <c r="AD9" s="40">
        <v>0.5046</v>
      </c>
      <c r="AE9" s="40">
        <v>0.3417</v>
      </c>
      <c r="AF9" s="40">
        <v>0.2991</v>
      </c>
      <c r="AG9" s="40">
        <v>0.2248</v>
      </c>
      <c r="AH9" s="40">
        <v>0.0928</v>
      </c>
      <c r="AI9" s="40">
        <v>0.0688</v>
      </c>
      <c r="AJ9" s="40">
        <v>0.0389</v>
      </c>
      <c r="AK9" s="40">
        <v>0.0139</v>
      </c>
      <c r="AL9" s="40">
        <v>0.0127</v>
      </c>
      <c r="AM9" s="40">
        <v>0.0111</v>
      </c>
      <c r="AN9" s="40">
        <v>0.0077</v>
      </c>
      <c r="AO9" s="40">
        <v>0.0068</v>
      </c>
      <c r="AP9" s="40">
        <v>0.0055</v>
      </c>
      <c r="AQ9" s="40">
        <v>0.0027</v>
      </c>
      <c r="AR9" s="40">
        <v>0.0022</v>
      </c>
      <c r="AS9" s="40">
        <v>0.0019</v>
      </c>
      <c r="AT9" s="40">
        <v>9.0E-4</v>
      </c>
      <c r="AU9" s="40">
        <v>8.0E-4</v>
      </c>
      <c r="AV9" s="40">
        <v>5.0E-4</v>
      </c>
      <c r="AW9" s="40">
        <v>3.0E-4</v>
      </c>
      <c r="AX9" s="40">
        <v>2.0E-4</v>
      </c>
      <c r="AY9" s="40">
        <v>2.0E-4</v>
      </c>
      <c r="AZ9" s="40">
        <v>2.0E-4</v>
      </c>
    </row>
    <row r="10" ht="14.25" customHeight="1">
      <c r="A10" s="156" t="s">
        <v>211</v>
      </c>
      <c r="B10" s="156" t="s">
        <v>207</v>
      </c>
      <c r="C10" s="157">
        <v>12047.0</v>
      </c>
      <c r="D10" s="157">
        <v>24799.5</v>
      </c>
      <c r="E10" s="157">
        <v>5914.0</v>
      </c>
      <c r="F10" s="157">
        <v>10409.0</v>
      </c>
      <c r="G10" s="157">
        <v>20371.0</v>
      </c>
      <c r="H10" s="157">
        <v>32242.0</v>
      </c>
      <c r="I10" s="157">
        <v>45193.0</v>
      </c>
      <c r="J10" s="157">
        <v>42.39</v>
      </c>
      <c r="K10" s="157">
        <v>2.65</v>
      </c>
      <c r="L10" s="157">
        <v>584.97</v>
      </c>
      <c r="M10" s="157">
        <v>450.93</v>
      </c>
      <c r="N10" s="157">
        <v>27.26</v>
      </c>
      <c r="O10" s="157">
        <v>47.18</v>
      </c>
      <c r="P10" s="157">
        <v>376.49</v>
      </c>
      <c r="Q10" s="157">
        <v>446.01</v>
      </c>
      <c r="R10" s="157">
        <v>4.92</v>
      </c>
      <c r="S10" s="153">
        <v>12.01</v>
      </c>
      <c r="T10" s="153">
        <v>26.0</v>
      </c>
      <c r="U10" s="153">
        <v>43.75</v>
      </c>
      <c r="V10" s="153">
        <v>34.54</v>
      </c>
      <c r="W10" s="40">
        <v>1.0</v>
      </c>
      <c r="X10" s="40">
        <v>0.9973</v>
      </c>
      <c r="Y10" s="40">
        <v>0.9822</v>
      </c>
      <c r="Z10" s="40">
        <v>0.978</v>
      </c>
      <c r="AA10" s="40">
        <v>0.9711</v>
      </c>
      <c r="AB10" s="40">
        <v>0.9481</v>
      </c>
      <c r="AC10" s="40">
        <v>0.9394</v>
      </c>
      <c r="AD10" s="40">
        <v>0.9196</v>
      </c>
      <c r="AE10" s="40">
        <v>0.8074</v>
      </c>
      <c r="AF10" s="40">
        <v>0.7716</v>
      </c>
      <c r="AG10" s="40">
        <v>0.7088</v>
      </c>
      <c r="AH10" s="40">
        <v>0.5464</v>
      </c>
      <c r="AI10" s="40">
        <v>0.4949</v>
      </c>
      <c r="AJ10" s="40">
        <v>0.3943</v>
      </c>
      <c r="AK10" s="40">
        <v>0.1647</v>
      </c>
      <c r="AL10" s="40">
        <v>0.1303</v>
      </c>
      <c r="AM10" s="40">
        <v>0.0819</v>
      </c>
      <c r="AN10" s="40">
        <v>0.0349</v>
      </c>
      <c r="AO10" s="40">
        <v>0.0315</v>
      </c>
      <c r="AP10" s="40">
        <v>0.0248</v>
      </c>
      <c r="AQ10" s="40">
        <v>0.0143</v>
      </c>
      <c r="AR10" s="40">
        <v>0.0122</v>
      </c>
      <c r="AS10" s="40">
        <v>0.0101</v>
      </c>
      <c r="AT10" s="40">
        <v>0.0052</v>
      </c>
      <c r="AU10" s="40">
        <v>0.0042</v>
      </c>
      <c r="AV10" s="40">
        <v>0.0032</v>
      </c>
      <c r="AW10" s="40">
        <v>0.001</v>
      </c>
      <c r="AX10" s="40">
        <v>7.0E-4</v>
      </c>
      <c r="AY10" s="40">
        <v>2.0E-4</v>
      </c>
      <c r="AZ10" s="40">
        <v>0.0</v>
      </c>
    </row>
    <row r="11" ht="14.25" customHeight="1">
      <c r="A11" s="156" t="s">
        <v>211</v>
      </c>
      <c r="B11" s="156" t="s">
        <v>208</v>
      </c>
      <c r="C11" s="157">
        <v>6427.0</v>
      </c>
      <c r="D11" s="157">
        <v>46374.6</v>
      </c>
      <c r="E11" s="157">
        <v>11888.0</v>
      </c>
      <c r="F11" s="157">
        <v>19475.0</v>
      </c>
      <c r="G11" s="157">
        <v>38625.0</v>
      </c>
      <c r="H11" s="157">
        <v>61751.0</v>
      </c>
      <c r="I11" s="157">
        <v>87662.0</v>
      </c>
      <c r="J11" s="157">
        <v>79.49</v>
      </c>
      <c r="K11" s="157">
        <v>2.65</v>
      </c>
      <c r="L11" s="157">
        <v>583.4</v>
      </c>
      <c r="M11" s="157">
        <v>852.76</v>
      </c>
      <c r="N11" s="157">
        <v>51.28</v>
      </c>
      <c r="O11" s="157">
        <v>44.15</v>
      </c>
      <c r="P11" s="157">
        <v>757.33</v>
      </c>
      <c r="Q11" s="157">
        <v>857.67</v>
      </c>
      <c r="R11" s="157">
        <v>-4.91</v>
      </c>
      <c r="S11" s="153">
        <v>18.59</v>
      </c>
      <c r="T11" s="153">
        <v>26.08</v>
      </c>
      <c r="U11" s="153">
        <v>28.13</v>
      </c>
      <c r="V11" s="153">
        <v>36.48</v>
      </c>
      <c r="W11" s="40">
        <v>1.0</v>
      </c>
      <c r="X11" s="40">
        <v>0.9992</v>
      </c>
      <c r="Y11" s="40">
        <v>0.9908</v>
      </c>
      <c r="Z11" s="40">
        <v>0.9882</v>
      </c>
      <c r="AA11" s="40">
        <v>0.9858</v>
      </c>
      <c r="AB11" s="40">
        <v>0.9748</v>
      </c>
      <c r="AC11" s="40">
        <v>0.9715</v>
      </c>
      <c r="AD11" s="40">
        <v>0.9642</v>
      </c>
      <c r="AE11" s="40">
        <v>0.9412</v>
      </c>
      <c r="AF11" s="40">
        <v>0.9309</v>
      </c>
      <c r="AG11" s="40">
        <v>0.9006</v>
      </c>
      <c r="AH11" s="40">
        <v>0.7669</v>
      </c>
      <c r="AI11" s="40">
        <v>0.7296</v>
      </c>
      <c r="AJ11" s="40">
        <v>0.6625</v>
      </c>
      <c r="AK11" s="40">
        <v>0.5024</v>
      </c>
      <c r="AL11" s="40">
        <v>0.4652</v>
      </c>
      <c r="AM11" s="40">
        <v>0.3932</v>
      </c>
      <c r="AN11" s="40">
        <v>0.2073</v>
      </c>
      <c r="AO11" s="40">
        <v>0.1763</v>
      </c>
      <c r="AP11" s="40">
        <v>0.1267</v>
      </c>
      <c r="AQ11" s="40">
        <v>0.0613</v>
      </c>
      <c r="AR11" s="40">
        <v>0.0492</v>
      </c>
      <c r="AS11" s="40">
        <v>0.0386</v>
      </c>
      <c r="AT11" s="40">
        <v>0.0198</v>
      </c>
      <c r="AU11" s="40">
        <v>0.0176</v>
      </c>
      <c r="AV11" s="40">
        <v>0.0134</v>
      </c>
      <c r="AW11" s="40">
        <v>0.0068</v>
      </c>
      <c r="AX11" s="40">
        <v>0.0047</v>
      </c>
      <c r="AY11" s="40">
        <v>0.0028</v>
      </c>
      <c r="AZ11" s="40">
        <v>0.0012</v>
      </c>
    </row>
    <row r="12" ht="14.25" customHeight="1">
      <c r="A12" s="156" t="s">
        <v>211</v>
      </c>
      <c r="B12" s="156" t="s">
        <v>209</v>
      </c>
      <c r="C12" s="157">
        <v>2603.0</v>
      </c>
      <c r="D12" s="157">
        <v>96358.6</v>
      </c>
      <c r="E12" s="157">
        <v>24192.0</v>
      </c>
      <c r="F12" s="157">
        <v>41977.0</v>
      </c>
      <c r="G12" s="157">
        <v>83537.0</v>
      </c>
      <c r="H12" s="157">
        <v>126253.0</v>
      </c>
      <c r="I12" s="157">
        <v>182099.0</v>
      </c>
      <c r="J12" s="157">
        <v>167.58</v>
      </c>
      <c r="K12" s="157">
        <v>2.77</v>
      </c>
      <c r="L12" s="157">
        <v>575.0</v>
      </c>
      <c r="M12" s="157">
        <v>1736.72</v>
      </c>
      <c r="N12" s="157">
        <v>104.07</v>
      </c>
      <c r="O12" s="157">
        <v>44.04</v>
      </c>
      <c r="P12" s="157">
        <v>1588.61</v>
      </c>
      <c r="Q12" s="157">
        <v>1806.88</v>
      </c>
      <c r="R12" s="157">
        <v>-70.16</v>
      </c>
      <c r="S12" s="153">
        <v>32.02</v>
      </c>
      <c r="T12" s="153">
        <v>28.6</v>
      </c>
      <c r="U12" s="153">
        <v>25.0</v>
      </c>
      <c r="V12" s="153">
        <v>43.45</v>
      </c>
      <c r="W12" s="40">
        <v>1.0</v>
      </c>
      <c r="X12" s="40">
        <v>0.9996</v>
      </c>
      <c r="Y12" s="40">
        <v>0.9962</v>
      </c>
      <c r="Z12" s="40">
        <v>0.995</v>
      </c>
      <c r="AA12" s="40">
        <v>0.9923</v>
      </c>
      <c r="AB12" s="40">
        <v>0.9881</v>
      </c>
      <c r="AC12" s="40">
        <v>0.9862</v>
      </c>
      <c r="AD12" s="40">
        <v>0.9827</v>
      </c>
      <c r="AE12" s="40">
        <v>0.9708</v>
      </c>
      <c r="AF12" s="40">
        <v>0.9685</v>
      </c>
      <c r="AG12" s="40">
        <v>0.9624</v>
      </c>
      <c r="AH12" s="40">
        <v>0.9385</v>
      </c>
      <c r="AI12" s="40">
        <v>0.9285</v>
      </c>
      <c r="AJ12" s="40">
        <v>0.8897</v>
      </c>
      <c r="AK12" s="40">
        <v>0.7726</v>
      </c>
      <c r="AL12" s="40">
        <v>0.7514</v>
      </c>
      <c r="AM12" s="40">
        <v>0.7069</v>
      </c>
      <c r="AN12" s="40">
        <v>0.5905</v>
      </c>
      <c r="AO12" s="40">
        <v>0.5682</v>
      </c>
      <c r="AP12" s="40">
        <v>0.5198</v>
      </c>
      <c r="AQ12" s="40">
        <v>0.393</v>
      </c>
      <c r="AR12" s="40">
        <v>0.3604</v>
      </c>
      <c r="AS12" s="40">
        <v>0.2954</v>
      </c>
      <c r="AT12" s="40">
        <v>0.164</v>
      </c>
      <c r="AU12" s="40">
        <v>0.1441</v>
      </c>
      <c r="AV12" s="40">
        <v>0.1153</v>
      </c>
      <c r="AW12" s="40">
        <v>0.0565</v>
      </c>
      <c r="AX12" s="40">
        <v>0.0457</v>
      </c>
      <c r="AY12" s="40">
        <v>0.028</v>
      </c>
      <c r="AZ12" s="40">
        <v>0.0108</v>
      </c>
    </row>
    <row r="13" ht="14.25" customHeight="1">
      <c r="A13" s="156" t="s">
        <v>211</v>
      </c>
      <c r="B13" s="156" t="s">
        <v>210</v>
      </c>
      <c r="C13" s="157">
        <v>276.0</v>
      </c>
      <c r="D13" s="157">
        <v>186726.2</v>
      </c>
      <c r="E13" s="157">
        <v>62161.0</v>
      </c>
      <c r="F13" s="157">
        <v>92376.0</v>
      </c>
      <c r="G13" s="157">
        <v>157274.0</v>
      </c>
      <c r="H13" s="157">
        <v>254767.0</v>
      </c>
      <c r="I13" s="157">
        <v>351071.0</v>
      </c>
      <c r="J13" s="157">
        <v>333.42</v>
      </c>
      <c r="K13" s="157">
        <v>2.51</v>
      </c>
      <c r="L13" s="157">
        <v>560.04</v>
      </c>
      <c r="M13" s="157">
        <v>3908.46</v>
      </c>
      <c r="N13" s="157">
        <v>249.57</v>
      </c>
      <c r="O13" s="157">
        <v>52.3</v>
      </c>
      <c r="P13" s="157">
        <v>3606.59</v>
      </c>
      <c r="Q13" s="157">
        <v>3967.93</v>
      </c>
      <c r="R13" s="157">
        <v>-59.47</v>
      </c>
      <c r="S13" s="153">
        <v>51.5</v>
      </c>
      <c r="T13" s="153">
        <v>39.17</v>
      </c>
      <c r="U13" s="153">
        <v>25.0</v>
      </c>
      <c r="V13" s="153">
        <v>42.86</v>
      </c>
      <c r="W13" s="40">
        <v>1.0</v>
      </c>
      <c r="X13" s="40">
        <v>1.0</v>
      </c>
      <c r="Y13" s="40">
        <v>1.0</v>
      </c>
      <c r="Z13" s="40">
        <v>1.0</v>
      </c>
      <c r="AA13" s="40">
        <v>1.0</v>
      </c>
      <c r="AB13" s="40">
        <v>0.9964</v>
      </c>
      <c r="AC13" s="40">
        <v>0.9964</v>
      </c>
      <c r="AD13" s="40">
        <v>0.9891</v>
      </c>
      <c r="AE13" s="40">
        <v>0.9819</v>
      </c>
      <c r="AF13" s="40">
        <v>0.9819</v>
      </c>
      <c r="AG13" s="40">
        <v>0.9819</v>
      </c>
      <c r="AH13" s="40">
        <v>0.9819</v>
      </c>
      <c r="AI13" s="40">
        <v>0.9783</v>
      </c>
      <c r="AJ13" s="40">
        <v>0.9783</v>
      </c>
      <c r="AK13" s="40">
        <v>0.9674</v>
      </c>
      <c r="AL13" s="40">
        <v>0.9601</v>
      </c>
      <c r="AM13" s="40">
        <v>0.9529</v>
      </c>
      <c r="AN13" s="40">
        <v>0.8732</v>
      </c>
      <c r="AO13" s="40">
        <v>0.8333</v>
      </c>
      <c r="AP13" s="40">
        <v>0.7862</v>
      </c>
      <c r="AQ13" s="40">
        <v>0.721</v>
      </c>
      <c r="AR13" s="40">
        <v>0.7029</v>
      </c>
      <c r="AS13" s="40">
        <v>0.6558</v>
      </c>
      <c r="AT13" s="40">
        <v>0.5145</v>
      </c>
      <c r="AU13" s="40">
        <v>0.4964</v>
      </c>
      <c r="AV13" s="40">
        <v>0.442</v>
      </c>
      <c r="AW13" s="40">
        <v>0.3514</v>
      </c>
      <c r="AX13" s="40">
        <v>0.308</v>
      </c>
      <c r="AY13" s="40">
        <v>0.2319</v>
      </c>
      <c r="AZ13" s="40">
        <v>0.0942</v>
      </c>
    </row>
    <row r="14" ht="14.25" customHeight="1"/>
    <row r="15" ht="14.25" customHeight="1">
      <c r="A15" s="15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0"/>
  </cols>
  <sheetData>
    <row r="1" ht="14.25" customHeight="1">
      <c r="A1" s="35" t="s">
        <v>92</v>
      </c>
      <c r="B1" s="35" t="s">
        <v>93</v>
      </c>
      <c r="C1" s="35" t="s">
        <v>94</v>
      </c>
      <c r="D1" s="35" t="s">
        <v>95</v>
      </c>
      <c r="E1" s="35" t="s">
        <v>96</v>
      </c>
      <c r="F1" s="35" t="s">
        <v>97</v>
      </c>
      <c r="G1" s="35" t="s">
        <v>98</v>
      </c>
      <c r="H1" s="35" t="s">
        <v>99</v>
      </c>
      <c r="I1" s="35" t="s">
        <v>100</v>
      </c>
      <c r="J1" s="35" t="s">
        <v>101</v>
      </c>
      <c r="K1" s="35" t="s">
        <v>102</v>
      </c>
      <c r="L1" s="35" t="s">
        <v>103</v>
      </c>
    </row>
    <row r="2" ht="14.25" customHeight="1">
      <c r="A2" s="158">
        <v>1.0</v>
      </c>
      <c r="B2" s="158">
        <v>0.6376159685</v>
      </c>
      <c r="C2" s="158">
        <v>33.3333333333</v>
      </c>
      <c r="D2" s="158">
        <v>50.0</v>
      </c>
      <c r="E2" s="158">
        <v>66.6666666667</v>
      </c>
      <c r="F2" s="158">
        <v>50.0</v>
      </c>
      <c r="G2" s="158">
        <v>66.6666666667</v>
      </c>
      <c r="H2" s="158">
        <v>166.6666666667</v>
      </c>
      <c r="I2" s="158">
        <v>2.0833333333</v>
      </c>
      <c r="J2" s="158">
        <v>7.3833333333</v>
      </c>
      <c r="K2" s="158">
        <v>7.6166666667</v>
      </c>
      <c r="L2" s="158">
        <v>7.7833333333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