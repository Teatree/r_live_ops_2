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y Bucket" sheetId="1" r:id="rId5"/>
    <sheet state="visible" name="Overall" sheetId="2" r:id="rId6"/>
    <sheet state="visible" name="Overall (new users)" sheetId="3" r:id="rId7"/>
    <sheet state="visible" name="Overall (old players)" sheetId="4" r:id="rId8"/>
    <sheet state="visible" name="Daily" sheetId="5" r:id="rId9"/>
    <sheet state="visible" name="WeekEND_NS_Config_Change_Est" sheetId="6" r:id="rId10"/>
    <sheet state="visible" name="WeekDAY_NS_Config_Change_Est" sheetId="7" r:id="rId11"/>
    <sheet state="visible" name="Saga_Config_Change_Est" sheetId="8" r:id="rId12"/>
    <sheet state="visible" name="RM_Config_Change_Est" sheetId="9" r:id="rId13"/>
    <sheet state="visible" name="S" sheetId="10" r:id="rId14"/>
    <sheet state="visible" name="Raw_Data_Daily" sheetId="11" r:id="rId15"/>
    <sheet state="visible" name="Raw_Data_RM_Completions" sheetId="12" r:id="rId16"/>
    <sheet state="visible" name="Raw_Data_RM_Resource" sheetId="13" r:id="rId17"/>
    <sheet state="visible" name="Raw_Data_Period" sheetId="14" r:id="rId18"/>
    <sheet state="visible" name="Raw_Data_Period_new_users" sheetId="15" r:id="rId19"/>
    <sheet state="visible" name="Raw_Data_Period_old_users" sheetId="16" r:id="rId20"/>
  </sheets>
  <definedNames/>
  <calcPr/>
</workbook>
</file>

<file path=xl/sharedStrings.xml><?xml version="1.0" encoding="utf-8"?>
<sst xmlns="http://schemas.openxmlformats.org/spreadsheetml/2006/main" count="8982" uniqueCount="463">
  <si>
    <t>A/B Test Summary - Overall (across all buckets)</t>
  </si>
  <si>
    <t>A/B Test Summary By 7d Completion Bucket</t>
  </si>
  <si>
    <t>Category</t>
  </si>
  <si>
    <t>Metric</t>
  </si>
  <si>
    <t>Control</t>
  </si>
  <si>
    <t>Variant</t>
  </si>
  <si>
    <t>Δ Abs</t>
  </si>
  <si>
    <t>Δ %</t>
  </si>
  <si>
    <t>Players</t>
  </si>
  <si>
    <t>Players (sum)</t>
  </si>
  <si>
    <t>prev Δ %</t>
  </si>
  <si>
    <t xml:space="preserve"> 1-9</t>
  </si>
  <si>
    <t xml:space="preserve"> 10-19</t>
  </si>
  <si>
    <t xml:space="preserve"> 20-39</t>
  </si>
  <si>
    <t xml:space="preserve"> 40-99</t>
  </si>
  <si>
    <t xml:space="preserve"> 100+</t>
  </si>
  <si>
    <t>Revenue</t>
  </si>
  <si>
    <t>Total revenue</t>
  </si>
  <si>
    <t>ARPDAU</t>
  </si>
  <si>
    <t>ARPPU</t>
  </si>
  <si>
    <t>Engagement</t>
  </si>
  <si>
    <t>Time spent (mins)</t>
  </si>
  <si>
    <t>Level attempts / player</t>
  </si>
  <si>
    <t>Level completes / player</t>
  </si>
  <si>
    <t>Daily Streak</t>
  </si>
  <si>
    <t>Avg daily streak</t>
  </si>
  <si>
    <t>P25 daily streak</t>
  </si>
  <si>
    <t>P50 daily streak</t>
  </si>
  <si>
    <t>P75 daily streak</t>
  </si>
  <si>
    <t>P90 daily streak</t>
  </si>
  <si>
    <t>P99 daily streak</t>
  </si>
  <si>
    <t>Difficulty</t>
  </si>
  <si>
    <t>Pass rate</t>
  </si>
  <si>
    <t>OOM rate</t>
  </si>
  <si>
    <t>First-try OOM rate</t>
  </si>
  <si>
    <t>Attempts per completion</t>
  </si>
  <si>
    <t>HC Economy</t>
  </si>
  <si>
    <t>HC gain total / player</t>
  </si>
  <si>
    <t>HC gain (ex-saga) / player</t>
  </si>
  <si>
    <t>HC gain from saga / player</t>
  </si>
  <si>
    <t>HC gain PAID / player</t>
  </si>
  <si>
    <t>HC gain FREE / player</t>
  </si>
  <si>
    <t>HC spent / player</t>
  </si>
  <si>
    <t>AVG Payer day (%)</t>
  </si>
  <si>
    <t>HC net (gain - spend) / player</t>
  </si>
  <si>
    <t>HC spent / attempt</t>
  </si>
  <si>
    <t>Paid % of total HC gain</t>
  </si>
  <si>
    <t>HC Economy - Sources</t>
  </si>
  <si>
    <t>HC gain / player (CORE)</t>
  </si>
  <si>
    <t>HC gain / player (META)</t>
  </si>
  <si>
    <t>HC gain / player (AD)</t>
  </si>
  <si>
    <t>HC gain / player (PURCHASE)</t>
  </si>
  <si>
    <t>HC gain / player (OTHER)</t>
  </si>
  <si>
    <t>HC Balance</t>
  </si>
  <si>
    <t>P50 HC balance</t>
  </si>
  <si>
    <t>P75 HC balance</t>
  </si>
  <si>
    <t>P90 HC balance</t>
  </si>
  <si>
    <t>P99 HC balance</t>
  </si>
  <si>
    <t>Performance</t>
  </si>
  <si>
    <t>Avg player performance</t>
  </si>
  <si>
    <t>Avg PR (last 50 lvls)</t>
  </si>
  <si>
    <t>NS Round Pass %</t>
  </si>
  <si>
    <t>R1 pass rate (%)</t>
  </si>
  <si>
    <t>R2 pass rate (%)</t>
  </si>
  <si>
    <t>R3 pass rate (%)</t>
  </si>
  <si>
    <t>Retention</t>
  </si>
  <si>
    <t>D1 churn rate</t>
  </si>
  <si>
    <t>NS Actual Completions</t>
  </si>
  <si>
    <t>NS active rate (%)</t>
  </si>
  <si>
    <t>R1 finished (%) [claims]</t>
  </si>
  <si>
    <t>R2 finished (%) [claims]</t>
  </si>
  <si>
    <t>R3 finished (%) [claims]</t>
  </si>
  <si>
    <t>Boosters</t>
  </si>
  <si>
    <t>Booster gain total / player</t>
  </si>
  <si>
    <t>Booster gain PAID / player</t>
  </si>
  <si>
    <t>Booster gain FREE / player</t>
  </si>
  <si>
    <t>Booster spent / player</t>
  </si>
  <si>
    <t>Booster NET (gain - spend) / player</t>
  </si>
  <si>
    <t>Booster spent / attempt</t>
  </si>
  <si>
    <t>Red</t>
  </si>
  <si>
    <t>Red gain total / player</t>
  </si>
  <si>
    <t>Red gain PAID / player</t>
  </si>
  <si>
    <t>Red gain FREE / player</t>
  </si>
  <si>
    <t>Red spent / player</t>
  </si>
  <si>
    <t>Red NET (gain - spend) / player</t>
  </si>
  <si>
    <t>Chuck</t>
  </si>
  <si>
    <t>Chuck gain total / player</t>
  </si>
  <si>
    <t>Chuck gain PAID / player</t>
  </si>
  <si>
    <t>Chuck gain FREE / player</t>
  </si>
  <si>
    <t>Chuck spent / player</t>
  </si>
  <si>
    <t>Chuck NET (gain - spend) / player</t>
  </si>
  <si>
    <t>Bomb</t>
  </si>
  <si>
    <t>Bomb gain total / player</t>
  </si>
  <si>
    <t>Bomb gain PAID / player</t>
  </si>
  <si>
    <t>Bomb gain FREE / player</t>
  </si>
  <si>
    <t>Bomb spent / player</t>
  </si>
  <si>
    <t>Bomb NET (gain - spend) / player</t>
  </si>
  <si>
    <t>Slingshot</t>
  </si>
  <si>
    <t>Slingshot gain total / player</t>
  </si>
  <si>
    <t>Slingshot gain PAID / player</t>
  </si>
  <si>
    <t>Slingshot gain FREE / player</t>
  </si>
  <si>
    <t>Slingshot spent / player</t>
  </si>
  <si>
    <t>Slingshot NET (gain - spend) / player</t>
  </si>
  <si>
    <t>Shuffle</t>
  </si>
  <si>
    <t>Shuffle gain total / player</t>
  </si>
  <si>
    <t>Shuffle gain PAID / player</t>
  </si>
  <si>
    <t>Shuffle gain FREE / player</t>
  </si>
  <si>
    <t>Shuffle spent / player</t>
  </si>
  <si>
    <t>Shuffle NET (gain - spend) / player</t>
  </si>
  <si>
    <t>Star</t>
  </si>
  <si>
    <t>Star gain total / player</t>
  </si>
  <si>
    <t>Star gain PAID / player</t>
  </si>
  <si>
    <t>Star gain FREE / player</t>
  </si>
  <si>
    <t>Star spent / player</t>
  </si>
  <si>
    <t>Star NET (gain - spend) / player</t>
  </si>
  <si>
    <t>SPT</t>
  </si>
  <si>
    <t/>
  </si>
  <si>
    <t>SPT gain total / player</t>
  </si>
  <si>
    <t>SPT gainer rate (%)</t>
  </si>
  <si>
    <t>SPT gain / gainer</t>
  </si>
  <si>
    <t>SPT gain / player (CORE)</t>
  </si>
  <si>
    <t>SPT gain / player (RAINBOW)</t>
  </si>
  <si>
    <t>SPT gain / player (OFFER)</t>
  </si>
  <si>
    <t>SPT gain / player (EVENT)</t>
  </si>
  <si>
    <t>SPT gain / player (OTHER)</t>
  </si>
  <si>
    <t>A/B Test Summary - Daily Trend (selected segment)</t>
  </si>
  <si>
    <t>Night Sky New Rewards</t>
  </si>
  <si>
    <t>Block</t>
  </si>
  <si>
    <t>1-9</t>
  </si>
  <si>
    <t>10-19</t>
  </si>
  <si>
    <t>20-39</t>
  </si>
  <si>
    <t>40-99</t>
  </si>
  <si>
    <t>100+</t>
  </si>
  <si>
    <t>B. 1-9</t>
  </si>
  <si>
    <t>C. 10-19</t>
  </si>
  <si>
    <t>D. 20-39</t>
  </si>
  <si>
    <t>E. 40-99</t>
  </si>
  <si>
    <t>F. 100+</t>
  </si>
  <si>
    <t>NS CONFIG</t>
  </si>
  <si>
    <t>Segment:</t>
  </si>
  <si>
    <t>Cum streak req - R1</t>
  </si>
  <si>
    <t>Cum streak req - R2</t>
  </si>
  <si>
    <t>Cum streak req - R3</t>
  </si>
  <si>
    <t>NS CONFIG - HC REWARDS</t>
  </si>
  <si>
    <t>Current HC reward - R1</t>
  </si>
  <si>
    <t>Current HC reward - R2</t>
  </si>
  <si>
    <t>Current HC reward - R3</t>
  </si>
  <si>
    <t>NEW HC reward - R1</t>
  </si>
  <si>
    <t>NEW HC reward - R2</t>
  </si>
  <si>
    <t>NEW HC reward - R3</t>
  </si>
  <si>
    <t>Diff HC - R1</t>
  </si>
  <si>
    <t>Date</t>
  </si>
  <si>
    <t>Diff HC - R2</t>
  </si>
  <si>
    <t>% of DAU</t>
  </si>
  <si>
    <t>Payer rate (%)</t>
  </si>
  <si>
    <t>Diff HC - R3</t>
  </si>
  <si>
    <t>NS CONFIG - BOOSTER REWARDS</t>
  </si>
  <si>
    <t>Current Red reward - R1</t>
  </si>
  <si>
    <t>Current Chuck reward - R1</t>
  </si>
  <si>
    <t>Current Bomb reward - R1</t>
  </si>
  <si>
    <t>Current Red reward - R2</t>
  </si>
  <si>
    <t>HC net (gain − spend) / player</t>
  </si>
  <si>
    <t>Current Chuck reward - R2</t>
  </si>
  <si>
    <t>Current Bomb reward - R2</t>
  </si>
  <si>
    <t>Current Red reward - R3</t>
  </si>
  <si>
    <t>Current Chuck reward - R3</t>
  </si>
  <si>
    <t>Current Bomb reward - R3</t>
  </si>
  <si>
    <t>NEW Red reward - R1</t>
  </si>
  <si>
    <t>NEW Chuck reward - R1</t>
  </si>
  <si>
    <t>NEW Bomb reward - R1</t>
  </si>
  <si>
    <t>NEW Red reward - R2</t>
  </si>
  <si>
    <t>NEW Chuck reward - R2</t>
  </si>
  <si>
    <t>NEW Bomb reward - R2</t>
  </si>
  <si>
    <t>NEW Red reward - R3</t>
  </si>
  <si>
    <t>NEW Chuck reward - R3</t>
  </si>
  <si>
    <t>NEW Bomb reward - R3</t>
  </si>
  <si>
    <t>Diff Red - R1</t>
  </si>
  <si>
    <t>R1 finished (%) [actual]</t>
  </si>
  <si>
    <t>R2 finished (%) [actual]</t>
  </si>
  <si>
    <t>R3 finished (%) [actual]</t>
  </si>
  <si>
    <t>Diff Chuck - R1</t>
  </si>
  <si>
    <t>Diff Bomb - R1</t>
  </si>
  <si>
    <t>Diff Red - R2</t>
  </si>
  <si>
    <t>Δ%</t>
  </si>
  <si>
    <t>Diff Chuck - R2</t>
  </si>
  <si>
    <t>Diff Bomb - R2</t>
  </si>
  <si>
    <t>Diff Red - R3</t>
  </si>
  <si>
    <t>Diff Chuck - R3</t>
  </si>
  <si>
    <t>Diff Bomb - R3</t>
  </si>
  <si>
    <t>VARIANT DATA</t>
  </si>
  <si>
    <t>Claim rate / player-day - R1 (%)</t>
  </si>
  <si>
    <t>Claim rate / player-day - R2 (%)</t>
  </si>
  <si>
    <t>Claim rate / player-day - R3 (%)</t>
  </si>
  <si>
    <t>Daily streak p50</t>
  </si>
  <si>
    <t>Daily streak p75</t>
  </si>
  <si>
    <t>Daily streak p90</t>
  </si>
  <si>
    <t>NS HC PER PLAYER-DAY</t>
  </si>
  <si>
    <t>NS HC gain per Player NOW (est)</t>
  </si>
  <si>
    <t>NS HC with new Config</t>
  </si>
  <si>
    <t>Diff NS HC / player-day</t>
  </si>
  <si>
    <t>NS uplift %</t>
  </si>
  <si>
    <t>NS BOOSTERS PER PLAYER-DAY</t>
  </si>
  <si>
    <t>Red HC gain per Player NOW (est)</t>
  </si>
  <si>
    <t>Red HC with new Config</t>
  </si>
  <si>
    <t>Diff Red HC / player-day</t>
  </si>
  <si>
    <t>Red uplift %</t>
  </si>
  <si>
    <t>Chuck HC gain per Player NOW (est)</t>
  </si>
  <si>
    <t>Chuck HC with new Config</t>
  </si>
  <si>
    <t>Diff Chuck HC / player-day</t>
  </si>
  <si>
    <t>todo</t>
  </si>
  <si>
    <t>Chuck uplift %</t>
  </si>
  <si>
    <t>Bomb HC gain per Player NOW (est)</t>
  </si>
  <si>
    <t>Bomb HC with new Config</t>
  </si>
  <si>
    <t>Diff Bomb HC / player-day</t>
  </si>
  <si>
    <t>Bomb uplift %</t>
  </si>
  <si>
    <t>TOTAL RESOURCE GAIN / PLAYER</t>
  </si>
  <si>
    <t>x</t>
  </si>
  <si>
    <t>NS reward increase (careful wiht 100+)</t>
  </si>
  <si>
    <t>Variant (as tested)</t>
  </si>
  <si>
    <t>look into 100+ net</t>
  </si>
  <si>
    <t>Variant + proposal</t>
  </si>
  <si>
    <t>HC Change % Control vs Variant (Current)</t>
  </si>
  <si>
    <t>HC Change % Control vs NEW Estimate</t>
  </si>
  <si>
    <t>Booster analysis</t>
  </si>
  <si>
    <t>Red Change % Control vs Variant (Current)</t>
  </si>
  <si>
    <t>Red Change % Control vs NEW Estimate</t>
  </si>
  <si>
    <t>ulbs</t>
  </si>
  <si>
    <t>SPTs</t>
  </si>
  <si>
    <t>Chuck Change % Control vs Variant (Current)</t>
  </si>
  <si>
    <t>Chuck Change % Control vs NEW Estimate</t>
  </si>
  <si>
    <t>HC NET (gain - spend) / player</t>
  </si>
  <si>
    <t>Bomb Change % Control vs Variant (Current)</t>
  </si>
  <si>
    <t>Bomb Change % Control vs NEW Estimate</t>
  </si>
  <si>
    <t>Saga New Rewards</t>
  </si>
  <si>
    <t>CURRENT CONFIG</t>
  </si>
  <si>
    <t>Segment 0-9</t>
  </si>
  <si>
    <t>Node</t>
  </si>
  <si>
    <t>Levels Req</t>
  </si>
  <si>
    <t>RewardChestId</t>
  </si>
  <si>
    <t>HC Reward</t>
  </si>
  <si>
    <t>Comet</t>
  </si>
  <si>
    <t>Unlimited Lives</t>
  </si>
  <si>
    <t>Unlimited Red</t>
  </si>
  <si>
    <t>Unlimited Chuck</t>
  </si>
  <si>
    <t>Unlimited Bomb</t>
  </si>
  <si>
    <t>Coin Val</t>
  </si>
  <si>
    <t>Total per Cycle</t>
  </si>
  <si>
    <t>Resource per Level</t>
  </si>
  <si>
    <t>Segment 10-19</t>
  </si>
  <si>
    <t>Segment 20-39</t>
  </si>
  <si>
    <t>Segment 40-99</t>
  </si>
  <si>
    <t>Segment 100+</t>
  </si>
  <si>
    <t>NEW CONFIG</t>
  </si>
  <si>
    <t>0-9</t>
  </si>
  <si>
    <t>Control HC</t>
  </si>
  <si>
    <t>Variant HC (as tested)</t>
  </si>
  <si>
    <t>Variant HC + proposal</t>
  </si>
  <si>
    <t>MILESTONE CONFIG 4 day</t>
  </si>
  <si>
    <t>Milestone</t>
  </si>
  <si>
    <t>Matchables Req</t>
  </si>
  <si>
    <t>Req Accum</t>
  </si>
  <si>
    <t>Chest</t>
  </si>
  <si>
    <t>Coins</t>
  </si>
  <si>
    <t>SPT x2</t>
  </si>
  <si>
    <t>COOP Token</t>
  </si>
  <si>
    <t>Avatar</t>
  </si>
  <si>
    <t>levels req</t>
  </si>
  <si>
    <t>Actual Data</t>
  </si>
  <si>
    <t>PRE-LEVEL BOOSTERS</t>
  </si>
  <si>
    <t>MILESTONE CONFIG NEW</t>
  </si>
  <si>
    <t>Est Actual Data</t>
  </si>
  <si>
    <t>Estimate of Saga + NS Change Effects to Daily Gains (accounting for Weekend)</t>
  </si>
  <si>
    <t>Overall - Control</t>
  </si>
  <si>
    <t>HC</t>
  </si>
  <si>
    <t>POWER-UPS</t>
  </si>
  <si>
    <t>Slingshot Change % Control vs Variant (Current)</t>
  </si>
  <si>
    <t>Slingshot Change % Control vs NEW Estimate</t>
  </si>
  <si>
    <t>Overall - Var</t>
  </si>
  <si>
    <t>Previous</t>
  </si>
  <si>
    <t>New</t>
  </si>
  <si>
    <t>Shuffle Change % Control vs Variant (Current)</t>
  </si>
  <si>
    <t>Shuffle Change % Control vs NEW Estimate</t>
  </si>
  <si>
    <t>Star Change % Control vs Variant (Current)</t>
  </si>
  <si>
    <t>Star Change % Control vs NEW Estimate</t>
  </si>
  <si>
    <t>Overall - Var (est)</t>
  </si>
  <si>
    <t>event_date</t>
  </si>
  <si>
    <t>ab_group</t>
  </si>
  <si>
    <t>avg_completions_7d_bucket</t>
  </si>
  <si>
    <t>players</t>
  </si>
  <si>
    <t>pct_of_dau</t>
  </si>
  <si>
    <t>total_revenue</t>
  </si>
  <si>
    <t>arpdau</t>
  </si>
  <si>
    <t>payer_rate_pct</t>
  </si>
  <si>
    <t>arppu</t>
  </si>
  <si>
    <t>avg_time_spent_mins</t>
  </si>
  <si>
    <t>avg_level_attempts</t>
  </si>
  <si>
    <t>avg_level_completes</t>
  </si>
  <si>
    <t>pass_rate</t>
  </si>
  <si>
    <t>oom_rate</t>
  </si>
  <si>
    <t>foom_rate</t>
  </si>
  <si>
    <t>avg_apc</t>
  </si>
  <si>
    <t>avg_hc_gain_total</t>
  </si>
  <si>
    <t>avg_hc_gain_total_minus_saga</t>
  </si>
  <si>
    <t>avg_hc_gain_saga</t>
  </si>
  <si>
    <t>avg_hc_gain_paid</t>
  </si>
  <si>
    <t>avg_hc_gain_free</t>
  </si>
  <si>
    <t>avg_hc_spent</t>
  </si>
  <si>
    <t>hc_spent_per_attempt</t>
  </si>
  <si>
    <t>paid_pct_of_total_gain</t>
  </si>
  <si>
    <t>p50_hc_balance</t>
  </si>
  <si>
    <t>p75_hc_balance</t>
  </si>
  <si>
    <t>p90_hc_balance</t>
  </si>
  <si>
    <t>avg_player_performance</t>
  </si>
  <si>
    <t>avg_pr_last_50_levels</t>
  </si>
  <si>
    <t>avg_daily_streak</t>
  </si>
  <si>
    <t>p25_daily_streak</t>
  </si>
  <si>
    <t>p50_daily_streak</t>
  </si>
  <si>
    <t>p75_daily_streak</t>
  </si>
  <si>
    <t>p90_daily_streak</t>
  </si>
  <si>
    <t>pct_player_days_passed_R1</t>
  </si>
  <si>
    <t>pct_player_days_passed_R2</t>
  </si>
  <si>
    <t>pct_player_days_passed_R3</t>
  </si>
  <si>
    <t>d1_churn_rate</t>
  </si>
  <si>
    <t>actual_liveops_active_rate_pct</t>
  </si>
  <si>
    <t>actual_pct_finished_R1</t>
  </si>
  <si>
    <t>actual_pct_finished_R2</t>
  </si>
  <si>
    <t>actual_pct_finished_R3</t>
  </si>
  <si>
    <t>avg_booster_gain_total</t>
  </si>
  <si>
    <t>avg_booster_gain_paid</t>
  </si>
  <si>
    <t>avg_booster_gain_free</t>
  </si>
  <si>
    <t>avg_booster_spend</t>
  </si>
  <si>
    <t>booster_spend_per_attempt</t>
  </si>
  <si>
    <t>hc_clean_players</t>
  </si>
  <si>
    <t>hc_excluded_players</t>
  </si>
  <si>
    <t>avg_hc_gain_CORE</t>
  </si>
  <si>
    <t>avg_hc_gain_META</t>
  </si>
  <si>
    <t>avg_hc_gain_ADS</t>
  </si>
  <si>
    <t>avg_hc_gain_PURCHASE</t>
  </si>
  <si>
    <t>avg_hc_gain_OTHER</t>
  </si>
  <si>
    <t>p99_daily_streak</t>
  </si>
  <si>
    <t>p99_hc_balance</t>
  </si>
  <si>
    <t>avg_prelevel_gain_total</t>
  </si>
  <si>
    <t>avg_prelevel_gain_paid</t>
  </si>
  <si>
    <t>avg_prelevel_gain_free</t>
  </si>
  <si>
    <t>avg_prelevel_spend</t>
  </si>
  <si>
    <t>prelevel_spend_per_attempt</t>
  </si>
  <si>
    <t>avg_ingame_gain_total</t>
  </si>
  <si>
    <t>avg_ingame_gain_paid</t>
  </si>
  <si>
    <t>avg_ingame_gain_free</t>
  </si>
  <si>
    <t>avg_ingame_spend</t>
  </si>
  <si>
    <t>ingame_spend_per_attempt</t>
  </si>
  <si>
    <t>avg_red_gain_total</t>
  </si>
  <si>
    <t>avg_red_gain_paid</t>
  </si>
  <si>
    <t>avg_red_gain_free</t>
  </si>
  <si>
    <t>avg_red_spend</t>
  </si>
  <si>
    <t>avg_chuck_gain_total</t>
  </si>
  <si>
    <t>avg_chuck_gain_paid</t>
  </si>
  <si>
    <t>avg_chuck_gain_free</t>
  </si>
  <si>
    <t>avg_chuck_spend</t>
  </si>
  <si>
    <t>avg_bomb_gain_total</t>
  </si>
  <si>
    <t>avg_bomb_gain_paid</t>
  </si>
  <si>
    <t>avg_bomb_gain_free</t>
  </si>
  <si>
    <t>avg_bomb_spend</t>
  </si>
  <si>
    <t>avg_star_gain_total</t>
  </si>
  <si>
    <t>avg_star_gain_paid</t>
  </si>
  <si>
    <t>avg_star_gain_free</t>
  </si>
  <si>
    <t>avg_star_spend</t>
  </si>
  <si>
    <t>avg_slingshot_gain_total</t>
  </si>
  <si>
    <t>avg_slingshot_gain_paid</t>
  </si>
  <si>
    <t>avg_slingshot_gain_free</t>
  </si>
  <si>
    <t>avg_slingshot_spend</t>
  </si>
  <si>
    <t>avg_shuffle_gain_total</t>
  </si>
  <si>
    <t>avg_shuffle_gain_paid</t>
  </si>
  <si>
    <t>avg_shuffle_gain_free</t>
  </si>
  <si>
    <t>avg_shuffle_spend</t>
  </si>
  <si>
    <t>avg_spt_gain_total</t>
  </si>
  <si>
    <t>spt_gainer_rate_pct</t>
  </si>
  <si>
    <t>avg_spt_gain_per_gainer</t>
  </si>
  <si>
    <t>avg_spt_gain_CORE</t>
  </si>
  <si>
    <t>avg_spt_gain_RAINBOW</t>
  </si>
  <si>
    <t>avg_spt_gain_OFFER</t>
  </si>
  <si>
    <t>avg_spt_gain_EVENT</t>
  </si>
  <si>
    <t>avg_spt_gain_OTHER</t>
  </si>
  <si>
    <t>hc_players_over_config</t>
  </si>
  <si>
    <t>avg_hc_excess_removed</t>
  </si>
  <si>
    <t>avg_hc_gain_total_uncorrected</t>
  </si>
  <si>
    <t>avg_spt_excess_removed</t>
  </si>
  <si>
    <t>avg_spt_gain_RAINBOW_uncorrected</t>
  </si>
  <si>
    <t>avg_unlimited_booster_minutes_total</t>
  </si>
  <si>
    <t>avg_unlimited_booster_minutes_paid</t>
  </si>
  <si>
    <t>avg_unlimited_booster_minutes_free</t>
  </si>
  <si>
    <t>avg_unlimited_lives_minutes_total</t>
  </si>
  <si>
    <t>avg_unlimited_lives_minutes_paid</t>
  </si>
  <si>
    <t>avg_unlimited_lives_minutes_free</t>
  </si>
  <si>
    <t>avg_unlimited_red_minutes_total</t>
  </si>
  <si>
    <t>avg_unlimited_red_minutes_paid</t>
  </si>
  <si>
    <t>avg_unlimited_red_minutes_free</t>
  </si>
  <si>
    <t>avg_unlimited_chuck_minutes_total</t>
  </si>
  <si>
    <t>avg_unlimited_chuck_minutes_paid</t>
  </si>
  <si>
    <t>avg_unlimited_chuck_minutes_free</t>
  </si>
  <si>
    <t>avg_unlimited_bomb_minutes_total</t>
  </si>
  <si>
    <t>avg_unlimited_bomb_minutes_paid</t>
  </si>
  <si>
    <t>avg_unlimited_bomb_minutes_free</t>
  </si>
  <si>
    <t>level_completes_daily_total</t>
  </si>
  <si>
    <t>level_attempts_daily_total</t>
  </si>
  <si>
    <t>Overall - Change - Var</t>
  </si>
  <si>
    <t>Overall - Change - Var (est)</t>
  </si>
  <si>
    <t>milestone</t>
  </si>
  <si>
    <t>avg_levels_completed_to_milestone_average</t>
  </si>
  <si>
    <t>players_reached_max</t>
  </si>
  <si>
    <t>players_reached_pct_max</t>
  </si>
  <si>
    <t>median_levels_completed_to_milestone_average</t>
  </si>
  <si>
    <t>player_segment</t>
  </si>
  <si>
    <t>resource_category</t>
  </si>
  <si>
    <t>resource</t>
  </si>
  <si>
    <t>unit</t>
  </si>
  <si>
    <t>segment_players</t>
  </si>
  <si>
    <t>gainers</t>
  </si>
  <si>
    <t>gainer_rate_pct</t>
  </si>
  <si>
    <t>amount_earned</t>
  </si>
  <si>
    <t>amount_per_segment_player</t>
  </si>
  <si>
    <t>amount_per_gainer</t>
  </si>
  <si>
    <t>amount_earned_uncorrected</t>
  </si>
  <si>
    <t>A. 0</t>
  </si>
  <si>
    <t>currency</t>
  </si>
  <si>
    <t>HardCoin</t>
  </si>
  <si>
    <t>coins</t>
  </si>
  <si>
    <t>dream_pass_tokens</t>
  </si>
  <si>
    <t>DreamPassToken</t>
  </si>
  <si>
    <t>items</t>
  </si>
  <si>
    <t>powerup</t>
  </si>
  <si>
    <t>powerup_1</t>
  </si>
  <si>
    <t>powerup_2</t>
  </si>
  <si>
    <t>powerup_3</t>
  </si>
  <si>
    <t>pre_level_booster</t>
  </si>
  <si>
    <t>pre_level_booster_1</t>
  </si>
  <si>
    <t>pre_level_booster_2</t>
  </si>
  <si>
    <t>pre_level_booster_3</t>
  </si>
  <si>
    <t>season_pass_multiplier_2x</t>
  </si>
  <si>
    <t>SeasonPassMultiplier2x</t>
  </si>
  <si>
    <t>minutes</t>
  </si>
  <si>
    <t>ul_pre_booster</t>
  </si>
  <si>
    <t>UnlimitedBooster1</t>
  </si>
  <si>
    <t>UnlimitedBooster2</t>
  </si>
  <si>
    <t>unlimited_lives</t>
  </si>
  <si>
    <t>UnlimitedLives</t>
  </si>
  <si>
    <t>season_pass_tokens</t>
  </si>
  <si>
    <t>SeasonPassToken</t>
  </si>
  <si>
    <t>is_total</t>
  </si>
  <si>
    <t>player_days</t>
  </si>
  <si>
    <t>period_start</t>
  </si>
  <si>
    <t>period_end</t>
  </si>
  <si>
    <t>active_dates</t>
  </si>
  <si>
    <t>payers_distinct</t>
  </si>
  <si>
    <t>revenue_per_player_period</t>
  </si>
  <si>
    <t>p50_min_hc_balance</t>
  </si>
  <si>
    <t>p50_max_hc_balance</t>
  </si>
  <si>
    <t>hc_player_days_over_config</t>
  </si>
  <si>
    <t>hc_gain_total_period_per_player</t>
  </si>
  <si>
    <t>spt_gain_total_period_per_player</t>
  </si>
  <si>
    <t>level_completes_period_total</t>
  </si>
  <si>
    <t>level_attempts_period_total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</si>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</sst>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\+0.00%;\-0.00%;0.00%"/>
    <numFmt numFmtId="165" formatCode="\$#,##0"/>
    <numFmt numFmtId="166" formatCode="[$$]#,##0.00"/>
    <numFmt numFmtId="167" formatCode="\$0.0000"/>
    <numFmt numFmtId="168" formatCode="0.0000"/>
    <numFmt numFmtId="169" formatCode="0.000"/>
    <numFmt numFmtId="170" formatCode="0.00\%"/>
    <numFmt numFmtId="171" formatCode="yyyy\-mm\-dd"/>
    <numFmt numFmtId="172" formatCode="+0.00%;-0.00%;0.00%"/>
    <numFmt numFmtId="173" formatCode="0.0"/>
    <numFmt numFmtId="174" formatCode="yyyy-mm-dd"/>
  </numFmts>
  <fonts count="34">
    <font>
      <sz val="11.0"/>
      <color theme="1"/>
      <name val="Calibri"/>
      <scheme val="minor"/>
    </font>
    <font>
      <b/>
      <sz val="14.0"/>
      <color rgb="FF1F3864"/>
      <name val="Arial"/>
    </font>
    <font>
      <sz val="11.0"/>
      <color theme="1"/>
      <name val="Calibri"/>
    </font>
    <font>
      <b/>
      <sz val="11.0"/>
      <color rgb="FFFFFFFF"/>
      <name val="Arial"/>
    </font>
    <font>
      <color theme="1"/>
      <name val="Calibri"/>
      <scheme val="minor"/>
    </font>
    <font>
      <b/>
      <sz val="10.0"/>
      <color rgb="FF1F3864"/>
      <name val="Arial"/>
    </font>
    <font>
      <sz val="10.0"/>
      <color theme="1"/>
      <name val="Arial"/>
    </font>
    <font/>
    <font>
      <b/>
      <sz val="10.0"/>
      <color rgb="FFFFFFFF"/>
      <name val="Arial"/>
    </font>
    <font>
      <b/>
      <sz val="10.0"/>
      <color rgb="FF3F3F3F"/>
      <name val="Arial"/>
    </font>
    <font>
      <b/>
      <sz val="10.0"/>
      <color rgb="FF980000"/>
      <name val="Arial"/>
    </font>
    <font>
      <b/>
      <sz val="10.0"/>
      <color rgb="FF9C0006"/>
      <name val="Arial"/>
    </font>
    <font>
      <b/>
      <sz val="10.0"/>
      <color rgb="FF006100"/>
      <name val="Arial"/>
    </font>
    <font>
      <b/>
      <sz val="10.0"/>
      <color theme="1"/>
      <name val="Arial"/>
    </font>
    <font>
      <sz val="8.0"/>
      <color rgb="FF7F7F7F"/>
      <name val="Arial"/>
    </font>
    <font>
      <b/>
      <sz val="11.0"/>
      <color theme="1"/>
      <name val="Arial"/>
    </font>
    <font>
      <sz val="10.0"/>
      <color rgb="FFFF0000"/>
      <name val="Arial"/>
    </font>
    <font>
      <sz val="10.0"/>
      <color rgb="FF000000"/>
      <name val="Arial"/>
    </font>
    <font>
      <i/>
      <sz val="9.0"/>
      <color rgb="FF7F7F7F"/>
      <name val="Arial"/>
    </font>
    <font>
      <i/>
      <sz val="11.0"/>
      <color rgb="FF808080"/>
      <name val="Arial"/>
    </font>
    <font>
      <b/>
      <sz val="10.0"/>
      <color rgb="FF000000"/>
      <name val="Arial"/>
    </font>
    <font>
      <b/>
      <color rgb="FFFFFFFF"/>
      <name val="Arial"/>
    </font>
    <font>
      <sz val="11.0"/>
      <color theme="1"/>
      <name val="Arial"/>
    </font>
    <font>
      <b/>
      <sz val="11.0"/>
      <color rgb="FF3F3F3F"/>
      <name val="Arial"/>
    </font>
    <font>
      <b/>
      <sz val="11.0"/>
      <color rgb="FF006100"/>
      <name val="Arial"/>
    </font>
    <font>
      <b/>
      <sz val="11.0"/>
      <color rgb="FF9C0006"/>
      <name val="Arial"/>
    </font>
    <font>
      <b/>
      <color theme="1"/>
      <name val="Calibri"/>
      <scheme val="minor"/>
    </font>
    <font>
      <color rgb="FFFF0000"/>
      <name val="Calibri"/>
      <scheme val="minor"/>
    </font>
    <font>
      <b/>
      <color rgb="FFFFFFFF"/>
      <name val="Calibri"/>
      <scheme val="minor"/>
    </font>
    <font>
      <b/>
      <sz val="11.0"/>
      <color rgb="FFFFFFFF"/>
      <name val="Calibri"/>
    </font>
    <font>
      <color theme="1"/>
      <name val="Arial"/>
    </font>
    <font>
      <b/>
      <color theme="1"/>
      <name val="Arial"/>
    </font>
    <font>
      <i/>
      <sz val="10.0"/>
      <color theme="1"/>
      <name val="Arial"/>
    </font>
    <font>
      <i/>
      <color theme="1"/>
      <name val="Calibri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355999"/>
        <bgColor rgb="FF355999"/>
      </patternFill>
    </fill>
    <fill>
      <patternFill patternType="solid">
        <fgColor rgb="FF000000"/>
        <bgColor rgb="FF000000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ECF2FD"/>
        <bgColor rgb="FFECF2FD"/>
      </patternFill>
    </fill>
    <fill>
      <patternFill patternType="solid">
        <fgColor rgb="FFFFFF00"/>
        <bgColor rgb="FFFFFF00"/>
      </patternFill>
    </fill>
  </fills>
  <borders count="44">
    <border/>
    <border>
      <right style="thin">
        <color rgb="FF000000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000000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000000"/>
      </right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BFBFBF"/>
      </left>
      <right style="thin">
        <color rgb="FFBFBFBF"/>
      </right>
      <bottom style="thin">
        <color rgb="FF000000"/>
      </bottom>
    </border>
    <border>
      <left style="thin">
        <color rgb="FFBFBFBF"/>
      </left>
      <right style="thin">
        <color rgb="FF000000"/>
      </right>
      <top style="thin">
        <color rgb="FFBFBFBF"/>
      </top>
      <bottom/>
    </border>
    <border>
      <left/>
      <right style="thin">
        <color rgb="FF000000"/>
      </right>
      <top/>
      <bottom/>
    </border>
    <border>
      <left style="thin">
        <color rgb="FFBFBFBF"/>
      </left>
      <right style="thin">
        <color rgb="FFBFBFBF"/>
      </right>
      <top style="thin">
        <color rgb="FF666666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000000"/>
      </right>
      <top/>
      <bottom style="thin">
        <color rgb="FFBFBFBF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BFBFBF"/>
      </left>
      <top style="thin">
        <color rgb="FFBFBFBF"/>
      </top>
    </border>
    <border>
      <left style="thin">
        <color rgb="FF000000"/>
      </left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ck">
        <color rgb="FF000000"/>
      </top>
      <bottom style="thin">
        <color rgb="FFBFBFBF"/>
      </bottom>
    </border>
    <border>
      <left style="thin">
        <color rgb="FFBFBFBF"/>
      </left>
      <top style="thick">
        <color rgb="FF000000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ck">
        <color rgb="FF000000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ck">
        <color rgb="FF000000"/>
      </top>
      <bottom style="thin">
        <color rgb="FFBFBFBF"/>
      </bottom>
    </border>
    <border>
      <right style="thin">
        <color rgb="FFBFBFBF"/>
      </right>
      <top style="thick">
        <color rgb="FF000000"/>
      </top>
      <bottom style="thin">
        <color rgb="FFBFBFBF"/>
      </bottom>
    </border>
  </borders>
  <cellStyleXfs count="1">
    <xf borderId="0" fillId="0" fontId="0" numFmtId="0" applyAlignment="1" applyFont="1"/>
  </cellStyleXfs>
  <cellXfs count="2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1" fillId="0" fontId="4" numFmtId="0" xfId="0" applyBorder="1" applyFont="1"/>
    <xf borderId="2" fillId="3" fontId="5" numFmtId="0" xfId="0" applyBorder="1" applyFill="1" applyFont="1"/>
    <xf borderId="2" fillId="3" fontId="2" numFmtId="0" xfId="0" applyBorder="1" applyFill="1" applyFont="1"/>
    <xf borderId="4" fillId="2" fontId="3" numFmtId="0" xfId="0" applyAlignment="1" applyBorder="1" applyFill="1" applyFont="1">
      <alignment horizontal="center" vertical="center"/>
    </xf>
    <xf borderId="2" fillId="4" fontId="2" numFmtId="0" xfId="0" applyBorder="1" applyFill="1" applyFont="1"/>
    <xf borderId="2" fillId="4" fontId="6" numFmtId="0" xfId="0" applyBorder="1" applyFill="1" applyFont="1"/>
    <xf borderId="5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center" readingOrder="0" vertical="center"/>
    </xf>
    <xf borderId="6" fillId="5" fontId="3" numFmtId="0" xfId="0" applyAlignment="1" applyBorder="1" applyFill="1" applyFont="1">
      <alignment horizontal="center" vertical="center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5" fontId="3" numFmtId="0" xfId="0" applyAlignment="1" applyBorder="1" applyFill="1" applyFont="1">
      <alignment horizontal="center" vertical="center"/>
    </xf>
    <xf borderId="2" fillId="4" fontId="6" numFmtId="3" xfId="0" applyAlignment="1" applyBorder="1" applyFill="1" applyFont="1" applyNumberFormat="1">
      <alignment horizontal="right"/>
    </xf>
    <xf borderId="11" fillId="0" fontId="7" numFmtId="0" xfId="0" applyBorder="1" applyFont="1"/>
    <xf borderId="12" fillId="0" fontId="7" numFmtId="0" xfId="0" applyBorder="1" applyFont="1"/>
    <xf borderId="13" fillId="2" fontId="8" numFmtId="0" xfId="0" applyAlignment="1" applyBorder="1" applyFill="1" applyFont="1">
      <alignment horizontal="center"/>
    </xf>
    <xf borderId="2" fillId="2" fontId="8" numFmtId="0" xfId="0" applyAlignment="1" applyBorder="1" applyFill="1" applyFont="1">
      <alignment horizontal="center"/>
    </xf>
    <xf borderId="14" fillId="2" fontId="8" numFmtId="0" xfId="0" applyAlignment="1" applyBorder="1" applyFill="1" applyFont="1">
      <alignment horizontal="center"/>
    </xf>
    <xf borderId="15" fillId="2" fontId="8" numFmtId="0" xfId="0" applyAlignment="1" applyBorder="1" applyFill="1" applyFont="1">
      <alignment horizontal="center"/>
    </xf>
    <xf borderId="16" fillId="2" fontId="8" numFmtId="0" xfId="0" applyAlignment="1" applyBorder="1" applyFill="1" applyFont="1">
      <alignment horizontal="center"/>
    </xf>
    <xf borderId="2" fillId="6" fontId="9" numFmtId="3" xfId="0" applyAlignment="1" applyBorder="1" applyFill="1" applyFont="1" applyNumberFormat="1">
      <alignment horizontal="right"/>
    </xf>
    <xf borderId="2" fillId="3" fontId="5" numFmtId="0" xfId="0" applyAlignment="1" applyBorder="1" applyFill="1" applyFont="1">
      <alignment vertical="center"/>
    </xf>
    <xf borderId="16" fillId="3" fontId="2" numFmtId="0" xfId="0" applyBorder="1" applyFill="1" applyFont="1"/>
    <xf borderId="2" fillId="6" fontId="9" numFmtId="164" xfId="0" applyAlignment="1" applyBorder="1" applyFill="1" applyFont="1" applyNumberFormat="1">
      <alignment horizontal="right"/>
    </xf>
    <xf borderId="13" fillId="3" fontId="2" numFmtId="0" xfId="0" applyBorder="1" applyFill="1" applyFont="1"/>
    <xf borderId="14" fillId="3" fontId="2" numFmtId="0" xfId="0" applyBorder="1" applyFill="1" applyFont="1"/>
    <xf borderId="15" fillId="3" fontId="2" numFmtId="0" xfId="0" applyBorder="1" applyFill="1" applyFont="1"/>
    <xf borderId="16" fillId="4" fontId="6" numFmtId="0" xfId="0" applyBorder="1" applyFill="1" applyFont="1"/>
    <xf borderId="2" fillId="4" fontId="6" numFmtId="165" xfId="0" applyAlignment="1" applyBorder="1" applyFill="1" applyFont="1" applyNumberFormat="1">
      <alignment horizontal="right"/>
    </xf>
    <xf borderId="13" fillId="4" fontId="6" numFmtId="3" xfId="0" applyAlignment="1" applyBorder="1" applyFill="1" applyFont="1" applyNumberFormat="1">
      <alignment horizontal="right"/>
    </xf>
    <xf borderId="2" fillId="7" fontId="10" numFmtId="166" xfId="0" applyAlignment="1" applyBorder="1" applyFill="1" applyFont="1" applyNumberFormat="1">
      <alignment horizontal="right"/>
    </xf>
    <xf borderId="2" fillId="8" fontId="11" numFmtId="164" xfId="0" applyAlignment="1" applyBorder="1" applyFill="1" applyFont="1" applyNumberFormat="1">
      <alignment horizontal="right"/>
    </xf>
    <xf borderId="14" fillId="6" fontId="9" numFmtId="164" xfId="0" applyAlignment="1" applyBorder="1" applyFill="1" applyFont="1" applyNumberFormat="1">
      <alignment horizontal="right"/>
    </xf>
    <xf borderId="2" fillId="4" fontId="6" numFmtId="167" xfId="0" applyAlignment="1" applyBorder="1" applyFill="1" applyFont="1" applyNumberFormat="1">
      <alignment horizontal="right"/>
    </xf>
    <xf borderId="15" fillId="4" fontId="6" numFmtId="3" xfId="0" applyAlignment="1" applyBorder="1" applyFill="1" applyFont="1" applyNumberFormat="1">
      <alignment horizontal="right"/>
    </xf>
    <xf borderId="16" fillId="6" fontId="9" numFmtId="164" xfId="0" applyAlignment="1" applyBorder="1" applyFill="1" applyFont="1" applyNumberFormat="1">
      <alignment horizontal="right"/>
    </xf>
    <xf borderId="2" fillId="4" fontId="6" numFmtId="2" xfId="0" applyAlignment="1" applyBorder="1" applyFill="1" applyFont="1" applyNumberFormat="1">
      <alignment horizontal="right"/>
    </xf>
    <xf borderId="2" fillId="9" fontId="12" numFmtId="2" xfId="0" applyAlignment="1" applyBorder="1" applyFill="1" applyFont="1" applyNumberFormat="1">
      <alignment horizontal="right"/>
    </xf>
    <xf borderId="2" fillId="9" fontId="12" numFmtId="164" xfId="0" applyAlignment="1" applyBorder="1" applyFill="1" applyFont="1" applyNumberFormat="1">
      <alignment horizontal="right"/>
    </xf>
    <xf borderId="13" fillId="4" fontId="6" numFmtId="165" xfId="0" applyAlignment="1" applyBorder="1" applyFill="1" applyFont="1" applyNumberFormat="1">
      <alignment horizontal="right"/>
    </xf>
    <xf borderId="14" fillId="9" fontId="12" numFmtId="164" xfId="0" applyAlignment="1" applyBorder="1" applyFill="1" applyFont="1" applyNumberFormat="1">
      <alignment horizontal="right"/>
    </xf>
    <xf borderId="15" fillId="4" fontId="6" numFmtId="165" xfId="0" applyAlignment="1" applyBorder="1" applyFill="1" applyFont="1" applyNumberFormat="1">
      <alignment horizontal="right"/>
    </xf>
    <xf borderId="16" fillId="9" fontId="12" numFmtId="164" xfId="0" applyAlignment="1" applyBorder="1" applyFill="1" applyFont="1" applyNumberFormat="1">
      <alignment horizontal="right"/>
    </xf>
    <xf borderId="2" fillId="4" fontId="6" numFmtId="0" xfId="0" applyAlignment="1" applyBorder="1" applyFill="1" applyFont="1">
      <alignment readingOrder="0"/>
    </xf>
    <xf borderId="14" fillId="8" fontId="11" numFmtId="164" xfId="0" applyAlignment="1" applyBorder="1" applyFill="1" applyFont="1" applyNumberFormat="1">
      <alignment horizontal="right"/>
    </xf>
    <xf borderId="2" fillId="4" fontId="6" numFmtId="168" xfId="0" applyAlignment="1" applyBorder="1" applyFill="1" applyFont="1" applyNumberFormat="1">
      <alignment horizontal="right"/>
    </xf>
    <xf borderId="2" fillId="6" fontId="9" numFmtId="168" xfId="0" applyAlignment="1" applyBorder="1" applyFill="1" applyFont="1" applyNumberFormat="1">
      <alignment horizontal="right"/>
    </xf>
    <xf borderId="16" fillId="8" fontId="11" numFmtId="164" xfId="0" applyAlignment="1" applyBorder="1" applyFill="1" applyFont="1" applyNumberFormat="1">
      <alignment horizontal="right"/>
    </xf>
    <xf borderId="0" fillId="0" fontId="4" numFmtId="10" xfId="0" applyFont="1" applyNumberFormat="1"/>
    <xf borderId="13" fillId="4" fontId="6" numFmtId="167" xfId="0" applyAlignment="1" applyBorder="1" applyFill="1" applyFont="1" applyNumberFormat="1">
      <alignment horizontal="right"/>
    </xf>
    <xf borderId="15" fillId="4" fontId="6" numFmtId="167" xfId="0" applyAlignment="1" applyBorder="1" applyFill="1" applyFont="1" applyNumberFormat="1">
      <alignment horizontal="right"/>
    </xf>
    <xf borderId="2" fillId="6" fontId="9" numFmtId="2" xfId="0" applyAlignment="1" applyBorder="1" applyFill="1" applyFont="1" applyNumberFormat="1">
      <alignment horizontal="right"/>
    </xf>
    <xf borderId="2" fillId="4" fontId="13" numFmtId="0" xfId="0" applyBorder="1" applyFill="1" applyFont="1"/>
    <xf borderId="2" fillId="8" fontId="11" numFmtId="169" xfId="0" applyAlignment="1" applyBorder="1" applyFill="1" applyFont="1" applyNumberFormat="1">
      <alignment horizontal="right"/>
    </xf>
    <xf borderId="2" fillId="8" fontId="11" numFmtId="2" xfId="0" applyAlignment="1" applyBorder="1" applyFill="1" applyFont="1" applyNumberFormat="1">
      <alignment horizontal="right"/>
    </xf>
    <xf borderId="13" fillId="4" fontId="6" numFmtId="170" xfId="0" applyAlignment="1" applyBorder="1" applyFill="1" applyFont="1" applyNumberFormat="1">
      <alignment horizontal="right"/>
    </xf>
    <xf borderId="2" fillId="4" fontId="6" numFmtId="170" xfId="0" applyAlignment="1" applyBorder="1" applyFill="1" applyFont="1" applyNumberFormat="1">
      <alignment horizontal="right"/>
    </xf>
    <xf borderId="15" fillId="4" fontId="6" numFmtId="170" xfId="0" applyAlignment="1" applyBorder="1" applyFill="1" applyFont="1" applyNumberFormat="1">
      <alignment horizontal="right"/>
    </xf>
    <xf borderId="2" fillId="4" fontId="6" numFmtId="0" xfId="0" applyBorder="1" applyFill="1" applyFont="1"/>
    <xf borderId="2" fillId="8" fontId="11" numFmtId="170" xfId="0" applyAlignment="1" applyBorder="1" applyFill="1" applyFont="1" applyNumberFormat="1">
      <alignment horizontal="right"/>
    </xf>
    <xf borderId="2" fillId="9" fontId="12" numFmtId="170" xfId="0" applyAlignment="1" applyBorder="1" applyFill="1" applyFont="1" applyNumberFormat="1">
      <alignment horizontal="right"/>
    </xf>
    <xf borderId="2" fillId="9" fontId="12" numFmtId="168" xfId="0" applyAlignment="1" applyBorder="1" applyFill="1" applyFont="1" applyNumberFormat="1">
      <alignment horizontal="right"/>
    </xf>
    <xf borderId="13" fillId="4" fontId="6" numFmtId="2" xfId="0" applyAlignment="1" applyBorder="1" applyFill="1" applyFont="1" applyNumberFormat="1">
      <alignment horizontal="right"/>
    </xf>
    <xf borderId="2" fillId="4" fontId="6" numFmtId="0" xfId="0" applyAlignment="1" applyBorder="1" applyFill="1" applyFont="1">
      <alignment readingOrder="0"/>
    </xf>
    <xf borderId="15" fillId="4" fontId="6" numFmtId="2" xfId="0" applyAlignment="1" applyBorder="1" applyFill="1" applyFont="1" applyNumberFormat="1">
      <alignment horizontal="right"/>
    </xf>
    <xf borderId="2" fillId="9" fontId="12" numFmtId="169" xfId="0" applyAlignment="1" applyBorder="1" applyFill="1" applyFont="1" applyNumberFormat="1">
      <alignment horizontal="right"/>
    </xf>
    <xf borderId="2" fillId="3" fontId="5" numFmtId="0" xfId="0" applyAlignment="1" applyBorder="1" applyFill="1" applyFont="1">
      <alignment readingOrder="0"/>
    </xf>
    <xf borderId="2" fillId="4" fontId="13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readingOrder="0"/>
    </xf>
    <xf borderId="2" fillId="4" fontId="2" numFmtId="0" xfId="0" applyAlignment="1" applyBorder="1" applyFill="1" applyFont="1">
      <alignment readingOrder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2" fillId="2" fontId="3" numFmtId="0" xfId="0" applyAlignment="1" applyBorder="1" applyFill="1" applyFont="1">
      <alignment horizontal="center"/>
    </xf>
    <xf borderId="2" fillId="5" fontId="3" numFmtId="0" xfId="0" applyAlignment="1" applyBorder="1" applyFill="1" applyFont="1">
      <alignment horizontal="center"/>
    </xf>
    <xf borderId="2" fillId="6" fontId="6" numFmtId="0" xfId="0" applyBorder="1" applyFill="1" applyFont="1"/>
    <xf borderId="2" fillId="6" fontId="14" numFmtId="0" xfId="0" applyBorder="1" applyFill="1" applyFont="1"/>
    <xf borderId="2" fillId="6" fontId="14" numFmtId="0" xfId="0" applyAlignment="1" applyBorder="1" applyFill="1" applyFont="1">
      <alignment horizontal="center"/>
    </xf>
    <xf borderId="2" fillId="3" fontId="6" numFmtId="0" xfId="0" applyBorder="1" applyFill="1" applyFont="1"/>
    <xf borderId="0" fillId="0" fontId="15" numFmtId="0" xfId="0" applyAlignment="1" applyFont="1">
      <alignment horizontal="right" vertical="bottom"/>
    </xf>
    <xf borderId="2" fillId="10" fontId="16" numFmtId="0" xfId="0" applyBorder="1" applyFill="1" applyFont="1"/>
    <xf borderId="2" fillId="10" fontId="17" numFmtId="0" xfId="0" applyBorder="1" applyFill="1" applyFont="1"/>
    <xf borderId="17" fillId="10" fontId="15" numFmtId="0" xfId="0" applyAlignment="1" applyBorder="1" applyFill="1" applyFont="1">
      <alignment horizontal="center" readingOrder="0" vertical="bottom"/>
    </xf>
    <xf borderId="2" fillId="10" fontId="17" numFmtId="3" xfId="0" applyAlignment="1" applyBorder="1" applyFill="1" applyFont="1" applyNumberFormat="1">
      <alignment horizontal="right"/>
    </xf>
    <xf borderId="0" fillId="0" fontId="18" numFmtId="0" xfId="0" applyFont="1"/>
    <xf borderId="4" fillId="10" fontId="17" numFmtId="3" xfId="0" applyAlignment="1" applyBorder="1" applyFill="1" applyFont="1" applyNumberFormat="1">
      <alignment horizontal="right"/>
    </xf>
    <xf borderId="0" fillId="0" fontId="19" numFmtId="0" xfId="0" applyAlignment="1" applyFont="1">
      <alignment vertical="bottom"/>
    </xf>
    <xf borderId="18" fillId="10" fontId="17" numFmtId="3" xfId="0" applyAlignment="1" applyBorder="1" applyFill="1" applyFont="1" applyNumberFormat="1">
      <alignment horizontal="right"/>
    </xf>
    <xf borderId="18" fillId="10" fontId="17" numFmtId="3" xfId="0" applyAlignment="1" applyBorder="1" applyFill="1" applyFont="1" applyNumberFormat="1">
      <alignment horizontal="right" readingOrder="0"/>
    </xf>
    <xf borderId="2" fillId="10" fontId="17" numFmtId="3" xfId="0" applyAlignment="1" applyBorder="1" applyFill="1" applyFont="1" applyNumberFormat="1">
      <alignment horizontal="right" readingOrder="0"/>
    </xf>
    <xf borderId="4" fillId="10" fontId="17" numFmtId="3" xfId="0" applyAlignment="1" applyBorder="1" applyFill="1" applyFont="1" applyNumberFormat="1">
      <alignment horizontal="right" readingOrder="0"/>
    </xf>
    <xf borderId="2" fillId="10" fontId="20" numFmtId="0" xfId="0" applyAlignment="1" applyBorder="1" applyFill="1" applyFont="1">
      <alignment readingOrder="0"/>
    </xf>
    <xf borderId="0" fillId="0" fontId="4" numFmtId="3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2" fillId="4" fontId="16" numFmtId="0" xfId="0" applyBorder="1" applyFill="1" applyFont="1"/>
    <xf borderId="6" fillId="4" fontId="17" numFmtId="0" xfId="0" applyAlignment="1" applyBorder="1" applyFill="1" applyFont="1">
      <alignment readingOrder="0"/>
    </xf>
    <xf borderId="18" fillId="4" fontId="6" numFmtId="1" xfId="0" applyAlignment="1" applyBorder="1" applyFill="1" applyFont="1" applyNumberFormat="1">
      <alignment horizontal="right"/>
    </xf>
    <xf borderId="18" fillId="4" fontId="6" numFmtId="2" xfId="0" applyAlignment="1" applyBorder="1" applyFill="1" applyFont="1" applyNumberFormat="1">
      <alignment horizontal="right"/>
    </xf>
    <xf borderId="4" fillId="2" fontId="3" numFmtId="0" xfId="0" applyAlignment="1" applyBorder="1" applyFill="1" applyFont="1">
      <alignment horizontal="center"/>
    </xf>
    <xf borderId="19" fillId="5" fontId="3" numFmtId="0" xfId="0" applyAlignment="1" applyBorder="1" applyFill="1" applyFont="1">
      <alignment horizontal="center"/>
    </xf>
    <xf borderId="20" fillId="0" fontId="7" numFmtId="0" xfId="0" applyBorder="1" applyFont="1"/>
    <xf borderId="21" fillId="0" fontId="7" numFmtId="0" xfId="0" applyBorder="1" applyFont="1"/>
    <xf borderId="2" fillId="10" fontId="17" numFmtId="0" xfId="0" applyAlignment="1" applyBorder="1" applyFill="1" applyFont="1">
      <alignment readingOrder="0"/>
    </xf>
    <xf borderId="11" fillId="10" fontId="17" numFmtId="3" xfId="0" applyAlignment="1" applyBorder="1" applyFill="1" applyFont="1" applyNumberFormat="1">
      <alignment horizontal="right" readingOrder="0"/>
    </xf>
    <xf borderId="22" fillId="10" fontId="17" numFmtId="3" xfId="0" applyAlignment="1" applyBorder="1" applyFill="1" applyFont="1" applyNumberFormat="1">
      <alignment horizontal="right" readingOrder="0"/>
    </xf>
    <xf borderId="23" fillId="5" fontId="3" numFmtId="0" xfId="0" applyAlignment="1" applyBorder="1" applyFill="1" applyFont="1">
      <alignment horizontal="center"/>
    </xf>
    <xf borderId="24" fillId="0" fontId="7" numFmtId="0" xfId="0" applyBorder="1" applyFont="1"/>
    <xf borderId="25" fillId="10" fontId="17" numFmtId="3" xfId="0" applyAlignment="1" applyBorder="1" applyFill="1" applyFont="1" applyNumberFormat="1">
      <alignment horizontal="right" readingOrder="0"/>
    </xf>
    <xf borderId="20" fillId="5" fontId="3" numFmtId="0" xfId="0" applyAlignment="1" applyBorder="1" applyFill="1" applyFont="1">
      <alignment horizontal="center"/>
    </xf>
    <xf borderId="6" fillId="4" fontId="17" numFmtId="3" xfId="0" applyAlignment="1" applyBorder="1" applyFill="1" applyFont="1" applyNumberFormat="1">
      <alignment horizontal="right" readingOrder="0"/>
    </xf>
    <xf borderId="26" fillId="9" fontId="12" numFmtId="164" xfId="0" applyAlignment="1" applyBorder="1" applyFill="1" applyFont="1" applyNumberFormat="1">
      <alignment horizontal="right"/>
    </xf>
    <xf borderId="16" fillId="4" fontId="6" numFmtId="0" xfId="0" applyAlignment="1" applyBorder="1" applyFill="1" applyFont="1">
      <alignment readingOrder="0"/>
    </xf>
    <xf borderId="2" fillId="2" fontId="21" numFmtId="0" xfId="0" applyAlignment="1" applyBorder="1" applyFill="1" applyFont="1">
      <alignment horizontal="center" vertical="bottom"/>
    </xf>
    <xf borderId="6" fillId="2" fontId="21" numFmtId="0" xfId="0" applyAlignment="1" applyBorder="1" applyFill="1" applyFont="1">
      <alignment horizontal="center" vertical="bottom"/>
    </xf>
    <xf borderId="15" fillId="2" fontId="21" numFmtId="0" xfId="0" applyAlignment="1" applyBorder="1" applyFill="1" applyFont="1">
      <alignment horizontal="center" vertical="bottom"/>
    </xf>
    <xf borderId="16" fillId="2" fontId="21" numFmtId="0" xfId="0" applyAlignment="1" applyBorder="1" applyFill="1" applyFont="1">
      <alignment horizontal="center" vertical="bottom"/>
    </xf>
    <xf borderId="8" fillId="2" fontId="21" numFmtId="0" xfId="0" applyAlignment="1" applyBorder="1" applyFill="1" applyFont="1">
      <alignment horizontal="center" vertical="bottom"/>
    </xf>
    <xf borderId="2" fillId="0" fontId="22" numFmtId="171" xfId="0" applyAlignment="1" applyBorder="1" applyFont="1" applyNumberFormat="1">
      <alignment horizontal="right" vertical="bottom"/>
    </xf>
    <xf borderId="11" fillId="3" fontId="6" numFmtId="0" xfId="0" applyBorder="1" applyFill="1" applyFont="1"/>
    <xf borderId="2" fillId="0" fontId="22" numFmtId="3" xfId="0" applyAlignment="1" applyBorder="1" applyFont="1" applyNumberFormat="1">
      <alignment horizontal="right" vertical="bottom"/>
    </xf>
    <xf borderId="2" fillId="6" fontId="23" numFmtId="164" xfId="0" applyAlignment="1" applyBorder="1" applyFill="1" applyFont="1" applyNumberFormat="1">
      <alignment horizontal="right" vertical="bottom"/>
    </xf>
    <xf borderId="2" fillId="0" fontId="22" numFmtId="170" xfId="0" applyAlignment="1" applyBorder="1" applyFont="1" applyNumberFormat="1">
      <alignment horizontal="right" vertical="bottom"/>
    </xf>
    <xf borderId="2" fillId="0" fontId="22" numFmtId="165" xfId="0" applyAlignment="1" applyBorder="1" applyFont="1" applyNumberFormat="1">
      <alignment horizontal="right" vertical="bottom"/>
    </xf>
    <xf borderId="2" fillId="9" fontId="24" numFmtId="164" xfId="0" applyAlignment="1" applyBorder="1" applyFill="1" applyFont="1" applyNumberFormat="1">
      <alignment horizontal="right" vertical="bottom"/>
    </xf>
    <xf borderId="27" fillId="3" fontId="2" numFmtId="0" xfId="0" applyBorder="1" applyFill="1" applyFont="1"/>
    <xf borderId="2" fillId="0" fontId="22" numFmtId="167" xfId="0" applyAlignment="1" applyBorder="1" applyFont="1" applyNumberFormat="1">
      <alignment horizontal="right" vertical="bottom"/>
    </xf>
    <xf borderId="13" fillId="4" fontId="6" numFmtId="168" xfId="0" applyAlignment="1" applyBorder="1" applyFill="1" applyFont="1" applyNumberFormat="1">
      <alignment horizontal="right"/>
    </xf>
    <xf borderId="15" fillId="4" fontId="6" numFmtId="168" xfId="0" applyAlignment="1" applyBorder="1" applyFill="1" applyFont="1" applyNumberFormat="1">
      <alignment horizontal="right"/>
    </xf>
    <xf borderId="2" fillId="0" fontId="22" numFmtId="2" xfId="0" applyAlignment="1" applyBorder="1" applyFont="1" applyNumberFormat="1">
      <alignment horizontal="right" vertical="bottom"/>
    </xf>
    <xf borderId="14" fillId="4" fontId="6" numFmtId="168" xfId="0" applyAlignment="1" applyBorder="1" applyFill="1" applyFont="1" applyNumberFormat="1">
      <alignment horizontal="right"/>
    </xf>
    <xf borderId="2" fillId="0" fontId="22" numFmtId="168" xfId="0" applyAlignment="1" applyBorder="1" applyFont="1" applyNumberFormat="1">
      <alignment horizontal="right" vertical="bottom"/>
    </xf>
    <xf borderId="2" fillId="8" fontId="25" numFmtId="164" xfId="0" applyAlignment="1" applyBorder="1" applyFill="1" applyFont="1" applyNumberFormat="1">
      <alignment horizontal="right" vertical="bottom"/>
    </xf>
    <xf borderId="2" fillId="4" fontId="6" numFmtId="4" xfId="0" applyAlignment="1" applyBorder="1" applyFill="1" applyFont="1" applyNumberFormat="1">
      <alignment horizontal="right"/>
    </xf>
    <xf borderId="2" fillId="4" fontId="13" numFmtId="4" xfId="0" applyAlignment="1" applyBorder="1" applyFill="1" applyFont="1" applyNumberFormat="1">
      <alignment horizontal="right"/>
    </xf>
    <xf borderId="2" fillId="4" fontId="6" numFmtId="172" xfId="0" applyAlignment="1" applyBorder="1" applyFill="1" applyFont="1" applyNumberFormat="1">
      <alignment horizontal="right"/>
    </xf>
    <xf borderId="28" fillId="4" fontId="6" numFmtId="0" xfId="0" applyAlignment="1" applyBorder="1" applyFill="1" applyFont="1">
      <alignment readingOrder="0"/>
    </xf>
    <xf borderId="28" fillId="4" fontId="6" numFmtId="4" xfId="0" applyAlignment="1" applyBorder="1" applyFill="1" applyFont="1" applyNumberFormat="1">
      <alignment horizontal="right"/>
    </xf>
    <xf borderId="0" fillId="0" fontId="26" numFmtId="0" xfId="0" applyAlignment="1" applyFont="1">
      <alignment readingOrder="0"/>
    </xf>
    <xf borderId="4" fillId="4" fontId="6" numFmtId="0" xfId="0" applyAlignment="1" applyBorder="1" applyFill="1" applyFont="1">
      <alignment readingOrder="0"/>
    </xf>
    <xf borderId="6" fillId="6" fontId="23" numFmtId="164" xfId="0" applyAlignment="1" applyBorder="1" applyFill="1" applyFont="1" applyNumberFormat="1">
      <alignment horizontal="right" vertical="bottom"/>
    </xf>
    <xf borderId="15" fillId="0" fontId="22" numFmtId="2" xfId="0" applyAlignment="1" applyBorder="1" applyFont="1" applyNumberFormat="1">
      <alignment horizontal="right" vertical="bottom"/>
    </xf>
    <xf borderId="14" fillId="4" fontId="6" numFmtId="2" xfId="0" applyAlignment="1" applyBorder="1" applyFill="1" applyFont="1" applyNumberFormat="1">
      <alignment horizontal="right"/>
    </xf>
    <xf borderId="0" fillId="0" fontId="4" numFmtId="0" xfId="0" applyAlignment="1" applyFont="1">
      <alignment horizontal="right" readingOrder="0"/>
    </xf>
    <xf borderId="0" fillId="0" fontId="27" numFmtId="0" xfId="0" applyAlignment="1" applyFont="1">
      <alignment readingOrder="0"/>
    </xf>
    <xf borderId="0" fillId="0" fontId="4" numFmtId="0" xfId="0" applyAlignment="1" applyFont="1">
      <alignment readingOrder="0"/>
    </xf>
    <xf borderId="16" fillId="4" fontId="13" numFmtId="0" xfId="0" applyBorder="1" applyFill="1" applyFont="1"/>
    <xf borderId="16" fillId="6" fontId="23" numFmtId="164" xfId="0" applyAlignment="1" applyBorder="1" applyFill="1" applyFont="1" applyNumberFormat="1">
      <alignment horizontal="right" vertical="bottom"/>
    </xf>
    <xf borderId="8" fillId="0" fontId="22" numFmtId="2" xfId="0" applyAlignment="1" applyBorder="1" applyFont="1" applyNumberFormat="1">
      <alignment horizontal="right" vertical="bottom"/>
    </xf>
    <xf borderId="29" fillId="4" fontId="6" numFmtId="0" xfId="0" applyBorder="1" applyFill="1" applyFont="1"/>
    <xf borderId="29" fillId="4" fontId="13" numFmtId="0" xfId="0" applyAlignment="1" applyBorder="1" applyFill="1" applyFont="1">
      <alignment readingOrder="0"/>
    </xf>
    <xf borderId="29" fillId="11" fontId="13" numFmtId="172" xfId="0" applyAlignment="1" applyBorder="1" applyFill="1" applyFont="1" applyNumberFormat="1">
      <alignment horizontal="right"/>
    </xf>
    <xf borderId="0" fillId="4" fontId="6" numFmtId="0" xfId="0" applyFill="1" applyFont="1"/>
    <xf borderId="11" fillId="4" fontId="6" numFmtId="0" xfId="0" applyBorder="1" applyFill="1" applyFont="1"/>
    <xf borderId="2" fillId="4" fontId="6" numFmtId="10" xfId="0" applyAlignment="1" applyBorder="1" applyFill="1" applyFont="1" applyNumberFormat="1">
      <alignment horizontal="right"/>
    </xf>
    <xf borderId="2" fillId="11" fontId="13" numFmtId="10" xfId="0" applyAlignment="1" applyBorder="1" applyFill="1" applyFont="1" applyNumberFormat="1">
      <alignment horizontal="right"/>
    </xf>
    <xf borderId="30" fillId="8" fontId="11" numFmtId="164" xfId="0" applyAlignment="1" applyBorder="1" applyFill="1" applyFont="1" applyNumberFormat="1">
      <alignment horizontal="right"/>
    </xf>
    <xf borderId="2" fillId="0" fontId="2" numFmtId="170" xfId="0" applyAlignment="1" applyBorder="1" applyFont="1" applyNumberFormat="1">
      <alignment vertical="bottom"/>
    </xf>
    <xf borderId="2" fillId="8" fontId="2" numFmtId="164" xfId="0" applyAlignment="1" applyBorder="1" applyFill="1" applyFont="1" applyNumberFormat="1">
      <alignment vertical="bottom"/>
    </xf>
    <xf borderId="2" fillId="9" fontId="2" numFmtId="164" xfId="0" applyAlignment="1" applyBorder="1" applyFill="1" applyFont="1" applyNumberFormat="1">
      <alignment horizontal="right" vertical="bottom"/>
    </xf>
    <xf borderId="2" fillId="8" fontId="2" numFmtId="164" xfId="0" applyAlignment="1" applyBorder="1" applyFill="1" applyFont="1" applyNumberFormat="1">
      <alignment horizontal="right" vertical="bottom"/>
    </xf>
    <xf borderId="2" fillId="12" fontId="28" numFmtId="0" xfId="0" applyAlignment="1" applyBorder="1" applyFill="1" applyFont="1">
      <alignment readingOrder="0"/>
    </xf>
    <xf borderId="2" fillId="12" fontId="28" numFmtId="10" xfId="0" applyAlignment="1" applyBorder="1" applyFill="1" applyFont="1" applyNumberFormat="1">
      <alignment horizontal="right"/>
    </xf>
    <xf borderId="0" fillId="12" fontId="28" numFmtId="0" xfId="0" applyFill="1" applyFont="1"/>
    <xf borderId="2" fillId="12" fontId="28" numFmtId="0" xfId="0" applyAlignment="1" applyBorder="1" applyFill="1" applyFont="1">
      <alignment readingOrder="0" shrinkToFit="0" wrapText="1"/>
    </xf>
    <xf borderId="2" fillId="12" fontId="28" numFmtId="0" xfId="0" applyAlignment="1" applyBorder="1" applyFill="1" applyFont="1">
      <alignment horizontal="right" readingOrder="0" shrinkToFit="0" wrapText="1"/>
    </xf>
    <xf borderId="0" fillId="12" fontId="28" numFmtId="0" xfId="0" applyAlignment="1" applyFill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4" numFmtId="2" xfId="0" applyAlignment="1" applyFont="1" applyNumberFormat="1">
      <alignment readingOrder="0"/>
    </xf>
    <xf borderId="0" fillId="0" fontId="4" numFmtId="2" xfId="0" applyFont="1" applyNumberFormat="1"/>
    <xf borderId="0" fillId="12" fontId="28" numFmtId="0" xfId="0" applyAlignment="1" applyFill="1" applyFont="1">
      <alignment readingOrder="0"/>
    </xf>
    <xf borderId="2" fillId="3" fontId="5" numFmtId="0" xfId="0" applyAlignment="1" applyBorder="1" applyFill="1" applyFont="1">
      <alignment readingOrder="0" vertical="center"/>
    </xf>
    <xf borderId="16" fillId="4" fontId="6" numFmtId="0" xfId="0" applyAlignment="1" applyBorder="1" applyFill="1" applyFont="1">
      <alignment readingOrder="0"/>
    </xf>
    <xf borderId="0" fillId="12" fontId="2" numFmtId="0" xfId="0" applyAlignment="1" applyFill="1" applyFont="1">
      <alignment vertical="bottom"/>
    </xf>
    <xf borderId="0" fillId="12" fontId="29" numFmtId="0" xfId="0" applyAlignment="1" applyFill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4" numFmtId="169" xfId="0" applyFont="1" applyNumberFormat="1"/>
    <xf borderId="2" fillId="3" fontId="6" numFmtId="0" xfId="0" applyAlignment="1" applyBorder="1" applyFill="1" applyFont="1">
      <alignment readingOrder="0"/>
    </xf>
    <xf borderId="0" fillId="13" fontId="3" numFmtId="0" xfId="0" applyFill="1" applyFont="1"/>
    <xf borderId="0" fillId="13" fontId="30" numFmtId="0" xfId="0" applyFill="1" applyFont="1"/>
    <xf borderId="31" fillId="14" fontId="15" numFmtId="0" xfId="0" applyAlignment="1" applyBorder="1" applyFill="1" applyFont="1">
      <alignment horizontal="center" vertical="bottom"/>
    </xf>
    <xf borderId="31" fillId="14" fontId="15" numFmtId="0" xfId="0" applyAlignment="1" applyBorder="1" applyFill="1" applyFont="1">
      <alignment horizontal="center" shrinkToFit="0" vertical="bottom" wrapText="1"/>
    </xf>
    <xf borderId="32" fillId="14" fontId="15" numFmtId="0" xfId="0" applyAlignment="1" applyBorder="1" applyFill="1" applyFont="1">
      <alignment horizontal="center" textRotation="180" vertical="bottom"/>
    </xf>
    <xf borderId="33" fillId="14" fontId="15" numFmtId="0" xfId="0" applyAlignment="1" applyBorder="1" applyFill="1" applyFont="1">
      <alignment horizontal="center" textRotation="180" vertical="bottom"/>
    </xf>
    <xf borderId="0" fillId="0" fontId="31" numFmtId="0" xfId="0" applyAlignment="1" applyFont="1">
      <alignment horizontal="center" shrinkToFit="0" vertical="bottom" wrapText="1"/>
    </xf>
    <xf borderId="0" fillId="0" fontId="31" numFmtId="0" xfId="0" applyAlignment="1" applyFont="1">
      <alignment horizontal="center" readingOrder="0" shrinkToFit="0" vertical="bottom" wrapText="1"/>
    </xf>
    <xf borderId="0" fillId="0" fontId="22" numFmtId="0" xfId="0" applyAlignment="1" applyFont="1">
      <alignment horizontal="center"/>
    </xf>
    <xf borderId="0" fillId="15" fontId="22" numFmtId="0" xfId="0" applyAlignment="1" applyFill="1" applyFont="1">
      <alignment horizontal="center" vertical="bottom"/>
    </xf>
    <xf borderId="32" fillId="0" fontId="22" numFmtId="0" xfId="0" applyAlignment="1" applyBorder="1" applyFont="1">
      <alignment horizontal="right" vertical="bottom"/>
    </xf>
    <xf borderId="33" fillId="0" fontId="30" numFmtId="0" xfId="0" applyAlignment="1" applyBorder="1" applyFont="1">
      <alignment horizontal="right" vertical="bottom"/>
    </xf>
    <xf borderId="33" fillId="15" fontId="22" numFmtId="0" xfId="0" applyAlignment="1" applyBorder="1" applyFill="1" applyFont="1">
      <alignment horizontal="center" vertical="bottom"/>
    </xf>
    <xf borderId="0" fillId="0" fontId="30" numFmtId="0" xfId="0" applyAlignment="1" applyFont="1">
      <alignment horizontal="center" vertical="bottom"/>
    </xf>
    <xf borderId="0" fillId="0" fontId="30" numFmtId="173" xfId="0" applyAlignment="1" applyFont="1" applyNumberFormat="1">
      <alignment horizontal="center" vertical="bottom"/>
    </xf>
    <xf borderId="0" fillId="16" fontId="22" numFmtId="0" xfId="0" applyAlignment="1" applyFill="1" applyFont="1">
      <alignment horizontal="center"/>
    </xf>
    <xf borderId="0" fillId="16" fontId="22" numFmtId="0" xfId="0" applyAlignment="1" applyFill="1" applyFont="1">
      <alignment horizontal="center" vertical="bottom"/>
    </xf>
    <xf borderId="32" fillId="15" fontId="22" numFmtId="0" xfId="0" applyAlignment="1" applyBorder="1" applyFill="1" applyFont="1">
      <alignment horizontal="center" vertical="bottom"/>
    </xf>
    <xf borderId="4" fillId="11" fontId="6" numFmtId="172" xfId="0" applyAlignment="1" applyBorder="1" applyFill="1" applyFont="1" applyNumberFormat="1">
      <alignment horizontal="right"/>
    </xf>
    <xf borderId="0" fillId="0" fontId="22" numFmtId="0" xfId="0" applyAlignment="1" applyFont="1">
      <alignment horizontal="center" vertical="bottom"/>
    </xf>
    <xf borderId="0" fillId="0" fontId="4" numFmtId="2" xfId="0" applyFont="1" applyNumberFormat="1"/>
    <xf borderId="0" fillId="4" fontId="32" numFmtId="0" xfId="0" applyAlignment="1" applyFill="1" applyFont="1">
      <alignment readingOrder="0"/>
    </xf>
    <xf borderId="33" fillId="15" fontId="30" numFmtId="0" xfId="0" applyAlignment="1" applyBorder="1" applyFill="1" applyFont="1">
      <alignment horizontal="right" vertical="bottom"/>
    </xf>
    <xf borderId="0" fillId="15" fontId="30" numFmtId="0" xfId="0" applyAlignment="1" applyFill="1" applyFont="1">
      <alignment horizontal="right" vertical="bottom"/>
    </xf>
    <xf borderId="0" fillId="0" fontId="30" numFmtId="0" xfId="0" applyAlignment="1" applyFont="1">
      <alignment horizontal="right" vertical="bottom"/>
    </xf>
    <xf borderId="32" fillId="15" fontId="22" numFmtId="0" xfId="0" applyAlignment="1" applyBorder="1" applyFill="1" applyFont="1">
      <alignment horizontal="right" vertical="bottom"/>
    </xf>
    <xf borderId="32" fillId="15" fontId="22" numFmtId="0" xfId="0" applyAlignment="1" applyBorder="1" applyFill="1" applyFont="1">
      <alignment horizontal="center" vertical="bottom"/>
    </xf>
    <xf borderId="0" fillId="13" fontId="3" numFmtId="0" xfId="0" applyAlignment="1" applyFill="1" applyFont="1">
      <alignment readingOrder="0"/>
    </xf>
    <xf borderId="34" fillId="14" fontId="15" numFmtId="0" xfId="0" applyAlignment="1" applyBorder="1" applyFill="1" applyFont="1">
      <alignment horizontal="center" textRotation="180" vertical="bottom"/>
    </xf>
    <xf borderId="35" fillId="14" fontId="15" numFmtId="0" xfId="0" applyAlignment="1" applyBorder="1" applyFill="1" applyFont="1">
      <alignment horizontal="center" textRotation="180" vertical="bottom"/>
    </xf>
    <xf borderId="3" fillId="0" fontId="22" numFmtId="0" xfId="0" applyAlignment="1" applyBorder="1" applyFont="1">
      <alignment horizontal="center" readingOrder="0"/>
    </xf>
    <xf borderId="0" fillId="0" fontId="22" numFmtId="0" xfId="0" applyAlignment="1" applyFont="1">
      <alignment horizontal="center" readingOrder="0"/>
    </xf>
    <xf borderId="27" fillId="9" fontId="12" numFmtId="164" xfId="0" applyAlignment="1" applyBorder="1" applyFill="1" applyFont="1" applyNumberFormat="1">
      <alignment horizontal="right"/>
    </xf>
    <xf borderId="0" fillId="0" fontId="4" numFmtId="0" xfId="0" applyAlignment="1" applyFont="1">
      <alignment horizontal="right"/>
    </xf>
    <xf borderId="0" fillId="11" fontId="4" numFmtId="2" xfId="0" applyAlignment="1" applyFill="1" applyFont="1" applyNumberFormat="1">
      <alignment horizontal="center"/>
    </xf>
    <xf borderId="4" fillId="11" fontId="13" numFmtId="172" xfId="0" applyAlignment="1" applyBorder="1" applyFill="1" applyFont="1" applyNumberFormat="1">
      <alignment horizontal="right"/>
    </xf>
    <xf borderId="0" fillId="0" fontId="33" numFmtId="0" xfId="0" applyAlignment="1" applyFont="1">
      <alignment readingOrder="0"/>
    </xf>
    <xf borderId="0" fillId="0" fontId="26" numFmtId="2" xfId="0" applyAlignment="1" applyFont="1" applyNumberFormat="1">
      <alignment readingOrder="0"/>
    </xf>
    <xf borderId="16" fillId="4" fontId="16" numFmtId="0" xfId="0" applyBorder="1" applyFill="1" applyFont="1"/>
    <xf borderId="2" fillId="17" fontId="5" numFmtId="0" xfId="0" applyAlignment="1" applyBorder="1" applyFill="1" applyFont="1">
      <alignment horizontal="center" vertical="center"/>
    </xf>
    <xf borderId="16" fillId="17" fontId="5" numFmtId="0" xfId="0" applyAlignment="1" applyBorder="1" applyFill="1" applyFont="1">
      <alignment horizontal="center" vertical="center"/>
    </xf>
    <xf borderId="8" fillId="17" fontId="5" numFmtId="0" xfId="0" applyAlignment="1" applyBorder="1" applyFill="1" applyFont="1">
      <alignment horizontal="center" vertical="center"/>
    </xf>
    <xf borderId="4" fillId="17" fontId="5" numFmtId="0" xfId="0" applyAlignment="1" applyBorder="1" applyFill="1" applyFont="1">
      <alignment horizontal="center" vertical="center"/>
    </xf>
    <xf borderId="6" fillId="4" fontId="6" numFmtId="170" xfId="0" applyAlignment="1" applyBorder="1" applyFill="1" applyFont="1" applyNumberFormat="1">
      <alignment horizontal="right"/>
    </xf>
    <xf borderId="16" fillId="4" fontId="13" numFmtId="0" xfId="0" applyAlignment="1" applyBorder="1" applyFill="1" applyFont="1">
      <alignment readingOrder="0"/>
    </xf>
    <xf borderId="2" fillId="2" fontId="3" numFmtId="0" xfId="0" applyAlignment="1" applyBorder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2" fillId="0" fontId="6" numFmtId="174" xfId="0" applyAlignment="1" applyBorder="1" applyFont="1" applyNumberFormat="1">
      <alignment readingOrder="0"/>
    </xf>
    <xf borderId="2" fillId="0" fontId="6" numFmtId="0" xfId="0" applyAlignment="1" applyBorder="1" applyFont="1">
      <alignment readingOrder="0"/>
    </xf>
    <xf borderId="2" fillId="0" fontId="6" numFmtId="0" xfId="0" applyBorder="1" applyFont="1"/>
    <xf borderId="0" fillId="0" fontId="4" numFmtId="10" xfId="0" applyFont="1" applyNumberFormat="1"/>
    <xf borderId="2" fillId="18" fontId="22" numFmtId="171" xfId="0" applyAlignment="1" applyBorder="1" applyFill="1" applyFont="1" applyNumberFormat="1">
      <alignment horizontal="right" vertical="bottom"/>
    </xf>
    <xf borderId="2" fillId="18" fontId="22" numFmtId="3" xfId="0" applyAlignment="1" applyBorder="1" applyFill="1" applyFont="1" applyNumberFormat="1">
      <alignment horizontal="right" vertical="bottom"/>
    </xf>
    <xf borderId="2" fillId="18" fontId="23" numFmtId="164" xfId="0" applyAlignment="1" applyBorder="1" applyFill="1" applyFont="1" applyNumberFormat="1">
      <alignment horizontal="right" vertical="bottom"/>
    </xf>
    <xf borderId="2" fillId="18" fontId="22" numFmtId="170" xfId="0" applyAlignment="1" applyBorder="1" applyFill="1" applyFont="1" applyNumberFormat="1">
      <alignment horizontal="right" vertical="bottom"/>
    </xf>
    <xf borderId="2" fillId="18" fontId="22" numFmtId="165" xfId="0" applyAlignment="1" applyBorder="1" applyFill="1" applyFont="1" applyNumberFormat="1">
      <alignment horizontal="right" vertical="bottom"/>
    </xf>
    <xf borderId="2" fillId="18" fontId="24" numFmtId="164" xfId="0" applyAlignment="1" applyBorder="1" applyFill="1" applyFont="1" applyNumberFormat="1">
      <alignment horizontal="right" vertical="bottom"/>
    </xf>
    <xf borderId="2" fillId="18" fontId="22" numFmtId="167" xfId="0" applyAlignment="1" applyBorder="1" applyFill="1" applyFont="1" applyNumberFormat="1">
      <alignment horizontal="right" vertical="bottom"/>
    </xf>
    <xf borderId="2" fillId="18" fontId="22" numFmtId="2" xfId="0" applyAlignment="1" applyBorder="1" applyFill="1" applyFont="1" applyNumberFormat="1">
      <alignment horizontal="right" vertical="bottom"/>
    </xf>
    <xf borderId="0" fillId="0" fontId="26" numFmtId="0" xfId="0" applyAlignment="1" applyFont="1">
      <alignment readingOrder="0" shrinkToFit="0" wrapText="1"/>
    </xf>
    <xf borderId="2" fillId="18" fontId="22" numFmtId="168" xfId="0" applyAlignment="1" applyBorder="1" applyFill="1" applyFont="1" applyNumberFormat="1">
      <alignment horizontal="right" vertical="bottom"/>
    </xf>
    <xf borderId="2" fillId="18" fontId="25" numFmtId="164" xfId="0" applyAlignment="1" applyBorder="1" applyFill="1" applyFont="1" applyNumberFormat="1">
      <alignment horizontal="right" vertical="bottom"/>
    </xf>
    <xf borderId="0" fillId="0" fontId="4" numFmtId="174" xfId="0" applyAlignment="1" applyFont="1" applyNumberFormat="1">
      <alignment readingOrder="0"/>
    </xf>
    <xf borderId="6" fillId="18" fontId="23" numFmtId="164" xfId="0" applyAlignment="1" applyBorder="1" applyFill="1" applyFont="1" applyNumberFormat="1">
      <alignment horizontal="right" vertical="bottom"/>
    </xf>
    <xf borderId="15" fillId="18" fontId="22" numFmtId="2" xfId="0" applyAlignment="1" applyBorder="1" applyFill="1" applyFont="1" applyNumberFormat="1">
      <alignment horizontal="right" vertical="bottom"/>
    </xf>
    <xf borderId="16" fillId="18" fontId="23" numFmtId="164" xfId="0" applyAlignment="1" applyBorder="1" applyFill="1" applyFont="1" applyNumberFormat="1">
      <alignment horizontal="right" vertical="bottom"/>
    </xf>
    <xf borderId="8" fillId="18" fontId="22" numFmtId="2" xfId="0" applyAlignment="1" applyBorder="1" applyFill="1" applyFont="1" applyNumberFormat="1">
      <alignment horizontal="right" vertical="bottom"/>
    </xf>
    <xf borderId="2" fillId="18" fontId="2" numFmtId="170" xfId="0" applyAlignment="1" applyBorder="1" applyFill="1" applyFont="1" applyNumberFormat="1">
      <alignment vertical="bottom"/>
    </xf>
    <xf borderId="2" fillId="18" fontId="2" numFmtId="164" xfId="0" applyAlignment="1" applyBorder="1" applyFill="1" applyFont="1" applyNumberFormat="1">
      <alignment vertical="bottom"/>
    </xf>
    <xf borderId="2" fillId="18" fontId="2" numFmtId="164" xfId="0" applyAlignment="1" applyBorder="1" applyFill="1" applyFont="1" applyNumberFormat="1">
      <alignment horizontal="right" vertical="bottom"/>
    </xf>
    <xf borderId="2" fillId="18" fontId="6" numFmtId="0" xfId="0" applyAlignment="1" applyBorder="1" applyFill="1" applyFont="1">
      <alignment readingOrder="0"/>
    </xf>
    <xf borderId="16" fillId="3" fontId="2" numFmtId="0" xfId="0" applyAlignment="1" applyBorder="1" applyFill="1" applyFont="1">
      <alignment readingOrder="0"/>
    </xf>
    <xf borderId="4" fillId="0" fontId="22" numFmtId="171" xfId="0" applyAlignment="1" applyBorder="1" applyFont="1" applyNumberFormat="1">
      <alignment horizontal="right" vertical="bottom"/>
    </xf>
    <xf borderId="4" fillId="0" fontId="22" numFmtId="3" xfId="0" applyAlignment="1" applyBorder="1" applyFont="1" applyNumberFormat="1">
      <alignment horizontal="right" vertical="bottom"/>
    </xf>
    <xf borderId="4" fillId="6" fontId="23" numFmtId="164" xfId="0" applyAlignment="1" applyBorder="1" applyFill="1" applyFont="1" applyNumberFormat="1">
      <alignment horizontal="right" vertical="bottom"/>
    </xf>
    <xf borderId="4" fillId="0" fontId="22" numFmtId="170" xfId="0" applyAlignment="1" applyBorder="1" applyFont="1" applyNumberFormat="1">
      <alignment horizontal="right" vertical="bottom"/>
    </xf>
    <xf borderId="4" fillId="0" fontId="22" numFmtId="165" xfId="0" applyAlignment="1" applyBorder="1" applyFont="1" applyNumberFormat="1">
      <alignment horizontal="right" vertical="bottom"/>
    </xf>
    <xf borderId="4" fillId="9" fontId="24" numFmtId="164" xfId="0" applyAlignment="1" applyBorder="1" applyFill="1" applyFont="1" applyNumberFormat="1">
      <alignment horizontal="right" vertical="bottom"/>
    </xf>
    <xf borderId="4" fillId="0" fontId="22" numFmtId="167" xfId="0" applyAlignment="1" applyBorder="1" applyFont="1" applyNumberFormat="1">
      <alignment horizontal="right" vertical="bottom"/>
    </xf>
    <xf borderId="4" fillId="0" fontId="22" numFmtId="2" xfId="0" applyAlignment="1" applyBorder="1" applyFont="1" applyNumberFormat="1">
      <alignment horizontal="right" vertical="bottom"/>
    </xf>
    <xf borderId="4" fillId="0" fontId="22" numFmtId="168" xfId="0" applyAlignment="1" applyBorder="1" applyFont="1" applyNumberFormat="1">
      <alignment horizontal="right" vertical="bottom"/>
    </xf>
    <xf borderId="4" fillId="8" fontId="25" numFmtId="164" xfId="0" applyAlignment="1" applyBorder="1" applyFill="1" applyFont="1" applyNumberFormat="1">
      <alignment horizontal="right" vertical="bottom"/>
    </xf>
    <xf borderId="36" fillId="6" fontId="23" numFmtId="164" xfId="0" applyAlignment="1" applyBorder="1" applyFill="1" applyFont="1" applyNumberFormat="1">
      <alignment horizontal="right" vertical="bottom"/>
    </xf>
    <xf borderId="37" fillId="0" fontId="22" numFmtId="2" xfId="0" applyAlignment="1" applyBorder="1" applyFont="1" applyNumberFormat="1">
      <alignment horizontal="right" vertical="bottom"/>
    </xf>
    <xf borderId="5" fillId="6" fontId="23" numFmtId="164" xfId="0" applyAlignment="1" applyBorder="1" applyFill="1" applyFont="1" applyNumberFormat="1">
      <alignment horizontal="right" vertical="bottom"/>
    </xf>
    <xf borderId="38" fillId="0" fontId="22" numFmtId="2" xfId="0" applyAlignment="1" applyBorder="1" applyFont="1" applyNumberFormat="1">
      <alignment horizontal="right" vertical="bottom"/>
    </xf>
    <xf borderId="4" fillId="0" fontId="2" numFmtId="170" xfId="0" applyAlignment="1" applyBorder="1" applyFont="1" applyNumberFormat="1">
      <alignment vertical="bottom"/>
    </xf>
    <xf borderId="4" fillId="8" fontId="2" numFmtId="164" xfId="0" applyAlignment="1" applyBorder="1" applyFill="1" applyFont="1" applyNumberFormat="1">
      <alignment vertical="bottom"/>
    </xf>
    <xf borderId="4" fillId="9" fontId="2" numFmtId="164" xfId="0" applyAlignment="1" applyBorder="1" applyFill="1" applyFont="1" applyNumberFormat="1">
      <alignment horizontal="right" vertical="bottom"/>
    </xf>
    <xf borderId="4" fillId="8" fontId="2" numFmtId="164" xfId="0" applyAlignment="1" applyBorder="1" applyFill="1" applyFont="1" applyNumberFormat="1">
      <alignment horizontal="right" vertical="bottom"/>
    </xf>
    <xf borderId="39" fillId="0" fontId="22" numFmtId="171" xfId="0" applyAlignment="1" applyBorder="1" applyFont="1" applyNumberFormat="1">
      <alignment horizontal="right" vertical="bottom"/>
    </xf>
    <xf borderId="39" fillId="0" fontId="22" numFmtId="3" xfId="0" applyAlignment="1" applyBorder="1" applyFont="1" applyNumberFormat="1">
      <alignment horizontal="right" vertical="bottom"/>
    </xf>
    <xf borderId="39" fillId="6" fontId="23" numFmtId="164" xfId="0" applyAlignment="1" applyBorder="1" applyFill="1" applyFont="1" applyNumberFormat="1">
      <alignment horizontal="right" vertical="bottom"/>
    </xf>
    <xf borderId="39" fillId="0" fontId="22" numFmtId="170" xfId="0" applyAlignment="1" applyBorder="1" applyFont="1" applyNumberFormat="1">
      <alignment horizontal="right" vertical="bottom"/>
    </xf>
    <xf borderId="39" fillId="0" fontId="22" numFmtId="165" xfId="0" applyAlignment="1" applyBorder="1" applyFont="1" applyNumberFormat="1">
      <alignment horizontal="right" vertical="bottom"/>
    </xf>
    <xf borderId="39" fillId="9" fontId="24" numFmtId="164" xfId="0" applyAlignment="1" applyBorder="1" applyFill="1" applyFont="1" applyNumberFormat="1">
      <alignment horizontal="right" vertical="bottom"/>
    </xf>
    <xf borderId="39" fillId="0" fontId="22" numFmtId="167" xfId="0" applyAlignment="1" applyBorder="1" applyFont="1" applyNumberFormat="1">
      <alignment horizontal="right" vertical="bottom"/>
    </xf>
    <xf borderId="39" fillId="0" fontId="22" numFmtId="2" xfId="0" applyAlignment="1" applyBorder="1" applyFont="1" applyNumberFormat="1">
      <alignment horizontal="right" vertical="bottom"/>
    </xf>
    <xf borderId="39" fillId="0" fontId="22" numFmtId="168" xfId="0" applyAlignment="1" applyBorder="1" applyFont="1" applyNumberFormat="1">
      <alignment horizontal="right" vertical="bottom"/>
    </xf>
    <xf borderId="39" fillId="8" fontId="25" numFmtId="164" xfId="0" applyAlignment="1" applyBorder="1" applyFill="1" applyFont="1" applyNumberFormat="1">
      <alignment horizontal="right" vertical="bottom"/>
    </xf>
    <xf borderId="40" fillId="6" fontId="23" numFmtId="164" xfId="0" applyAlignment="1" applyBorder="1" applyFill="1" applyFont="1" applyNumberFormat="1">
      <alignment horizontal="right" vertical="bottom"/>
    </xf>
    <xf borderId="41" fillId="0" fontId="22" numFmtId="2" xfId="0" applyAlignment="1" applyBorder="1" applyFont="1" applyNumberFormat="1">
      <alignment horizontal="right" vertical="bottom"/>
    </xf>
    <xf borderId="42" fillId="6" fontId="23" numFmtId="164" xfId="0" applyAlignment="1" applyBorder="1" applyFill="1" applyFont="1" applyNumberFormat="1">
      <alignment horizontal="right" vertical="bottom"/>
    </xf>
    <xf borderId="43" fillId="0" fontId="22" numFmtId="2" xfId="0" applyAlignment="1" applyBorder="1" applyFont="1" applyNumberFormat="1">
      <alignment horizontal="right" vertical="bottom"/>
    </xf>
    <xf borderId="39" fillId="0" fontId="2" numFmtId="170" xfId="0" applyAlignment="1" applyBorder="1" applyFont="1" applyNumberFormat="1">
      <alignment vertical="bottom"/>
    </xf>
    <xf borderId="39" fillId="8" fontId="2" numFmtId="164" xfId="0" applyAlignment="1" applyBorder="1" applyFill="1" applyFont="1" applyNumberFormat="1">
      <alignment vertical="bottom"/>
    </xf>
    <xf borderId="39" fillId="9" fontId="2" numFmtId="164" xfId="0" applyAlignment="1" applyBorder="1" applyFill="1" applyFont="1" applyNumberFormat="1">
      <alignment horizontal="right" vertical="bottom"/>
    </xf>
    <xf borderId="39" fillId="8" fontId="2" numFmtId="164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19"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>
        <color rgb="FFFF0000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CC99FF"/>
          <bgColor rgb="FFCC99FF"/>
        </patternFill>
      </fill>
      <border/>
    </dxf>
    <dxf>
      <font>
        <b/>
        <i/>
        <color rgb="FF197F19"/>
      </font>
      <fill>
        <patternFill patternType="solid">
          <fgColor rgb="FFD8EDD3"/>
          <bgColor rgb="FFD8EDD3"/>
        </patternFill>
      </fill>
      <border/>
    </dxf>
    <dxf>
      <font>
        <color rgb="FF197F19"/>
      </font>
      <fill>
        <patternFill patternType="solid">
          <fgColor rgb="FFD8EDD3"/>
          <bgColor rgb="FFD8EDD3"/>
        </patternFill>
      </fill>
      <border/>
    </dxf>
    <dxf>
      <font>
        <b/>
        <i/>
        <color rgb="FF990000"/>
      </font>
      <fill>
        <patternFill patternType="solid">
          <fgColor rgb="FFF9CCCC"/>
          <bgColor rgb="FFF9CCCC"/>
        </patternFill>
      </fill>
      <border/>
    </dxf>
    <dxf>
      <font>
        <color rgb="FF990000"/>
      </font>
      <fill>
        <patternFill patternType="solid">
          <fgColor rgb="FFF9CCCC"/>
          <bgColor rgb="FFF9CCCC"/>
        </patternFill>
      </fill>
      <border/>
    </dxf>
    <dxf>
      <font>
        <b/>
        <i/>
        <color rgb="FF4C4C4C"/>
      </font>
      <fill>
        <patternFill patternType="solid">
          <fgColor rgb="FFE5E5E5"/>
          <bgColor rgb="FFE5E5E5"/>
        </patternFill>
      </fill>
      <border/>
    </dxf>
    <dxf>
      <font>
        <color rgb="FF4C4C4C"/>
      </font>
      <fill>
        <patternFill patternType="solid">
          <fgColor rgb="FFE5E5E5"/>
          <bgColor rgb="FFE5E5E5"/>
        </patternFill>
      </fill>
      <border/>
    </dxf>
    <dxf>
      <font>
        <color rgb="FF197F19"/>
      </font>
      <fill>
        <patternFill patternType="solid">
          <fgColor rgb="FFD8EDD3"/>
          <bgColor rgb="FFD8EDD3"/>
        </patternFill>
      </fill>
      <border/>
    </dxf>
    <dxf>
      <font>
        <color rgb="FF990000"/>
      </font>
      <fill>
        <patternFill patternType="solid">
          <fgColor rgb="FFF9CCCC"/>
          <bgColor rgb="FFF9CCCC"/>
        </patternFill>
      </fill>
      <border/>
    </dxf>
    <dxf>
      <font>
        <color rgb="FF4C4C4C"/>
      </font>
      <fill>
        <patternFill patternType="solid">
          <fgColor rgb="FFE5E5E5"/>
          <bgColor rgb="FFE5E5E5"/>
        </patternFill>
      </fill>
      <border/>
    </dxf>
    <dxf>
      <font>
        <b/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levels req and Actual Data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RM_Config_Change_Est!$V$5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RM_Config_Change_Est!$V$6:$V$35</c:f>
              <c:numCache/>
            </c:numRef>
          </c:val>
          <c:smooth val="0"/>
        </c:ser>
        <c:ser>
          <c:idx val="1"/>
          <c:order val="1"/>
          <c:tx>
            <c:strRef>
              <c:f>RM_Config_Change_Est!$W$5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RM_Config_Change_Est!$W$6:$W$35</c:f>
              <c:numCache/>
            </c:numRef>
          </c:val>
          <c:smooth val="0"/>
        </c:ser>
        <c:axId val="1188816026"/>
        <c:axId val="913474180"/>
      </c:lineChart>
      <c:catAx>
        <c:axId val="1188816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3474180"/>
      </c:catAx>
      <c:valAx>
        <c:axId val="913474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88160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 Actual Data vs levels req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RM_Config_Change_Est!$V$39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RM_Config_Change_Est!$B$40:$B$68</c:f>
            </c:strRef>
          </c:cat>
          <c:val>
            <c:numRef>
              <c:f>RM_Config_Change_Est!$V$40:$V$69</c:f>
              <c:numCache/>
            </c:numRef>
          </c:val>
          <c:smooth val="0"/>
        </c:ser>
        <c:ser>
          <c:idx val="1"/>
          <c:order val="1"/>
          <c:tx>
            <c:strRef>
              <c:f>RM_Config_Change_Est!$W$39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RM_Config_Change_Est!$B$40:$B$68</c:f>
            </c:strRef>
          </c:cat>
          <c:val>
            <c:numRef>
              <c:f>RM_Config_Change_Est!$W$40:$W$69</c:f>
              <c:numCache/>
            </c:numRef>
          </c:val>
          <c:smooth val="0"/>
        </c:ser>
        <c:axId val="1550287746"/>
        <c:axId val="1348185104"/>
      </c:lineChart>
      <c:catAx>
        <c:axId val="1550287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levels req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8185104"/>
      </c:catAx>
      <c:valAx>
        <c:axId val="1348185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 Actual 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0287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 Level Completion Req (Full)</a:t>
            </a:r>
          </a:p>
        </c:rich>
      </c:tx>
      <c:layout>
        <c:manualLayout>
          <c:xMode val="edge"/>
          <c:yMode val="edge"/>
          <c:x val="0.03092967818831943"/>
          <c:y val="0.04614643545279384"/>
        </c:manualLayout>
      </c:layout>
      <c:overlay val="0"/>
    </c:title>
    <c:plotArea>
      <c:layout/>
      <c:lineChart>
        <c:ser>
          <c:idx val="0"/>
          <c:order val="0"/>
          <c:tx>
            <c:v>Old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RM_Config_Change_Est!$B$40:$B$69</c:f>
            </c:strRef>
          </c:cat>
          <c:val>
            <c:numRef>
              <c:f>RM_Config_Change_Est!$W$6:$W$35</c:f>
              <c:numCache/>
            </c:numRef>
          </c:val>
          <c:smooth val="0"/>
        </c:ser>
        <c:ser>
          <c:idx val="1"/>
          <c:order val="1"/>
          <c:tx>
            <c:v>New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RM_Config_Change_Est!$B$40:$B$69</c:f>
            </c:strRef>
          </c:cat>
          <c:val>
            <c:numRef>
              <c:f>RM_Config_Change_Est!$W$40:$W$69</c:f>
              <c:numCache/>
            </c:numRef>
          </c:val>
          <c:smooth val="0"/>
        </c:ser>
        <c:axId val="422742503"/>
        <c:axId val="1072157124"/>
      </c:lineChart>
      <c:catAx>
        <c:axId val="422742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2157124"/>
      </c:catAx>
      <c:valAx>
        <c:axId val="1072157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Level Completes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27425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 Level Completion Req (1-12)</a:t>
            </a:r>
          </a:p>
        </c:rich>
      </c:tx>
      <c:layout>
        <c:manualLayout>
          <c:xMode val="edge"/>
          <c:yMode val="edge"/>
          <c:x val="0.03092967818831943"/>
          <c:y val="0.04614643545279384"/>
        </c:manualLayout>
      </c:layout>
      <c:overlay val="0"/>
    </c:title>
    <c:plotArea>
      <c:layout/>
      <c:lineChart>
        <c:ser>
          <c:idx val="0"/>
          <c:order val="0"/>
          <c:tx>
            <c:v>Old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RM_Config_Change_Est!$B$40:$B$51</c:f>
            </c:strRef>
          </c:cat>
          <c:val>
            <c:numRef>
              <c:f>RM_Config_Change_Est!$W$6:$W$17</c:f>
              <c:numCache/>
            </c:numRef>
          </c:val>
          <c:smooth val="0"/>
        </c:ser>
        <c:ser>
          <c:idx val="1"/>
          <c:order val="1"/>
          <c:tx>
            <c:v>New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RM_Config_Change_Est!$B$40:$B$51</c:f>
            </c:strRef>
          </c:cat>
          <c:val>
            <c:numRef>
              <c:f>RM_Config_Change_Est!$W$40:$W$51</c:f>
              <c:numCache/>
            </c:numRef>
          </c:val>
          <c:smooth val="0"/>
        </c:ser>
        <c:axId val="1207949395"/>
        <c:axId val="1733734311"/>
      </c:lineChart>
      <c:catAx>
        <c:axId val="1207949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3734311"/>
      </c:catAx>
      <c:valAx>
        <c:axId val="1733734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Level Completes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79493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171450</xdr:colOff>
      <xdr:row>5</xdr:row>
      <xdr:rowOff>114300</xdr:rowOff>
    </xdr:from>
    <xdr:ext cx="7753350" cy="4791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142875</xdr:colOff>
      <xdr:row>39</xdr:row>
      <xdr:rowOff>19050</xdr:rowOff>
    </xdr:from>
    <xdr:ext cx="7800975" cy="47910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</xdr:colOff>
      <xdr:row>70</xdr:row>
      <xdr:rowOff>9525</xdr:rowOff>
    </xdr:from>
    <xdr:ext cx="7991475" cy="49434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123825</xdr:colOff>
      <xdr:row>81</xdr:row>
      <xdr:rowOff>104775</xdr:rowOff>
    </xdr:from>
    <xdr:ext cx="4457700" cy="27622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2.57"/>
    <col customWidth="1" min="2" max="2" width="31.0"/>
    <col customWidth="1" hidden="1" min="3" max="4" width="11.0"/>
    <col customWidth="1" hidden="1" min="5" max="5" width="10.0"/>
    <col customWidth="1" min="6" max="7" width="11.0"/>
    <col customWidth="1" min="8" max="8" width="10.0"/>
    <col customWidth="1" min="9" max="10" width="11.0"/>
    <col customWidth="1" min="11" max="11" width="10.0"/>
    <col customWidth="1" min="12" max="13" width="11.0"/>
    <col customWidth="1" min="14" max="14" width="10.0"/>
    <col customWidth="1" min="15" max="16" width="11.0"/>
    <col customWidth="1" min="17" max="17" width="10.0"/>
    <col customWidth="1" min="18" max="19" width="11.0"/>
    <col customWidth="1" min="20" max="20" width="10.0"/>
    <col hidden="1" min="21" max="22" width="14.43"/>
  </cols>
  <sheetData>
    <row r="1">
      <c r="A1" s="1" t="s">
        <v>1</v>
      </c>
    </row>
    <row r="2">
      <c r="B2" s="2"/>
      <c r="F2" s="4"/>
      <c r="H2" s="2"/>
      <c r="L2" s="4"/>
      <c r="N2" s="2"/>
      <c r="R2" s="4"/>
      <c r="T2" s="5"/>
    </row>
    <row r="3" ht="21.75" customHeight="1">
      <c r="A3" s="8" t="s">
        <v>2</v>
      </c>
      <c r="B3" s="11" t="s">
        <v>3</v>
      </c>
      <c r="C3" s="13">
        <v>0.0</v>
      </c>
      <c r="D3" s="14"/>
      <c r="E3" s="15"/>
      <c r="F3" s="13" t="s">
        <v>11</v>
      </c>
      <c r="G3" s="14"/>
      <c r="H3" s="16"/>
      <c r="I3" s="13" t="s">
        <v>12</v>
      </c>
      <c r="J3" s="14"/>
      <c r="K3" s="15"/>
      <c r="L3" s="17" t="s">
        <v>13</v>
      </c>
      <c r="M3" s="14"/>
      <c r="N3" s="16"/>
      <c r="O3" s="13" t="s">
        <v>14</v>
      </c>
      <c r="P3" s="14"/>
      <c r="Q3" s="15"/>
      <c r="R3" s="13" t="s">
        <v>15</v>
      </c>
      <c r="S3" s="14"/>
      <c r="T3" s="16"/>
    </row>
    <row r="4" ht="18.0" customHeight="1">
      <c r="A4" s="19"/>
      <c r="B4" s="20"/>
      <c r="C4" s="21" t="s">
        <v>4</v>
      </c>
      <c r="D4" s="22" t="s">
        <v>5</v>
      </c>
      <c r="E4" s="23" t="s">
        <v>7</v>
      </c>
      <c r="F4" s="24" t="s">
        <v>4</v>
      </c>
      <c r="G4" s="22" t="s">
        <v>5</v>
      </c>
      <c r="H4" s="25" t="s">
        <v>7</v>
      </c>
      <c r="I4" s="21" t="s">
        <v>4</v>
      </c>
      <c r="J4" s="22" t="s">
        <v>5</v>
      </c>
      <c r="K4" s="23" t="s">
        <v>7</v>
      </c>
      <c r="L4" s="24" t="s">
        <v>4</v>
      </c>
      <c r="M4" s="22" t="s">
        <v>5</v>
      </c>
      <c r="N4" s="25" t="s">
        <v>7</v>
      </c>
      <c r="O4" s="21" t="s">
        <v>4</v>
      </c>
      <c r="P4" s="22" t="s">
        <v>5</v>
      </c>
      <c r="Q4" s="23" t="s">
        <v>7</v>
      </c>
      <c r="R4" s="24" t="s">
        <v>4</v>
      </c>
      <c r="S4" s="22" t="s">
        <v>5</v>
      </c>
      <c r="T4" s="25" t="s">
        <v>7</v>
      </c>
    </row>
    <row r="5">
      <c r="A5" s="27" t="s">
        <v>8</v>
      </c>
      <c r="B5" s="28"/>
      <c r="C5" s="30"/>
      <c r="D5" s="7"/>
      <c r="E5" s="31"/>
      <c r="F5" s="32"/>
      <c r="G5" s="7"/>
      <c r="H5" s="28"/>
      <c r="I5" s="30"/>
      <c r="J5" s="7"/>
      <c r="K5" s="31"/>
      <c r="L5" s="32"/>
      <c r="M5" s="7"/>
      <c r="N5" s="28"/>
      <c r="O5" s="30"/>
      <c r="P5" s="7"/>
      <c r="Q5" s="31"/>
      <c r="R5" s="32"/>
      <c r="S5" s="7"/>
      <c r="T5" s="28"/>
    </row>
    <row r="6">
      <c r="A6" s="9"/>
      <c r="B6" s="33" t="s">
        <v>9</v>
      </c>
      <c r="C6" s="35">
        <f>SUMIFS(Raw_Data_Daily!$D:$D, Raw_Data_Daily!$B:$B, "Control", Raw_Data_Daily!$C:$C, "A. 0")</f>
        <v>0</v>
      </c>
      <c r="D6" s="18">
        <f>SUMIFS(Raw_Data_Daily!$D:$D, Raw_Data_Daily!$B:$B, "Variant", Raw_Data_Daily!$C:$C, "A. 0")</f>
        <v>0</v>
      </c>
      <c r="E6" s="38" t="str">
        <f>IFERROR((D6-C6)/ABS(C6),"")</f>
        <v/>
      </c>
      <c r="F6" s="40">
        <f>SUMIFS(Raw_Data_Daily!$D:$D, Raw_Data_Daily!$B:$B, "Control", Raw_Data_Daily!$C:$C, "B. 1-9")</f>
        <v>61400</v>
      </c>
      <c r="G6" s="18">
        <f>SUMIFS(Raw_Data_Daily!$D:$D, Raw_Data_Daily!$B:$B, "Variant", Raw_Data_Daily!$C:$C, "B. 1-9")</f>
        <v>61508</v>
      </c>
      <c r="H6" s="41">
        <f>IFERROR((G6-F6)/ABS(F6),"")</f>
        <v>0.001758957655</v>
      </c>
      <c r="I6" s="35">
        <f>SUMIFS(Raw_Data_Daily!$D:$D, Raw_Data_Daily!$B:$B, "Control", Raw_Data_Daily!$C:$C, "C. 10-19")</f>
        <v>43234</v>
      </c>
      <c r="J6" s="18">
        <f>SUMIFS(Raw_Data_Daily!$D:$D, Raw_Data_Daily!$B:$B, "Variant", Raw_Data_Daily!$C:$C, "C. 10-19")</f>
        <v>44265</v>
      </c>
      <c r="K6" s="38">
        <f>IFERROR((J6-I6)/ABS(I6),"")</f>
        <v>0.02384697229</v>
      </c>
      <c r="L6" s="40">
        <f>SUMIFS(Raw_Data_Daily!$D:$D, Raw_Data_Daily!$B:$B, "Control", Raw_Data_Daily!$C:$C, "D. 20-39")</f>
        <v>37201</v>
      </c>
      <c r="M6" s="18">
        <f>SUMIFS(Raw_Data_Daily!$D:$D, Raw_Data_Daily!$B:$B, "Variant", Raw_Data_Daily!$C:$C, "D. 20-39")</f>
        <v>37039</v>
      </c>
      <c r="N6" s="41">
        <f>IFERROR((M6-L6)/ABS(L6),"")</f>
        <v>-0.004354721647</v>
      </c>
      <c r="O6" s="35">
        <f>SUMIFS(Raw_Data_Daily!$D:$D, Raw_Data_Daily!$B:$B, "Control", Raw_Data_Daily!$C:$C, "E. 40-99")</f>
        <v>23787</v>
      </c>
      <c r="P6" s="18">
        <f>SUMIFS(Raw_Data_Daily!$D:$D, Raw_Data_Daily!$B:$B, "Variant", Raw_Data_Daily!$C:$C, "E. 40-99")</f>
        <v>22845</v>
      </c>
      <c r="Q6" s="38">
        <f>IFERROR((P6-O6)/ABS(O6),"")</f>
        <v>-0.03960146298</v>
      </c>
      <c r="R6" s="40">
        <f>SUMIFS(Raw_Data_Daily!$D:$D, Raw_Data_Daily!$B:$B, "Control", Raw_Data_Daily!$C:$C, "F. 100+")</f>
        <v>3548</v>
      </c>
      <c r="S6" s="18">
        <f>SUMIFS(Raw_Data_Daily!$D:$D, Raw_Data_Daily!$B:$B, "Variant", Raw_Data_Daily!$C:$C, "F. 100+")</f>
        <v>3283</v>
      </c>
      <c r="T6" s="41">
        <f>IFERROR((S6-R6)/ABS(R6),"")</f>
        <v>-0.07468996618</v>
      </c>
    </row>
    <row r="7">
      <c r="A7" s="27" t="s">
        <v>16</v>
      </c>
      <c r="B7" s="28"/>
      <c r="C7" s="30"/>
      <c r="D7" s="7"/>
      <c r="E7" s="31"/>
      <c r="F7" s="32"/>
      <c r="G7" s="7"/>
      <c r="H7" s="28"/>
      <c r="I7" s="30"/>
      <c r="J7" s="7"/>
      <c r="K7" s="31"/>
      <c r="L7" s="32"/>
      <c r="M7" s="7"/>
      <c r="N7" s="28"/>
      <c r="O7" s="30"/>
      <c r="P7" s="7"/>
      <c r="Q7" s="31"/>
      <c r="R7" s="32"/>
      <c r="S7" s="7"/>
      <c r="T7" s="28"/>
    </row>
    <row r="8">
      <c r="A8" s="9"/>
      <c r="B8" s="33" t="s">
        <v>17</v>
      </c>
      <c r="C8" s="45">
        <f>SUMIFS(Raw_Data_Daily!$F:$F, Raw_Data_Daily!$B:$B, "Control", Raw_Data_Daily!$C:$C, "A. 0")</f>
        <v>0</v>
      </c>
      <c r="D8" s="34">
        <f>SUMIFS(Raw_Data_Daily!$F:$F, Raw_Data_Daily!$B:$B, "Variant", Raw_Data_Daily!$C:$C, "A. 0")</f>
        <v>0</v>
      </c>
      <c r="E8" s="46" t="str">
        <f t="shared" ref="E8:E11" si="1">IFERROR((D8-C8)/ABS(C8),"")</f>
        <v/>
      </c>
      <c r="F8" s="47">
        <f>SUMIFS(Raw_Data_Daily!$F:$F, Raw_Data_Daily!$B:$B, "Control", Raw_Data_Daily!$C:$C, "B. 1-9")</f>
        <v>2317.41</v>
      </c>
      <c r="G8" s="34">
        <f>SUMIFS(Raw_Data_Daily!$F:$F, Raw_Data_Daily!$B:$B, "Variant", Raw_Data_Daily!$C:$C, "B. 1-9")</f>
        <v>2128.97</v>
      </c>
      <c r="H8" s="48">
        <f t="shared" ref="H8:H11" si="2">IFERROR((G8-F8)/ABS(F8),"")</f>
        <v>-0.08131491622</v>
      </c>
      <c r="I8" s="45">
        <f>SUMIFS(Raw_Data_Daily!$F:$F, Raw_Data_Daily!$B:$B, "Control", Raw_Data_Daily!$C:$C, "C. 10-19")</f>
        <v>3818.71</v>
      </c>
      <c r="J8" s="34">
        <f>SUMIFS(Raw_Data_Daily!$F:$F, Raw_Data_Daily!$B:$B, "Variant", Raw_Data_Daily!$C:$C, "C. 10-19")</f>
        <v>4047.88</v>
      </c>
      <c r="K8" s="46">
        <f t="shared" ref="K8:K11" si="3">IFERROR((J8-I8)/ABS(I8),"")</f>
        <v>0.06001241257</v>
      </c>
      <c r="L8" s="47">
        <f>SUMIFS(Raw_Data_Daily!$F:$F, Raw_Data_Daily!$B:$B, "Control", Raw_Data_Daily!$C:$C, "D. 20-39")</f>
        <v>6700.02</v>
      </c>
      <c r="M8" s="34">
        <f>SUMIFS(Raw_Data_Daily!$F:$F, Raw_Data_Daily!$B:$B, "Variant", Raw_Data_Daily!$C:$C, "D. 20-39")</f>
        <v>5209.65</v>
      </c>
      <c r="N8" s="48">
        <f t="shared" ref="N8:N11" si="4">IFERROR((M8-L8)/ABS(L8),"")</f>
        <v>-0.2224426196</v>
      </c>
      <c r="O8" s="45">
        <f>SUMIFS(Raw_Data_Daily!$F:$F, Raw_Data_Daily!$B:$B, "Control", Raw_Data_Daily!$C:$C, "E. 40-99")</f>
        <v>9072.24</v>
      </c>
      <c r="P8" s="34">
        <f>SUMIFS(Raw_Data_Daily!$F:$F, Raw_Data_Daily!$B:$B, "Variant", Raw_Data_Daily!$C:$C, "E. 40-99")</f>
        <v>8063.71</v>
      </c>
      <c r="Q8" s="50">
        <f t="shared" ref="Q8:Q11" si="5">IFERROR((P8-O8)/ABS(O8),"")</f>
        <v>-0.1111665917</v>
      </c>
      <c r="R8" s="47">
        <f>SUMIFS(Raw_Data_Daily!$F:$F, Raw_Data_Daily!$B:$B, "Control", Raw_Data_Daily!$C:$C, "F. 100+")</f>
        <v>3100.98</v>
      </c>
      <c r="S8" s="34">
        <f>SUMIFS(Raw_Data_Daily!$F:$F, Raw_Data_Daily!$B:$B, "Variant", Raw_Data_Daily!$C:$C, "F. 100+")</f>
        <v>2891.01</v>
      </c>
      <c r="T8" s="53">
        <f t="shared" ref="T8:T11" si="6">IFERROR((S8-R8)/ABS(R8),"")</f>
        <v>-0.0677108527</v>
      </c>
      <c r="V8" s="54"/>
    </row>
    <row r="9">
      <c r="A9" s="9"/>
      <c r="B9" s="33" t="s">
        <v>18</v>
      </c>
      <c r="C9" s="55" t="str">
        <f>IFERROR(SUMIFS(Raw_Data_Daily!$F:$F, Raw_Data_Daily!$B:$B, "Control", Raw_Data_Daily!$C:$C, "A. 0")/SUMIFS(Raw_Data_Daily!$D:$D, Raw_Data_Daily!$B:$B, "Control", Raw_Data_Daily!$C:$C, "A. 0"),"")</f>
        <v/>
      </c>
      <c r="D9" s="39" t="str">
        <f>IFERROR(SUMIFS(Raw_Data_Daily!$F:$F, Raw_Data_Daily!$B:$B, "Variant", Raw_Data_Daily!$C:$C, "A. 0")/SUMIFS(Raw_Data_Daily!$D:$D, Raw_Data_Daily!$B:$B, "Variant", Raw_Data_Daily!$C:$C, "A. 0"),"")</f>
        <v/>
      </c>
      <c r="E9" s="46" t="str">
        <f t="shared" si="1"/>
        <v/>
      </c>
      <c r="F9" s="56">
        <f>IFERROR(SUMIFS(Raw_Data_Daily!$F:$F, Raw_Data_Daily!$B:$B, "Control", Raw_Data_Daily!$C:$C, "B. 1-9")/SUMIFS(Raw_Data_Daily!$D:$D, Raw_Data_Daily!$B:$B, "Control", Raw_Data_Daily!$C:$C, "B. 1-9"),"")</f>
        <v>0.03774283388</v>
      </c>
      <c r="G9" s="39">
        <f>IFERROR(SUMIFS(Raw_Data_Daily!$F:$F, Raw_Data_Daily!$B:$B, "Variant", Raw_Data_Daily!$C:$C, "B. 1-9")/SUMIFS(Raw_Data_Daily!$D:$D, Raw_Data_Daily!$B:$B, "Variant", Raw_Data_Daily!$C:$C, "B. 1-9"),"")</f>
        <v>0.03461289588</v>
      </c>
      <c r="H9" s="48">
        <f t="shared" si="2"/>
        <v>-0.08292800702</v>
      </c>
      <c r="I9" s="55">
        <f>IFERROR(SUMIFS(Raw_Data_Daily!$F:$F, Raw_Data_Daily!$B:$B, "Control", Raw_Data_Daily!$C:$C, "C. 10-19")/SUMIFS(Raw_Data_Daily!$D:$D, Raw_Data_Daily!$B:$B, "Control", Raw_Data_Daily!$C:$C, "C. 10-19"),"")</f>
        <v>0.08832654855</v>
      </c>
      <c r="J9" s="39">
        <f>IFERROR(SUMIFS(Raw_Data_Daily!$F:$F, Raw_Data_Daily!$B:$B, "Variant", Raw_Data_Daily!$C:$C, "C. 10-19")/SUMIFS(Raw_Data_Daily!$D:$D, Raw_Data_Daily!$B:$B, "Variant", Raw_Data_Daily!$C:$C, "C. 10-19"),"")</f>
        <v>0.09144651531</v>
      </c>
      <c r="K9" s="46">
        <f t="shared" si="3"/>
        <v>0.03532309149</v>
      </c>
      <c r="L9" s="56">
        <f>IFERROR(SUMIFS(Raw_Data_Daily!$F:$F, Raw_Data_Daily!$B:$B, "Control", Raw_Data_Daily!$C:$C, "D. 20-39")/SUMIFS(Raw_Data_Daily!$D:$D, Raw_Data_Daily!$B:$B, "Control", Raw_Data_Daily!$C:$C, "D. 20-39"),"")</f>
        <v>0.180103223</v>
      </c>
      <c r="M9" s="39">
        <f>IFERROR(SUMIFS(Raw_Data_Daily!$F:$F, Raw_Data_Daily!$B:$B, "Variant", Raw_Data_Daily!$C:$C, "D. 20-39")/SUMIFS(Raw_Data_Daily!$D:$D, Raw_Data_Daily!$B:$B, "Variant", Raw_Data_Daily!$C:$C, "D. 20-39"),"")</f>
        <v>0.1406530954</v>
      </c>
      <c r="N9" s="48">
        <f t="shared" si="4"/>
        <v>-0.2190417638</v>
      </c>
      <c r="O9" s="55">
        <f>IFERROR(SUMIFS(Raw_Data_Daily!$F:$F, Raw_Data_Daily!$B:$B, "Control", Raw_Data_Daily!$C:$C, "E. 40-99")/SUMIFS(Raw_Data_Daily!$D:$D, Raw_Data_Daily!$B:$B, "Control", Raw_Data_Daily!$C:$C, "E. 40-99"),"")</f>
        <v>0.3813948796</v>
      </c>
      <c r="P9" s="39">
        <f>IFERROR(SUMIFS(Raw_Data_Daily!$F:$F, Raw_Data_Daily!$B:$B, "Variant", Raw_Data_Daily!$C:$C, "E. 40-99")/SUMIFS(Raw_Data_Daily!$D:$D, Raw_Data_Daily!$B:$B, "Variant", Raw_Data_Daily!$C:$C, "E. 40-99"),"")</f>
        <v>0.3529748304</v>
      </c>
      <c r="Q9" s="50">
        <f t="shared" si="5"/>
        <v>-0.07451607429</v>
      </c>
      <c r="R9" s="56">
        <f>IFERROR(SUMIFS(Raw_Data_Daily!$F:$F, Raw_Data_Daily!$B:$B, "Control", Raw_Data_Daily!$C:$C, "F. 100+")/SUMIFS(Raw_Data_Daily!$D:$D, Raw_Data_Daily!$B:$B, "Control", Raw_Data_Daily!$C:$C, "F. 100+"),"")</f>
        <v>0.8740078918</v>
      </c>
      <c r="S9" s="39">
        <f>IFERROR(SUMIFS(Raw_Data_Daily!$F:$F, Raw_Data_Daily!$B:$B, "Variant", Raw_Data_Daily!$C:$C, "F. 100+")/SUMIFS(Raw_Data_Daily!$D:$D, Raw_Data_Daily!$B:$B, "Variant", Raw_Data_Daily!$C:$C, "F. 100+"),"")</f>
        <v>0.8806000609</v>
      </c>
      <c r="T9" s="53">
        <f t="shared" si="6"/>
        <v>0.007542459527</v>
      </c>
    </row>
    <row r="10">
      <c r="A10" s="9"/>
      <c r="B10" s="33" t="s">
        <v>43</v>
      </c>
      <c r="C10" s="61" t="str">
        <f>IFERROR(SUMPRODUCT((Raw_Data_Daily!$B$2:$B$9999="Control")*(Raw_Data_Daily!$C$2:$C$9999="A. 0")*Raw_Data_Daily!$D$2:$D$9999*Raw_Data_Daily!$H$2:$H$9999/100)/SUMIFS(Raw_Data_Daily!$D:$D, Raw_Data_Daily!$B:$B, "Control", Raw_Data_Daily!$C:$C, "A. 0")*100,"")</f>
        <v/>
      </c>
      <c r="D10" s="62" t="str">
        <f>IFERROR(SUMPRODUCT((Raw_Data_Daily!$B$2:$B$9999="Variant")*(Raw_Data_Daily!$C$2:$C$9999="A. 0")*Raw_Data_Daily!$D$2:$D$9999*Raw_Data_Daily!$H$2:$H$9999/100)/SUMIFS(Raw_Data_Daily!$D:$D, Raw_Data_Daily!$B:$B, "Variant", Raw_Data_Daily!$C:$C, "A. 0")*100,"")</f>
        <v/>
      </c>
      <c r="E10" s="46" t="str">
        <f t="shared" si="1"/>
        <v/>
      </c>
      <c r="F10" s="63">
        <f>IFERROR(SUMPRODUCT((Raw_Data_Daily!$B$2:$B$9999="Control")*(Raw_Data_Daily!$C$2:$C$9999="B. 1-9")*Raw_Data_Daily!$D$2:$D$9999*Raw_Data_Daily!$H$2:$H$9999/100)/SUMIFS(Raw_Data_Daily!$D:$D, Raw_Data_Daily!$B:$B, "Control", Raw_Data_Daily!$C:$C, "B. 1-9")*100,"")</f>
        <v>1.461430782</v>
      </c>
      <c r="G10" s="62">
        <f>IFERROR(SUMPRODUCT((Raw_Data_Daily!$B$2:$B$9999="Variant")*(Raw_Data_Daily!$C$2:$C$9999="B. 1-9")*Raw_Data_Daily!$D$2:$D$9999*Raw_Data_Daily!$H$2:$H$9999/100)/SUMIFS(Raw_Data_Daily!$D:$D, Raw_Data_Daily!$B:$B, "Variant", Raw_Data_Daily!$C:$C, "B. 1-9")*100,"")</f>
        <v>1.281562398</v>
      </c>
      <c r="H10" s="53">
        <f t="shared" si="2"/>
        <v>-0.123076909</v>
      </c>
      <c r="I10" s="61">
        <f>IFERROR(SUMPRODUCT((Raw_Data_Daily!$B$2:$B$9999="Control")*(Raw_Data_Daily!$C$2:$C$9999="C. 10-19")*Raw_Data_Daily!$D$2:$D$9999*Raw_Data_Daily!$H$2:$H$9999/100)/SUMIFS(Raw_Data_Daily!$D:$D, Raw_Data_Daily!$B:$B, "Control", Raw_Data_Daily!$C:$C, "C. 10-19")*100,"")</f>
        <v>2.464645881</v>
      </c>
      <c r="J10" s="62">
        <f>IFERROR(SUMPRODUCT((Raw_Data_Daily!$B$2:$B$9999="Variant")*(Raw_Data_Daily!$C$2:$C$9999="C. 10-19")*Raw_Data_Daily!$D$2:$D$9999*Raw_Data_Daily!$H$2:$H$9999/100)/SUMIFS(Raw_Data_Daily!$D:$D, Raw_Data_Daily!$B:$B, "Variant", Raw_Data_Daily!$C:$C, "C. 10-19")*100,"")</f>
        <v>2.519811815</v>
      </c>
      <c r="K10" s="50">
        <f t="shared" si="3"/>
        <v>0.02238290502</v>
      </c>
      <c r="L10" s="63">
        <f>IFERROR(SUMPRODUCT((Raw_Data_Daily!$B$2:$B$9999="Control")*(Raw_Data_Daily!$C$2:$C$9999="D. 20-39")*Raw_Data_Daily!$D$2:$D$9999*Raw_Data_Daily!$H$2:$H$9999/100)/SUMIFS(Raw_Data_Daily!$D:$D, Raw_Data_Daily!$B:$B, "Control", Raw_Data_Daily!$C:$C, "D. 20-39")*100,"")</f>
        <v>3.585867047</v>
      </c>
      <c r="M10" s="62">
        <f>IFERROR(SUMPRODUCT((Raw_Data_Daily!$B$2:$B$9999="Variant")*(Raw_Data_Daily!$C$2:$C$9999="D. 20-39")*Raw_Data_Daily!$D$2:$D$9999*Raw_Data_Daily!$H$2:$H$9999/100)/SUMIFS(Raw_Data_Daily!$D:$D, Raw_Data_Daily!$B:$B, "Variant", Raw_Data_Daily!$C:$C, "D. 20-39")*100,"")</f>
        <v>3.322810551</v>
      </c>
      <c r="N10" s="48">
        <f t="shared" si="4"/>
        <v>-0.07335924398</v>
      </c>
      <c r="O10" s="61">
        <f>IFERROR(SUMPRODUCT((Raw_Data_Daily!$B$2:$B$9999="Control")*(Raw_Data_Daily!$C$2:$C$9999="E. 40-99")*Raw_Data_Daily!$D$2:$D$9999*Raw_Data_Daily!$H$2:$H$9999/100)/SUMIFS(Raw_Data_Daily!$D:$D, Raw_Data_Daily!$B:$B, "Control", Raw_Data_Daily!$C:$C, "E. 40-99")*100,"")</f>
        <v>5.796025981</v>
      </c>
      <c r="P10" s="62">
        <f>IFERROR(SUMPRODUCT((Raw_Data_Daily!$B$2:$B$9999="Variant")*(Raw_Data_Daily!$C$2:$C$9999="E. 40-99")*Raw_Data_Daily!$D$2:$D$9999*Raw_Data_Daily!$H$2:$H$9999/100)/SUMIFS(Raw_Data_Daily!$D:$D, Raw_Data_Daily!$B:$B, "Variant", Raw_Data_Daily!$C:$C, "E. 40-99")*100,"")</f>
        <v>5.369579777</v>
      </c>
      <c r="Q10" s="50">
        <f t="shared" si="5"/>
        <v>-0.07357561979</v>
      </c>
      <c r="R10" s="63">
        <f>IFERROR(SUMPRODUCT((Raw_Data_Daily!$B$2:$B$9999="Control")*(Raw_Data_Daily!$C$2:$C$9999="F. 100+")*Raw_Data_Daily!$D$2:$D$9999*Raw_Data_Daily!$H$2:$H$9999/100)/SUMIFS(Raw_Data_Daily!$D:$D, Raw_Data_Daily!$B:$B, "Control", Raw_Data_Daily!$C:$C, "F. 100+")*100,"")</f>
        <v>8.229523675</v>
      </c>
      <c r="S10" s="62">
        <f>IFERROR(SUMPRODUCT((Raw_Data_Daily!$B$2:$B$9999="Variant")*(Raw_Data_Daily!$C$2:$C$9999="F. 100+")*Raw_Data_Daily!$D$2:$D$9999*Raw_Data_Daily!$H$2:$H$9999/100)/SUMIFS(Raw_Data_Daily!$D:$D, Raw_Data_Daily!$B:$B, "Variant", Raw_Data_Daily!$C:$C, "F. 100+")*100,"")</f>
        <v>7.674632958</v>
      </c>
      <c r="T10" s="53">
        <f t="shared" si="6"/>
        <v>-0.06742683289</v>
      </c>
    </row>
    <row r="11">
      <c r="A11" s="9"/>
      <c r="B11" s="33" t="s">
        <v>19</v>
      </c>
      <c r="C11" s="55" t="str">
        <f>IFERROR(SUMIFS(Raw_Data_Daily!$F:$F, Raw_Data_Daily!$B:$B, "Control", Raw_Data_Daily!$C:$C, "A. 0")/SUMPRODUCT((Raw_Data_Daily!$B$2:$B$9999="Control")*(Raw_Data_Daily!$C$2:$C$9999="A. 0")*Raw_Data_Daily!$D$2:$D$9999*Raw_Data_Daily!$H$2:$H$9999/100),"")</f>
        <v/>
      </c>
      <c r="D11" s="39" t="str">
        <f>IFERROR(SUMIFS(Raw_Data_Daily!$F:$F, Raw_Data_Daily!$B:$B, "Variant", Raw_Data_Daily!$C:$C, "A. 0")/SUMPRODUCT((Raw_Data_Daily!$B$2:$B$9999="Variant")*(Raw_Data_Daily!$C$2:$C$9999="A. 0")*Raw_Data_Daily!$D$2:$D$9999*Raw_Data_Daily!$H$2:$H$9999/100),"")</f>
        <v/>
      </c>
      <c r="E11" s="46" t="str">
        <f t="shared" si="1"/>
        <v/>
      </c>
      <c r="F11" s="56">
        <f>IFERROR(SUMIFS(Raw_Data_Daily!$F:$F, Raw_Data_Daily!$B:$B, "Control", Raw_Data_Daily!$C:$C, "B. 1-9")/SUMPRODUCT((Raw_Data_Daily!$B$2:$B$9999="Control")*(Raw_Data_Daily!$C$2:$C$9999="B. 1-9")*Raw_Data_Daily!$D$2:$D$9999*Raw_Data_Daily!$H$2:$H$9999/100),"")</f>
        <v>2.582594697</v>
      </c>
      <c r="G11" s="39">
        <f>IFERROR(SUMIFS(Raw_Data_Daily!$F:$F, Raw_Data_Daily!$B:$B, "Variant", Raw_Data_Daily!$C:$C, "B. 1-9")/SUMPRODUCT((Raw_Data_Daily!$B$2:$B$9999="Variant")*(Raw_Data_Daily!$C$2:$C$9999="B. 1-9")*Raw_Data_Daily!$D$2:$D$9999*Raw_Data_Daily!$H$2:$H$9999/100),"")</f>
        <v>2.700835787</v>
      </c>
      <c r="H11" s="48">
        <f t="shared" si="2"/>
        <v>0.04578383488</v>
      </c>
      <c r="I11" s="55">
        <f>IFERROR(SUMIFS(Raw_Data_Daily!$F:$F, Raw_Data_Daily!$B:$B, "Control", Raw_Data_Daily!$C:$C, "C. 10-19")/SUMPRODUCT((Raw_Data_Daily!$B$2:$B$9999="Control")*(Raw_Data_Daily!$C$2:$C$9999="C. 10-19")*Raw_Data_Daily!$D$2:$D$9999*Raw_Data_Daily!$H$2:$H$9999/100),"")</f>
        <v>3.583741958</v>
      </c>
      <c r="J11" s="39">
        <f>IFERROR(SUMIFS(Raw_Data_Daily!$F:$F, Raw_Data_Daily!$B:$B, "Variant", Raw_Data_Daily!$C:$C, "C. 10-19")/SUMPRODUCT((Raw_Data_Daily!$B$2:$B$9999="Variant")*(Raw_Data_Daily!$C$2:$C$9999="C. 10-19")*Raw_Data_Daily!$D$2:$D$9999*Raw_Data_Daily!$H$2:$H$9999/100),"")</f>
        <v>3.629100981</v>
      </c>
      <c r="K11" s="46">
        <f t="shared" si="3"/>
        <v>0.01265688854</v>
      </c>
      <c r="L11" s="56">
        <f>IFERROR(SUMIFS(Raw_Data_Daily!$F:$F, Raw_Data_Daily!$B:$B, "Control", Raw_Data_Daily!$C:$C, "D. 20-39")/SUMPRODUCT((Raw_Data_Daily!$B$2:$B$9999="Control")*(Raw_Data_Daily!$C$2:$C$9999="D. 20-39")*Raw_Data_Daily!$D$2:$D$9999*Raw_Data_Daily!$H$2:$H$9999/100),"")</f>
        <v>5.022585073</v>
      </c>
      <c r="M11" s="39">
        <f>IFERROR(SUMIFS(Raw_Data_Daily!$F:$F, Raw_Data_Daily!$B:$B, "Variant", Raw_Data_Daily!$C:$C, "D. 20-39")/SUMPRODUCT((Raw_Data_Daily!$B$2:$B$9999="Variant")*(Raw_Data_Daily!$C$2:$C$9999="D. 20-39")*Raw_Data_Daily!$D$2:$D$9999*Raw_Data_Daily!$H$2:$H$9999/100),"")</f>
        <v>4.232955603</v>
      </c>
      <c r="N11" s="53">
        <f t="shared" si="4"/>
        <v>-0.1572157483</v>
      </c>
      <c r="O11" s="55">
        <f>IFERROR(SUMIFS(Raw_Data_Daily!$F:$F, Raw_Data_Daily!$B:$B, "Control", Raw_Data_Daily!$C:$C, "E. 40-99")/SUMPRODUCT((Raw_Data_Daily!$B$2:$B$9999="Control")*(Raw_Data_Daily!$C$2:$C$9999="E. 40-99")*Raw_Data_Daily!$D$2:$D$9999*Raw_Data_Daily!$H$2:$H$9999/100),"")</f>
        <v>6.580282435</v>
      </c>
      <c r="P11" s="39">
        <f>IFERROR(SUMIFS(Raw_Data_Daily!$F:$F, Raw_Data_Daily!$B:$B, "Variant", Raw_Data_Daily!$C:$C, "E. 40-99")/SUMPRODUCT((Raw_Data_Daily!$B$2:$B$9999="Variant")*(Raw_Data_Daily!$C$2:$C$9999="E. 40-99")*Raw_Data_Daily!$D$2:$D$9999*Raw_Data_Daily!$H$2:$H$9999/100),"")</f>
        <v>6.573602499</v>
      </c>
      <c r="Q11" s="50">
        <f t="shared" si="5"/>
        <v>-0.001015144376</v>
      </c>
      <c r="R11" s="56">
        <f>IFERROR(SUMIFS(Raw_Data_Daily!$F:$F, Raw_Data_Daily!$B:$B, "Control", Raw_Data_Daily!$C:$C, "F. 100+")/SUMPRODUCT((Raw_Data_Daily!$B$2:$B$9999="Control")*(Raw_Data_Daily!$C$2:$C$9999="F. 100+")*Raw_Data_Daily!$D$2:$D$9999*Raw_Data_Daily!$H$2:$H$9999/100),"")</f>
        <v>10.62039465</v>
      </c>
      <c r="S11" s="39">
        <f>IFERROR(SUMIFS(Raw_Data_Daily!$F:$F, Raw_Data_Daily!$B:$B, "Variant", Raw_Data_Daily!$C:$C, "F. 100+")/SUMPRODUCT((Raw_Data_Daily!$B$2:$B$9999="Variant")*(Raw_Data_Daily!$C$2:$C$9999="F. 100+")*Raw_Data_Daily!$D$2:$D$9999*Raw_Data_Daily!$H$2:$H$9999/100),"")</f>
        <v>11.47416516</v>
      </c>
      <c r="T11" s="53">
        <f t="shared" si="6"/>
        <v>0.08038971639</v>
      </c>
    </row>
    <row r="12">
      <c r="A12" s="27" t="s">
        <v>20</v>
      </c>
      <c r="B12" s="28"/>
      <c r="C12" s="30"/>
      <c r="D12" s="7"/>
      <c r="E12" s="31"/>
      <c r="F12" s="32"/>
      <c r="G12" s="7"/>
      <c r="H12" s="28"/>
      <c r="I12" s="30"/>
      <c r="J12" s="7"/>
      <c r="K12" s="31"/>
      <c r="L12" s="32"/>
      <c r="M12" s="7"/>
      <c r="N12" s="28"/>
      <c r="O12" s="30"/>
      <c r="P12" s="7"/>
      <c r="Q12" s="31"/>
      <c r="R12" s="32"/>
      <c r="S12" s="7"/>
      <c r="T12" s="28"/>
    </row>
    <row r="13">
      <c r="A13" s="9"/>
      <c r="B13" s="33" t="s">
        <v>21</v>
      </c>
      <c r="C13" s="68" t="str">
        <f>IFERROR(SUMPRODUCT((Raw_Data_Daily!$B$2:$B$9999="Control")*(Raw_Data_Daily!$C$2:$C$9999="A. 0")*Raw_Data_Daily!$D$2:$D$9999*Raw_Data_Daily!$J$2:$J$9999)/SUMIFS(Raw_Data_Daily!$D:$D, Raw_Data_Daily!$B:$B, "Control", Raw_Data_Daily!$C:$C, "A. 0"),"")</f>
        <v/>
      </c>
      <c r="D13" s="42" t="str">
        <f>IFERROR(SUMPRODUCT((Raw_Data_Daily!$B$2:$B$9999="Variant")*(Raw_Data_Daily!$C$2:$C$9999="A. 0")*Raw_Data_Daily!$D$2:$D$9999*Raw_Data_Daily!$J$2:$J$9999)/SUMIFS(Raw_Data_Daily!$D:$D, Raw_Data_Daily!$B:$B, "Variant", Raw_Data_Daily!$C:$C, "A. 0"),"")</f>
        <v/>
      </c>
      <c r="E13" s="50" t="str">
        <f t="shared" ref="E13:E15" si="7">IFERROR((D13-C13)/ABS(C13),"")</f>
        <v/>
      </c>
      <c r="F13" s="70">
        <f>IFERROR(SUMPRODUCT((Raw_Data_Daily!$B$2:$B$9999="Control")*(Raw_Data_Daily!$C$2:$C$9999="B. 1-9")*Raw_Data_Daily!$D$2:$D$9999*Raw_Data_Daily!$J$2:$J$9999)/SUMIFS(Raw_Data_Daily!$D:$D, Raw_Data_Daily!$B:$B, "Control", Raw_Data_Daily!$C:$C, "B. 1-9"),"")</f>
        <v>30.07132313</v>
      </c>
      <c r="G13" s="42">
        <f>IFERROR(SUMPRODUCT((Raw_Data_Daily!$B$2:$B$9999="Variant")*(Raw_Data_Daily!$C$2:$C$9999="B. 1-9")*Raw_Data_Daily!$D$2:$D$9999*Raw_Data_Daily!$J$2:$J$9999)/SUMIFS(Raw_Data_Daily!$D:$D, Raw_Data_Daily!$B:$B, "Variant", Raw_Data_Daily!$C:$C, "B. 1-9"),"")</f>
        <v>29.18623171</v>
      </c>
      <c r="H13" s="48">
        <f t="shared" ref="H13:H15" si="8">IFERROR((G13-F13)/ABS(F13),"")</f>
        <v>-0.02943307195</v>
      </c>
      <c r="I13" s="68">
        <f>IFERROR(SUMPRODUCT((Raw_Data_Daily!$B$2:$B$9999="Control")*(Raw_Data_Daily!$C$2:$C$9999="C. 10-19")*Raw_Data_Daily!$D$2:$D$9999*Raw_Data_Daily!$J$2:$J$9999)/SUMIFS(Raw_Data_Daily!$D:$D, Raw_Data_Daily!$B:$B, "Control", Raw_Data_Daily!$C:$C, "C. 10-19"),"")</f>
        <v>47.62186913</v>
      </c>
      <c r="J13" s="42">
        <f>IFERROR(SUMPRODUCT((Raw_Data_Daily!$B$2:$B$9999="Variant")*(Raw_Data_Daily!$C$2:$C$9999="C. 10-19")*Raw_Data_Daily!$D$2:$D$9999*Raw_Data_Daily!$J$2:$J$9999)/SUMIFS(Raw_Data_Daily!$D:$D, Raw_Data_Daily!$B:$B, "Variant", Raw_Data_Daily!$C:$C, "C. 10-19"),"")</f>
        <v>49.20117904</v>
      </c>
      <c r="K13" s="46">
        <f t="shared" ref="K13:K15" si="9">IFERROR((J13-I13)/ABS(I13),"")</f>
        <v>0.033163543</v>
      </c>
      <c r="L13" s="70">
        <f>IFERROR(SUMPRODUCT((Raw_Data_Daily!$B$2:$B$9999="Control")*(Raw_Data_Daily!$C$2:$C$9999="D. 20-39")*Raw_Data_Daily!$D$2:$D$9999*Raw_Data_Daily!$J$2:$J$9999)/SUMIFS(Raw_Data_Daily!$D:$D, Raw_Data_Daily!$B:$B, "Control", Raw_Data_Daily!$C:$C, "D. 20-39"),"")</f>
        <v>69.43420983</v>
      </c>
      <c r="M13" s="42">
        <f>IFERROR(SUMPRODUCT((Raw_Data_Daily!$B$2:$B$9999="Variant")*(Raw_Data_Daily!$C$2:$C$9999="D. 20-39")*Raw_Data_Daily!$D$2:$D$9999*Raw_Data_Daily!$J$2:$J$9999)/SUMIFS(Raw_Data_Daily!$D:$D, Raw_Data_Daily!$B:$B, "Variant", Raw_Data_Daily!$C:$C, "D. 20-39"),"")</f>
        <v>72.48255325</v>
      </c>
      <c r="N13" s="48">
        <f t="shared" ref="N13:N15" si="10">IFERROR((M13-L13)/ABS(L13),"")</f>
        <v>0.04390261557</v>
      </c>
      <c r="O13" s="68">
        <f>IFERROR(SUMPRODUCT((Raw_Data_Daily!$B$2:$B$9999="Control")*(Raw_Data_Daily!$C$2:$C$9999="E. 40-99")*Raw_Data_Daily!$D$2:$D$9999*Raw_Data_Daily!$J$2:$J$9999)/SUMIFS(Raw_Data_Daily!$D:$D, Raw_Data_Daily!$B:$B, "Control", Raw_Data_Daily!$C:$C, "E. 40-99"),"")</f>
        <v>112.4379964</v>
      </c>
      <c r="P13" s="42">
        <f>IFERROR(SUMPRODUCT((Raw_Data_Daily!$B$2:$B$9999="Variant")*(Raw_Data_Daily!$C$2:$C$9999="E. 40-99")*Raw_Data_Daily!$D$2:$D$9999*Raw_Data_Daily!$J$2:$J$9999)/SUMIFS(Raw_Data_Daily!$D:$D, Raw_Data_Daily!$B:$B, "Variant", Raw_Data_Daily!$C:$C, "E. 40-99"),"")</f>
        <v>116.0712948</v>
      </c>
      <c r="Q13" s="46">
        <f t="shared" ref="Q13:Q15" si="11">IFERROR((P13-O13)/ABS(O13),"")</f>
        <v>0.03231379556</v>
      </c>
      <c r="R13" s="70">
        <f>IFERROR(SUMPRODUCT((Raw_Data_Daily!$B$2:$B$9999="Control")*(Raw_Data_Daily!$C$2:$C$9999="F. 100+")*Raw_Data_Daily!$D$2:$D$9999*Raw_Data_Daily!$J$2:$J$9999)/SUMIFS(Raw_Data_Daily!$D:$D, Raw_Data_Daily!$B:$B, "Control", Raw_Data_Daily!$C:$C, "F. 100+"),"")</f>
        <v>203.2853241</v>
      </c>
      <c r="S13" s="42">
        <f>IFERROR(SUMPRODUCT((Raw_Data_Daily!$B$2:$B$9999="Variant")*(Raw_Data_Daily!$C$2:$C$9999="F. 100+")*Raw_Data_Daily!$D$2:$D$9999*Raw_Data_Daily!$J$2:$J$9999)/SUMIFS(Raw_Data_Daily!$D:$D, Raw_Data_Daily!$B:$B, "Variant", Raw_Data_Daily!$C:$C, "F. 100+"),"")</f>
        <v>207.2247792</v>
      </c>
      <c r="T13" s="53">
        <f t="shared" ref="T13:T15" si="12">IFERROR((S13-R13)/ABS(R13),"")</f>
        <v>0.01937894462</v>
      </c>
    </row>
    <row r="14">
      <c r="A14" s="9"/>
      <c r="B14" s="33" t="s">
        <v>22</v>
      </c>
      <c r="C14" s="68" t="str">
        <f>IFERROR(SUMPRODUCT((Raw_Data_Daily!$B$2:$B$9999="Control")*(Raw_Data_Daily!$C$2:$C$9999="A. 0")*Raw_Data_Daily!$D$2:$D$9999*Raw_Data_Daily!$K$2:$K$9999)/SUMIFS(Raw_Data_Daily!$D:$D, Raw_Data_Daily!$B:$B, "Control", Raw_Data_Daily!$C:$C, "A. 0"),"")</f>
        <v/>
      </c>
      <c r="D14" s="42" t="str">
        <f>IFERROR(SUMPRODUCT((Raw_Data_Daily!$B$2:$B$9999="Variant")*(Raw_Data_Daily!$C$2:$C$9999="A. 0")*Raw_Data_Daily!$D$2:$D$9999*Raw_Data_Daily!$K$2:$K$9999)/SUMIFS(Raw_Data_Daily!$D:$D, Raw_Data_Daily!$B:$B, "Variant", Raw_Data_Daily!$C:$C, "A. 0"),"")</f>
        <v/>
      </c>
      <c r="E14" s="50" t="str">
        <f t="shared" si="7"/>
        <v/>
      </c>
      <c r="F14" s="70">
        <f>IFERROR(SUMPRODUCT((Raw_Data_Daily!$B$2:$B$9999="Control")*(Raw_Data_Daily!$C$2:$C$9999="B. 1-9")*Raw_Data_Daily!$D$2:$D$9999*Raw_Data_Daily!$K$2:$K$9999)/SUMIFS(Raw_Data_Daily!$D:$D, Raw_Data_Daily!$B:$B, "Control", Raw_Data_Daily!$C:$C, "B. 1-9"),"")</f>
        <v>15.09594495</v>
      </c>
      <c r="G14" s="42">
        <f>IFERROR(SUMPRODUCT((Raw_Data_Daily!$B$2:$B$9999="Variant")*(Raw_Data_Daily!$C$2:$C$9999="B. 1-9")*Raw_Data_Daily!$D$2:$D$9999*Raw_Data_Daily!$K$2:$K$9999)/SUMIFS(Raw_Data_Daily!$D:$D, Raw_Data_Daily!$B:$B, "Variant", Raw_Data_Daily!$C:$C, "B. 1-9"),"")</f>
        <v>14.41516404</v>
      </c>
      <c r="H14" s="48">
        <f t="shared" si="8"/>
        <v>-0.04509693892</v>
      </c>
      <c r="I14" s="68">
        <f>IFERROR(SUMPRODUCT((Raw_Data_Daily!$B$2:$B$9999="Control")*(Raw_Data_Daily!$C$2:$C$9999="C. 10-19")*Raw_Data_Daily!$D$2:$D$9999*Raw_Data_Daily!$K$2:$K$9999)/SUMIFS(Raw_Data_Daily!$D:$D, Raw_Data_Daily!$B:$B, "Control", Raw_Data_Daily!$C:$C, "C. 10-19"),"")</f>
        <v>24.72127469</v>
      </c>
      <c r="J14" s="42">
        <f>IFERROR(SUMPRODUCT((Raw_Data_Daily!$B$2:$B$9999="Variant")*(Raw_Data_Daily!$C$2:$C$9999="C. 10-19")*Raw_Data_Daily!$D$2:$D$9999*Raw_Data_Daily!$K$2:$K$9999)/SUMIFS(Raw_Data_Daily!$D:$D, Raw_Data_Daily!$B:$B, "Variant", Raw_Data_Daily!$C:$C, "C. 10-19"),"")</f>
        <v>25.36631176</v>
      </c>
      <c r="K14" s="50">
        <f t="shared" si="9"/>
        <v>0.02609238705</v>
      </c>
      <c r="L14" s="70">
        <f>IFERROR(SUMPRODUCT((Raw_Data_Daily!$B$2:$B$9999="Control")*(Raw_Data_Daily!$C$2:$C$9999="D. 20-39")*Raw_Data_Daily!$D$2:$D$9999*Raw_Data_Daily!$K$2:$K$9999)/SUMIFS(Raw_Data_Daily!$D:$D, Raw_Data_Daily!$B:$B, "Control", Raw_Data_Daily!$C:$C, "D. 20-39"),"")</f>
        <v>37.86326658</v>
      </c>
      <c r="M14" s="42">
        <f>IFERROR(SUMPRODUCT((Raw_Data_Daily!$B$2:$B$9999="Variant")*(Raw_Data_Daily!$C$2:$C$9999="D. 20-39")*Raw_Data_Daily!$D$2:$D$9999*Raw_Data_Daily!$K$2:$K$9999)/SUMIFS(Raw_Data_Daily!$D:$D, Raw_Data_Daily!$B:$B, "Variant", Raw_Data_Daily!$C:$C, "D. 20-39"),"")</f>
        <v>39.40631092</v>
      </c>
      <c r="N14" s="48">
        <f t="shared" si="10"/>
        <v>0.04075306956</v>
      </c>
      <c r="O14" s="68">
        <f>IFERROR(SUMPRODUCT((Raw_Data_Daily!$B$2:$B$9999="Control")*(Raw_Data_Daily!$C$2:$C$9999="E. 40-99")*Raw_Data_Daily!$D$2:$D$9999*Raw_Data_Daily!$K$2:$K$9999)/SUMIFS(Raw_Data_Daily!$D:$D, Raw_Data_Daily!$B:$B, "Control", Raw_Data_Daily!$C:$C, "E. 40-99"),"")</f>
        <v>65.47006516</v>
      </c>
      <c r="P14" s="42">
        <f>IFERROR(SUMPRODUCT((Raw_Data_Daily!$B$2:$B$9999="Variant")*(Raw_Data_Daily!$C$2:$C$9999="E. 40-99")*Raw_Data_Daily!$D$2:$D$9999*Raw_Data_Daily!$K$2:$K$9999)/SUMIFS(Raw_Data_Daily!$D:$D, Raw_Data_Daily!$B:$B, "Variant", Raw_Data_Daily!$C:$C, "E. 40-99"),"")</f>
        <v>67.57609499</v>
      </c>
      <c r="Q14" s="46">
        <f t="shared" si="11"/>
        <v>0.03216782847</v>
      </c>
      <c r="R14" s="70">
        <f>IFERROR(SUMPRODUCT((Raw_Data_Daily!$B$2:$B$9999="Control")*(Raw_Data_Daily!$C$2:$C$9999="F. 100+")*Raw_Data_Daily!$D$2:$D$9999*Raw_Data_Daily!$K$2:$K$9999)/SUMIFS(Raw_Data_Daily!$D:$D, Raw_Data_Daily!$B:$B, "Control", Raw_Data_Daily!$C:$C, "F. 100+"),"")</f>
        <v>127.1528692</v>
      </c>
      <c r="S14" s="42">
        <f>IFERROR(SUMPRODUCT((Raw_Data_Daily!$B$2:$B$9999="Variant")*(Raw_Data_Daily!$C$2:$C$9999="F. 100+")*Raw_Data_Daily!$D$2:$D$9999*Raw_Data_Daily!$K$2:$K$9999)/SUMIFS(Raw_Data_Daily!$D:$D, Raw_Data_Daily!$B:$B, "Variant", Raw_Data_Daily!$C:$C, "F. 100+"),"")</f>
        <v>127.1005726</v>
      </c>
      <c r="T14" s="48">
        <f t="shared" si="12"/>
        <v>-0.0004112889898</v>
      </c>
    </row>
    <row r="15">
      <c r="A15" s="9"/>
      <c r="B15" s="33" t="s">
        <v>23</v>
      </c>
      <c r="C15" s="68" t="str">
        <f>IFERROR(SUMPRODUCT((Raw_Data_Daily!$B$2:$B$9999="Control")*(Raw_Data_Daily!$C$2:$C$9999="A. 0")*Raw_Data_Daily!$D$2:$D$9999*Raw_Data_Daily!$L$2:$L$9999)/SUMIFS(Raw_Data_Daily!$D:$D, Raw_Data_Daily!$B:$B, "Control", Raw_Data_Daily!$C:$C, "A. 0"),"")</f>
        <v/>
      </c>
      <c r="D15" s="42" t="str">
        <f>IFERROR(SUMPRODUCT((Raw_Data_Daily!$B$2:$B$9999="Variant")*(Raw_Data_Daily!$C$2:$C$9999="A. 0")*Raw_Data_Daily!$D$2:$D$9999*Raw_Data_Daily!$L$2:$L$9999)/SUMIFS(Raw_Data_Daily!$D:$D, Raw_Data_Daily!$B:$B, "Variant", Raw_Data_Daily!$C:$C, "A. 0"),"")</f>
        <v/>
      </c>
      <c r="E15" s="38" t="str">
        <f t="shared" si="7"/>
        <v/>
      </c>
      <c r="F15" s="70">
        <f>IFERROR(SUMPRODUCT((Raw_Data_Daily!$B$2:$B$9999="Control")*(Raw_Data_Daily!$C$2:$C$9999="B. 1-9")*Raw_Data_Daily!$D$2:$D$9999*Raw_Data_Daily!$L$2:$L$9999)/SUMIFS(Raw_Data_Daily!$D:$D, Raw_Data_Daily!$B:$B, "Control", Raw_Data_Daily!$C:$C, "B. 1-9"),"")</f>
        <v>6.722394951</v>
      </c>
      <c r="G15" s="42">
        <f>IFERROR(SUMPRODUCT((Raw_Data_Daily!$B$2:$B$9999="Variant")*(Raw_Data_Daily!$C$2:$C$9999="B. 1-9")*Raw_Data_Daily!$D$2:$D$9999*Raw_Data_Daily!$L$2:$L$9999)/SUMIFS(Raw_Data_Daily!$D:$D, Raw_Data_Daily!$B:$B, "Variant", Raw_Data_Daily!$C:$C, "B. 1-9"),"")</f>
        <v>6.61484376</v>
      </c>
      <c r="H15" s="48">
        <f t="shared" si="8"/>
        <v>-0.01599893963</v>
      </c>
      <c r="I15" s="68">
        <f>IFERROR(SUMPRODUCT((Raw_Data_Daily!$B$2:$B$9999="Control")*(Raw_Data_Daily!$C$2:$C$9999="C. 10-19")*Raw_Data_Daily!$D$2:$D$9999*Raw_Data_Daily!$L$2:$L$9999)/SUMIFS(Raw_Data_Daily!$D:$D, Raw_Data_Daily!$B:$B, "Control", Raw_Data_Daily!$C:$C, "C. 10-19"),"")</f>
        <v>13.85551302</v>
      </c>
      <c r="J15" s="42">
        <f>IFERROR(SUMPRODUCT((Raw_Data_Daily!$B$2:$B$9999="Variant")*(Raw_Data_Daily!$C$2:$C$9999="C. 10-19")*Raw_Data_Daily!$D$2:$D$9999*Raw_Data_Daily!$L$2:$L$9999)/SUMIFS(Raw_Data_Daily!$D:$D, Raw_Data_Daily!$B:$B, "Variant", Raw_Data_Daily!$C:$C, "C. 10-19"),"")</f>
        <v>13.90712324</v>
      </c>
      <c r="K15" s="46">
        <f t="shared" si="9"/>
        <v>0.003724886464</v>
      </c>
      <c r="L15" s="70">
        <f>IFERROR(SUMPRODUCT((Raw_Data_Daily!$B$2:$B$9999="Control")*(Raw_Data_Daily!$C$2:$C$9999="D. 20-39")*Raw_Data_Daily!$D$2:$D$9999*Raw_Data_Daily!$L$2:$L$9999)/SUMIFS(Raw_Data_Daily!$D:$D, Raw_Data_Daily!$B:$B, "Control", Raw_Data_Daily!$C:$C, "D. 20-39"),"")</f>
        <v>24.53821322</v>
      </c>
      <c r="M15" s="42">
        <f>IFERROR(SUMPRODUCT((Raw_Data_Daily!$B$2:$B$9999="Variant")*(Raw_Data_Daily!$C$2:$C$9999="D. 20-39")*Raw_Data_Daily!$D$2:$D$9999*Raw_Data_Daily!$L$2:$L$9999)/SUMIFS(Raw_Data_Daily!$D:$D, Raw_Data_Daily!$B:$B, "Variant", Raw_Data_Daily!$C:$C, "D. 20-39"),"")</f>
        <v>25.30614865</v>
      </c>
      <c r="N15" s="48">
        <f t="shared" si="10"/>
        <v>0.03129549112</v>
      </c>
      <c r="O15" s="68">
        <f>IFERROR(SUMPRODUCT((Raw_Data_Daily!$B$2:$B$9999="Control")*(Raw_Data_Daily!$C$2:$C$9999="E. 40-99")*Raw_Data_Daily!$D$2:$D$9999*Raw_Data_Daily!$L$2:$L$9999)/SUMIFS(Raw_Data_Daily!$D:$D, Raw_Data_Daily!$B:$B, "Control", Raw_Data_Daily!$C:$C, "E. 40-99"),"")</f>
        <v>47.33876697</v>
      </c>
      <c r="P15" s="42">
        <f>IFERROR(SUMPRODUCT((Raw_Data_Daily!$B$2:$B$9999="Variant")*(Raw_Data_Daily!$C$2:$C$9999="E. 40-99")*Raw_Data_Daily!$D$2:$D$9999*Raw_Data_Daily!$L$2:$L$9999)/SUMIFS(Raw_Data_Daily!$D:$D, Raw_Data_Daily!$B:$B, "Variant", Raw_Data_Daily!$C:$C, "E. 40-99"),"")</f>
        <v>48.99821449</v>
      </c>
      <c r="Q15" s="46">
        <f t="shared" si="11"/>
        <v>0.03505472621</v>
      </c>
      <c r="R15" s="70">
        <f>IFERROR(SUMPRODUCT((Raw_Data_Daily!$B$2:$B$9999="Control")*(Raw_Data_Daily!$C$2:$C$9999="F. 100+")*Raw_Data_Daily!$D$2:$D$9999*Raw_Data_Daily!$L$2:$L$9999)/SUMIFS(Raw_Data_Daily!$D:$D, Raw_Data_Daily!$B:$B, "Control", Raw_Data_Daily!$C:$C, "F. 100+"),"")</f>
        <v>99.08143461</v>
      </c>
      <c r="S15" s="42">
        <f>IFERROR(SUMPRODUCT((Raw_Data_Daily!$B$2:$B$9999="Variant")*(Raw_Data_Daily!$C$2:$C$9999="F. 100+")*Raw_Data_Daily!$D$2:$D$9999*Raw_Data_Daily!$L$2:$L$9999)/SUMIFS(Raw_Data_Daily!$D:$D, Raw_Data_Daily!$B:$B, "Variant", Raw_Data_Daily!$C:$C, "F. 100+"),"")</f>
        <v>99.24314347</v>
      </c>
      <c r="T15" s="48">
        <f t="shared" si="12"/>
        <v>0.001632080277</v>
      </c>
    </row>
    <row r="16" ht="15.75" customHeight="1">
      <c r="A16" s="27" t="s">
        <v>24</v>
      </c>
      <c r="B16" s="28"/>
      <c r="C16" s="30"/>
      <c r="D16" s="7"/>
      <c r="E16" s="31"/>
      <c r="F16" s="32"/>
      <c r="G16" s="7"/>
      <c r="H16" s="28"/>
      <c r="I16" s="30"/>
      <c r="J16" s="7"/>
      <c r="K16" s="31"/>
      <c r="L16" s="32"/>
      <c r="M16" s="7"/>
      <c r="N16" s="28"/>
      <c r="O16" s="30"/>
      <c r="P16" s="7"/>
      <c r="Q16" s="31"/>
      <c r="R16" s="32"/>
      <c r="S16" s="7"/>
      <c r="T16" s="28"/>
    </row>
    <row r="17" ht="15.75" customHeight="1">
      <c r="A17" s="9"/>
      <c r="B17" s="33" t="s">
        <v>25</v>
      </c>
      <c r="C17" s="68" t="str">
        <f>IFERROR(SUMPRODUCT((Raw_Data_Daily!$B$2:$B$9999="Control")*(Raw_Data_Daily!$C$2:$C$9999="A. 0")*Raw_Data_Daily!$D$2:$D$9999*Raw_Data_Daily!$AD$2:$AD$9999)/SUMIFS(Raw_Data_Daily!$D:$D, Raw_Data_Daily!$B:$B, "Control", Raw_Data_Daily!$C:$C, "A. 0"),"")</f>
        <v/>
      </c>
      <c r="D17" s="42" t="str">
        <f>IFERROR(SUMPRODUCT((Raw_Data_Daily!$B$2:$B$9999="Variant")*(Raw_Data_Daily!$C$2:$C$9999="A. 0")*Raw_Data_Daily!$D$2:$D$9999*Raw_Data_Daily!$AD$2:$AD$9999)/SUMIFS(Raw_Data_Daily!$D:$D, Raw_Data_Daily!$B:$B, "Variant", Raw_Data_Daily!$C:$C, "A. 0"),"")</f>
        <v/>
      </c>
      <c r="E17" s="38" t="str">
        <f t="shared" ref="E17:E22" si="13">IFERROR((D17-C17)/ABS(C17),"")</f>
        <v/>
      </c>
      <c r="F17" s="70">
        <f>IFERROR(SUMPRODUCT((Raw_Data_Daily!$B$2:$B$9999="Control")*(Raw_Data_Daily!$C$2:$C$9999="B. 1-9")*Raw_Data_Daily!$D$2:$D$9999*Raw_Data_Daily!$AD$2:$AD$9999)/SUMIFS(Raw_Data_Daily!$D:$D, Raw_Data_Daily!$B:$B, "Control", Raw_Data_Daily!$C:$C, "B. 1-9"),"")</f>
        <v>6.047463844</v>
      </c>
      <c r="G17" s="42">
        <f>IFERROR(SUMPRODUCT((Raw_Data_Daily!$B$2:$B$9999="Variant")*(Raw_Data_Daily!$C$2:$C$9999="B. 1-9")*Raw_Data_Daily!$D$2:$D$9999*Raw_Data_Daily!$AD$2:$AD$9999)/SUMIFS(Raw_Data_Daily!$D:$D, Raw_Data_Daily!$B:$B, "Variant", Raw_Data_Daily!$C:$C, "B. 1-9"),"")</f>
        <v>6.126047506</v>
      </c>
      <c r="H17" s="48">
        <f t="shared" ref="H17:H22" si="14">IFERROR((G17-F17)/ABS(F17),"")</f>
        <v>0.01299448238</v>
      </c>
      <c r="I17" s="68">
        <f>IFERROR(SUMPRODUCT((Raw_Data_Daily!$B$2:$B$9999="Control")*(Raw_Data_Daily!$C$2:$C$9999="C. 10-19")*Raw_Data_Daily!$D$2:$D$9999*Raw_Data_Daily!$AD$2:$AD$9999)/SUMIFS(Raw_Data_Daily!$D:$D, Raw_Data_Daily!$B:$B, "Control", Raw_Data_Daily!$C:$C, "C. 10-19"),"")</f>
        <v>10.03797775</v>
      </c>
      <c r="J17" s="42">
        <f>IFERROR(SUMPRODUCT((Raw_Data_Daily!$B$2:$B$9999="Variant")*(Raw_Data_Daily!$C$2:$C$9999="C. 10-19")*Raw_Data_Daily!$D$2:$D$9999*Raw_Data_Daily!$AD$2:$AD$9999)/SUMIFS(Raw_Data_Daily!$D:$D, Raw_Data_Daily!$B:$B, "Variant", Raw_Data_Daily!$C:$C, "C. 10-19"),"")</f>
        <v>10.04360307</v>
      </c>
      <c r="K17" s="46">
        <f t="shared" ref="K17:K22" si="15">IFERROR((J17-I17)/ABS(I17),"")</f>
        <v>0.0005604040527</v>
      </c>
      <c r="L17" s="70">
        <f>IFERROR(SUMPRODUCT((Raw_Data_Daily!$B$2:$B$9999="Control")*(Raw_Data_Daily!$C$2:$C$9999="D. 20-39")*Raw_Data_Daily!$D$2:$D$9999*Raw_Data_Daily!$AD$2:$AD$9999)/SUMIFS(Raw_Data_Daily!$D:$D, Raw_Data_Daily!$B:$B, "Control", Raw_Data_Daily!$C:$C, "D. 20-39"),"")</f>
        <v>15.52878955</v>
      </c>
      <c r="M17" s="42">
        <f>IFERROR(SUMPRODUCT((Raw_Data_Daily!$B$2:$B$9999="Variant")*(Raw_Data_Daily!$C$2:$C$9999="D. 20-39")*Raw_Data_Daily!$D$2:$D$9999*Raw_Data_Daily!$AD$2:$AD$9999)/SUMIFS(Raw_Data_Daily!$D:$D, Raw_Data_Daily!$B:$B, "Variant", Raw_Data_Daily!$C:$C, "D. 20-39"),"")</f>
        <v>15.80986015</v>
      </c>
      <c r="N17" s="48">
        <f t="shared" ref="N17:N22" si="16">IFERROR((M17-L17)/ABS(L17),"")</f>
        <v>0.01809996831</v>
      </c>
      <c r="O17" s="68">
        <f>IFERROR(SUMPRODUCT((Raw_Data_Daily!$B$2:$B$9999="Control")*(Raw_Data_Daily!$C$2:$C$9999="E. 40-99")*Raw_Data_Daily!$D$2:$D$9999*Raw_Data_Daily!$AD$2:$AD$9999)/SUMIFS(Raw_Data_Daily!$D:$D, Raw_Data_Daily!$B:$B, "Control", Raw_Data_Daily!$C:$C, "E. 40-99"),"")</f>
        <v>26.04957246</v>
      </c>
      <c r="P17" s="42">
        <f>IFERROR(SUMPRODUCT((Raw_Data_Daily!$B$2:$B$9999="Variant")*(Raw_Data_Daily!$C$2:$C$9999="E. 40-99")*Raw_Data_Daily!$D$2:$D$9999*Raw_Data_Daily!$AD$2:$AD$9999)/SUMIFS(Raw_Data_Daily!$D:$D, Raw_Data_Daily!$B:$B, "Variant", Raw_Data_Daily!$C:$C, "E. 40-99"),"")</f>
        <v>26.1833793</v>
      </c>
      <c r="Q17" s="46">
        <f t="shared" ref="Q17:Q22" si="17">IFERROR((P17-O17)/ABS(O17),"")</f>
        <v>0.005136623257</v>
      </c>
      <c r="R17" s="70">
        <f>IFERROR(SUMPRODUCT((Raw_Data_Daily!$B$2:$B$9999="Control")*(Raw_Data_Daily!$C$2:$C$9999="F. 100+")*Raw_Data_Daily!$D$2:$D$9999*Raw_Data_Daily!$AD$2:$AD$9999)/SUMIFS(Raw_Data_Daily!$D:$D, Raw_Data_Daily!$B:$B, "Control", Raw_Data_Daily!$C:$C, "F. 100+"),"")</f>
        <v>43.59909808</v>
      </c>
      <c r="S17" s="42">
        <f>IFERROR(SUMPRODUCT((Raw_Data_Daily!$B$2:$B$9999="Variant")*(Raw_Data_Daily!$C$2:$C$9999="F. 100+")*Raw_Data_Daily!$D$2:$D$9999*Raw_Data_Daily!$AD$2:$AD$9999)/SUMIFS(Raw_Data_Daily!$D:$D, Raw_Data_Daily!$B:$B, "Variant", Raw_Data_Daily!$C:$C, "F. 100+"),"")</f>
        <v>44.37717332</v>
      </c>
      <c r="T17" s="53">
        <f t="shared" ref="T17:T22" si="18">IFERROR((S17-R17)/ABS(R17),"")</f>
        <v>0.01784613141</v>
      </c>
      <c r="V17" s="54"/>
    </row>
    <row r="18" ht="15.75" customHeight="1">
      <c r="A18" s="9"/>
      <c r="B18" s="33" t="s">
        <v>26</v>
      </c>
      <c r="C18" s="68" t="str">
        <f>IFERROR(SUMPRODUCT((Raw_Data_Daily!$B$2:$B$9999="Control")*(Raw_Data_Daily!$C$2:$C$9999="A. 0")*Raw_Data_Daily!$D$2:$D$9999*Raw_Data_Daily!$AE$2:$AE$9999)/SUMIFS(Raw_Data_Daily!$D:$D, Raw_Data_Daily!$B:$B, "Control", Raw_Data_Daily!$C:$C, "A. 0"),"")</f>
        <v/>
      </c>
      <c r="D18" s="42" t="str">
        <f>IFERROR(SUMPRODUCT((Raw_Data_Daily!$B$2:$B$9999="Variant")*(Raw_Data_Daily!$C$2:$C$9999="A. 0")*Raw_Data_Daily!$D$2:$D$9999*Raw_Data_Daily!$AE$2:$AE$9999)/SUMIFS(Raw_Data_Daily!$D:$D, Raw_Data_Daily!$B:$B, "Variant", Raw_Data_Daily!$C:$C, "A. 0"),"")</f>
        <v/>
      </c>
      <c r="E18" s="38" t="str">
        <f t="shared" si="13"/>
        <v/>
      </c>
      <c r="F18" s="70">
        <f>IFERROR(SUMPRODUCT((Raw_Data_Daily!$B$2:$B$9999="Control")*(Raw_Data_Daily!$C$2:$C$9999="B. 1-9")*Raw_Data_Daily!$D$2:$D$9999*Raw_Data_Daily!$AE$2:$AE$9999)/SUMIFS(Raw_Data_Daily!$D:$D, Raw_Data_Daily!$B:$B, "Control", Raw_Data_Daily!$C:$C, "B. 1-9"),"")</f>
        <v>2</v>
      </c>
      <c r="G18" s="42">
        <f>IFERROR(SUMPRODUCT((Raw_Data_Daily!$B$2:$B$9999="Variant")*(Raw_Data_Daily!$C$2:$C$9999="B. 1-9")*Raw_Data_Daily!$D$2:$D$9999*Raw_Data_Daily!$AE$2:$AE$9999)/SUMIFS(Raw_Data_Daily!$D:$D, Raw_Data_Daily!$B:$B, "Variant", Raw_Data_Daily!$C:$C, "B. 1-9"),"")</f>
        <v>2</v>
      </c>
      <c r="H18" s="41">
        <f t="shared" si="14"/>
        <v>0</v>
      </c>
      <c r="I18" s="68">
        <f>IFERROR(SUMPRODUCT((Raw_Data_Daily!$B$2:$B$9999="Control")*(Raw_Data_Daily!$C$2:$C$9999="C. 10-19")*Raw_Data_Daily!$D$2:$D$9999*Raw_Data_Daily!$AE$2:$AE$9999)/SUMIFS(Raw_Data_Daily!$D:$D, Raw_Data_Daily!$B:$B, "Control", Raw_Data_Daily!$C:$C, "C. 10-19"),"")</f>
        <v>3.332677985</v>
      </c>
      <c r="J18" s="42">
        <f>IFERROR(SUMPRODUCT((Raw_Data_Daily!$B$2:$B$9999="Variant")*(Raw_Data_Daily!$C$2:$C$9999="C. 10-19")*Raw_Data_Daily!$D$2:$D$9999*Raw_Data_Daily!$AE$2:$AE$9999)/SUMIFS(Raw_Data_Daily!$D:$D, Raw_Data_Daily!$B:$B, "Variant", Raw_Data_Daily!$C:$C, "C. 10-19"),"")</f>
        <v>3.332926692</v>
      </c>
      <c r="K18" s="46">
        <f t="shared" si="15"/>
        <v>0.00007462665125</v>
      </c>
      <c r="L18" s="70">
        <f>IFERROR(SUMPRODUCT((Raw_Data_Daily!$B$2:$B$9999="Control")*(Raw_Data_Daily!$C$2:$C$9999="D. 20-39")*Raw_Data_Daily!$D$2:$D$9999*Raw_Data_Daily!$AE$2:$AE$9999)/SUMIFS(Raw_Data_Daily!$D:$D, Raw_Data_Daily!$B:$B, "Control", Raw_Data_Daily!$C:$C, "D. 20-39"),"")</f>
        <v>5.667535819</v>
      </c>
      <c r="M18" s="42">
        <f>IFERROR(SUMPRODUCT((Raw_Data_Daily!$B$2:$B$9999="Variant")*(Raw_Data_Daily!$C$2:$C$9999="D. 20-39")*Raw_Data_Daily!$D$2:$D$9999*Raw_Data_Daily!$AE$2:$AE$9999)/SUMIFS(Raw_Data_Daily!$D:$D, Raw_Data_Daily!$B:$B, "Variant", Raw_Data_Daily!$C:$C, "D. 20-39"),"")</f>
        <v>5.335997192</v>
      </c>
      <c r="N18" s="53">
        <f t="shared" si="16"/>
        <v>-0.0584978441</v>
      </c>
      <c r="O18" s="68">
        <f>IFERROR(SUMPRODUCT((Raw_Data_Daily!$B$2:$B$9999="Control")*(Raw_Data_Daily!$C$2:$C$9999="E. 40-99")*Raw_Data_Daily!$D$2:$D$9999*Raw_Data_Daily!$AE$2:$AE$9999)/SUMIFS(Raw_Data_Daily!$D:$D, Raw_Data_Daily!$B:$B, "Control", Raw_Data_Daily!$C:$C, "E. 40-99"),"")</f>
        <v>9.838651364</v>
      </c>
      <c r="P18" s="42">
        <f>IFERROR(SUMPRODUCT((Raw_Data_Daily!$B$2:$B$9999="Variant")*(Raw_Data_Daily!$C$2:$C$9999="E. 40-99")*Raw_Data_Daily!$D$2:$D$9999*Raw_Data_Daily!$AE$2:$AE$9999)/SUMIFS(Raw_Data_Daily!$D:$D, Raw_Data_Daily!$B:$B, "Variant", Raw_Data_Daily!$C:$C, "E. 40-99"),"")</f>
        <v>9.495994747</v>
      </c>
      <c r="Q18" s="46">
        <f t="shared" si="17"/>
        <v>-0.03482760028</v>
      </c>
      <c r="R18" s="70">
        <f>IFERROR(SUMPRODUCT((Raw_Data_Daily!$B$2:$B$9999="Control")*(Raw_Data_Daily!$C$2:$C$9999="F. 100+")*Raw_Data_Daily!$D$2:$D$9999*Raw_Data_Daily!$AE$2:$AE$9999)/SUMIFS(Raw_Data_Daily!$D:$D, Raw_Data_Daily!$B:$B, "Control", Raw_Data_Daily!$C:$C, "F. 100+"),"")</f>
        <v>16.34385569</v>
      </c>
      <c r="S18" s="42">
        <f>IFERROR(SUMPRODUCT((Raw_Data_Daily!$B$2:$B$9999="Variant")*(Raw_Data_Daily!$C$2:$C$9999="F. 100+")*Raw_Data_Daily!$D$2:$D$9999*Raw_Data_Daily!$AE$2:$AE$9999)/SUMIFS(Raw_Data_Daily!$D:$D, Raw_Data_Daily!$B:$B, "Variant", Raw_Data_Daily!$C:$C, "F. 100+"),"")</f>
        <v>16.30734085</v>
      </c>
      <c r="T18" s="53">
        <f t="shared" si="18"/>
        <v>-0.002234163544</v>
      </c>
    </row>
    <row r="19" ht="15.75" customHeight="1">
      <c r="A19" s="9"/>
      <c r="B19" s="33" t="s">
        <v>27</v>
      </c>
      <c r="C19" s="68" t="str">
        <f>IFERROR(SUMPRODUCT((Raw_Data_Daily!$B$2:$B$9999="Control")*(Raw_Data_Daily!$C$2:$C$9999="A. 0")*Raw_Data_Daily!$D$2:$D$9999*Raw_Data_Daily!$AF$2:$AF$9999)/SUMIFS(Raw_Data_Daily!$D:$D, Raw_Data_Daily!$B:$B, "Control", Raw_Data_Daily!$C:$C, "A. 0"),"")</f>
        <v/>
      </c>
      <c r="D19" s="42" t="str">
        <f>IFERROR(SUMPRODUCT((Raw_Data_Daily!$B$2:$B$9999="Variant")*(Raw_Data_Daily!$C$2:$C$9999="A. 0")*Raw_Data_Daily!$D$2:$D$9999*Raw_Data_Daily!$AF$2:$AF$9999)/SUMIFS(Raw_Data_Daily!$D:$D, Raw_Data_Daily!$B:$B, "Variant", Raw_Data_Daily!$C:$C, "A. 0"),"")</f>
        <v/>
      </c>
      <c r="E19" s="38" t="str">
        <f t="shared" si="13"/>
        <v/>
      </c>
      <c r="F19" s="70">
        <f>IFERROR(SUMPRODUCT((Raw_Data_Daily!$B$2:$B$9999="Control")*(Raw_Data_Daily!$C$2:$C$9999="B. 1-9")*Raw_Data_Daily!$D$2:$D$9999*Raw_Data_Daily!$AF$2:$AF$9999)/SUMIFS(Raw_Data_Daily!$D:$D, Raw_Data_Daily!$B:$B, "Control", Raw_Data_Daily!$C:$C, "B. 1-9"),"")</f>
        <v>3.831791531</v>
      </c>
      <c r="G19" s="42">
        <f>IFERROR(SUMPRODUCT((Raw_Data_Daily!$B$2:$B$9999="Variant")*(Raw_Data_Daily!$C$2:$C$9999="B. 1-9")*Raw_Data_Daily!$D$2:$D$9999*Raw_Data_Daily!$AF$2:$AF$9999)/SUMIFS(Raw_Data_Daily!$D:$D, Raw_Data_Daily!$B:$B, "Variant", Raw_Data_Daily!$C:$C, "B. 1-9"),"")</f>
        <v>4</v>
      </c>
      <c r="H19" s="41">
        <f t="shared" si="14"/>
        <v>0.04389812642</v>
      </c>
      <c r="I19" s="68">
        <f>IFERROR(SUMPRODUCT((Raw_Data_Daily!$B$2:$B$9999="Control")*(Raw_Data_Daily!$C$2:$C$9999="C. 10-19")*Raw_Data_Daily!$D$2:$D$9999*Raw_Data_Daily!$AF$2:$AF$9999)/SUMIFS(Raw_Data_Daily!$D:$D, Raw_Data_Daily!$B:$B, "Control", Raw_Data_Daily!$C:$C, "C. 10-19"),"")</f>
        <v>7.001272147</v>
      </c>
      <c r="J19" s="42">
        <f>IFERROR(SUMPRODUCT((Raw_Data_Daily!$B$2:$B$9999="Variant")*(Raw_Data_Daily!$C$2:$C$9999="C. 10-19")*Raw_Data_Daily!$D$2:$D$9999*Raw_Data_Daily!$AF$2:$AF$9999)/SUMIFS(Raw_Data_Daily!$D:$D, Raw_Data_Daily!$B:$B, "Variant", Raw_Data_Daily!$C:$C, "C. 10-19"),"")</f>
        <v>7</v>
      </c>
      <c r="K19" s="46">
        <f t="shared" si="15"/>
        <v>-0.0001817022528</v>
      </c>
      <c r="L19" s="70">
        <f>IFERROR(SUMPRODUCT((Raw_Data_Daily!$B$2:$B$9999="Control")*(Raw_Data_Daily!$C$2:$C$9999="D. 20-39")*Raw_Data_Daily!$D$2:$D$9999*Raw_Data_Daily!$AF$2:$AF$9999)/SUMIFS(Raw_Data_Daily!$D:$D, Raw_Data_Daily!$B:$B, "Control", Raw_Data_Daily!$C:$C, "D. 20-39"),"")</f>
        <v>10.83556894</v>
      </c>
      <c r="M19" s="42">
        <f>IFERROR(SUMPRODUCT((Raw_Data_Daily!$B$2:$B$9999="Variant")*(Raw_Data_Daily!$C$2:$C$9999="D. 20-39")*Raw_Data_Daily!$D$2:$D$9999*Raw_Data_Daily!$AF$2:$AF$9999)/SUMIFS(Raw_Data_Daily!$D:$D, Raw_Data_Daily!$B:$B, "Variant", Raw_Data_Daily!$C:$C, "D. 20-39"),"")</f>
        <v>11.0056697</v>
      </c>
      <c r="N19" s="53">
        <f t="shared" si="16"/>
        <v>0.01569836934</v>
      </c>
      <c r="O19" s="68">
        <f>IFERROR(SUMPRODUCT((Raw_Data_Daily!$B$2:$B$9999="Control")*(Raw_Data_Daily!$C$2:$C$9999="E. 40-99")*Raw_Data_Daily!$D$2:$D$9999*Raw_Data_Daily!$AF$2:$AF$9999)/SUMIFS(Raw_Data_Daily!$D:$D, Raw_Data_Daily!$B:$B, "Control", Raw_Data_Daily!$C:$C, "E. 40-99"),"")</f>
        <v>18.34287636</v>
      </c>
      <c r="P19" s="42">
        <f>IFERROR(SUMPRODUCT((Raw_Data_Daily!$B$2:$B$9999="Variant")*(Raw_Data_Daily!$C$2:$C$9999="E. 40-99")*Raw_Data_Daily!$D$2:$D$9999*Raw_Data_Daily!$AF$2:$AF$9999)/SUMIFS(Raw_Data_Daily!$D:$D, Raw_Data_Daily!$B:$B, "Variant", Raw_Data_Daily!$C:$C, "E. 40-99"),"")</f>
        <v>18.32484132</v>
      </c>
      <c r="Q19" s="46">
        <f t="shared" si="17"/>
        <v>-0.0009832176116</v>
      </c>
      <c r="R19" s="70">
        <f>IFERROR(SUMPRODUCT((Raw_Data_Daily!$B$2:$B$9999="Control")*(Raw_Data_Daily!$C$2:$C$9999="F. 100+")*Raw_Data_Daily!$D$2:$D$9999*Raw_Data_Daily!$AF$2:$AF$9999)/SUMIFS(Raw_Data_Daily!$D:$D, Raw_Data_Daily!$B:$B, "Control", Raw_Data_Daily!$C:$C, "F. 100+"),"")</f>
        <v>30.2229425</v>
      </c>
      <c r="S19" s="42">
        <f>IFERROR(SUMPRODUCT((Raw_Data_Daily!$B$2:$B$9999="Variant")*(Raw_Data_Daily!$C$2:$C$9999="F. 100+")*Raw_Data_Daily!$D$2:$D$9999*Raw_Data_Daily!$AF$2:$AF$9999)/SUMIFS(Raw_Data_Daily!$D:$D, Raw_Data_Daily!$B:$B, "Variant", Raw_Data_Daily!$C:$C, "F. 100+"),"")</f>
        <v>31.26804752</v>
      </c>
      <c r="T19" s="53">
        <f t="shared" si="18"/>
        <v>0.0345798565</v>
      </c>
    </row>
    <row r="20" ht="15.75" customHeight="1">
      <c r="A20" s="9"/>
      <c r="B20" s="33" t="s">
        <v>28</v>
      </c>
      <c r="C20" s="68" t="str">
        <f>IFERROR(SUMPRODUCT((Raw_Data_Daily!$B$2:$B$9999="Control")*(Raw_Data_Daily!$C$2:$C$9999="A. 0")*Raw_Data_Daily!$D$2:$D$9999*Raw_Data_Daily!$AG$2:$AG$9999)/SUMIFS(Raw_Data_Daily!$D:$D, Raw_Data_Daily!$B:$B, "Control", Raw_Data_Daily!$C:$C, "A. 0"),"")</f>
        <v/>
      </c>
      <c r="D20" s="42" t="str">
        <f>IFERROR(SUMPRODUCT((Raw_Data_Daily!$B$2:$B$9999="Variant")*(Raw_Data_Daily!$C$2:$C$9999="A. 0")*Raw_Data_Daily!$D$2:$D$9999*Raw_Data_Daily!$AG$2:$AG$9999)/SUMIFS(Raw_Data_Daily!$D:$D, Raw_Data_Daily!$B:$B, "Variant", Raw_Data_Daily!$C:$C, "A. 0"),"")</f>
        <v/>
      </c>
      <c r="E20" s="38" t="str">
        <f t="shared" si="13"/>
        <v/>
      </c>
      <c r="F20" s="70">
        <f>IFERROR(SUMPRODUCT((Raw_Data_Daily!$B$2:$B$9999="Control")*(Raw_Data_Daily!$C$2:$C$9999="B. 1-9")*Raw_Data_Daily!$D$2:$D$9999*Raw_Data_Daily!$AG$2:$AG$9999)/SUMIFS(Raw_Data_Daily!$D:$D, Raw_Data_Daily!$B:$B, "Control", Raw_Data_Daily!$C:$C, "B. 1-9"),"")</f>
        <v>7.675846906</v>
      </c>
      <c r="G20" s="42">
        <f>IFERROR(SUMPRODUCT((Raw_Data_Daily!$B$2:$B$9999="Variant")*(Raw_Data_Daily!$C$2:$C$9999="B. 1-9")*Raw_Data_Daily!$D$2:$D$9999*Raw_Data_Daily!$AG$2:$AG$9999)/SUMIFS(Raw_Data_Daily!$D:$D, Raw_Data_Daily!$B:$B, "Variant", Raw_Data_Daily!$C:$C, "B. 1-9"),"")</f>
        <v>7.834428042</v>
      </c>
      <c r="H20" s="41">
        <f t="shared" si="14"/>
        <v>0.02065975759</v>
      </c>
      <c r="I20" s="68">
        <f>IFERROR(SUMPRODUCT((Raw_Data_Daily!$B$2:$B$9999="Control")*(Raw_Data_Daily!$C$2:$C$9999="C. 10-19")*Raw_Data_Daily!$D$2:$D$9999*Raw_Data_Daily!$AG$2:$AG$9999)/SUMIFS(Raw_Data_Daily!$D:$D, Raw_Data_Daily!$B:$B, "Control", Raw_Data_Daily!$C:$C, "C. 10-19"),"")</f>
        <v>12.83230791</v>
      </c>
      <c r="J20" s="42">
        <f>IFERROR(SUMPRODUCT((Raw_Data_Daily!$B$2:$B$9999="Variant")*(Raw_Data_Daily!$C$2:$C$9999="C. 10-19")*Raw_Data_Daily!$D$2:$D$9999*Raw_Data_Daily!$AG$2:$AG$9999)/SUMIFS(Raw_Data_Daily!$D:$D, Raw_Data_Daily!$B:$B, "Variant", Raw_Data_Daily!$C:$C, "C. 10-19"),"")</f>
        <v>13</v>
      </c>
      <c r="K20" s="46">
        <f t="shared" si="15"/>
        <v>0.01306796061</v>
      </c>
      <c r="L20" s="70">
        <f>IFERROR(SUMPRODUCT((Raw_Data_Daily!$B$2:$B$9999="Control")*(Raw_Data_Daily!$C$2:$C$9999="D. 20-39")*Raw_Data_Daily!$D$2:$D$9999*Raw_Data_Daily!$AG$2:$AG$9999)/SUMIFS(Raw_Data_Daily!$D:$D, Raw_Data_Daily!$B:$B, "Control", Raw_Data_Daily!$C:$C, "D. 20-39"),"")</f>
        <v>20.00443536</v>
      </c>
      <c r="M20" s="42">
        <f>IFERROR(SUMPRODUCT((Raw_Data_Daily!$B$2:$B$9999="Variant")*(Raw_Data_Daily!$C$2:$C$9999="D. 20-39")*Raw_Data_Daily!$D$2:$D$9999*Raw_Data_Daily!$AG$2:$AG$9999)/SUMIFS(Raw_Data_Daily!$D:$D, Raw_Data_Daily!$B:$B, "Variant", Raw_Data_Daily!$C:$C, "D. 20-39"),"")</f>
        <v>20.67199438</v>
      </c>
      <c r="N20" s="48">
        <f t="shared" si="16"/>
        <v>0.03337055045</v>
      </c>
      <c r="O20" s="68">
        <f>IFERROR(SUMPRODUCT((Raw_Data_Daily!$B$2:$B$9999="Control")*(Raw_Data_Daily!$C$2:$C$9999="E. 40-99")*Raw_Data_Daily!$D$2:$D$9999*Raw_Data_Daily!$AG$2:$AG$9999)/SUMIFS(Raw_Data_Daily!$D:$D, Raw_Data_Daily!$B:$B, "Control", Raw_Data_Daily!$C:$C, "E. 40-99"),"")</f>
        <v>34.34308656</v>
      </c>
      <c r="P20" s="42">
        <f>IFERROR(SUMPRODUCT((Raw_Data_Daily!$B$2:$B$9999="Variant")*(Raw_Data_Daily!$C$2:$C$9999="E. 40-99")*Raw_Data_Daily!$D$2:$D$9999*Raw_Data_Daily!$AG$2:$AG$9999)/SUMIFS(Raw_Data_Daily!$D:$D, Raw_Data_Daily!$B:$B, "Variant", Raw_Data_Daily!$C:$C, "E. 40-99"),"")</f>
        <v>34.63663821</v>
      </c>
      <c r="Q20" s="46">
        <f t="shared" si="17"/>
        <v>0.008547620018</v>
      </c>
      <c r="R20" s="70">
        <f>IFERROR(SUMPRODUCT((Raw_Data_Daily!$B$2:$B$9999="Control")*(Raw_Data_Daily!$C$2:$C$9999="F. 100+")*Raw_Data_Daily!$D$2:$D$9999*Raw_Data_Daily!$AG$2:$AG$9999)/SUMIFS(Raw_Data_Daily!$D:$D, Raw_Data_Daily!$B:$B, "Control", Raw_Data_Daily!$C:$C, "F. 100+"),"")</f>
        <v>55.24859076</v>
      </c>
      <c r="S20" s="42">
        <f>IFERROR(SUMPRODUCT((Raw_Data_Daily!$B$2:$B$9999="Variant")*(Raw_Data_Daily!$C$2:$C$9999="F. 100+")*Raw_Data_Daily!$D$2:$D$9999*Raw_Data_Daily!$AG$2:$AG$9999)/SUMIFS(Raw_Data_Daily!$D:$D, Raw_Data_Daily!$B:$B, "Variant", Raw_Data_Daily!$C:$C, "F. 100+"),"")</f>
        <v>55.46999695</v>
      </c>
      <c r="T20" s="53">
        <f t="shared" si="18"/>
        <v>0.004007454229</v>
      </c>
    </row>
    <row r="21" ht="15.75" customHeight="1">
      <c r="A21" s="9"/>
      <c r="B21" s="33" t="s">
        <v>29</v>
      </c>
      <c r="C21" s="68" t="str">
        <f>IFERROR(SUMPRODUCT((Raw_Data_Daily!$B$2:$B$9999="Control")*(Raw_Data_Daily!$C$2:$C$9999="A. 0")*Raw_Data_Daily!$D$2:$D$9999*Raw_Data_Daily!$AH$2:$AH$9999)/SUMIFS(Raw_Data_Daily!$D:$D, Raw_Data_Daily!$B:$B, "Control", Raw_Data_Daily!$C:$C, "A. 0"),"")</f>
        <v/>
      </c>
      <c r="D21" s="42" t="str">
        <f>IFERROR(SUMPRODUCT((Raw_Data_Daily!$B$2:$B$9999="Variant")*(Raw_Data_Daily!$C$2:$C$9999="A. 0")*Raw_Data_Daily!$D$2:$D$9999*Raw_Data_Daily!$AH$2:$AH$9999)/SUMIFS(Raw_Data_Daily!$D:$D, Raw_Data_Daily!$B:$B, "Variant", Raw_Data_Daily!$C:$C, "A. 0"),"")</f>
        <v/>
      </c>
      <c r="E21" s="38" t="str">
        <f t="shared" si="13"/>
        <v/>
      </c>
      <c r="F21" s="70">
        <f>IFERROR(SUMPRODUCT((Raw_Data_Daily!$B$2:$B$9999="Control")*(Raw_Data_Daily!$C$2:$C$9999="B. 1-9")*Raw_Data_Daily!$D$2:$D$9999*Raw_Data_Daily!$AH$2:$AH$9999)/SUMIFS(Raw_Data_Daily!$D:$D, Raw_Data_Daily!$B:$B, "Control", Raw_Data_Daily!$C:$C, "B. 1-9"),"")</f>
        <v>13.67159609</v>
      </c>
      <c r="G21" s="42">
        <f>IFERROR(SUMPRODUCT((Raw_Data_Daily!$B$2:$B$9999="Variant")*(Raw_Data_Daily!$C$2:$C$9999="B. 1-9")*Raw_Data_Daily!$D$2:$D$9999*Raw_Data_Daily!$AH$2:$AH$9999)/SUMIFS(Raw_Data_Daily!$D:$D, Raw_Data_Daily!$B:$B, "Variant", Raw_Data_Daily!$C:$C, "B. 1-9"),"")</f>
        <v>14.17025428</v>
      </c>
      <c r="H21" s="53">
        <f t="shared" si="14"/>
        <v>0.03647402844</v>
      </c>
      <c r="I21" s="68">
        <f>IFERROR(SUMPRODUCT((Raw_Data_Daily!$B$2:$B$9999="Control")*(Raw_Data_Daily!$C$2:$C$9999="C. 10-19")*Raw_Data_Daily!$D$2:$D$9999*Raw_Data_Daily!$AH$2:$AH$9999)/SUMIFS(Raw_Data_Daily!$D:$D, Raw_Data_Daily!$B:$B, "Control", Raw_Data_Daily!$C:$C, "C. 10-19"),"")</f>
        <v>21.99845029</v>
      </c>
      <c r="J21" s="42">
        <f>IFERROR(SUMPRODUCT((Raw_Data_Daily!$B$2:$B$9999="Variant")*(Raw_Data_Daily!$C$2:$C$9999="C. 10-19")*Raw_Data_Daily!$D$2:$D$9999*Raw_Data_Daily!$AH$2:$AH$9999)/SUMIFS(Raw_Data_Daily!$D:$D, Raw_Data_Daily!$B:$B, "Variant", Raw_Data_Daily!$C:$C, "C. 10-19"),"")</f>
        <v>22.15838699</v>
      </c>
      <c r="K21" s="50">
        <f t="shared" si="15"/>
        <v>0.007270361847</v>
      </c>
      <c r="L21" s="70">
        <f>IFERROR(SUMPRODUCT((Raw_Data_Daily!$B$2:$B$9999="Control")*(Raw_Data_Daily!$C$2:$C$9999="D. 20-39")*Raw_Data_Daily!$D$2:$D$9999*Raw_Data_Daily!$AH$2:$AH$9999)/SUMIFS(Raw_Data_Daily!$D:$D, Raw_Data_Daily!$B:$B, "Control", Raw_Data_Daily!$C:$C, "D. 20-39"),"")</f>
        <v>34.00352141</v>
      </c>
      <c r="M21" s="42">
        <f>IFERROR(SUMPRODUCT((Raw_Data_Daily!$B$2:$B$9999="Variant")*(Raw_Data_Daily!$C$2:$C$9999="D. 20-39")*Raw_Data_Daily!$D$2:$D$9999*Raw_Data_Daily!$AH$2:$AH$9999)/SUMIFS(Raw_Data_Daily!$D:$D, Raw_Data_Daily!$B:$B, "Variant", Raw_Data_Daily!$C:$C, "D. 20-39"),"")</f>
        <v>35.50117444</v>
      </c>
      <c r="N21" s="48">
        <f t="shared" si="16"/>
        <v>0.04404405676</v>
      </c>
      <c r="O21" s="68">
        <f>IFERROR(SUMPRODUCT((Raw_Data_Daily!$B$2:$B$9999="Control")*(Raw_Data_Daily!$C$2:$C$9999="E. 40-99")*Raw_Data_Daily!$D$2:$D$9999*Raw_Data_Daily!$AH$2:$AH$9999)/SUMIFS(Raw_Data_Daily!$D:$D, Raw_Data_Daily!$B:$B, "Control", Raw_Data_Daily!$C:$C, "E. 40-99"),"")</f>
        <v>55.99890697</v>
      </c>
      <c r="P21" s="42">
        <f>IFERROR(SUMPRODUCT((Raw_Data_Daily!$B$2:$B$9999="Variant")*(Raw_Data_Daily!$C$2:$C$9999="E. 40-99")*Raw_Data_Daily!$D$2:$D$9999*Raw_Data_Daily!$AH$2:$AH$9999)/SUMIFS(Raw_Data_Daily!$D:$D, Raw_Data_Daily!$B:$B, "Variant", Raw_Data_Daily!$C:$C, "E. 40-99"),"")</f>
        <v>58.10387393</v>
      </c>
      <c r="Q21" s="46">
        <f t="shared" si="17"/>
        <v>0.03758942953</v>
      </c>
      <c r="R21" s="70">
        <f>IFERROR(SUMPRODUCT((Raw_Data_Daily!$B$2:$B$9999="Control")*(Raw_Data_Daily!$C$2:$C$9999="F. 100+")*Raw_Data_Daily!$D$2:$D$9999*Raw_Data_Daily!$AH$2:$AH$9999)/SUMIFS(Raw_Data_Daily!$D:$D, Raw_Data_Daily!$B:$B, "Control", Raw_Data_Daily!$C:$C, "F. 100+"),"")</f>
        <v>96.53748591</v>
      </c>
      <c r="S21" s="42">
        <f>IFERROR(SUMPRODUCT((Raw_Data_Daily!$B$2:$B$9999="Variant")*(Raw_Data_Daily!$C$2:$C$9999="F. 100+")*Raw_Data_Daily!$D$2:$D$9999*Raw_Data_Daily!$AH$2:$AH$9999)/SUMIFS(Raw_Data_Daily!$D:$D, Raw_Data_Daily!$B:$B, "Variant", Raw_Data_Daily!$C:$C, "F. 100+"),"")</f>
        <v>99.8346025</v>
      </c>
      <c r="T21" s="119">
        <f t="shared" si="18"/>
        <v>0.0341537441</v>
      </c>
    </row>
    <row r="22" ht="15.75" customHeight="1">
      <c r="A22" s="9"/>
      <c r="B22" s="120" t="s">
        <v>30</v>
      </c>
      <c r="C22" s="68" t="str">
        <f>IFERROR(SUMPRODUCT((Raw_Data_Daily!$B$2:$B$9999="Control")*(Raw_Data_Daily!$C$2:$C$9999="A. 0")*Raw_Data_Daily!$D$2:$D$9999*Raw_Data_Daily!$BC$2:$BC$9999)/SUMIFS(Raw_Data_Daily!$D:$D, Raw_Data_Daily!$B:$B, "Control", Raw_Data_Daily!$C:$C, "A. 0"),"")</f>
        <v/>
      </c>
      <c r="D22" s="42" t="str">
        <f>IFERROR(SUMPRODUCT((Raw_Data_Daily!$B$2:$B$9999="Variant")*(Raw_Data_Daily!$C$2:$C$9999="A. 0")*Raw_Data_Daily!$D$2:$D$9999*Raw_Data_Daily!$BC$2:$BC$9999)/SUMIFS(Raw_Data_Daily!$D:$D, Raw_Data_Daily!$B:$B, "Variant", Raw_Data_Daily!$C:$C, "A. 0"),"")</f>
        <v/>
      </c>
      <c r="E22" s="38" t="str">
        <f t="shared" si="13"/>
        <v/>
      </c>
      <c r="F22" s="70">
        <f>IFERROR(SUMPRODUCT((Raw_Data_Daily!$B$2:$B$9999="Control")*(Raw_Data_Daily!$C$2:$C$9999="B. 1-9")*Raw_Data_Daily!$D$2:$D$9999*Raw_Data_Daily!$BC$2:$BC$9999)/SUMIFS(Raw_Data_Daily!$D:$D, Raw_Data_Daily!$B:$B, "Control", Raw_Data_Daily!$C:$C, "B. 1-9"),"")</f>
        <v>33.17348534</v>
      </c>
      <c r="G22" s="42">
        <f>IFERROR(SUMPRODUCT((Raw_Data_Daily!$B$2:$B$9999="Variant")*(Raw_Data_Daily!$C$2:$C$9999="B. 1-9")*Raw_Data_Daily!$D$2:$D$9999*Raw_Data_Daily!$BC$2:$BC$9999)/SUMIFS(Raw_Data_Daily!$D:$D, Raw_Data_Daily!$B:$B, "Variant", Raw_Data_Daily!$C:$C, "B. 1-9"),"")</f>
        <v>33.00634064</v>
      </c>
      <c r="H22" s="53">
        <f t="shared" si="14"/>
        <v>-0.005038502939</v>
      </c>
      <c r="I22" s="68">
        <f>IFERROR(SUMPRODUCT((Raw_Data_Daily!$B$2:$B$9999="Control")*(Raw_Data_Daily!$C$2:$C$9999="C. 10-19")*Raw_Data_Daily!$D$2:$D$9999*Raw_Data_Daily!$BC$2:$BC$9999)/SUMIFS(Raw_Data_Daily!$D:$D, Raw_Data_Daily!$B:$B, "Control", Raw_Data_Daily!$C:$C, "C. 10-19"),"")</f>
        <v>49.49285285</v>
      </c>
      <c r="J22" s="42">
        <f>IFERROR(SUMPRODUCT((Raw_Data_Daily!$B$2:$B$9999="Variant")*(Raw_Data_Daily!$C$2:$C$9999="C. 10-19")*Raw_Data_Daily!$D$2:$D$9999*Raw_Data_Daily!$BC$2:$BC$9999)/SUMIFS(Raw_Data_Daily!$D:$D, Raw_Data_Daily!$B:$B, "Variant", Raw_Data_Daily!$C:$C, "C. 10-19"),"")</f>
        <v>49.14426748</v>
      </c>
      <c r="K22" s="50">
        <f t="shared" si="15"/>
        <v>-0.007043145571</v>
      </c>
      <c r="L22" s="70">
        <f>IFERROR(SUMPRODUCT((Raw_Data_Daily!$B$2:$B$9999="Control")*(Raw_Data_Daily!$C$2:$C$9999="D. 20-39")*Raw_Data_Daily!$D$2:$D$9999*Raw_Data_Daily!$BC$2:$BC$9999)/SUMIFS(Raw_Data_Daily!$D:$D, Raw_Data_Daily!$B:$B, "Control", Raw_Data_Daily!$C:$C, "D. 20-39"),"")</f>
        <v>74.80341926</v>
      </c>
      <c r="M22" s="42">
        <f>IFERROR(SUMPRODUCT((Raw_Data_Daily!$B$2:$B$9999="Variant")*(Raw_Data_Daily!$C$2:$C$9999="D. 20-39")*Raw_Data_Daily!$D$2:$D$9999*Raw_Data_Daily!$BC$2:$BC$9999)/SUMIFS(Raw_Data_Daily!$D:$D, Raw_Data_Daily!$B:$B, "Variant", Raw_Data_Daily!$C:$C, "D. 20-39"),"")</f>
        <v>74.16758012</v>
      </c>
      <c r="N22" s="48">
        <f t="shared" si="16"/>
        <v>-0.008500134766</v>
      </c>
      <c r="O22" s="68">
        <f>IFERROR(SUMPRODUCT((Raw_Data_Daily!$B$2:$B$9999="Control")*(Raw_Data_Daily!$C$2:$C$9999="E. 40-99")*Raw_Data_Daily!$D$2:$D$9999*Raw_Data_Daily!$BC$2:$BC$9999)/SUMIFS(Raw_Data_Daily!$D:$D, Raw_Data_Daily!$B:$B, "Control", Raw_Data_Daily!$C:$C, "E. 40-99"),"")</f>
        <v>124.0891243</v>
      </c>
      <c r="P22" s="42">
        <f>IFERROR(SUMPRODUCT((Raw_Data_Daily!$B$2:$B$9999="Variant")*(Raw_Data_Daily!$C$2:$C$9999="E. 40-99")*Raw_Data_Daily!$D$2:$D$9999*Raw_Data_Daily!$BC$2:$BC$9999)/SUMIFS(Raw_Data_Daily!$D:$D, Raw_Data_Daily!$B:$B, "Variant", Raw_Data_Daily!$C:$C, "E. 40-99"),"")</f>
        <v>121.2474064</v>
      </c>
      <c r="Q22" s="46">
        <f t="shared" si="17"/>
        <v>-0.02290061996</v>
      </c>
      <c r="R22" s="70">
        <f>IFERROR(SUMPRODUCT((Raw_Data_Daily!$B$2:$B$9999="Control")*(Raw_Data_Daily!$C$2:$C$9999="F. 100+")*Raw_Data_Daily!$D$2:$D$9999*Raw_Data_Daily!$BC$2:$BC$9999)/SUMIFS(Raw_Data_Daily!$D:$D, Raw_Data_Daily!$B:$B, "Control", Raw_Data_Daily!$C:$C, "F. 100+"),"")</f>
        <v>211.2446449</v>
      </c>
      <c r="S22" s="42">
        <f>IFERROR(SUMPRODUCT((Raw_Data_Daily!$B$2:$B$9999="Variant")*(Raw_Data_Daily!$C$2:$C$9999="F. 100+")*Raw_Data_Daily!$D$2:$D$9999*Raw_Data_Daily!$BC$2:$BC$9999)/SUMIFS(Raw_Data_Daily!$D:$D, Raw_Data_Daily!$B:$B, "Variant", Raw_Data_Daily!$C:$C, "F. 100+"),"")</f>
        <v>212.5820896</v>
      </c>
      <c r="T22" s="119">
        <f t="shared" si="18"/>
        <v>0.006331259582</v>
      </c>
    </row>
    <row r="23" ht="15.75" customHeight="1">
      <c r="A23" s="27" t="s">
        <v>31</v>
      </c>
      <c r="B23" s="28"/>
      <c r="C23" s="30"/>
      <c r="D23" s="7"/>
      <c r="E23" s="31"/>
      <c r="F23" s="32"/>
      <c r="G23" s="7"/>
      <c r="H23" s="28"/>
      <c r="I23" s="30"/>
      <c r="J23" s="7"/>
      <c r="K23" s="31"/>
      <c r="L23" s="32"/>
      <c r="M23" s="7"/>
      <c r="N23" s="28"/>
      <c r="O23" s="30"/>
      <c r="P23" s="7"/>
      <c r="Q23" s="31"/>
      <c r="R23" s="32"/>
      <c r="S23" s="31"/>
      <c r="T23" s="133"/>
    </row>
    <row r="24" ht="15.75" customHeight="1">
      <c r="A24" s="9"/>
      <c r="B24" s="33" t="s">
        <v>32</v>
      </c>
      <c r="C24" s="135" t="str">
        <f>IFERROR(SUMPRODUCT((Raw_Data_Daily!$B$2:$B$9999="Control")*(Raw_Data_Daily!$C$2:$C$9999="A. 0")*Raw_Data_Daily!$D$2:$D$9999*Raw_Data_Daily!$M$2:$M$9999)/SUMIFS(Raw_Data_Daily!$D:$D, Raw_Data_Daily!$B:$B, "Control", Raw_Data_Daily!$C:$C, "A. 0"),"")</f>
        <v/>
      </c>
      <c r="D24" s="51" t="str">
        <f>IFERROR(SUMPRODUCT((Raw_Data_Daily!$B$2:$B$9999="Variant")*(Raw_Data_Daily!$C$2:$C$9999="A. 0")*Raw_Data_Daily!$D$2:$D$9999*Raw_Data_Daily!$M$2:$M$9999)/SUMIFS(Raw_Data_Daily!$D:$D, Raw_Data_Daily!$B:$B, "Variant", Raw_Data_Daily!$C:$C, "A. 0"),"")</f>
        <v/>
      </c>
      <c r="E24" s="41" t="str">
        <f t="shared" ref="E24:E27" si="19">IFERROR((D24-C24)/ABS(C24),"")</f>
        <v/>
      </c>
      <c r="F24" s="136">
        <f>IFERROR(SUMPRODUCT((Raw_Data_Daily!$B$2:$B$9999="Control")*(Raw_Data_Daily!$C$2:$C$9999="B. 1-9")*Raw_Data_Daily!$D$2:$D$9999*Raw_Data_Daily!$M$2:$M$9999)/SUMIFS(Raw_Data_Daily!$D:$D, Raw_Data_Daily!$B:$B, "Control", Raw_Data_Daily!$C:$C, "B. 1-9"),"")</f>
        <v>0.4453277166</v>
      </c>
      <c r="G24" s="51">
        <f>IFERROR(SUMPRODUCT((Raw_Data_Daily!$B$2:$B$9999="Variant")*(Raw_Data_Daily!$C$2:$C$9999="B. 1-9")*Raw_Data_Daily!$D$2:$D$9999*Raw_Data_Daily!$M$2:$M$9999)/SUMIFS(Raw_Data_Daily!$D:$D, Raw_Data_Daily!$B:$B, "Variant", Raw_Data_Daily!$C:$C, "B. 1-9"),"")</f>
        <v>0.4587844914</v>
      </c>
      <c r="H24" s="41">
        <f t="shared" ref="H24:H27" si="20">IFERROR((G24-F24)/ABS(F24),"")</f>
        <v>0.03021768988</v>
      </c>
      <c r="I24" s="135">
        <f>IFERROR(SUMPRODUCT((Raw_Data_Daily!$B$2:$B$9999="Control")*(Raw_Data_Daily!$C$2:$C$9999="C. 10-19")*Raw_Data_Daily!$D$2:$D$9999*Raw_Data_Daily!$M$2:$M$9999)/SUMIFS(Raw_Data_Daily!$D:$D, Raw_Data_Daily!$B:$B, "Control", Raw_Data_Daily!$C:$C, "C. 10-19"),"")</f>
        <v>0.5602234329</v>
      </c>
      <c r="J24" s="51">
        <f>IFERROR(SUMPRODUCT((Raw_Data_Daily!$B$2:$B$9999="Variant")*(Raw_Data_Daily!$C$2:$C$9999="C. 10-19")*Raw_Data_Daily!$D$2:$D$9999*Raw_Data_Daily!$M$2:$M$9999)/SUMIFS(Raw_Data_Daily!$D:$D, Raw_Data_Daily!$B:$B, "Variant", Raw_Data_Daily!$C:$C, "C. 10-19"),"")</f>
        <v>0.5484076291</v>
      </c>
      <c r="K24" s="41">
        <f t="shared" ref="K24:K27" si="21">IFERROR((J24-I24)/ABS(I24),"")</f>
        <v>-0.02109123467</v>
      </c>
      <c r="L24" s="136">
        <f>IFERROR(SUMPRODUCT((Raw_Data_Daily!$B$2:$B$9999="Control")*(Raw_Data_Daily!$C$2:$C$9999="D. 20-39")*Raw_Data_Daily!$D$2:$D$9999*Raw_Data_Daily!$M$2:$M$9999)/SUMIFS(Raw_Data_Daily!$D:$D, Raw_Data_Daily!$B:$B, "Control", Raw_Data_Daily!$C:$C, "D. 20-39"),"")</f>
        <v>0.648005852</v>
      </c>
      <c r="M24" s="51">
        <f>IFERROR(SUMPRODUCT((Raw_Data_Daily!$B$2:$B$9999="Variant")*(Raw_Data_Daily!$C$2:$C$9999="D. 20-39")*Raw_Data_Daily!$D$2:$D$9999*Raw_Data_Daily!$M$2:$M$9999)/SUMIFS(Raw_Data_Daily!$D:$D, Raw_Data_Daily!$B:$B, "Variant", Raw_Data_Daily!$C:$C, "D. 20-39"),"")</f>
        <v>0.6422196307</v>
      </c>
      <c r="N24" s="41">
        <f t="shared" ref="N24:N27" si="22">IFERROR((M24-L24)/ABS(L24),"")</f>
        <v>-0.008929273271</v>
      </c>
      <c r="O24" s="135">
        <f>IFERROR(SUMPRODUCT((Raw_Data_Daily!$B$2:$B$9999="Control")*(Raw_Data_Daily!$C$2:$C$9999="E. 40-99")*Raw_Data_Daily!$D$2:$D$9999*Raw_Data_Daily!$M$2:$M$9999)/SUMIFS(Raw_Data_Daily!$D:$D, Raw_Data_Daily!$B:$B, "Control", Raw_Data_Daily!$C:$C, "E. 40-99"),"")</f>
        <v>0.7230996216</v>
      </c>
      <c r="P24" s="51">
        <f>IFERROR(SUMPRODUCT((Raw_Data_Daily!$B$2:$B$9999="Variant")*(Raw_Data_Daily!$C$2:$C$9999="E. 40-99")*Raw_Data_Daily!$D$2:$D$9999*Raw_Data_Daily!$M$2:$M$9999)/SUMIFS(Raw_Data_Daily!$D:$D, Raw_Data_Daily!$B:$B, "Variant", Raw_Data_Daily!$C:$C, "E. 40-99"),"")</f>
        <v>0.7250168002</v>
      </c>
      <c r="Q24" s="41">
        <f t="shared" ref="Q24:Q27" si="23">IFERROR((P24-O24)/ABS(O24),"")</f>
        <v>0.00265133389</v>
      </c>
      <c r="R24" s="136">
        <f>IFERROR(SUMPRODUCT((Raw_Data_Daily!$B$2:$B$9999="Control")*(Raw_Data_Daily!$C$2:$C$9999="F. 100+")*Raw_Data_Daily!$D$2:$D$9999*Raw_Data_Daily!$M$2:$M$9999)/SUMIFS(Raw_Data_Daily!$D:$D, Raw_Data_Daily!$B:$B, "Control", Raw_Data_Daily!$C:$C, "F. 100+"),"")</f>
        <v>0.7792935175</v>
      </c>
      <c r="S24" s="138">
        <f>IFERROR(SUMPRODUCT((Raw_Data_Daily!$B$2:$B$9999="Variant")*(Raw_Data_Daily!$C$2:$C$9999="F. 100+")*Raw_Data_Daily!$D$2:$D$9999*Raw_Data_Daily!$M$2:$M$9999)/SUMIFS(Raw_Data_Daily!$D:$D, Raw_Data_Daily!$B:$B, "Variant", Raw_Data_Daily!$C:$C, "F. 100+"),"")</f>
        <v>0.7805859884</v>
      </c>
      <c r="T24" s="41">
        <f t="shared" ref="T24:T27" si="24">IFERROR((S24-R24)/ABS(R24),"")</f>
        <v>0.001658516235</v>
      </c>
    </row>
    <row r="25" ht="15.75" customHeight="1">
      <c r="A25" s="9"/>
      <c r="B25" s="33" t="s">
        <v>33</v>
      </c>
      <c r="C25" s="135" t="str">
        <f>IFERROR(SUMPRODUCT((Raw_Data_Daily!$B$2:$B$9999="Control")*(Raw_Data_Daily!$C$2:$C$9999="A. 0")*Raw_Data_Daily!$D$2:$D$9999*Raw_Data_Daily!$N$2:$N$9999)/SUMIFS(Raw_Data_Daily!$D:$D, Raw_Data_Daily!$B:$B, "Control", Raw_Data_Daily!$C:$C, "A. 0"),"")</f>
        <v/>
      </c>
      <c r="D25" s="51" t="str">
        <f>IFERROR(SUMPRODUCT((Raw_Data_Daily!$B$2:$B$9999="Variant")*(Raw_Data_Daily!$C$2:$C$9999="A. 0")*Raw_Data_Daily!$D$2:$D$9999*Raw_Data_Daily!$N$2:$N$9999)/SUMIFS(Raw_Data_Daily!$D:$D, Raw_Data_Daily!$B:$B, "Variant", Raw_Data_Daily!$C:$C, "A. 0"),"")</f>
        <v/>
      </c>
      <c r="E25" s="41" t="str">
        <f t="shared" si="19"/>
        <v/>
      </c>
      <c r="F25" s="136">
        <f>IFERROR(SUMPRODUCT((Raw_Data_Daily!$B$2:$B$9999="Control")*(Raw_Data_Daily!$C$2:$C$9999="B. 1-9")*Raw_Data_Daily!$D$2:$D$9999*Raw_Data_Daily!$N$2:$N$9999)/SUMIFS(Raw_Data_Daily!$D:$D, Raw_Data_Daily!$B:$B, "Control", Raw_Data_Daily!$C:$C, "B. 1-9"),"")</f>
        <v>0.6743408046</v>
      </c>
      <c r="G25" s="51">
        <f>IFERROR(SUMPRODUCT((Raw_Data_Daily!$B$2:$B$9999="Variant")*(Raw_Data_Daily!$C$2:$C$9999="B. 1-9")*Raw_Data_Daily!$D$2:$D$9999*Raw_Data_Daily!$N$2:$N$9999)/SUMIFS(Raw_Data_Daily!$D:$D, Raw_Data_Daily!$B:$B, "Variant", Raw_Data_Daily!$C:$C, "B. 1-9"),"")</f>
        <v>0.6641514063</v>
      </c>
      <c r="H25" s="41">
        <f t="shared" si="20"/>
        <v>-0.01511016117</v>
      </c>
      <c r="I25" s="135">
        <f>IFERROR(SUMPRODUCT((Raw_Data_Daily!$B$2:$B$9999="Control")*(Raw_Data_Daily!$C$2:$C$9999="C. 10-19")*Raw_Data_Daily!$D$2:$D$9999*Raw_Data_Daily!$N$2:$N$9999)/SUMIFS(Raw_Data_Daily!$D:$D, Raw_Data_Daily!$B:$B, "Control", Raw_Data_Daily!$C:$C, "C. 10-19"),"")</f>
        <v>0.580596815</v>
      </c>
      <c r="J25" s="51">
        <f>IFERROR(SUMPRODUCT((Raw_Data_Daily!$B$2:$B$9999="Variant")*(Raw_Data_Daily!$C$2:$C$9999="C. 10-19")*Raw_Data_Daily!$D$2:$D$9999*Raw_Data_Daily!$N$2:$N$9999)/SUMIFS(Raw_Data_Daily!$D:$D, Raw_Data_Daily!$B:$B, "Variant", Raw_Data_Daily!$C:$C, "C. 10-19"),"")</f>
        <v>0.588594176</v>
      </c>
      <c r="K25" s="41">
        <f t="shared" si="21"/>
        <v>0.01377437969</v>
      </c>
      <c r="L25" s="136">
        <f>IFERROR(SUMPRODUCT((Raw_Data_Daily!$B$2:$B$9999="Control")*(Raw_Data_Daily!$C$2:$C$9999="D. 20-39")*Raw_Data_Daily!$D$2:$D$9999*Raw_Data_Daily!$N$2:$N$9999)/SUMIFS(Raw_Data_Daily!$D:$D, Raw_Data_Daily!$B:$B, "Control", Raw_Data_Daily!$C:$C, "D. 20-39"),"")</f>
        <v>0.5011140883</v>
      </c>
      <c r="M25" s="51">
        <f>IFERROR(SUMPRODUCT((Raw_Data_Daily!$B$2:$B$9999="Variant")*(Raw_Data_Daily!$C$2:$C$9999="D. 20-39")*Raw_Data_Daily!$D$2:$D$9999*Raw_Data_Daily!$N$2:$N$9999)/SUMIFS(Raw_Data_Daily!$D:$D, Raw_Data_Daily!$B:$B, "Variant", Raw_Data_Daily!$C:$C, "D. 20-39"),"")</f>
        <v>0.5052401604</v>
      </c>
      <c r="N25" s="41">
        <f t="shared" si="22"/>
        <v>0.008233797725</v>
      </c>
      <c r="O25" s="135">
        <f>IFERROR(SUMPRODUCT((Raw_Data_Daily!$B$2:$B$9999="Control")*(Raw_Data_Daily!$C$2:$C$9999="E. 40-99")*Raw_Data_Daily!$D$2:$D$9999*Raw_Data_Daily!$N$2:$N$9999)/SUMIFS(Raw_Data_Daily!$D:$D, Raw_Data_Daily!$B:$B, "Control", Raw_Data_Daily!$C:$C, "E. 40-99"),"")</f>
        <v>0.4271503258</v>
      </c>
      <c r="P25" s="51">
        <f>IFERROR(SUMPRODUCT((Raw_Data_Daily!$B$2:$B$9999="Variant")*(Raw_Data_Daily!$C$2:$C$9999="E. 40-99")*Raw_Data_Daily!$D$2:$D$9999*Raw_Data_Daily!$N$2:$N$9999)/SUMIFS(Raw_Data_Daily!$D:$D, Raw_Data_Daily!$B:$B, "Variant", Raw_Data_Daily!$C:$C, "E. 40-99"),"")</f>
        <v>0.4258169096</v>
      </c>
      <c r="Q25" s="41">
        <f t="shared" si="23"/>
        <v>-0.003121655585</v>
      </c>
      <c r="R25" s="136">
        <f>IFERROR(SUMPRODUCT((Raw_Data_Daily!$B$2:$B$9999="Control")*(Raw_Data_Daily!$C$2:$C$9999="F. 100+")*Raw_Data_Daily!$D$2:$D$9999*Raw_Data_Daily!$N$2:$N$9999)/SUMIFS(Raw_Data_Daily!$D:$D, Raw_Data_Daily!$B:$B, "Control", Raw_Data_Daily!$C:$C, "F. 100+"),"")</f>
        <v>0.3566359639</v>
      </c>
      <c r="S25" s="138">
        <f>IFERROR(SUMPRODUCT((Raw_Data_Daily!$B$2:$B$9999="Variant")*(Raw_Data_Daily!$C$2:$C$9999="F. 100+")*Raw_Data_Daily!$D$2:$D$9999*Raw_Data_Daily!$N$2:$N$9999)/SUMIFS(Raw_Data_Daily!$D:$D, Raw_Data_Daily!$B:$B, "Variant", Raw_Data_Daily!$C:$C, "F. 100+"),"")</f>
        <v>0.3604434968</v>
      </c>
      <c r="T25" s="41">
        <f t="shared" si="24"/>
        <v>0.01067624486</v>
      </c>
    </row>
    <row r="26" ht="15.75" customHeight="1">
      <c r="A26" s="9"/>
      <c r="B26" s="33" t="s">
        <v>34</v>
      </c>
      <c r="C26" s="135" t="str">
        <f>IFERROR(SUMPRODUCT((Raw_Data_Daily!$B$2:$B$9999="Control")*(Raw_Data_Daily!$C$2:$C$9999="A. 0")*Raw_Data_Daily!$D$2:$D$9999*Raw_Data_Daily!$O$2:$O$9999)/SUMIFS(Raw_Data_Daily!$D:$D, Raw_Data_Daily!$B:$B, "Control", Raw_Data_Daily!$C:$C, "A. 0"),"")</f>
        <v/>
      </c>
      <c r="D26" s="51" t="str">
        <f>IFERROR(SUMPRODUCT((Raw_Data_Daily!$B$2:$B$9999="Variant")*(Raw_Data_Daily!$C$2:$C$9999="A. 0")*Raw_Data_Daily!$D$2:$D$9999*Raw_Data_Daily!$O$2:$O$9999)/SUMIFS(Raw_Data_Daily!$D:$D, Raw_Data_Daily!$B:$B, "Variant", Raw_Data_Daily!$C:$C, "A. 0"),"")</f>
        <v/>
      </c>
      <c r="E26" s="41" t="str">
        <f t="shared" si="19"/>
        <v/>
      </c>
      <c r="F26" s="136">
        <f>IFERROR(SUMPRODUCT((Raw_Data_Daily!$B$2:$B$9999="Control")*(Raw_Data_Daily!$C$2:$C$9999="B. 1-9")*Raw_Data_Daily!$D$2:$D$9999*Raw_Data_Daily!$O$2:$O$9999)/SUMIFS(Raw_Data_Daily!$D:$D, Raw_Data_Daily!$B:$B, "Control", Raw_Data_Daily!$C:$C, "B. 1-9"),"")</f>
        <v>0.4130936303</v>
      </c>
      <c r="G26" s="51">
        <f>IFERROR(SUMPRODUCT((Raw_Data_Daily!$B$2:$B$9999="Variant")*(Raw_Data_Daily!$C$2:$C$9999="B. 1-9")*Raw_Data_Daily!$D$2:$D$9999*Raw_Data_Daily!$O$2:$O$9999)/SUMIFS(Raw_Data_Daily!$D:$D, Raw_Data_Daily!$B:$B, "Variant", Raw_Data_Daily!$C:$C, "B. 1-9"),"")</f>
        <v>0.4029332705</v>
      </c>
      <c r="H26" s="41">
        <f t="shared" si="20"/>
        <v>-0.02459577945</v>
      </c>
      <c r="I26" s="135">
        <f>IFERROR(SUMPRODUCT((Raw_Data_Daily!$B$2:$B$9999="Control")*(Raw_Data_Daily!$C$2:$C$9999="C. 10-19")*Raw_Data_Daily!$D$2:$D$9999*Raw_Data_Daily!$O$2:$O$9999)/SUMIFS(Raw_Data_Daily!$D:$D, Raw_Data_Daily!$B:$B, "Control", Raw_Data_Daily!$C:$C, "C. 10-19"),"")</f>
        <v>0.3588905283</v>
      </c>
      <c r="J26" s="51">
        <f>IFERROR(SUMPRODUCT((Raw_Data_Daily!$B$2:$B$9999="Variant")*(Raw_Data_Daily!$C$2:$C$9999="C. 10-19")*Raw_Data_Daily!$D$2:$D$9999*Raw_Data_Daily!$O$2:$O$9999)/SUMIFS(Raw_Data_Daily!$D:$D, Raw_Data_Daily!$B:$B, "Variant", Raw_Data_Daily!$C:$C, "C. 10-19"),"")</f>
        <v>0.3581371535</v>
      </c>
      <c r="K26" s="41">
        <f t="shared" si="21"/>
        <v>-0.002099177106</v>
      </c>
      <c r="L26" s="136">
        <f>IFERROR(SUMPRODUCT((Raw_Data_Daily!$B$2:$B$9999="Control")*(Raw_Data_Daily!$C$2:$C$9999="D. 20-39")*Raw_Data_Daily!$D$2:$D$9999*Raw_Data_Daily!$O$2:$O$9999)/SUMIFS(Raw_Data_Daily!$D:$D, Raw_Data_Daily!$B:$B, "Control", Raw_Data_Daily!$C:$C, "D. 20-39"),"")</f>
        <v>0.3129468106</v>
      </c>
      <c r="M26" s="51">
        <f>IFERROR(SUMPRODUCT((Raw_Data_Daily!$B$2:$B$9999="Variant")*(Raw_Data_Daily!$C$2:$C$9999="D. 20-39")*Raw_Data_Daily!$D$2:$D$9999*Raw_Data_Daily!$O$2:$O$9999)/SUMIFS(Raw_Data_Daily!$D:$D, Raw_Data_Daily!$B:$B, "Variant", Raw_Data_Daily!$C:$C, "D. 20-39"),"")</f>
        <v>0.3113442534</v>
      </c>
      <c r="N26" s="41">
        <f t="shared" si="22"/>
        <v>-0.005120861312</v>
      </c>
      <c r="O26" s="135">
        <f>IFERROR(SUMPRODUCT((Raw_Data_Daily!$B$2:$B$9999="Control")*(Raw_Data_Daily!$C$2:$C$9999="E. 40-99")*Raw_Data_Daily!$D$2:$D$9999*Raw_Data_Daily!$O$2:$O$9999)/SUMIFS(Raw_Data_Daily!$D:$D, Raw_Data_Daily!$B:$B, "Control", Raw_Data_Daily!$C:$C, "E. 40-99"),"")</f>
        <v>0.2706176777</v>
      </c>
      <c r="P26" s="51">
        <f>IFERROR(SUMPRODUCT((Raw_Data_Daily!$B$2:$B$9999="Variant")*(Raw_Data_Daily!$C$2:$C$9999="E. 40-99")*Raw_Data_Daily!$D$2:$D$9999*Raw_Data_Daily!$O$2:$O$9999)/SUMIFS(Raw_Data_Daily!$D:$D, Raw_Data_Daily!$B:$B, "Variant", Raw_Data_Daily!$C:$C, "E. 40-99"),"")</f>
        <v>0.2687059357</v>
      </c>
      <c r="Q26" s="41">
        <f t="shared" si="23"/>
        <v>-0.00706436507</v>
      </c>
      <c r="R26" s="136">
        <f>IFERROR(SUMPRODUCT((Raw_Data_Daily!$B$2:$B$9999="Control")*(Raw_Data_Daily!$C$2:$C$9999="F. 100+")*Raw_Data_Daily!$D$2:$D$9999*Raw_Data_Daily!$O$2:$O$9999)/SUMIFS(Raw_Data_Daily!$D:$D, Raw_Data_Daily!$B:$B, "Control", Raw_Data_Daily!$C:$C, "F. 100+"),"")</f>
        <v>0.2299467306</v>
      </c>
      <c r="S26" s="138">
        <f>IFERROR(SUMPRODUCT((Raw_Data_Daily!$B$2:$B$9999="Variant")*(Raw_Data_Daily!$C$2:$C$9999="F. 100+")*Raw_Data_Daily!$D$2:$D$9999*Raw_Data_Daily!$O$2:$O$9999)/SUMIFS(Raw_Data_Daily!$D:$D, Raw_Data_Daily!$B:$B, "Variant", Raw_Data_Daily!$C:$C, "F. 100+"),"")</f>
        <v>0.2309923546</v>
      </c>
      <c r="T26" s="41">
        <f t="shared" si="24"/>
        <v>0.004547244481</v>
      </c>
      <c r="V26" s="146" t="s">
        <v>209</v>
      </c>
    </row>
    <row r="27" ht="15.75" customHeight="1">
      <c r="A27" s="9"/>
      <c r="B27" s="33" t="s">
        <v>35</v>
      </c>
      <c r="C27" s="68" t="str">
        <f>IFERROR(SUMPRODUCT((Raw_Data_Daily!$B$2:$B$9999="Control")*(Raw_Data_Daily!$C$2:$C$9999="A. 0")*Raw_Data_Daily!$D$2:$D$9999*Raw_Data_Daily!$P$2:$P$9999)/SUMIFS(Raw_Data_Daily!$D:$D, Raw_Data_Daily!$B:$B, "Control", Raw_Data_Daily!$C:$C, "A. 0"),"")</f>
        <v/>
      </c>
      <c r="D27" s="42" t="str">
        <f>IFERROR(SUMPRODUCT((Raw_Data_Daily!$B$2:$B$9999="Variant")*(Raw_Data_Daily!$C$2:$C$9999="A. 0")*Raw_Data_Daily!$D$2:$D$9999*Raw_Data_Daily!$P$2:$P$9999)/SUMIFS(Raw_Data_Daily!$D:$D, Raw_Data_Daily!$B:$B, "Variant", Raw_Data_Daily!$C:$C, "A. 0"),"")</f>
        <v/>
      </c>
      <c r="E27" s="41" t="str">
        <f t="shared" si="19"/>
        <v/>
      </c>
      <c r="F27" s="70">
        <f>IFERROR(SUMPRODUCT((Raw_Data_Daily!$B$2:$B$9999="Control")*(Raw_Data_Daily!$C$2:$C$9999="B. 1-9")*Raw_Data_Daily!$D$2:$D$9999*Raw_Data_Daily!$P$2:$P$9999)/SUMIFS(Raw_Data_Daily!$D:$D, Raw_Data_Daily!$B:$B, "Control", Raw_Data_Daily!$C:$C, "B. 1-9"),"")</f>
        <v>2.250320966</v>
      </c>
      <c r="G27" s="42">
        <f>IFERROR(SUMPRODUCT((Raw_Data_Daily!$B$2:$B$9999="Variant")*(Raw_Data_Daily!$C$2:$C$9999="B. 1-9")*Raw_Data_Daily!$D$2:$D$9999*Raw_Data_Daily!$P$2:$P$9999)/SUMIFS(Raw_Data_Daily!$D:$D, Raw_Data_Daily!$B:$B, "Variant", Raw_Data_Daily!$C:$C, "B. 1-9"),"")</f>
        <v>2.183139268</v>
      </c>
      <c r="H27" s="41">
        <f t="shared" si="20"/>
        <v>-0.02985427357</v>
      </c>
      <c r="I27" s="68">
        <f>IFERROR(SUMPRODUCT((Raw_Data_Daily!$B$2:$B$9999="Control")*(Raw_Data_Daily!$C$2:$C$9999="C. 10-19")*Raw_Data_Daily!$D$2:$D$9999*Raw_Data_Daily!$P$2:$P$9999)/SUMIFS(Raw_Data_Daily!$D:$D, Raw_Data_Daily!$B:$B, "Control", Raw_Data_Daily!$C:$C, "C. 10-19"),"")</f>
        <v>1.787311614</v>
      </c>
      <c r="J27" s="42">
        <f>IFERROR(SUMPRODUCT((Raw_Data_Daily!$B$2:$B$9999="Variant")*(Raw_Data_Daily!$C$2:$C$9999="C. 10-19")*Raw_Data_Daily!$D$2:$D$9999*Raw_Data_Daily!$P$2:$P$9999)/SUMIFS(Raw_Data_Daily!$D:$D, Raw_Data_Daily!$B:$B, "Variant", Raw_Data_Daily!$C:$C, "C. 10-19"),"")</f>
        <v>1.825461663</v>
      </c>
      <c r="K27" s="41">
        <f t="shared" si="21"/>
        <v>0.02134493441</v>
      </c>
      <c r="L27" s="70">
        <f>IFERROR(SUMPRODUCT((Raw_Data_Daily!$B$2:$B$9999="Control")*(Raw_Data_Daily!$C$2:$C$9999="D. 20-39")*Raw_Data_Daily!$D$2:$D$9999*Raw_Data_Daily!$P$2:$P$9999)/SUMIFS(Raw_Data_Daily!$D:$D, Raw_Data_Daily!$B:$B, "Control", Raw_Data_Daily!$C:$C, "D. 20-39"),"")</f>
        <v>1.543911164</v>
      </c>
      <c r="M27" s="42">
        <f>IFERROR(SUMPRODUCT((Raw_Data_Daily!$B$2:$B$9999="Variant")*(Raw_Data_Daily!$C$2:$C$9999="D. 20-39")*Raw_Data_Daily!$D$2:$D$9999*Raw_Data_Daily!$P$2:$P$9999)/SUMIFS(Raw_Data_Daily!$D:$D, Raw_Data_Daily!$B:$B, "Variant", Raw_Data_Daily!$C:$C, "D. 20-39"),"")</f>
        <v>1.558099692</v>
      </c>
      <c r="N27" s="41">
        <f t="shared" si="22"/>
        <v>0.009189990248</v>
      </c>
      <c r="O27" s="68">
        <f>IFERROR(SUMPRODUCT((Raw_Data_Daily!$B$2:$B$9999="Control")*(Raw_Data_Daily!$C$2:$C$9999="E. 40-99")*Raw_Data_Daily!$D$2:$D$9999*Raw_Data_Daily!$P$2:$P$9999)/SUMIFS(Raw_Data_Daily!$D:$D, Raw_Data_Daily!$B:$B, "Control", Raw_Data_Daily!$C:$C, "E. 40-99"),"")</f>
        <v>1.383554349</v>
      </c>
      <c r="P27" s="42">
        <f>IFERROR(SUMPRODUCT((Raw_Data_Daily!$B$2:$B$9999="Variant")*(Raw_Data_Daily!$C$2:$C$9999="E. 40-99")*Raw_Data_Daily!$D$2:$D$9999*Raw_Data_Daily!$P$2:$P$9999)/SUMIFS(Raw_Data_Daily!$D:$D, Raw_Data_Daily!$B:$B, "Variant", Raw_Data_Daily!$C:$C, "E. 40-99"),"")</f>
        <v>1.379974323</v>
      </c>
      <c r="Q27" s="41">
        <f t="shared" si="23"/>
        <v>-0.00258755748</v>
      </c>
      <c r="R27" s="70">
        <f>IFERROR(SUMPRODUCT((Raw_Data_Daily!$B$2:$B$9999="Control")*(Raw_Data_Daily!$C$2:$C$9999="F. 100+")*Raw_Data_Daily!$D$2:$D$9999*Raw_Data_Daily!$P$2:$P$9999)/SUMIFS(Raw_Data_Daily!$D:$D, Raw_Data_Daily!$B:$B, "Control", Raw_Data_Daily!$C:$C, "F. 100+"),"")</f>
        <v>1.283420321</v>
      </c>
      <c r="S27" s="150">
        <f>IFERROR(SUMPRODUCT((Raw_Data_Daily!$B$2:$B$9999="Variant")*(Raw_Data_Daily!$C$2:$C$9999="F. 100+")*Raw_Data_Daily!$D$2:$D$9999*Raw_Data_Daily!$P$2:$P$9999)/SUMIFS(Raw_Data_Daily!$D:$D, Raw_Data_Daily!$B:$B, "Variant", Raw_Data_Daily!$C:$C, "F. 100+"),"")</f>
        <v>1.281524063</v>
      </c>
      <c r="T27" s="41">
        <f t="shared" si="24"/>
        <v>-0.001477503449</v>
      </c>
      <c r="U27" s="151" t="s">
        <v>216</v>
      </c>
      <c r="V27" s="152" t="s">
        <v>217</v>
      </c>
    </row>
    <row r="28" ht="15.75" customHeight="1">
      <c r="A28" s="27" t="s">
        <v>36</v>
      </c>
      <c r="B28" s="28"/>
      <c r="C28" s="30"/>
      <c r="D28" s="7"/>
      <c r="E28" s="31"/>
      <c r="F28" s="32"/>
      <c r="G28" s="7"/>
      <c r="H28" s="28"/>
      <c r="I28" s="30"/>
      <c r="J28" s="7"/>
      <c r="K28" s="31"/>
      <c r="L28" s="32"/>
      <c r="M28" s="7"/>
      <c r="N28" s="28"/>
      <c r="O28" s="30"/>
      <c r="P28" s="7"/>
      <c r="Q28" s="31"/>
      <c r="R28" s="32"/>
      <c r="S28" s="31"/>
      <c r="T28" s="133"/>
      <c r="U28" s="151" t="s">
        <v>216</v>
      </c>
      <c r="V28" s="153" t="s">
        <v>219</v>
      </c>
    </row>
    <row r="29" ht="15.75" customHeight="1">
      <c r="A29" s="9"/>
      <c r="B29" s="154" t="s">
        <v>37</v>
      </c>
      <c r="C29" s="68" t="str">
        <f>IFERROR(SUMPRODUCT((Raw_Data_Daily!$B$2:$B$9999="Control")*(Raw_Data_Daily!$C$2:$C$9999="A. 0")*Raw_Data_Daily!$D$2:$D$9999*Raw_Data_Daily!$Q$2:$Q$9999)/SUMIFS(Raw_Data_Daily!$D:$D, Raw_Data_Daily!$B:$B, "Control", Raw_Data_Daily!$C:$C, "A. 0"),"")</f>
        <v/>
      </c>
      <c r="D29" s="42" t="str">
        <f>IFERROR(SUMPRODUCT((Raw_Data_Daily!$B$2:$B$9999="Variant")*(Raw_Data_Daily!$C$2:$C$9999="A. 0")*Raw_Data_Daily!$D$2:$D$9999*Raw_Data_Daily!$Q$2:$Q$9999)/SUMIFS(Raw_Data_Daily!$D:$D, Raw_Data_Daily!$B:$B, "Variant", Raw_Data_Daily!$C:$C, "A. 0"),"")</f>
        <v/>
      </c>
      <c r="E29" s="46" t="str">
        <f t="shared" ref="E29:E35" si="25">IFERROR((D29-C29)/ABS(C29),"")</f>
        <v/>
      </c>
      <c r="F29" s="70">
        <f>IFERROR(SUMPRODUCT((Raw_Data_Daily!$B$2:$B$9999="Control")*(Raw_Data_Daily!$C$2:$C$9999="B. 1-9")*Raw_Data_Daily!$D$2:$D$9999*Raw_Data_Daily!$Q$2:$Q$9999)/SUMIFS(Raw_Data_Daily!$D:$D, Raw_Data_Daily!$B:$B, "Control", Raw_Data_Daily!$C:$C, "B. 1-9"),"")</f>
        <v>57.36695326</v>
      </c>
      <c r="G29" s="42">
        <f>IFERROR(SUMPRODUCT((Raw_Data_Daily!$B$2:$B$9999="Variant")*(Raw_Data_Daily!$C$2:$C$9999="B. 1-9")*Raw_Data_Daily!$D$2:$D$9999*Raw_Data_Daily!$Q$2:$Q$9999)/SUMIFS(Raw_Data_Daily!$D:$D, Raw_Data_Daily!$B:$B, "Variant", Raw_Data_Daily!$C:$C, "B. 1-9"),"")</f>
        <v>55.78651574</v>
      </c>
      <c r="H29" s="53">
        <f t="shared" ref="H29:H35" si="26">IFERROR((G29-F29)/ABS(F29),"")</f>
        <v>-0.02754961576</v>
      </c>
      <c r="I29" s="68">
        <f>IFERROR(SUMPRODUCT((Raw_Data_Daily!$B$2:$B$9999="Control")*(Raw_Data_Daily!$C$2:$C$9999="C. 10-19")*Raw_Data_Daily!$D$2:$D$9999*Raw_Data_Daily!$Q$2:$Q$9999)/SUMIFS(Raw_Data_Daily!$D:$D, Raw_Data_Daily!$B:$B, "Control", Raw_Data_Daily!$C:$C, "C. 10-19"),"")</f>
        <v>101.3250384</v>
      </c>
      <c r="J29" s="42">
        <f>IFERROR(SUMPRODUCT((Raw_Data_Daily!$B$2:$B$9999="Variant")*(Raw_Data_Daily!$C$2:$C$9999="C. 10-19")*Raw_Data_Daily!$D$2:$D$9999*Raw_Data_Daily!$Q$2:$Q$9999)/SUMIFS(Raw_Data_Daily!$D:$D, Raw_Data_Daily!$B:$B, "Variant", Raw_Data_Daily!$C:$C, "C. 10-19"),"")</f>
        <v>102.4265661</v>
      </c>
      <c r="K29" s="50">
        <f t="shared" ref="K29:K35" si="27">IFERROR((J29-I29)/ABS(I29),"")</f>
        <v>0.01087122944</v>
      </c>
      <c r="L29" s="70">
        <f>IFERROR(SUMPRODUCT((Raw_Data_Daily!$B$2:$B$9999="Control")*(Raw_Data_Daily!$C$2:$C$9999="D. 20-39")*Raw_Data_Daily!$D$2:$D$9999*Raw_Data_Daily!$Q$2:$Q$9999)/SUMIFS(Raw_Data_Daily!$D:$D, Raw_Data_Daily!$B:$B, "Control", Raw_Data_Daily!$C:$C, "D. 20-39"),"")</f>
        <v>160.0291589</v>
      </c>
      <c r="M29" s="42">
        <f>IFERROR(SUMPRODUCT((Raw_Data_Daily!$B$2:$B$9999="Variant")*(Raw_Data_Daily!$C$2:$C$9999="D. 20-39")*Raw_Data_Daily!$D$2:$D$9999*Raw_Data_Daily!$Q$2:$Q$9999)/SUMIFS(Raw_Data_Daily!$D:$D, Raw_Data_Daily!$B:$B, "Variant", Raw_Data_Daily!$C:$C, "D. 20-39"),"")</f>
        <v>180.9275483</v>
      </c>
      <c r="N29" s="53">
        <f t="shared" ref="N29:N35" si="28">IFERROR((M29-L29)/ABS(L29),"")</f>
        <v>0.1305911342</v>
      </c>
      <c r="O29" s="68">
        <f>IFERROR(SUMPRODUCT((Raw_Data_Daily!$B$2:$B$9999="Control")*(Raw_Data_Daily!$C$2:$C$9999="E. 40-99")*Raw_Data_Daily!$D$2:$D$9999*Raw_Data_Daily!$Q$2:$Q$9999)/SUMIFS(Raw_Data_Daily!$D:$D, Raw_Data_Daily!$B:$B, "Control", Raw_Data_Daily!$C:$C, "E. 40-99"),"")</f>
        <v>276.0834994</v>
      </c>
      <c r="P29" s="42">
        <f>IFERROR(SUMPRODUCT((Raw_Data_Daily!$B$2:$B$9999="Variant")*(Raw_Data_Daily!$C$2:$C$9999="E. 40-99")*Raw_Data_Daily!$D$2:$D$9999*Raw_Data_Daily!$Q$2:$Q$9999)/SUMIFS(Raw_Data_Daily!$D:$D, Raw_Data_Daily!$B:$B, "Variant", Raw_Data_Daily!$C:$C, "E. 40-99"),"")</f>
        <v>336.2677601</v>
      </c>
      <c r="Q29" s="50">
        <f t="shared" ref="Q29:Q35" si="29">IFERROR((P29-O29)/ABS(O29),"")</f>
        <v>0.2179929654</v>
      </c>
      <c r="R29" s="70">
        <f>IFERROR(SUMPRODUCT((Raw_Data_Daily!$B$2:$B$9999="Control")*(Raw_Data_Daily!$C$2:$C$9999="F. 100+")*Raw_Data_Daily!$D$2:$D$9999*Raw_Data_Daily!$Q$2:$Q$9999)/SUMIFS(Raw_Data_Daily!$D:$D, Raw_Data_Daily!$B:$B, "Control", Raw_Data_Daily!$C:$C, "F. 100+"),"")</f>
        <v>458.5180327</v>
      </c>
      <c r="S29" s="150">
        <f>IFERROR(SUMPRODUCT((Raw_Data_Daily!$B$2:$B$9999="Variant")*(Raw_Data_Daily!$C$2:$C$9999="F. 100+")*Raw_Data_Daily!$D$2:$D$9999*Raw_Data_Daily!$Q$2:$Q$9999)/SUMIFS(Raw_Data_Daily!$D:$D, Raw_Data_Daily!$B:$B, "Variant", Raw_Data_Daily!$C:$C, "F. 100+"),"")</f>
        <v>594.8667103</v>
      </c>
      <c r="T29" s="53">
        <f t="shared" ref="T29:T35" si="30">IFERROR((S29-R29)/ABS(R29),"")</f>
        <v>0.2973681904</v>
      </c>
      <c r="U29" s="151" t="s">
        <v>216</v>
      </c>
      <c r="V29" s="153" t="s">
        <v>223</v>
      </c>
    </row>
    <row r="30" ht="15.75" customHeight="1">
      <c r="A30" s="9"/>
      <c r="B30" s="154" t="s">
        <v>40</v>
      </c>
      <c r="C30" s="68" t="str">
        <f>IFERROR(SUMPRODUCT((Raw_Data_Daily!$B$2:$B$9999="Control")*(Raw_Data_Daily!$C$2:$C$9999="A. 0")*Raw_Data_Daily!$D$2:$D$9999*Raw_Data_Daily!$T$2:$T$9999)/SUMIFS(Raw_Data_Daily!$D:$D, Raw_Data_Daily!$B:$B, "Control", Raw_Data_Daily!$C:$C, "A. 0"),"")</f>
        <v/>
      </c>
      <c r="D30" s="42" t="str">
        <f>IFERROR(SUMPRODUCT((Raw_Data_Daily!$B$2:$B$9999="Variant")*(Raw_Data_Daily!$C$2:$C$9999="A. 0")*Raw_Data_Daily!$D$2:$D$9999*Raw_Data_Daily!$T$2:$T$9999)/SUMIFS(Raw_Data_Daily!$D:$D, Raw_Data_Daily!$B:$B, "Variant", Raw_Data_Daily!$C:$C, "A. 0"),"")</f>
        <v/>
      </c>
      <c r="E30" s="46" t="str">
        <f t="shared" si="25"/>
        <v/>
      </c>
      <c r="F30" s="70">
        <f>IFERROR(SUMPRODUCT((Raw_Data_Daily!$B$2:$B$9999="Control")*(Raw_Data_Daily!$C$2:$C$9999="B. 1-9")*Raw_Data_Daily!$D$2:$D$9999*Raw_Data_Daily!$T$2:$T$9999)/SUMIFS(Raw_Data_Daily!$D:$D, Raw_Data_Daily!$B:$B, "Control", Raw_Data_Daily!$C:$C, "B. 1-9"),"")</f>
        <v>3.1953</v>
      </c>
      <c r="G30" s="42">
        <f>IFERROR(SUMPRODUCT((Raw_Data_Daily!$B$2:$B$9999="Variant")*(Raw_Data_Daily!$C$2:$C$9999="B. 1-9")*Raw_Data_Daily!$D$2:$D$9999*Raw_Data_Daily!$T$2:$T$9999)/SUMIFS(Raw_Data_Daily!$D:$D, Raw_Data_Daily!$B:$B, "Variant", Raw_Data_Daily!$C:$C, "B. 1-9"),"")</f>
        <v>2.873882584</v>
      </c>
      <c r="H30" s="48">
        <f t="shared" si="26"/>
        <v>-0.1005906849</v>
      </c>
      <c r="I30" s="68">
        <f>IFERROR(SUMPRODUCT((Raw_Data_Daily!$B$2:$B$9999="Control")*(Raw_Data_Daily!$C$2:$C$9999="C. 10-19")*Raw_Data_Daily!$D$2:$D$9999*Raw_Data_Daily!$T$2:$T$9999)/SUMIFS(Raw_Data_Daily!$D:$D, Raw_Data_Daily!$B:$B, "Control", Raw_Data_Daily!$C:$C, "C. 10-19"),"")</f>
        <v>7.515507008</v>
      </c>
      <c r="J30" s="42">
        <f>IFERROR(SUMPRODUCT((Raw_Data_Daily!$B$2:$B$9999="Variant")*(Raw_Data_Daily!$C$2:$C$9999="C. 10-19")*Raw_Data_Daily!$D$2:$D$9999*Raw_Data_Daily!$T$2:$T$9999)/SUMIFS(Raw_Data_Daily!$D:$D, Raw_Data_Daily!$B:$B, "Variant", Raw_Data_Daily!$C:$C, "C. 10-19"),"")</f>
        <v>7.424961708</v>
      </c>
      <c r="K30" s="46">
        <f t="shared" si="27"/>
        <v>-0.01204779669</v>
      </c>
      <c r="L30" s="70">
        <f>IFERROR(SUMPRODUCT((Raw_Data_Daily!$B$2:$B$9999="Control")*(Raw_Data_Daily!$C$2:$C$9999="D. 20-39")*Raw_Data_Daily!$D$2:$D$9999*Raw_Data_Daily!$T$2:$T$9999)/SUMIFS(Raw_Data_Daily!$D:$D, Raw_Data_Daily!$B:$B, "Control", Raw_Data_Daily!$C:$C, "D. 20-39"),"")</f>
        <v>14.71362275</v>
      </c>
      <c r="M30" s="42">
        <f>IFERROR(SUMPRODUCT((Raw_Data_Daily!$B$2:$B$9999="Variant")*(Raw_Data_Daily!$C$2:$C$9999="D. 20-39")*Raw_Data_Daily!$D$2:$D$9999*Raw_Data_Daily!$T$2:$T$9999)/SUMIFS(Raw_Data_Daily!$D:$D, Raw_Data_Daily!$B:$B, "Variant", Raw_Data_Daily!$C:$C, "D. 20-39"),"")</f>
        <v>11.75652744</v>
      </c>
      <c r="N30" s="48">
        <f t="shared" si="28"/>
        <v>-0.2009766974</v>
      </c>
      <c r="O30" s="68">
        <f>IFERROR(SUMPRODUCT((Raw_Data_Daily!$B$2:$B$9999="Control")*(Raw_Data_Daily!$C$2:$C$9999="E. 40-99")*Raw_Data_Daily!$D$2:$D$9999*Raw_Data_Daily!$T$2:$T$9999)/SUMIFS(Raw_Data_Daily!$D:$D, Raw_Data_Daily!$B:$B, "Control", Raw_Data_Daily!$C:$C, "E. 40-99"),"")</f>
        <v>33.6299609</v>
      </c>
      <c r="P30" s="42">
        <f>IFERROR(SUMPRODUCT((Raw_Data_Daily!$B$2:$B$9999="Variant")*(Raw_Data_Daily!$C$2:$C$9999="E. 40-99")*Raw_Data_Daily!$D$2:$D$9999*Raw_Data_Daily!$T$2:$T$9999)/SUMIFS(Raw_Data_Daily!$D:$D, Raw_Data_Daily!$B:$B, "Variant", Raw_Data_Daily!$C:$C, "E. 40-99"),"")</f>
        <v>31.4973828</v>
      </c>
      <c r="Q30" s="50">
        <f t="shared" si="29"/>
        <v>-0.06341304149</v>
      </c>
      <c r="R30" s="70">
        <f>IFERROR(SUMPRODUCT((Raw_Data_Daily!$B$2:$B$9999="Control")*(Raw_Data_Daily!$C$2:$C$9999="F. 100+")*Raw_Data_Daily!$D$2:$D$9999*Raw_Data_Daily!$T$2:$T$9999)/SUMIFS(Raw_Data_Daily!$D:$D, Raw_Data_Daily!$B:$B, "Control", Raw_Data_Daily!$C:$C, "F. 100+"),"")</f>
        <v>84.37133596</v>
      </c>
      <c r="S30" s="42">
        <f>IFERROR(SUMPRODUCT((Raw_Data_Daily!$B$2:$B$9999="Variant")*(Raw_Data_Daily!$C$2:$C$9999="F. 100+")*Raw_Data_Daily!$D$2:$D$9999*Raw_Data_Daily!$T$2:$T$9999)/SUMIFS(Raw_Data_Daily!$D:$D, Raw_Data_Daily!$B:$B, "Variant", Raw_Data_Daily!$C:$C, "F. 100+"),"")</f>
        <v>86.90302467</v>
      </c>
      <c r="T30" s="164">
        <f t="shared" si="30"/>
        <v>0.03000650256</v>
      </c>
      <c r="U30" s="151"/>
      <c r="V30" s="153" t="s">
        <v>226</v>
      </c>
    </row>
    <row r="31" ht="15.75" customHeight="1">
      <c r="A31" s="9"/>
      <c r="B31" s="154" t="s">
        <v>41</v>
      </c>
      <c r="C31" s="68" t="str">
        <f>IFERROR(SUMPRODUCT((Raw_Data_Daily!$B$2:$B$9999="Control")*(Raw_Data_Daily!$C$2:$C$9999="A. 0")*Raw_Data_Daily!$D$2:$D$9999*Raw_Data_Daily!$U$2:$U$9999)/SUMIFS(Raw_Data_Daily!$D:$D, Raw_Data_Daily!$B:$B, "Control", Raw_Data_Daily!$C:$C, "A. 0"),"")</f>
        <v/>
      </c>
      <c r="D31" s="42" t="str">
        <f>IFERROR(SUMPRODUCT((Raw_Data_Daily!$B$2:$B$9999="Variant")*(Raw_Data_Daily!$C$2:$C$9999="A. 0")*Raw_Data_Daily!$D$2:$D$9999*Raw_Data_Daily!$U$2:$U$9999)/SUMIFS(Raw_Data_Daily!$D:$D, Raw_Data_Daily!$B:$B, "Variant", Raw_Data_Daily!$C:$C, "A. 0"),"")</f>
        <v/>
      </c>
      <c r="E31" s="46" t="str">
        <f t="shared" si="25"/>
        <v/>
      </c>
      <c r="F31" s="70">
        <f>IFERROR(SUMPRODUCT((Raw_Data_Daily!$B$2:$B$9999="Control")*(Raw_Data_Daily!$C$2:$C$9999="B. 1-9")*Raw_Data_Daily!$D$2:$D$9999*Raw_Data_Daily!$U$2:$U$9999)/SUMIFS(Raw_Data_Daily!$D:$D, Raw_Data_Daily!$B:$B, "Control", Raw_Data_Daily!$C:$C, "B. 1-9"),"")</f>
        <v>54.17165326</v>
      </c>
      <c r="G31" s="42">
        <f>IFERROR(SUMPRODUCT((Raw_Data_Daily!$B$2:$B$9999="Variant")*(Raw_Data_Daily!$C$2:$C$9999="B. 1-9")*Raw_Data_Daily!$D$2:$D$9999*Raw_Data_Daily!$U$2:$U$9999)/SUMIFS(Raw_Data_Daily!$D:$D, Raw_Data_Daily!$B:$B, "Variant", Raw_Data_Daily!$C:$C, "B. 1-9"),"")</f>
        <v>52.91592882</v>
      </c>
      <c r="H31" s="53">
        <f t="shared" si="26"/>
        <v>-0.02318047096</v>
      </c>
      <c r="I31" s="68">
        <f>IFERROR(SUMPRODUCT((Raw_Data_Daily!$B$2:$B$9999="Control")*(Raw_Data_Daily!$C$2:$C$9999="C. 10-19")*Raw_Data_Daily!$D$2:$D$9999*Raw_Data_Daily!$U$2:$U$9999)/SUMIFS(Raw_Data_Daily!$D:$D, Raw_Data_Daily!$B:$B, "Control", Raw_Data_Daily!$C:$C, "C. 10-19"),"")</f>
        <v>93.80786233</v>
      </c>
      <c r="J31" s="42">
        <f>IFERROR(SUMPRODUCT((Raw_Data_Daily!$B$2:$B$9999="Variant")*(Raw_Data_Daily!$C$2:$C$9999="C. 10-19")*Raw_Data_Daily!$D$2:$D$9999*Raw_Data_Daily!$U$2:$U$9999)/SUMIFS(Raw_Data_Daily!$D:$D, Raw_Data_Daily!$B:$B, "Variant", Raw_Data_Daily!$C:$C, "C. 10-19"),"")</f>
        <v>95.00326353</v>
      </c>
      <c r="K31" s="50">
        <f t="shared" si="27"/>
        <v>0.01274308108</v>
      </c>
      <c r="L31" s="70">
        <f>IFERROR(SUMPRODUCT((Raw_Data_Daily!$B$2:$B$9999="Control")*(Raw_Data_Daily!$C$2:$C$9999="D. 20-39")*Raw_Data_Daily!$D$2:$D$9999*Raw_Data_Daily!$U$2:$U$9999)/SUMIFS(Raw_Data_Daily!$D:$D, Raw_Data_Daily!$B:$B, "Control", Raw_Data_Daily!$C:$C, "D. 20-39"),"")</f>
        <v>145.3172256</v>
      </c>
      <c r="M31" s="42">
        <f>IFERROR(SUMPRODUCT((Raw_Data_Daily!$B$2:$B$9999="Variant")*(Raw_Data_Daily!$C$2:$C$9999="D. 20-39")*Raw_Data_Daily!$D$2:$D$9999*Raw_Data_Daily!$U$2:$U$9999)/SUMIFS(Raw_Data_Daily!$D:$D, Raw_Data_Daily!$B:$B, "Variant", Raw_Data_Daily!$C:$C, "D. 20-39"),"")</f>
        <v>169.1710365</v>
      </c>
      <c r="N31" s="53">
        <f t="shared" si="28"/>
        <v>0.1641499193</v>
      </c>
      <c r="O31" s="68">
        <f>IFERROR(SUMPRODUCT((Raw_Data_Daily!$B$2:$B$9999="Control")*(Raw_Data_Daily!$C$2:$C$9999="E. 40-99")*Raw_Data_Daily!$D$2:$D$9999*Raw_Data_Daily!$U$2:$U$9999)/SUMIFS(Raw_Data_Daily!$D:$D, Raw_Data_Daily!$B:$B, "Control", Raw_Data_Daily!$C:$C, "E. 40-99"),"")</f>
        <v>242.4569235</v>
      </c>
      <c r="P31" s="42">
        <f>IFERROR(SUMPRODUCT((Raw_Data_Daily!$B$2:$B$9999="Variant")*(Raw_Data_Daily!$C$2:$C$9999="E. 40-99")*Raw_Data_Daily!$D$2:$D$9999*Raw_Data_Daily!$U$2:$U$9999)/SUMIFS(Raw_Data_Daily!$D:$D, Raw_Data_Daily!$B:$B, "Variant", Raw_Data_Daily!$C:$C, "E. 40-99"),"")</f>
        <v>304.7704399</v>
      </c>
      <c r="Q31" s="50">
        <f t="shared" si="29"/>
        <v>0.2570086079</v>
      </c>
      <c r="R31" s="70">
        <f>IFERROR(SUMPRODUCT((Raw_Data_Daily!$B$2:$B$9999="Control")*(Raw_Data_Daily!$C$2:$C$9999="F. 100+")*Raw_Data_Daily!$D$2:$D$9999*Raw_Data_Daily!$U$2:$U$9999)/SUMIFS(Raw_Data_Daily!$D:$D, Raw_Data_Daily!$B:$B, "Control", Raw_Data_Daily!$C:$C, "F. 100+"),"")</f>
        <v>374.1466967</v>
      </c>
      <c r="S31" s="42">
        <f>IFERROR(SUMPRODUCT((Raw_Data_Daily!$B$2:$B$9999="Variant")*(Raw_Data_Daily!$C$2:$C$9999="F. 100+")*Raw_Data_Daily!$D$2:$D$9999*Raw_Data_Daily!$U$2:$U$9999)/SUMIFS(Raw_Data_Daily!$D:$D, Raw_Data_Daily!$B:$B, "Variant", Raw_Data_Daily!$C:$C, "F. 100+"),"")</f>
        <v>507.9653061</v>
      </c>
      <c r="T31" s="53">
        <f t="shared" si="30"/>
        <v>0.3576634795</v>
      </c>
      <c r="U31" s="151" t="s">
        <v>216</v>
      </c>
      <c r="V31" s="153" t="s">
        <v>227</v>
      </c>
    </row>
    <row r="32" ht="15.75" customHeight="1">
      <c r="A32" s="9"/>
      <c r="B32" s="154" t="s">
        <v>42</v>
      </c>
      <c r="C32" s="68" t="str">
        <f>IFERROR(SUMPRODUCT((Raw_Data_Daily!$B$2:$B$9999="Control")*(Raw_Data_Daily!$C$2:$C$9999="A. 0")*Raw_Data_Daily!$D$2:$D$9999*Raw_Data_Daily!$V$2:$V$9999)/SUMIFS(Raw_Data_Daily!$D:$D, Raw_Data_Daily!$B:$B, "Control", Raw_Data_Daily!$C:$C, "A. 0"),"")</f>
        <v/>
      </c>
      <c r="D32" s="42" t="str">
        <f>IFERROR(SUMPRODUCT((Raw_Data_Daily!$B$2:$B$9999="Variant")*(Raw_Data_Daily!$C$2:$C$9999="A. 0")*Raw_Data_Daily!$D$2:$D$9999*Raw_Data_Daily!$V$2:$V$9999)/SUMIFS(Raw_Data_Daily!$D:$D, Raw_Data_Daily!$B:$B, "Variant", Raw_Data_Daily!$C:$C, "A. 0"),"")</f>
        <v/>
      </c>
      <c r="E32" s="38" t="str">
        <f t="shared" si="25"/>
        <v/>
      </c>
      <c r="F32" s="70">
        <f>IFERROR(SUMPRODUCT((Raw_Data_Daily!$B$2:$B$9999="Control")*(Raw_Data_Daily!$C$2:$C$9999="B. 1-9")*Raw_Data_Daily!$D$2:$D$9999*Raw_Data_Daily!$V$2:$V$9999)/SUMIFS(Raw_Data_Daily!$D:$D, Raw_Data_Daily!$B:$B, "Control", Raw_Data_Daily!$C:$C, "B. 1-9"),"")</f>
        <v>55.83698827</v>
      </c>
      <c r="G32" s="42">
        <f>IFERROR(SUMPRODUCT((Raw_Data_Daily!$B$2:$B$9999="Variant")*(Raw_Data_Daily!$C$2:$C$9999="B. 1-9")*Raw_Data_Daily!$D$2:$D$9999*Raw_Data_Daily!$V$2:$V$9999)/SUMIFS(Raw_Data_Daily!$D:$D, Raw_Data_Daily!$B:$B, "Variant", Raw_Data_Daily!$C:$C, "B. 1-9"),"")</f>
        <v>54.19663962</v>
      </c>
      <c r="H32" s="48">
        <f t="shared" si="26"/>
        <v>-0.0293774557</v>
      </c>
      <c r="I32" s="68">
        <f>IFERROR(SUMPRODUCT((Raw_Data_Daily!$B$2:$B$9999="Control")*(Raw_Data_Daily!$C$2:$C$9999="C. 10-19")*Raw_Data_Daily!$D$2:$D$9999*Raw_Data_Daily!$V$2:$V$9999)/SUMIFS(Raw_Data_Daily!$D:$D, Raw_Data_Daily!$B:$B, "Control", Raw_Data_Daily!$C:$C, "C. 10-19"),"")</f>
        <v>102.3197155</v>
      </c>
      <c r="J32" s="42">
        <f>IFERROR(SUMPRODUCT((Raw_Data_Daily!$B$2:$B$9999="Variant")*(Raw_Data_Daily!$C$2:$C$9999="C. 10-19")*Raw_Data_Daily!$D$2:$D$9999*Raw_Data_Daily!$V$2:$V$9999)/SUMIFS(Raw_Data_Daily!$D:$D, Raw_Data_Daily!$B:$B, "Variant", Raw_Data_Daily!$C:$C, "C. 10-19"),"")</f>
        <v>100.2458798</v>
      </c>
      <c r="K32" s="48">
        <f t="shared" si="27"/>
        <v>-0.02026819247</v>
      </c>
      <c r="L32" s="70">
        <f>IFERROR(SUMPRODUCT((Raw_Data_Daily!$B$2:$B$9999="Control")*(Raw_Data_Daily!$C$2:$C$9999="D. 20-39")*Raw_Data_Daily!$D$2:$D$9999*Raw_Data_Daily!$V$2:$V$9999)/SUMIFS(Raw_Data_Daily!$D:$D, Raw_Data_Daily!$B:$B, "Control", Raw_Data_Daily!$C:$C, "D. 20-39"),"")</f>
        <v>166.1318674</v>
      </c>
      <c r="M32" s="42">
        <f>IFERROR(SUMPRODUCT((Raw_Data_Daily!$B$2:$B$9999="Variant")*(Raw_Data_Daily!$C$2:$C$9999="D. 20-39")*Raw_Data_Daily!$D$2:$D$9999*Raw_Data_Daily!$V$2:$V$9999)/SUMIFS(Raw_Data_Daily!$D:$D, Raw_Data_Daily!$B:$B, "Variant", Raw_Data_Daily!$C:$C, "D. 20-39"),"")</f>
        <v>172.0254224</v>
      </c>
      <c r="N32" s="48">
        <f t="shared" si="28"/>
        <v>0.03547516236</v>
      </c>
      <c r="O32" s="68">
        <f>IFERROR(SUMPRODUCT((Raw_Data_Daily!$B$2:$B$9999="Control")*(Raw_Data_Daily!$C$2:$C$9999="E. 40-99")*Raw_Data_Daily!$D$2:$D$9999*Raw_Data_Daily!$V$2:$V$9999)/SUMIFS(Raw_Data_Daily!$D:$D, Raw_Data_Daily!$B:$B, "Control", Raw_Data_Daily!$C:$C, "E. 40-99"),"")</f>
        <v>298.6819939</v>
      </c>
      <c r="P32" s="42">
        <f>IFERROR(SUMPRODUCT((Raw_Data_Daily!$B$2:$B$9999="Variant")*(Raw_Data_Daily!$C$2:$C$9999="E. 40-99")*Raw_Data_Daily!$D$2:$D$9999*Raw_Data_Daily!$V$2:$V$9999)/SUMIFS(Raw_Data_Daily!$D:$D, Raw_Data_Daily!$B:$B, "Variant", Raw_Data_Daily!$C:$C, "E. 40-99"),"")</f>
        <v>320.8159755</v>
      </c>
      <c r="Q32" s="48">
        <f t="shared" si="29"/>
        <v>0.07410551017</v>
      </c>
      <c r="R32" s="70">
        <f>IFERROR(SUMPRODUCT((Raw_Data_Daily!$B$2:$B$9999="Control")*(Raw_Data_Daily!$C$2:$C$9999="F. 100+")*Raw_Data_Daily!$D$2:$D$9999*Raw_Data_Daily!$V$2:$V$9999)/SUMIFS(Raw_Data_Daily!$D:$D, Raw_Data_Daily!$B:$B, "Control", Raw_Data_Daily!$C:$C, "F. 100+"),"")</f>
        <v>505.7625479</v>
      </c>
      <c r="S32" s="42">
        <f>IFERROR(SUMPRODUCT((Raw_Data_Daily!$B$2:$B$9999="Variant")*(Raw_Data_Daily!$C$2:$C$9999="F. 100+")*Raw_Data_Daily!$D$2:$D$9999*Raw_Data_Daily!$V$2:$V$9999)/SUMIFS(Raw_Data_Daily!$D:$D, Raw_Data_Daily!$B:$B, "Variant", Raw_Data_Daily!$C:$C, "F. 100+"),"")</f>
        <v>582.0875541</v>
      </c>
      <c r="T32" s="53">
        <f t="shared" si="30"/>
        <v>0.1509107514</v>
      </c>
    </row>
    <row r="33" ht="15.75" customHeight="1">
      <c r="A33" s="9"/>
      <c r="B33" s="154" t="s">
        <v>230</v>
      </c>
      <c r="C33" s="68" t="str">
        <f>IFERROR(SUMPRODUCT((Raw_Data_Daily!$B$2:$B$9999="Control")*(Raw_Data_Daily!$C$2:$C$9999="A. 0")*Raw_Data_Daily!$D$2:$D$9999*(Raw_Data_Daily!$Q$2:$Q$9999-Raw_Data_Daily!$V$2:$V$9999))/SUMIFS(Raw_Data_Daily!$D:$D, Raw_Data_Daily!$B:$B, "Control", Raw_Data_Daily!$C:$C, "A. 0"),"")</f>
        <v/>
      </c>
      <c r="D33" s="42" t="str">
        <f>IFERROR(SUMPRODUCT((Raw_Data_Daily!$B$2:$B$9999="Variant")*(Raw_Data_Daily!$C$2:$C$9999="A. 0")*Raw_Data_Daily!$D$2:$D$9999*(Raw_Data_Daily!$Q$2:$Q$9999-Raw_Data_Daily!$V$2:$V$9999))/SUMIFS(Raw_Data_Daily!$D:$D, Raw_Data_Daily!$B:$B, "Variant", Raw_Data_Daily!$C:$C, "A. 0"),"")</f>
        <v/>
      </c>
      <c r="E33" s="38" t="str">
        <f t="shared" si="25"/>
        <v/>
      </c>
      <c r="F33" s="70">
        <f>IFERROR(SUMPRODUCT((Raw_Data_Daily!$B$2:$B$9999="Control")*(Raw_Data_Daily!$C$2:$C$9999="B. 1-9")*Raw_Data_Daily!$D$2:$D$9999*(Raw_Data_Daily!$Q$2:$Q$9999-Raw_Data_Daily!$V$2:$V$9999))/SUMIFS(Raw_Data_Daily!$D:$D, Raw_Data_Daily!$B:$B, "Control", Raw_Data_Daily!$C:$C, "B. 1-9"),"")</f>
        <v>1.529964984</v>
      </c>
      <c r="G33" s="42">
        <f>IFERROR(SUMPRODUCT((Raw_Data_Daily!$B$2:$B$9999="Variant")*(Raw_Data_Daily!$C$2:$C$9999="B. 1-9")*Raw_Data_Daily!$D$2:$D$9999*(Raw_Data_Daily!$Q$2:$Q$9999-Raw_Data_Daily!$V$2:$V$9999))/SUMIFS(Raw_Data_Daily!$D:$D, Raw_Data_Daily!$B:$B, "Variant", Raw_Data_Daily!$C:$C, "B. 1-9"),"")</f>
        <v>1.589876114</v>
      </c>
      <c r="H33" s="53">
        <f t="shared" si="26"/>
        <v>0.03915849748</v>
      </c>
      <c r="I33" s="68">
        <f>IFERROR(SUMPRODUCT((Raw_Data_Daily!$B$2:$B$9999="Control")*(Raw_Data_Daily!$C$2:$C$9999="C. 10-19")*Raw_Data_Daily!$D$2:$D$9999*(Raw_Data_Daily!$Q$2:$Q$9999-Raw_Data_Daily!$V$2:$V$9999))/SUMIFS(Raw_Data_Daily!$D:$D, Raw_Data_Daily!$B:$B, "Control", Raw_Data_Daily!$C:$C, "C. 10-19"),"")</f>
        <v>-0.994677106</v>
      </c>
      <c r="J33" s="42">
        <f>IFERROR(SUMPRODUCT((Raw_Data_Daily!$B$2:$B$9999="Variant")*(Raw_Data_Daily!$C$2:$C$9999="C. 10-19")*Raw_Data_Daily!$D$2:$D$9999*(Raw_Data_Daily!$Q$2:$Q$9999-Raw_Data_Daily!$V$2:$V$9999))/SUMIFS(Raw_Data_Daily!$D:$D, Raw_Data_Daily!$B:$B, "Variant", Raw_Data_Daily!$C:$C, "C. 10-19"),"")</f>
        <v>2.180686321</v>
      </c>
      <c r="K33" s="50">
        <f t="shared" si="27"/>
        <v>3.192356</v>
      </c>
      <c r="L33" s="70">
        <f>IFERROR(SUMPRODUCT((Raw_Data_Daily!$B$2:$B$9999="Control")*(Raw_Data_Daily!$C$2:$C$9999="D. 20-39")*Raw_Data_Daily!$D$2:$D$9999*(Raw_Data_Daily!$Q$2:$Q$9999-Raw_Data_Daily!$V$2:$V$9999))/SUMIFS(Raw_Data_Daily!$D:$D, Raw_Data_Daily!$B:$B, "Control", Raw_Data_Daily!$C:$C, "D. 20-39"),"")</f>
        <v>-6.102708529</v>
      </c>
      <c r="M33" s="42">
        <f>IFERROR(SUMPRODUCT((Raw_Data_Daily!$B$2:$B$9999="Variant")*(Raw_Data_Daily!$C$2:$C$9999="D. 20-39")*Raw_Data_Daily!$D$2:$D$9999*(Raw_Data_Daily!$Q$2:$Q$9999-Raw_Data_Daily!$V$2:$V$9999))/SUMIFS(Raw_Data_Daily!$D:$D, Raw_Data_Daily!$B:$B, "Variant", Raw_Data_Daily!$C:$C, "D. 20-39"),"")</f>
        <v>8.902125867</v>
      </c>
      <c r="N33" s="53">
        <f t="shared" si="28"/>
        <v>2.458717195</v>
      </c>
      <c r="O33" s="68">
        <f>IFERROR(SUMPRODUCT((Raw_Data_Daily!$B$2:$B$9999="Control")*(Raw_Data_Daily!$C$2:$C$9999="E. 40-99")*Raw_Data_Daily!$D$2:$D$9999*(Raw_Data_Daily!$Q$2:$Q$9999-Raw_Data_Daily!$V$2:$V$9999))/SUMIFS(Raw_Data_Daily!$D:$D, Raw_Data_Daily!$B:$B, "Control", Raw_Data_Daily!$C:$C, "E. 40-99"),"")</f>
        <v>-22.59849456</v>
      </c>
      <c r="P33" s="42">
        <f>IFERROR(SUMPRODUCT((Raw_Data_Daily!$B$2:$B$9999="Variant")*(Raw_Data_Daily!$C$2:$C$9999="E. 40-99")*Raw_Data_Daily!$D$2:$D$9999*(Raw_Data_Daily!$Q$2:$Q$9999-Raw_Data_Daily!$V$2:$V$9999))/SUMIFS(Raw_Data_Daily!$D:$D, Raw_Data_Daily!$B:$B, "Variant", Raw_Data_Daily!$C:$C, "E. 40-99"),"")</f>
        <v>15.45178464</v>
      </c>
      <c r="Q33" s="50">
        <f t="shared" si="29"/>
        <v>1.683752831</v>
      </c>
      <c r="R33" s="70">
        <f>IFERROR(SUMPRODUCT((Raw_Data_Daily!$B$2:$B$9999="Control")*(Raw_Data_Daily!$C$2:$C$9999="F. 100+")*Raw_Data_Daily!$D$2:$D$9999*(Raw_Data_Daily!$Q$2:$Q$9999-Raw_Data_Daily!$V$2:$V$9999))/SUMIFS(Raw_Data_Daily!$D:$D, Raw_Data_Daily!$B:$B, "Control", Raw_Data_Daily!$C:$C, "F. 100+"),"")</f>
        <v>-47.24451522</v>
      </c>
      <c r="S33" s="42">
        <f>IFERROR(SUMPRODUCT((Raw_Data_Daily!$B$2:$B$9999="Variant")*(Raw_Data_Daily!$C$2:$C$9999="F. 100+")*Raw_Data_Daily!$D$2:$D$9999*(Raw_Data_Daily!$Q$2:$Q$9999-Raw_Data_Daily!$V$2:$V$9999))/SUMIFS(Raw_Data_Daily!$D:$D, Raw_Data_Daily!$B:$B, "Variant", Raw_Data_Daily!$C:$C, "F. 100+"),"")</f>
        <v>12.77915626</v>
      </c>
      <c r="T33" s="53">
        <f t="shared" si="30"/>
        <v>1.270489732</v>
      </c>
      <c r="V33" s="54"/>
    </row>
    <row r="34" ht="15.75" customHeight="1">
      <c r="A34" s="9"/>
      <c r="B34" s="33" t="s">
        <v>45</v>
      </c>
      <c r="C34" s="68" t="str">
        <f>IFERROR(SUMPRODUCT((Raw_Data_Daily!$B$2:$B$9999="Control")*(Raw_Data_Daily!$C$2:$C$9999="A. 0")*Raw_Data_Daily!$D$2:$D$9999*Raw_Data_Daily!$W$2:$W$9999)/SUMIFS(Raw_Data_Daily!$D:$D, Raw_Data_Daily!$B:$B, "Control", Raw_Data_Daily!$C:$C, "A. 0"),"")</f>
        <v/>
      </c>
      <c r="D34" s="42" t="str">
        <f>IFERROR(SUMPRODUCT((Raw_Data_Daily!$B$2:$B$9999="Variant")*(Raw_Data_Daily!$C$2:$C$9999="A. 0")*Raw_Data_Daily!$D$2:$D$9999*Raw_Data_Daily!$W$2:$W$9999)/SUMIFS(Raw_Data_Daily!$D:$D, Raw_Data_Daily!$B:$B, "Variant", Raw_Data_Daily!$C:$C, "A. 0"),"")</f>
        <v/>
      </c>
      <c r="E34" s="38" t="str">
        <f t="shared" si="25"/>
        <v/>
      </c>
      <c r="F34" s="70">
        <f>IFERROR(SUMPRODUCT((Raw_Data_Daily!$B$2:$B$9999="Control")*(Raw_Data_Daily!$C$2:$C$9999="B. 1-9")*Raw_Data_Daily!$D$2:$D$9999*Raw_Data_Daily!$W$2:$W$9999)/SUMIFS(Raw_Data_Daily!$D:$D, Raw_Data_Daily!$B:$B, "Control", Raw_Data_Daily!$C:$C, "B. 1-9"),"")</f>
        <v>3.702435406</v>
      </c>
      <c r="G34" s="42">
        <f>IFERROR(SUMPRODUCT((Raw_Data_Daily!$B$2:$B$9999="Variant")*(Raw_Data_Daily!$C$2:$C$9999="B. 1-9")*Raw_Data_Daily!$D$2:$D$9999*Raw_Data_Daily!$W$2:$W$9999)/SUMIFS(Raw_Data_Daily!$D:$D, Raw_Data_Daily!$B:$B, "Variant", Raw_Data_Daily!$C:$C, "B. 1-9"),"")</f>
        <v>3.754999403</v>
      </c>
      <c r="H34" s="41">
        <f t="shared" si="26"/>
        <v>0.01419714108</v>
      </c>
      <c r="I34" s="68">
        <f>IFERROR(SUMPRODUCT((Raw_Data_Daily!$B$2:$B$9999="Control")*(Raw_Data_Daily!$C$2:$C$9999="C. 10-19")*Raw_Data_Daily!$D$2:$D$9999*Raw_Data_Daily!$W$2:$W$9999)/SUMIFS(Raw_Data_Daily!$D:$D, Raw_Data_Daily!$B:$B, "Control", Raw_Data_Daily!$C:$C, "C. 10-19"),"")</f>
        <v>4.145094574</v>
      </c>
      <c r="J34" s="42">
        <f>IFERROR(SUMPRODUCT((Raw_Data_Daily!$B$2:$B$9999="Variant")*(Raw_Data_Daily!$C$2:$C$9999="C. 10-19")*Raw_Data_Daily!$D$2:$D$9999*Raw_Data_Daily!$W$2:$W$9999)/SUMIFS(Raw_Data_Daily!$D:$D, Raw_Data_Daily!$B:$B, "Variant", Raw_Data_Daily!$C:$C, "C. 10-19"),"")</f>
        <v>3.948293184</v>
      </c>
      <c r="K34" s="38">
        <f t="shared" si="27"/>
        <v>-0.04747814217</v>
      </c>
      <c r="L34" s="70">
        <f>IFERROR(SUMPRODUCT((Raw_Data_Daily!$B$2:$B$9999="Control")*(Raw_Data_Daily!$C$2:$C$9999="D. 20-39")*Raw_Data_Daily!$D$2:$D$9999*Raw_Data_Daily!$W$2:$W$9999)/SUMIFS(Raw_Data_Daily!$D:$D, Raw_Data_Daily!$B:$B, "Control", Raw_Data_Daily!$C:$C, "D. 20-39"),"")</f>
        <v>4.393226002</v>
      </c>
      <c r="M34" s="42">
        <f>IFERROR(SUMPRODUCT((Raw_Data_Daily!$B$2:$B$9999="Variant")*(Raw_Data_Daily!$C$2:$C$9999="D. 20-39")*Raw_Data_Daily!$D$2:$D$9999*Raw_Data_Daily!$W$2:$W$9999)/SUMIFS(Raw_Data_Daily!$D:$D, Raw_Data_Daily!$B:$B, "Variant", Raw_Data_Daily!$C:$C, "D. 20-39"),"")</f>
        <v>4.362765539</v>
      </c>
      <c r="N34" s="41">
        <f t="shared" si="28"/>
        <v>-0.006933506937</v>
      </c>
      <c r="O34" s="68">
        <f>IFERROR(SUMPRODUCT((Raw_Data_Daily!$B$2:$B$9999="Control")*(Raw_Data_Daily!$C$2:$C$9999="E. 40-99")*Raw_Data_Daily!$D$2:$D$9999*Raw_Data_Daily!$W$2:$W$9999)/SUMIFS(Raw_Data_Daily!$D:$D, Raw_Data_Daily!$B:$B, "Control", Raw_Data_Daily!$C:$C, "E. 40-99"),"")</f>
        <v>4.566786833</v>
      </c>
      <c r="P34" s="42">
        <f>IFERROR(SUMPRODUCT((Raw_Data_Daily!$B$2:$B$9999="Variant")*(Raw_Data_Daily!$C$2:$C$9999="E. 40-99")*Raw_Data_Daily!$D$2:$D$9999*Raw_Data_Daily!$W$2:$W$9999)/SUMIFS(Raw_Data_Daily!$D:$D, Raw_Data_Daily!$B:$B, "Variant", Raw_Data_Daily!$C:$C, "E. 40-99"),"")</f>
        <v>4.743234209</v>
      </c>
      <c r="Q34" s="38">
        <f t="shared" si="29"/>
        <v>0.03863709477</v>
      </c>
      <c r="R34" s="70">
        <f>IFERROR(SUMPRODUCT((Raw_Data_Daily!$B$2:$B$9999="Control")*(Raw_Data_Daily!$C$2:$C$9999="F. 100+")*Raw_Data_Daily!$D$2:$D$9999*Raw_Data_Daily!$W$2:$W$9999)/SUMIFS(Raw_Data_Daily!$D:$D, Raw_Data_Daily!$B:$B, "Control", Raw_Data_Daily!$C:$C, "F. 100+"),"")</f>
        <v>3.983449746</v>
      </c>
      <c r="S34" s="42">
        <f>IFERROR(SUMPRODUCT((Raw_Data_Daily!$B$2:$B$9999="Variant")*(Raw_Data_Daily!$C$2:$C$9999="F. 100+")*Raw_Data_Daily!$D$2:$D$9999*Raw_Data_Daily!$W$2:$W$9999)/SUMIFS(Raw_Data_Daily!$D:$D, Raw_Data_Daily!$B:$B, "Variant", Raw_Data_Daily!$C:$C, "F. 100+"),"")</f>
        <v>4.570941426</v>
      </c>
      <c r="T34" s="41">
        <f t="shared" si="30"/>
        <v>0.1474831406</v>
      </c>
    </row>
    <row r="35" ht="15.75" customHeight="1">
      <c r="A35" s="9"/>
      <c r="B35" s="33" t="s">
        <v>46</v>
      </c>
      <c r="C35" s="135" t="str">
        <f>IFERROR(SUMPRODUCT((Raw_Data_Daily!$B$2:$B$9999="Control")*(Raw_Data_Daily!$C$2:$C$9999="A. 0")*Raw_Data_Daily!$D$2:$D$9999*Raw_Data_Daily!$X$2:$X$9999)/SUMIFS(Raw_Data_Daily!$D:$D, Raw_Data_Daily!$B:$B, "Control", Raw_Data_Daily!$C:$C, "A. 0"),"")</f>
        <v/>
      </c>
      <c r="D35" s="51" t="str">
        <f>IFERROR(SUMPRODUCT((Raw_Data_Daily!$B$2:$B$9999="Variant")*(Raw_Data_Daily!$C$2:$C$9999="A. 0")*Raw_Data_Daily!$D$2:$D$9999*Raw_Data_Daily!$X$2:$X$9999)/SUMIFS(Raw_Data_Daily!$D:$D, Raw_Data_Daily!$B:$B, "Variant", Raw_Data_Daily!$C:$C, "A. 0"),"")</f>
        <v/>
      </c>
      <c r="E35" s="46" t="str">
        <f t="shared" si="25"/>
        <v/>
      </c>
      <c r="F35" s="136">
        <f>IFERROR(SUMPRODUCT((Raw_Data_Daily!$B$2:$B$9999="Control")*(Raw_Data_Daily!$C$2:$C$9999="B. 1-9")*Raw_Data_Daily!$D$2:$D$9999*Raw_Data_Daily!$X$2:$X$9999)/SUMIFS(Raw_Data_Daily!$D:$D, Raw_Data_Daily!$B:$B, "Control", Raw_Data_Daily!$C:$C, "B. 1-9"),"")</f>
        <v>5.777485668</v>
      </c>
      <c r="G35" s="51">
        <f>IFERROR(SUMPRODUCT((Raw_Data_Daily!$B$2:$B$9999="Variant")*(Raw_Data_Daily!$C$2:$C$9999="B. 1-9")*Raw_Data_Daily!$D$2:$D$9999*Raw_Data_Daily!$X$2:$X$9999)/SUMIFS(Raw_Data_Daily!$D:$D, Raw_Data_Daily!$B:$B, "Variant", Raw_Data_Daily!$C:$C, "B. 1-9"),"")</f>
        <v>5.425539279</v>
      </c>
      <c r="H35" s="53">
        <f t="shared" si="26"/>
        <v>-0.06091687778</v>
      </c>
      <c r="I35" s="135">
        <f>IFERROR(SUMPRODUCT((Raw_Data_Daily!$B$2:$B$9999="Control")*(Raw_Data_Daily!$C$2:$C$9999="C. 10-19")*Raw_Data_Daily!$D$2:$D$9999*Raw_Data_Daily!$X$2:$X$9999)/SUMIFS(Raw_Data_Daily!$D:$D, Raw_Data_Daily!$B:$B, "Control", Raw_Data_Daily!$C:$C, "C. 10-19"),"")</f>
        <v>7.576268909</v>
      </c>
      <c r="J35" s="51">
        <f>IFERROR(SUMPRODUCT((Raw_Data_Daily!$B$2:$B$9999="Variant")*(Raw_Data_Daily!$C$2:$C$9999="C. 10-19")*Raw_Data_Daily!$D$2:$D$9999*Raw_Data_Daily!$X$2:$X$9999)/SUMIFS(Raw_Data_Daily!$D:$D, Raw_Data_Daily!$B:$B, "Variant", Raw_Data_Daily!$C:$C, "C. 10-19"),"")</f>
        <v>7.507106743</v>
      </c>
      <c r="K35" s="50">
        <f t="shared" si="27"/>
        <v>-0.009128789657</v>
      </c>
      <c r="L35" s="136">
        <f>IFERROR(SUMPRODUCT((Raw_Data_Daily!$B$2:$B$9999="Control")*(Raw_Data_Daily!$C$2:$C$9999="D. 20-39")*Raw_Data_Daily!$D$2:$D$9999*Raw_Data_Daily!$X$2:$X$9999)/SUMIFS(Raw_Data_Daily!$D:$D, Raw_Data_Daily!$B:$B, "Control", Raw_Data_Daily!$C:$C, "D. 20-39"),"")</f>
        <v>9.539379318</v>
      </c>
      <c r="M35" s="51">
        <f>IFERROR(SUMPRODUCT((Raw_Data_Daily!$B$2:$B$9999="Variant")*(Raw_Data_Daily!$C$2:$C$9999="D. 20-39")*Raw_Data_Daily!$D$2:$D$9999*Raw_Data_Daily!$X$2:$X$9999)/SUMIFS(Raw_Data_Daily!$D:$D, Raw_Data_Daily!$B:$B, "Variant", Raw_Data_Daily!$C:$C, "D. 20-39"),"")</f>
        <v>6.643317854</v>
      </c>
      <c r="N35" s="53">
        <f t="shared" si="28"/>
        <v>-0.3035901359</v>
      </c>
      <c r="O35" s="135">
        <f>IFERROR(SUMPRODUCT((Raw_Data_Daily!$B$2:$B$9999="Control")*(Raw_Data_Daily!$C$2:$C$9999="E. 40-99")*Raw_Data_Daily!$D$2:$D$9999*Raw_Data_Daily!$X$2:$X$9999)/SUMIFS(Raw_Data_Daily!$D:$D, Raw_Data_Daily!$B:$B, "Control", Raw_Data_Daily!$C:$C, "E. 40-99"),"")</f>
        <v>12.76237314</v>
      </c>
      <c r="P35" s="51">
        <f>IFERROR(SUMPRODUCT((Raw_Data_Daily!$B$2:$B$9999="Variant")*(Raw_Data_Daily!$C$2:$C$9999="E. 40-99")*Raw_Data_Daily!$D$2:$D$9999*Raw_Data_Daily!$X$2:$X$9999)/SUMIFS(Raw_Data_Daily!$D:$D, Raw_Data_Daily!$B:$B, "Variant", Raw_Data_Daily!$C:$C, "E. 40-99"),"")</f>
        <v>9.646180784</v>
      </c>
      <c r="Q35" s="50">
        <f t="shared" si="29"/>
        <v>-0.2441702907</v>
      </c>
      <c r="R35" s="136">
        <f>IFERROR(SUMPRODUCT((Raw_Data_Daily!$B$2:$B$9999="Control")*(Raw_Data_Daily!$C$2:$C$9999="F. 100+")*Raw_Data_Daily!$D$2:$D$9999*Raw_Data_Daily!$X$2:$X$9999)/SUMIFS(Raw_Data_Daily!$D:$D, Raw_Data_Daily!$B:$B, "Control", Raw_Data_Daily!$C:$C, "F. 100+"),"")</f>
        <v>19.25277057</v>
      </c>
      <c r="S35" s="51">
        <f>IFERROR(SUMPRODUCT((Raw_Data_Daily!$B$2:$B$9999="Variant")*(Raw_Data_Daily!$C$2:$C$9999="F. 100+")*Raw_Data_Daily!$D$2:$D$9999*Raw_Data_Daily!$X$2:$X$9999)/SUMIFS(Raw_Data_Daily!$D:$D, Raw_Data_Daily!$B:$B, "Variant", Raw_Data_Daily!$C:$C, "F. 100+"),"")</f>
        <v>15.33297289</v>
      </c>
      <c r="T35" s="53">
        <f t="shared" si="30"/>
        <v>-0.2035965509</v>
      </c>
    </row>
    <row r="36" ht="15.75" customHeight="1">
      <c r="A36" s="180" t="s">
        <v>47</v>
      </c>
      <c r="B36" s="28"/>
      <c r="C36" s="30"/>
      <c r="D36" s="7"/>
      <c r="E36" s="31"/>
      <c r="F36" s="32"/>
      <c r="G36" s="7"/>
      <c r="H36" s="28"/>
      <c r="I36" s="30"/>
      <c r="J36" s="7"/>
      <c r="K36" s="31"/>
      <c r="L36" s="32"/>
      <c r="M36" s="7"/>
      <c r="N36" s="28"/>
      <c r="O36" s="30"/>
      <c r="P36" s="7"/>
      <c r="Q36" s="31"/>
      <c r="R36" s="32"/>
      <c r="S36" s="7"/>
      <c r="T36" s="28"/>
    </row>
    <row r="37" ht="15.75" customHeight="1">
      <c r="A37" s="9"/>
      <c r="B37" s="181" t="s">
        <v>48</v>
      </c>
      <c r="C37" s="35" t="str">
        <f>IFERROR(SUMPRODUCT((Raw_Data_Daily!$B$2:$B$9999="Control")*(Raw_Data_Daily!$C$2:$C$9999="A. 0")*Raw_Data_Daily!$D$2:$D$9999*Raw_Data_Daily!$AX$2:$AX$9999)/SUMIFS(Raw_Data_Daily!$D:$D, Raw_Data_Daily!$B:$B, "Control", Raw_Data_Daily!$C:$C, "A. 0"),"")</f>
        <v/>
      </c>
      <c r="D37" s="18" t="str">
        <f>IFERROR(SUMPRODUCT((Raw_Data_Daily!$B$2:$B$9999="Variant")*(Raw_Data_Daily!$C$2:$C$9999="A. 0")*Raw_Data_Daily!$D$2:$D$9999*Raw_Data_Daily!$AX$2:$AX$9999)/SUMIFS(Raw_Data_Daily!$D:$D, Raw_Data_Daily!$B:$B, "Variant", Raw_Data_Daily!$C:$C, "A. 0"),"")</f>
        <v/>
      </c>
      <c r="E37" s="38" t="str">
        <f t="shared" ref="E37:E41" si="31">IFERROR((D37-C37)/ABS(C37),"")</f>
        <v/>
      </c>
      <c r="F37" s="40">
        <f>IFERROR(SUMPRODUCT((Raw_Data_Daily!$B$2:$B$9999="Control")*(Raw_Data_Daily!$C$2:$C$9999="B. 1-9")*Raw_Data_Daily!$D$2:$D$9999*Raw_Data_Daily!$AX$2:$AX$9999)/SUMIFS(Raw_Data_Daily!$D:$D, Raw_Data_Daily!$B:$B, "Control", Raw_Data_Daily!$C:$C, "B. 1-9"),"")</f>
        <v>24.92271433</v>
      </c>
      <c r="G37" s="18">
        <f>IFERROR(SUMPRODUCT((Raw_Data_Daily!$B$2:$B$9999="Variant")*(Raw_Data_Daily!$C$2:$C$9999="B. 1-9")*Raw_Data_Daily!$D$2:$D$9999*Raw_Data_Daily!$AX$2:$AX$9999)/SUMIFS(Raw_Data_Daily!$D:$D, Raw_Data_Daily!$B:$B, "Variant", Raw_Data_Daily!$C:$C, "B. 1-9"),"")</f>
        <v>21.91784418</v>
      </c>
      <c r="H37" s="41">
        <f t="shared" ref="H37:H41" si="32">IFERROR((G37-F37)/ABS(F37),"")</f>
        <v>-0.1205675317</v>
      </c>
      <c r="I37" s="35">
        <f>IFERROR(SUMPRODUCT((Raw_Data_Daily!$B$2:$B$9999="Control")*(Raw_Data_Daily!$C$2:$C$9999="C. 10-19")*Raw_Data_Daily!$D$2:$D$9999*Raw_Data_Daily!$AX$2:$AX$9999)/SUMIFS(Raw_Data_Daily!$D:$D, Raw_Data_Daily!$B:$B, "Control", Raw_Data_Daily!$C:$C, "C. 10-19"),"")</f>
        <v>37.08600523</v>
      </c>
      <c r="J37" s="18">
        <f>IFERROR(SUMPRODUCT((Raw_Data_Daily!$B$2:$B$9999="Variant")*(Raw_Data_Daily!$C$2:$C$9999="C. 10-19")*Raw_Data_Daily!$D$2:$D$9999*Raw_Data_Daily!$AX$2:$AX$9999)/SUMIFS(Raw_Data_Daily!$D:$D, Raw_Data_Daily!$B:$B, "Variant", Raw_Data_Daily!$C:$C, "C. 10-19"),"")</f>
        <v>33.79536858</v>
      </c>
      <c r="K37" s="38">
        <f t="shared" ref="K37:K41" si="33">IFERROR((J37-I37)/ABS(I37),"")</f>
        <v>-0.08872987618</v>
      </c>
      <c r="L37" s="40">
        <f>IFERROR(SUMPRODUCT((Raw_Data_Daily!$B$2:$B$9999="Control")*(Raw_Data_Daily!$C$2:$C$9999="D. 20-39")*Raw_Data_Daily!$D$2:$D$9999*Raw_Data_Daily!$AX$2:$AX$9999)/SUMIFS(Raw_Data_Daily!$D:$D, Raw_Data_Daily!$B:$B, "Control", Raw_Data_Daily!$C:$C, "D. 20-39"),"")</f>
        <v>53.12815569</v>
      </c>
      <c r="M37" s="18">
        <f>IFERROR(SUMPRODUCT((Raw_Data_Daily!$B$2:$B$9999="Variant")*(Raw_Data_Daily!$C$2:$C$9999="D. 20-39")*Raw_Data_Daily!$D$2:$D$9999*Raw_Data_Daily!$AX$2:$AX$9999)/SUMIFS(Raw_Data_Daily!$D:$D, Raw_Data_Daily!$B:$B, "Variant", Raw_Data_Daily!$C:$C, "D. 20-39"),"")</f>
        <v>50.24004806</v>
      </c>
      <c r="N37" s="41">
        <f t="shared" ref="N37:N41" si="34">IFERROR((M37-L37)/ABS(L37),"")</f>
        <v>-0.05436114993</v>
      </c>
      <c r="O37" s="35">
        <f>IFERROR(SUMPRODUCT((Raw_Data_Daily!$B$2:$B$9999="Control")*(Raw_Data_Daily!$C$2:$C$9999="E. 40-99")*Raw_Data_Daily!$D$2:$D$9999*Raw_Data_Daily!$AX$2:$AX$9999)/SUMIFS(Raw_Data_Daily!$D:$D, Raw_Data_Daily!$B:$B, "Control", Raw_Data_Daily!$C:$C, "E. 40-99"),"")</f>
        <v>82.26713961</v>
      </c>
      <c r="P37" s="18">
        <f>IFERROR(SUMPRODUCT((Raw_Data_Daily!$B$2:$B$9999="Variant")*(Raw_Data_Daily!$C$2:$C$9999="E. 40-99")*Raw_Data_Daily!$D$2:$D$9999*Raw_Data_Daily!$AX$2:$AX$9999)/SUMIFS(Raw_Data_Daily!$D:$D, Raw_Data_Daily!$B:$B, "Variant", Raw_Data_Daily!$C:$C, "E. 40-99"),"")</f>
        <v>79.79178464</v>
      </c>
      <c r="Q37" s="38">
        <f t="shared" ref="Q37:Q41" si="35">IFERROR((P37-O37)/ABS(O37),"")</f>
        <v>-0.03008923113</v>
      </c>
      <c r="R37" s="40">
        <f>IFERROR(SUMPRODUCT((Raw_Data_Daily!$B$2:$B$9999="Control")*(Raw_Data_Daily!$C$2:$C$9999="F. 100+")*Raw_Data_Daily!$D$2:$D$9999*Raw_Data_Daily!$AX$2:$AX$9999)/SUMIFS(Raw_Data_Daily!$D:$D, Raw_Data_Daily!$B:$B, "Control", Raw_Data_Daily!$C:$C, "F. 100+"),"")</f>
        <v>146.1277452</v>
      </c>
      <c r="S37" s="18">
        <f>IFERROR(SUMPRODUCT((Raw_Data_Daily!$B$2:$B$9999="Variant")*(Raw_Data_Daily!$C$2:$C$9999="F. 100+")*Raw_Data_Daily!$D$2:$D$9999*Raw_Data_Daily!$AX$2:$AX$9999)/SUMIFS(Raw_Data_Daily!$D:$D, Raw_Data_Daily!$B:$B, "Variant", Raw_Data_Daily!$C:$C, "F. 100+"),"")</f>
        <v>136.8069144</v>
      </c>
      <c r="T37" s="41">
        <f t="shared" ref="T37:T41" si="36">IFERROR((S37-R37)/ABS(R37),"")</f>
        <v>-0.06378549664</v>
      </c>
    </row>
    <row r="38" ht="15.75" customHeight="1">
      <c r="A38" s="9"/>
      <c r="B38" s="181" t="s">
        <v>49</v>
      </c>
      <c r="C38" s="35" t="str">
        <f>IFERROR(SUMPRODUCT((Raw_Data_Daily!$B$2:$B$9999="Control")*(Raw_Data_Daily!$C$2:$C$9999="A. 0")*Raw_Data_Daily!$D$2:$D$9999*Raw_Data_Daily!$AY$2:$AY$9999)/SUMIFS(Raw_Data_Daily!$D:$D, Raw_Data_Daily!$B:$B, "Control", Raw_Data_Daily!$C:$C, "A. 0"),"")</f>
        <v/>
      </c>
      <c r="D38" s="18" t="str">
        <f>IFERROR(SUMPRODUCT((Raw_Data_Daily!$B$2:$B$9999="Variant")*(Raw_Data_Daily!$C$2:$C$9999="A. 0")*Raw_Data_Daily!$D$2:$D$9999*Raw_Data_Daily!$AY$2:$AY$9999)/SUMIFS(Raw_Data_Daily!$D:$D, Raw_Data_Daily!$B:$B, "Variant", Raw_Data_Daily!$C:$C, "A. 0"),"")</f>
        <v/>
      </c>
      <c r="E38" s="38" t="str">
        <f t="shared" si="31"/>
        <v/>
      </c>
      <c r="F38" s="40">
        <f>IFERROR(SUMPRODUCT((Raw_Data_Daily!$B$2:$B$9999="Control")*(Raw_Data_Daily!$C$2:$C$9999="B. 1-9")*Raw_Data_Daily!$D$2:$D$9999*Raw_Data_Daily!$AY$2:$AY$9999)/SUMIFS(Raw_Data_Daily!$D:$D, Raw_Data_Daily!$B:$B, "Control", Raw_Data_Daily!$C:$C, "B. 1-9"),"")</f>
        <v>25.63475163</v>
      </c>
      <c r="G38" s="18">
        <f>IFERROR(SUMPRODUCT((Raw_Data_Daily!$B$2:$B$9999="Variant")*(Raw_Data_Daily!$C$2:$C$9999="B. 1-9")*Raw_Data_Daily!$D$2:$D$9999*Raw_Data_Daily!$AY$2:$AY$9999)/SUMIFS(Raw_Data_Daily!$D:$D, Raw_Data_Daily!$B:$B, "Variant", Raw_Data_Daily!$C:$C, "B. 1-9"),"")</f>
        <v>26.96392209</v>
      </c>
      <c r="H38" s="41">
        <f t="shared" si="32"/>
        <v>0.05185033512</v>
      </c>
      <c r="I38" s="35">
        <f>IFERROR(SUMPRODUCT((Raw_Data_Daily!$B$2:$B$9999="Control")*(Raw_Data_Daily!$C$2:$C$9999="C. 10-19")*Raw_Data_Daily!$D$2:$D$9999*Raw_Data_Daily!$AY$2:$AY$9999)/SUMIFS(Raw_Data_Daily!$D:$D, Raw_Data_Daily!$B:$B, "Control", Raw_Data_Daily!$C:$C, "C. 10-19"),"")</f>
        <v>51.72024171</v>
      </c>
      <c r="J38" s="18">
        <f>IFERROR(SUMPRODUCT((Raw_Data_Daily!$B$2:$B$9999="Variant")*(Raw_Data_Daily!$C$2:$C$9999="C. 10-19")*Raw_Data_Daily!$D$2:$D$9999*Raw_Data_Daily!$AY$2:$AY$9999)/SUMIFS(Raw_Data_Daily!$D:$D, Raw_Data_Daily!$B:$B, "Variant", Raw_Data_Daily!$C:$C, "C. 10-19"),"")</f>
        <v>54.70364532</v>
      </c>
      <c r="K38" s="38">
        <f t="shared" si="33"/>
        <v>0.05768348158</v>
      </c>
      <c r="L38" s="40">
        <f>IFERROR(SUMPRODUCT((Raw_Data_Daily!$B$2:$B$9999="Control")*(Raw_Data_Daily!$C$2:$C$9999="D. 20-39")*Raw_Data_Daily!$D$2:$D$9999*Raw_Data_Daily!$AY$2:$AY$9999)/SUMIFS(Raw_Data_Daily!$D:$D, Raw_Data_Daily!$B:$B, "Control", Raw_Data_Daily!$C:$C, "D. 20-39"),"")</f>
        <v>86.16533104</v>
      </c>
      <c r="M38" s="18">
        <f>IFERROR(SUMPRODUCT((Raw_Data_Daily!$B$2:$B$9999="Variant")*(Raw_Data_Daily!$C$2:$C$9999="D. 20-39")*Raw_Data_Daily!$D$2:$D$9999*Raw_Data_Daily!$AY$2:$AY$9999)/SUMIFS(Raw_Data_Daily!$D:$D, Raw_Data_Daily!$B:$B, "Variant", Raw_Data_Daily!$C:$C, "D. 20-39"),"")</f>
        <v>106.5173857</v>
      </c>
      <c r="N38" s="41">
        <f t="shared" si="34"/>
        <v>0.2361977195</v>
      </c>
      <c r="O38" s="35">
        <f>IFERROR(SUMPRODUCT((Raw_Data_Daily!$B$2:$B$9999="Control")*(Raw_Data_Daily!$C$2:$C$9999="E. 40-99")*Raw_Data_Daily!$D$2:$D$9999*Raw_Data_Daily!$AY$2:$AY$9999)/SUMIFS(Raw_Data_Daily!$D:$D, Raw_Data_Daily!$B:$B, "Control", Raw_Data_Daily!$C:$C, "E. 40-99"),"")</f>
        <v>150.339979</v>
      </c>
      <c r="P38" s="18">
        <f>IFERROR(SUMPRODUCT((Raw_Data_Daily!$B$2:$B$9999="Variant")*(Raw_Data_Daily!$C$2:$C$9999="E. 40-99")*Raw_Data_Daily!$D$2:$D$9999*Raw_Data_Daily!$AY$2:$AY$9999)/SUMIFS(Raw_Data_Daily!$D:$D, Raw_Data_Daily!$B:$B, "Variant", Raw_Data_Daily!$C:$C, "E. 40-99"),"")</f>
        <v>193.5863143</v>
      </c>
      <c r="Q38" s="38">
        <f t="shared" si="35"/>
        <v>0.28765692</v>
      </c>
      <c r="R38" s="40">
        <f>IFERROR(SUMPRODUCT((Raw_Data_Daily!$B$2:$B$9999="Control")*(Raw_Data_Daily!$C$2:$C$9999="F. 100+")*Raw_Data_Daily!$D$2:$D$9999*Raw_Data_Daily!$AY$2:$AY$9999)/SUMIFS(Raw_Data_Daily!$D:$D, Raw_Data_Daily!$B:$B, "Control", Raw_Data_Daily!$C:$C, "F. 100+"),"")</f>
        <v>209.2229425</v>
      </c>
      <c r="S38" s="18">
        <f>IFERROR(SUMPRODUCT((Raw_Data_Daily!$B$2:$B$9999="Variant")*(Raw_Data_Daily!$C$2:$C$9999="F. 100+")*Raw_Data_Daily!$D$2:$D$9999*Raw_Data_Daily!$AY$2:$AY$9999)/SUMIFS(Raw_Data_Daily!$D:$D, Raw_Data_Daily!$B:$B, "Variant", Raw_Data_Daily!$C:$C, "F. 100+"),"")</f>
        <v>304.0534115</v>
      </c>
      <c r="T38" s="41">
        <f t="shared" si="36"/>
        <v>0.4532508141</v>
      </c>
    </row>
    <row r="39" ht="15.75" customHeight="1">
      <c r="A39" s="9"/>
      <c r="B39" s="181" t="s">
        <v>50</v>
      </c>
      <c r="C39" s="35" t="str">
        <f>IFERROR(SUMPRODUCT((Raw_Data_Daily!$B$2:$B$9999="Control")*(Raw_Data_Daily!$C$2:$C$9999="A. 0")*Raw_Data_Daily!$D$2:$D$9999*Raw_Data_Daily!$AZ$2:$AZ$9999)/SUMIFS(Raw_Data_Daily!$D:$D, Raw_Data_Daily!$B:$B, "Control", Raw_Data_Daily!$C:$C, "A. 0"),"")</f>
        <v/>
      </c>
      <c r="D39" s="18" t="str">
        <f>IFERROR(SUMPRODUCT((Raw_Data_Daily!$B$2:$B$9999="Variant")*(Raw_Data_Daily!$C$2:$C$9999="A. 0")*Raw_Data_Daily!$D$2:$D$9999*Raw_Data_Daily!$AZ$2:$AZ$9999)/SUMIFS(Raw_Data_Daily!$D:$D, Raw_Data_Daily!$B:$B, "Variant", Raw_Data_Daily!$C:$C, "A. 0"),"")</f>
        <v/>
      </c>
      <c r="E39" s="38" t="str">
        <f t="shared" si="31"/>
        <v/>
      </c>
      <c r="F39" s="40">
        <f>IFERROR(SUMPRODUCT((Raw_Data_Daily!$B$2:$B$9999="Control")*(Raw_Data_Daily!$C$2:$C$9999="B. 1-9")*Raw_Data_Daily!$D$2:$D$9999*Raw_Data_Daily!$AZ$2:$AZ$9999)/SUMIFS(Raw_Data_Daily!$D:$D, Raw_Data_Daily!$B:$B, "Control", Raw_Data_Daily!$C:$C, "B. 1-9"),"")</f>
        <v>2.916204235</v>
      </c>
      <c r="G39" s="18">
        <f>IFERROR(SUMPRODUCT((Raw_Data_Daily!$B$2:$B$9999="Variant")*(Raw_Data_Daily!$C$2:$C$9999="B. 1-9")*Raw_Data_Daily!$D$2:$D$9999*Raw_Data_Daily!$AZ$2:$AZ$9999)/SUMIFS(Raw_Data_Daily!$D:$D, Raw_Data_Daily!$B:$B, "Variant", Raw_Data_Daily!$C:$C, "B. 1-9"),"")</f>
        <v>2.697051928</v>
      </c>
      <c r="H39" s="41">
        <f t="shared" si="32"/>
        <v>-0.07514984847</v>
      </c>
      <c r="I39" s="35">
        <f>IFERROR(SUMPRODUCT((Raw_Data_Daily!$B$2:$B$9999="Control")*(Raw_Data_Daily!$C$2:$C$9999="C. 10-19")*Raw_Data_Daily!$D$2:$D$9999*Raw_Data_Daily!$AZ$2:$AZ$9999)/SUMIFS(Raw_Data_Daily!$D:$D, Raw_Data_Daily!$B:$B, "Control", Raw_Data_Daily!$C:$C, "C. 10-19"),"")</f>
        <v>3.561879077</v>
      </c>
      <c r="J39" s="18">
        <f>IFERROR(SUMPRODUCT((Raw_Data_Daily!$B$2:$B$9999="Variant")*(Raw_Data_Daily!$C$2:$C$9999="C. 10-19")*Raw_Data_Daily!$D$2:$D$9999*Raw_Data_Daily!$AZ$2:$AZ$9999)/SUMIFS(Raw_Data_Daily!$D:$D, Raw_Data_Daily!$B:$B, "Variant", Raw_Data_Daily!$C:$C, "C. 10-19"),"")</f>
        <v>3.286816446</v>
      </c>
      <c r="K39" s="41">
        <f t="shared" si="33"/>
        <v>-0.07722402258</v>
      </c>
      <c r="L39" s="40">
        <f>IFERROR(SUMPRODUCT((Raw_Data_Daily!$B$2:$B$9999="Control")*(Raw_Data_Daily!$C$2:$C$9999="D. 20-39")*Raw_Data_Daily!$D$2:$D$9999*Raw_Data_Daily!$AZ$2:$AZ$9999)/SUMIFS(Raw_Data_Daily!$D:$D, Raw_Data_Daily!$B:$B, "Control", Raw_Data_Daily!$C:$C, "D. 20-39"),"")</f>
        <v>3.785199054</v>
      </c>
      <c r="M39" s="18">
        <f>IFERROR(SUMPRODUCT((Raw_Data_Daily!$B$2:$B$9999="Variant")*(Raw_Data_Daily!$C$2:$C$9999="D. 20-39")*Raw_Data_Daily!$D$2:$D$9999*Raw_Data_Daily!$AZ$2:$AZ$9999)/SUMIFS(Raw_Data_Daily!$D:$D, Raw_Data_Daily!$B:$B, "Variant", Raw_Data_Daily!$C:$C, "D. 20-39"),"")</f>
        <v>3.794591377</v>
      </c>
      <c r="N39" s="41">
        <f t="shared" si="34"/>
        <v>0.002481328653</v>
      </c>
      <c r="O39" s="35">
        <f>IFERROR(SUMPRODUCT((Raw_Data_Daily!$B$2:$B$9999="Control")*(Raw_Data_Daily!$C$2:$C$9999="E. 40-99")*Raw_Data_Daily!$D$2:$D$9999*Raw_Data_Daily!$AZ$2:$AZ$9999)/SUMIFS(Raw_Data_Daily!$D:$D, Raw_Data_Daily!$B:$B, "Control", Raw_Data_Daily!$C:$C, "E. 40-99"),"")</f>
        <v>5.864074915</v>
      </c>
      <c r="P39" s="18">
        <f>IFERROR(SUMPRODUCT((Raw_Data_Daily!$B$2:$B$9999="Variant")*(Raw_Data_Daily!$C$2:$C$9999="E. 40-99")*Raw_Data_Daily!$D$2:$D$9999*Raw_Data_Daily!$AZ$2:$AZ$9999)/SUMIFS(Raw_Data_Daily!$D:$D, Raw_Data_Daily!$B:$B, "Variant", Raw_Data_Daily!$C:$C, "E. 40-99"),"")</f>
        <v>6.014916174</v>
      </c>
      <c r="Q39" s="41">
        <f t="shared" si="35"/>
        <v>0.02572294207</v>
      </c>
      <c r="R39" s="40">
        <f>IFERROR(SUMPRODUCT((Raw_Data_Daily!$B$2:$B$9999="Control")*(Raw_Data_Daily!$C$2:$C$9999="F. 100+")*Raw_Data_Daily!$D$2:$D$9999*Raw_Data_Daily!$AZ$2:$AZ$9999)/SUMIFS(Raw_Data_Daily!$D:$D, Raw_Data_Daily!$B:$B, "Control", Raw_Data_Daily!$C:$C, "F. 100+"),"")</f>
        <v>11.58763247</v>
      </c>
      <c r="S39" s="18">
        <f>IFERROR(SUMPRODUCT((Raw_Data_Daily!$B$2:$B$9999="Variant")*(Raw_Data_Daily!$C$2:$C$9999="F. 100+")*Raw_Data_Daily!$D$2:$D$9999*Raw_Data_Daily!$AZ$2:$AZ$9999)/SUMIFS(Raw_Data_Daily!$D:$D, Raw_Data_Daily!$B:$B, "Variant", Raw_Data_Daily!$C:$C, "F. 100+"),"")</f>
        <v>13.58234846</v>
      </c>
      <c r="T39" s="41">
        <f t="shared" si="36"/>
        <v>0.1721418071</v>
      </c>
    </row>
    <row r="40" ht="15.75" customHeight="1">
      <c r="A40" s="9"/>
      <c r="B40" s="181" t="s">
        <v>51</v>
      </c>
      <c r="C40" s="35" t="str">
        <f>IFERROR(SUMPRODUCT((Raw_Data_Daily!$B$2:$B$9999="Control")*(Raw_Data_Daily!$C$2:$C$9999="A. 0")*Raw_Data_Daily!$D$2:$D$9999*Raw_Data_Daily!$BA$2:$BA$9999)/SUMIFS(Raw_Data_Daily!$D:$D, Raw_Data_Daily!$B:$B, "Control", Raw_Data_Daily!$C:$C, "A. 0"),"")</f>
        <v/>
      </c>
      <c r="D40" s="18" t="str">
        <f>IFERROR(SUMPRODUCT((Raw_Data_Daily!$B$2:$B$9999="Variant")*(Raw_Data_Daily!$C$2:$C$9999="A. 0")*Raw_Data_Daily!$D$2:$D$9999*Raw_Data_Daily!$BA$2:$BA$9999)/SUMIFS(Raw_Data_Daily!$D:$D, Raw_Data_Daily!$B:$B, "Variant", Raw_Data_Daily!$C:$C, "A. 0"),"")</f>
        <v/>
      </c>
      <c r="E40" s="38" t="str">
        <f t="shared" si="31"/>
        <v/>
      </c>
      <c r="F40" s="40">
        <f>IFERROR(SUMPRODUCT((Raw_Data_Daily!$B$2:$B$9999="Control")*(Raw_Data_Daily!$C$2:$C$9999="B. 1-9")*Raw_Data_Daily!$D$2:$D$9999*Raw_Data_Daily!$BA$2:$BA$9999)/SUMIFS(Raw_Data_Daily!$D:$D, Raw_Data_Daily!$B:$B, "Control", Raw_Data_Daily!$C:$C, "B. 1-9"),"")</f>
        <v>3.1953</v>
      </c>
      <c r="G40" s="18">
        <f>IFERROR(SUMPRODUCT((Raw_Data_Daily!$B$2:$B$9999="Variant")*(Raw_Data_Daily!$C$2:$C$9999="B. 1-9")*Raw_Data_Daily!$D$2:$D$9999*Raw_Data_Daily!$BA$2:$BA$9999)/SUMIFS(Raw_Data_Daily!$D:$D, Raw_Data_Daily!$B:$B, "Variant", Raw_Data_Daily!$C:$C, "B. 1-9"),"")</f>
        <v>2.875534239</v>
      </c>
      <c r="H40" s="41">
        <f t="shared" si="32"/>
        <v>-0.1000737835</v>
      </c>
      <c r="I40" s="35">
        <f>IFERROR(SUMPRODUCT((Raw_Data_Daily!$B$2:$B$9999="Control")*(Raw_Data_Daily!$C$2:$C$9999="C. 10-19")*Raw_Data_Daily!$D$2:$D$9999*Raw_Data_Daily!$BA$2:$BA$9999)/SUMIFS(Raw_Data_Daily!$D:$D, Raw_Data_Daily!$B:$B, "Control", Raw_Data_Daily!$C:$C, "C. 10-19"),"")</f>
        <v>7.518812277</v>
      </c>
      <c r="J40" s="18">
        <f>IFERROR(SUMPRODUCT((Raw_Data_Daily!$B$2:$B$9999="Variant")*(Raw_Data_Daily!$C$2:$C$9999="C. 10-19")*Raw_Data_Daily!$D$2:$D$9999*Raw_Data_Daily!$BA$2:$BA$9999)/SUMIFS(Raw_Data_Daily!$D:$D, Raw_Data_Daily!$B:$B, "Variant", Raw_Data_Daily!$C:$C, "C. 10-19"),"")</f>
        <v>7.424961708</v>
      </c>
      <c r="K40" s="41">
        <f t="shared" si="33"/>
        <v>-0.01248210037</v>
      </c>
      <c r="L40" s="40">
        <f>IFERROR(SUMPRODUCT((Raw_Data_Daily!$B$2:$B$9999="Control")*(Raw_Data_Daily!$C$2:$C$9999="D. 20-39")*Raw_Data_Daily!$D$2:$D$9999*Raw_Data_Daily!$BA$2:$BA$9999)/SUMIFS(Raw_Data_Daily!$D:$D, Raw_Data_Daily!$B:$B, "Control", Raw_Data_Daily!$C:$C, "D. 20-39"),"")</f>
        <v>14.71362275</v>
      </c>
      <c r="M40" s="18">
        <f>IFERROR(SUMPRODUCT((Raw_Data_Daily!$B$2:$B$9999="Variant")*(Raw_Data_Daily!$C$2:$C$9999="D. 20-39")*Raw_Data_Daily!$D$2:$D$9999*Raw_Data_Daily!$BA$2:$BA$9999)/SUMIFS(Raw_Data_Daily!$D:$D, Raw_Data_Daily!$B:$B, "Variant", Raw_Data_Daily!$C:$C, "D. 20-39"),"")</f>
        <v>11.75652744</v>
      </c>
      <c r="N40" s="41">
        <f t="shared" si="34"/>
        <v>-0.2009766974</v>
      </c>
      <c r="O40" s="35">
        <f>IFERROR(SUMPRODUCT((Raw_Data_Daily!$B$2:$B$9999="Control")*(Raw_Data_Daily!$C$2:$C$9999="E. 40-99")*Raw_Data_Daily!$D$2:$D$9999*Raw_Data_Daily!$BA$2:$BA$9999)/SUMIFS(Raw_Data_Daily!$D:$D, Raw_Data_Daily!$B:$B, "Control", Raw_Data_Daily!$C:$C, "E. 40-99"),"")</f>
        <v>33.63671753</v>
      </c>
      <c r="P40" s="18">
        <f>IFERROR(SUMPRODUCT((Raw_Data_Daily!$B$2:$B$9999="Variant")*(Raw_Data_Daily!$C$2:$C$9999="E. 40-99")*Raw_Data_Daily!$D$2:$D$9999*Raw_Data_Daily!$BA$2:$BA$9999)/SUMIFS(Raw_Data_Daily!$D:$D, Raw_Data_Daily!$B:$B, "Variant", Raw_Data_Daily!$C:$C, "E. 40-99"),"")</f>
        <v>31.4973828</v>
      </c>
      <c r="Q40" s="41">
        <f t="shared" si="35"/>
        <v>-0.06360117439</v>
      </c>
      <c r="R40" s="40">
        <f>IFERROR(SUMPRODUCT((Raw_Data_Daily!$B$2:$B$9999="Control")*(Raw_Data_Daily!$C$2:$C$9999="F. 100+")*Raw_Data_Daily!$D$2:$D$9999*Raw_Data_Daily!$BA$2:$BA$9999)/SUMIFS(Raw_Data_Daily!$D:$D, Raw_Data_Daily!$B:$B, "Control", Raw_Data_Daily!$C:$C, "F. 100+"),"")</f>
        <v>84.37133596</v>
      </c>
      <c r="S40" s="18">
        <f>IFERROR(SUMPRODUCT((Raw_Data_Daily!$B$2:$B$9999="Variant")*(Raw_Data_Daily!$C$2:$C$9999="F. 100+")*Raw_Data_Daily!$D$2:$D$9999*Raw_Data_Daily!$BA$2:$BA$9999)/SUMIFS(Raw_Data_Daily!$D:$D, Raw_Data_Daily!$B:$B, "Variant", Raw_Data_Daily!$C:$C, "F. 100+"),"")</f>
        <v>86.90302467</v>
      </c>
      <c r="T40" s="41">
        <f t="shared" si="36"/>
        <v>0.03000650256</v>
      </c>
    </row>
    <row r="41" ht="15.75" customHeight="1">
      <c r="A41" s="9"/>
      <c r="B41" s="181" t="s">
        <v>52</v>
      </c>
      <c r="C41" s="35" t="str">
        <f>IFERROR(SUMPRODUCT((Raw_Data_Daily!$B$2:$B$9999="Control")*(Raw_Data_Daily!$C$2:$C$9999="A. 0")*Raw_Data_Daily!$D$2:$D$9999*Raw_Data_Daily!$BB$2:$BB$9999)/SUMIFS(Raw_Data_Daily!$D:$D, Raw_Data_Daily!$B:$B, "Control", Raw_Data_Daily!$C:$C, "A. 0"),"")</f>
        <v/>
      </c>
      <c r="D41" s="18" t="str">
        <f>IFERROR(SUMPRODUCT((Raw_Data_Daily!$B$2:$B$9999="Variant")*(Raw_Data_Daily!$C$2:$C$9999="A. 0")*Raw_Data_Daily!$D$2:$D$9999*Raw_Data_Daily!$BB$2:$BB$9999)/SUMIFS(Raw_Data_Daily!$D:$D, Raw_Data_Daily!$B:$B, "Variant", Raw_Data_Daily!$C:$C, "A. 0"),"")</f>
        <v/>
      </c>
      <c r="E41" s="38" t="str">
        <f t="shared" si="31"/>
        <v/>
      </c>
      <c r="F41" s="40">
        <f>IFERROR(SUMPRODUCT((Raw_Data_Daily!$B$2:$B$9999="Control")*(Raw_Data_Daily!$C$2:$C$9999="B. 1-9")*Raw_Data_Daily!$D$2:$D$9999*Raw_Data_Daily!$BB$2:$BB$9999)/SUMIFS(Raw_Data_Daily!$D:$D, Raw_Data_Daily!$B:$B, "Control", Raw_Data_Daily!$C:$C, "B. 1-9"),"")</f>
        <v>0.7096493485</v>
      </c>
      <c r="G41" s="18">
        <f>IFERROR(SUMPRODUCT((Raw_Data_Daily!$B$2:$B$9999="Variant")*(Raw_Data_Daily!$C$2:$C$9999="B. 1-9")*Raw_Data_Daily!$D$2:$D$9999*Raw_Data_Daily!$BB$2:$BB$9999)/SUMIFS(Raw_Data_Daily!$D:$D, Raw_Data_Daily!$B:$B, "Variant", Raw_Data_Daily!$C:$C, "B. 1-9"),"")</f>
        <v>0.6967150615</v>
      </c>
      <c r="H41" s="41">
        <f t="shared" si="32"/>
        <v>-0.01822630727</v>
      </c>
      <c r="I41" s="35">
        <f>IFERROR(SUMPRODUCT((Raw_Data_Daily!$B$2:$B$9999="Control")*(Raw_Data_Daily!$C$2:$C$9999="C. 10-19")*Raw_Data_Daily!$D$2:$D$9999*Raw_Data_Daily!$BB$2:$BB$9999)/SUMIFS(Raw_Data_Daily!$D:$D, Raw_Data_Daily!$B:$B, "Control", Raw_Data_Daily!$C:$C, "C. 10-19"),"")</f>
        <v>1.443070963</v>
      </c>
      <c r="J41" s="18">
        <f>IFERROR(SUMPRODUCT((Raw_Data_Daily!$B$2:$B$9999="Variant")*(Raw_Data_Daily!$C$2:$C$9999="C. 10-19")*Raw_Data_Daily!$D$2:$D$9999*Raw_Data_Daily!$BB$2:$BB$9999)/SUMIFS(Raw_Data_Daily!$D:$D, Raw_Data_Daily!$B:$B, "Variant", Raw_Data_Daily!$C:$C, "C. 10-19"),"")</f>
        <v>1.307108551</v>
      </c>
      <c r="K41" s="38">
        <f t="shared" si="33"/>
        <v>-0.09421741232</v>
      </c>
      <c r="L41" s="40">
        <f>IFERROR(SUMPRODUCT((Raw_Data_Daily!$B$2:$B$9999="Control")*(Raw_Data_Daily!$C$2:$C$9999="D. 20-39")*Raw_Data_Daily!$D$2:$D$9999*Raw_Data_Daily!$BB$2:$BB$9999)/SUMIFS(Raw_Data_Daily!$D:$D, Raw_Data_Daily!$B:$B, "Control", Raw_Data_Daily!$C:$C, "D. 20-39"),"")</f>
        <v>2.2419607</v>
      </c>
      <c r="M41" s="18">
        <f>IFERROR(SUMPRODUCT((Raw_Data_Daily!$B$2:$B$9999="Variant")*(Raw_Data_Daily!$C$2:$C$9999="D. 20-39")*Raw_Data_Daily!$D$2:$D$9999*Raw_Data_Daily!$BB$2:$BB$9999)/SUMIFS(Raw_Data_Daily!$D:$D, Raw_Data_Daily!$B:$B, "Variant", Raw_Data_Daily!$C:$C, "D. 20-39"),"")</f>
        <v>2.30773212</v>
      </c>
      <c r="N41" s="41">
        <f t="shared" si="34"/>
        <v>0.02933656251</v>
      </c>
      <c r="O41" s="35">
        <f>IFERROR(SUMPRODUCT((Raw_Data_Daily!$B$2:$B$9999="Control")*(Raw_Data_Daily!$C$2:$C$9999="E. 40-99")*Raw_Data_Daily!$D$2:$D$9999*Raw_Data_Daily!$BB$2:$BB$9999)/SUMIFS(Raw_Data_Daily!$D:$D, Raw_Data_Daily!$B:$B, "Control", Raw_Data_Daily!$C:$C, "E. 40-99"),"")</f>
        <v>4.002402993</v>
      </c>
      <c r="P41" s="18">
        <f>IFERROR(SUMPRODUCT((Raw_Data_Daily!$B$2:$B$9999="Variant")*(Raw_Data_Daily!$C$2:$C$9999="E. 40-99")*Raw_Data_Daily!$D$2:$D$9999*Raw_Data_Daily!$BB$2:$BB$9999)/SUMIFS(Raw_Data_Daily!$D:$D, Raw_Data_Daily!$B:$B, "Variant", Raw_Data_Daily!$C:$C, "E. 40-99"),"")</f>
        <v>4.2385638</v>
      </c>
      <c r="Q41" s="38">
        <f t="shared" si="35"/>
        <v>0.05900475457</v>
      </c>
      <c r="R41" s="40">
        <f>IFERROR(SUMPRODUCT((Raw_Data_Daily!$B$2:$B$9999="Control")*(Raw_Data_Daily!$C$2:$C$9999="F. 100+")*Raw_Data_Daily!$D$2:$D$9999*Raw_Data_Daily!$BB$2:$BB$9999)/SUMIFS(Raw_Data_Daily!$D:$D, Raw_Data_Daily!$B:$B, "Control", Raw_Data_Daily!$C:$C, "F. 100+"),"")</f>
        <v>7.228847238</v>
      </c>
      <c r="S41" s="18">
        <f>IFERROR(SUMPRODUCT((Raw_Data_Daily!$B$2:$B$9999="Variant")*(Raw_Data_Daily!$C$2:$C$9999="F. 100+")*Raw_Data_Daily!$D$2:$D$9999*Raw_Data_Daily!$BB$2:$BB$9999)/SUMIFS(Raw_Data_Daily!$D:$D, Raw_Data_Daily!$B:$B, "Variant", Raw_Data_Daily!$C:$C, "F. 100+"),"")</f>
        <v>6.607532744</v>
      </c>
      <c r="T41" s="41">
        <f t="shared" si="36"/>
        <v>-0.08594931847</v>
      </c>
    </row>
    <row r="42" ht="15.75" customHeight="1">
      <c r="A42" s="27" t="s">
        <v>53</v>
      </c>
      <c r="B42" s="28"/>
      <c r="C42" s="30"/>
      <c r="D42" s="7"/>
      <c r="E42" s="31"/>
      <c r="F42" s="32"/>
      <c r="G42" s="7"/>
      <c r="H42" s="28"/>
      <c r="I42" s="30"/>
      <c r="J42" s="7"/>
      <c r="K42" s="31"/>
      <c r="L42" s="32"/>
      <c r="M42" s="7"/>
      <c r="N42" s="28"/>
      <c r="O42" s="30"/>
      <c r="P42" s="7"/>
      <c r="Q42" s="31"/>
      <c r="R42" s="32"/>
      <c r="S42" s="7"/>
      <c r="T42" s="28"/>
    </row>
    <row r="43" ht="15.75" customHeight="1">
      <c r="A43" s="9"/>
      <c r="B43" s="33" t="s">
        <v>54</v>
      </c>
      <c r="C43" s="35" t="str">
        <f>IFERROR(SUMPRODUCT((Raw_Data_Daily!$B$2:$B$9999="Control")*(Raw_Data_Daily!$C$2:$C$9999="A. 0")*Raw_Data_Daily!$D$2:$D$9999*Raw_Data_Daily!$Y$2:$Y$9999)/SUMIFS(Raw_Data_Daily!$D:$D, Raw_Data_Daily!$B:$B, "Control", Raw_Data_Daily!$C:$C, "A. 0"),"")</f>
        <v/>
      </c>
      <c r="D43" s="18" t="str">
        <f>IFERROR(SUMPRODUCT((Raw_Data_Daily!$B$2:$B$9999="Variant")*(Raw_Data_Daily!$C$2:$C$9999="A. 0")*Raw_Data_Daily!$D$2:$D$9999*Raw_Data_Daily!$Y$2:$Y$9999)/SUMIFS(Raw_Data_Daily!$D:$D, Raw_Data_Daily!$B:$B, "Variant", Raw_Data_Daily!$C:$C, "A. 0"),"")</f>
        <v/>
      </c>
      <c r="E43" s="38" t="str">
        <f t="shared" ref="E43:E46" si="37">IFERROR((D43-C43)/ABS(C43),"")</f>
        <v/>
      </c>
      <c r="F43" s="40">
        <f>IFERROR(SUMPRODUCT((Raw_Data_Daily!$B$2:$B$9999="Control")*(Raw_Data_Daily!$C$2:$C$9999="B. 1-9")*Raw_Data_Daily!$D$2:$D$9999*Raw_Data_Daily!$Y$2:$Y$9999)/SUMIFS(Raw_Data_Daily!$D:$D, Raw_Data_Daily!$B:$B, "Control", Raw_Data_Daily!$C:$C, "B. 1-9"),"")</f>
        <v>172.1949023</v>
      </c>
      <c r="G43" s="18">
        <f>IFERROR(SUMPRODUCT((Raw_Data_Daily!$B$2:$B$9999="Variant")*(Raw_Data_Daily!$C$2:$C$9999="B. 1-9")*Raw_Data_Daily!$D$2:$D$9999*Raw_Data_Daily!$Y$2:$Y$9999)/SUMIFS(Raw_Data_Daily!$D:$D, Raw_Data_Daily!$B:$B, "Variant", Raw_Data_Daily!$C:$C, "B. 1-9"),"")</f>
        <v>165.3208688</v>
      </c>
      <c r="H43" s="41">
        <f t="shared" ref="H43:H46" si="38">IFERROR((G43-F43)/ABS(F43),"")</f>
        <v>-0.03992007521</v>
      </c>
      <c r="I43" s="35">
        <f>IFERROR(SUMPRODUCT((Raw_Data_Daily!$B$2:$B$9999="Control")*(Raw_Data_Daily!$C$2:$C$9999="C. 10-19")*Raw_Data_Daily!$D$2:$D$9999*Raw_Data_Daily!$Y$2:$Y$9999)/SUMIFS(Raw_Data_Daily!$D:$D, Raw_Data_Daily!$B:$B, "Control", Raw_Data_Daily!$C:$C, "C. 10-19"),"")</f>
        <v>197.8361937</v>
      </c>
      <c r="J43" s="18">
        <f>IFERROR(SUMPRODUCT((Raw_Data_Daily!$B$2:$B$9999="Variant")*(Raw_Data_Daily!$C$2:$C$9999="C. 10-19")*Raw_Data_Daily!$D$2:$D$9999*Raw_Data_Daily!$Y$2:$Y$9999)/SUMIFS(Raw_Data_Daily!$D:$D, Raw_Data_Daily!$B:$B, "Variant", Raw_Data_Daily!$C:$C, "C. 10-19"),"")</f>
        <v>190.3257653</v>
      </c>
      <c r="K43" s="38">
        <f t="shared" ref="K43:K46" si="39">IFERROR((J43-I43)/ABS(I43),"")</f>
        <v>-0.03796286371</v>
      </c>
      <c r="L43" s="40">
        <f>IFERROR(SUMPRODUCT((Raw_Data_Daily!$B$2:$B$9999="Control")*(Raw_Data_Daily!$C$2:$C$9999="D. 20-39")*Raw_Data_Daily!$D$2:$D$9999*Raw_Data_Daily!$Y$2:$Y$9999)/SUMIFS(Raw_Data_Daily!$D:$D, Raw_Data_Daily!$B:$B, "Control", Raw_Data_Daily!$C:$C, "D. 20-39"),"")</f>
        <v>231.0604285</v>
      </c>
      <c r="M43" s="18">
        <f>IFERROR(SUMPRODUCT((Raw_Data_Daily!$B$2:$B$9999="Variant")*(Raw_Data_Daily!$C$2:$C$9999="D. 20-39")*Raw_Data_Daily!$D$2:$D$9999*Raw_Data_Daily!$Y$2:$Y$9999)/SUMIFS(Raw_Data_Daily!$D:$D, Raw_Data_Daily!$B:$B, "Variant", Raw_Data_Daily!$C:$C, "D. 20-39"),"")</f>
        <v>238.1782176</v>
      </c>
      <c r="N43" s="41">
        <f t="shared" ref="N43:N46" si="40">IFERROR((M43-L43)/ABS(L43),"")</f>
        <v>0.03080488129</v>
      </c>
      <c r="O43" s="35">
        <f>IFERROR(SUMPRODUCT((Raw_Data_Daily!$B$2:$B$9999="Control")*(Raw_Data_Daily!$C$2:$C$9999="E. 40-99")*Raw_Data_Daily!$D$2:$D$9999*Raw_Data_Daily!$Y$2:$Y$9999)/SUMIFS(Raw_Data_Daily!$D:$D, Raw_Data_Daily!$B:$B, "Control", Raw_Data_Daily!$C:$C, "E. 40-99"),"")</f>
        <v>289.1418422</v>
      </c>
      <c r="P43" s="18">
        <f>IFERROR(SUMPRODUCT((Raw_Data_Daily!$B$2:$B$9999="Variant")*(Raw_Data_Daily!$C$2:$C$9999="E. 40-99")*Raw_Data_Daily!$D$2:$D$9999*Raw_Data_Daily!$Y$2:$Y$9999)/SUMIFS(Raw_Data_Daily!$D:$D, Raw_Data_Daily!$B:$B, "Variant", Raw_Data_Daily!$C:$C, "E. 40-99"),"")</f>
        <v>305.5427884</v>
      </c>
      <c r="Q43" s="38">
        <f t="shared" ref="Q43:Q46" si="41">IFERROR((P43-O43)/ABS(O43),"")</f>
        <v>0.05672283904</v>
      </c>
      <c r="R43" s="40">
        <f>IFERROR(SUMPRODUCT((Raw_Data_Daily!$B$2:$B$9999="Control")*(Raw_Data_Daily!$C$2:$C$9999="F. 100+")*Raw_Data_Daily!$D$2:$D$9999*Raw_Data_Daily!$Y$2:$Y$9999)/SUMIFS(Raw_Data_Daily!$D:$D, Raw_Data_Daily!$B:$B, "Control", Raw_Data_Daily!$C:$C, "F. 100+"),"")</f>
        <v>379.026212</v>
      </c>
      <c r="S43" s="18">
        <f>IFERROR(SUMPRODUCT((Raw_Data_Daily!$B$2:$B$9999="Variant")*(Raw_Data_Daily!$C$2:$C$9999="F. 100+")*Raw_Data_Daily!$D$2:$D$9999*Raw_Data_Daily!$Y$2:$Y$9999)/SUMIFS(Raw_Data_Daily!$D:$D, Raw_Data_Daily!$B:$B, "Variant", Raw_Data_Daily!$C:$C, "F. 100+"),"")</f>
        <v>415.5001523</v>
      </c>
      <c r="T43" s="41">
        <f t="shared" ref="T43:T46" si="42">IFERROR((S43-R43)/ABS(R43),"")</f>
        <v>0.09623065424</v>
      </c>
    </row>
    <row r="44" ht="15.75" customHeight="1">
      <c r="A44" s="9"/>
      <c r="B44" s="33" t="s">
        <v>55</v>
      </c>
      <c r="C44" s="35" t="str">
        <f>IFERROR(SUMPRODUCT((Raw_Data_Daily!$B$2:$B$9999="Control")*(Raw_Data_Daily!$C$2:$C$9999="A. 0")*Raw_Data_Daily!$D$2:$D$9999*Raw_Data_Daily!$Z$2:$Z$9999)/SUMIFS(Raw_Data_Daily!$D:$D, Raw_Data_Daily!$B:$B, "Control", Raw_Data_Daily!$C:$C, "A. 0"),"")</f>
        <v/>
      </c>
      <c r="D44" s="18" t="str">
        <f>IFERROR(SUMPRODUCT((Raw_Data_Daily!$B$2:$B$9999="Variant")*(Raw_Data_Daily!$C$2:$C$9999="A. 0")*Raw_Data_Daily!$D$2:$D$9999*Raw_Data_Daily!$Z$2:$Z$9999)/SUMIFS(Raw_Data_Daily!$D:$D, Raw_Data_Daily!$B:$B, "Variant", Raw_Data_Daily!$C:$C, "A. 0"),"")</f>
        <v/>
      </c>
      <c r="E44" s="38" t="str">
        <f t="shared" si="37"/>
        <v/>
      </c>
      <c r="F44" s="40">
        <f>IFERROR(SUMPRODUCT((Raw_Data_Daily!$B$2:$B$9999="Control")*(Raw_Data_Daily!$C$2:$C$9999="B. 1-9")*Raw_Data_Daily!$D$2:$D$9999*Raw_Data_Daily!$Z$2:$Z$9999)/SUMIFS(Raw_Data_Daily!$D:$D, Raw_Data_Daily!$B:$B, "Control", Raw_Data_Daily!$C:$C, "B. 1-9"),"")</f>
        <v>462.2719544</v>
      </c>
      <c r="G44" s="18">
        <f>IFERROR(SUMPRODUCT((Raw_Data_Daily!$B$2:$B$9999="Variant")*(Raw_Data_Daily!$C$2:$C$9999="B. 1-9")*Raw_Data_Daily!$D$2:$D$9999*Raw_Data_Daily!$Z$2:$Z$9999)/SUMIFS(Raw_Data_Daily!$D:$D, Raw_Data_Daily!$B:$B, "Variant", Raw_Data_Daily!$C:$C, "B. 1-9"),"")</f>
        <v>428.1099857</v>
      </c>
      <c r="H44" s="41">
        <f t="shared" si="38"/>
        <v>-0.07390015418</v>
      </c>
      <c r="I44" s="35">
        <f>IFERROR(SUMPRODUCT((Raw_Data_Daily!$B$2:$B$9999="Control")*(Raw_Data_Daily!$C$2:$C$9999="C. 10-19")*Raw_Data_Daily!$D$2:$D$9999*Raw_Data_Daily!$Z$2:$Z$9999)/SUMIFS(Raw_Data_Daily!$D:$D, Raw_Data_Daily!$B:$B, "Control", Raw_Data_Daily!$C:$C, "C. 10-19"),"")</f>
        <v>490.7974048</v>
      </c>
      <c r="J44" s="18">
        <f>IFERROR(SUMPRODUCT((Raw_Data_Daily!$B$2:$B$9999="Variant")*(Raw_Data_Daily!$C$2:$C$9999="C. 10-19")*Raw_Data_Daily!$D$2:$D$9999*Raw_Data_Daily!$Z$2:$Z$9999)/SUMIFS(Raw_Data_Daily!$D:$D, Raw_Data_Daily!$B:$B, "Variant", Raw_Data_Daily!$C:$C, "C. 10-19"),"")</f>
        <v>420.857585</v>
      </c>
      <c r="K44" s="38">
        <f t="shared" si="39"/>
        <v>-0.1425024239</v>
      </c>
      <c r="L44" s="40">
        <f>IFERROR(SUMPRODUCT((Raw_Data_Daily!$B$2:$B$9999="Control")*(Raw_Data_Daily!$C$2:$C$9999="D. 20-39")*Raw_Data_Daily!$D$2:$D$9999*Raw_Data_Daily!$Z$2:$Z$9999)/SUMIFS(Raw_Data_Daily!$D:$D, Raw_Data_Daily!$B:$B, "Control", Raw_Data_Daily!$C:$C, "D. 20-39"),"")</f>
        <v>558.5159539</v>
      </c>
      <c r="M44" s="18">
        <f>IFERROR(SUMPRODUCT((Raw_Data_Daily!$B$2:$B$9999="Variant")*(Raw_Data_Daily!$C$2:$C$9999="D. 20-39")*Raw_Data_Daily!$D$2:$D$9999*Raw_Data_Daily!$Z$2:$Z$9999)/SUMIFS(Raw_Data_Daily!$D:$D, Raw_Data_Daily!$B:$B, "Variant", Raw_Data_Daily!$C:$C, "D. 20-39"),"")</f>
        <v>532.8717838</v>
      </c>
      <c r="N44" s="41">
        <f t="shared" si="40"/>
        <v>-0.04591483896</v>
      </c>
      <c r="O44" s="35">
        <f>IFERROR(SUMPRODUCT((Raw_Data_Daily!$B$2:$B$9999="Control")*(Raw_Data_Daily!$C$2:$C$9999="E. 40-99")*Raw_Data_Daily!$D$2:$D$9999*Raw_Data_Daily!$Z$2:$Z$9999)/SUMIFS(Raw_Data_Daily!$D:$D, Raw_Data_Daily!$B:$B, "Control", Raw_Data_Daily!$C:$C, "E. 40-99"),"")</f>
        <v>798.0595704</v>
      </c>
      <c r="P44" s="18">
        <f>IFERROR(SUMPRODUCT((Raw_Data_Daily!$B$2:$B$9999="Variant")*(Raw_Data_Daily!$C$2:$C$9999="E. 40-99")*Raw_Data_Daily!$D$2:$D$9999*Raw_Data_Daily!$Z$2:$Z$9999)/SUMIFS(Raw_Data_Daily!$D:$D, Raw_Data_Daily!$B:$B, "Variant", Raw_Data_Daily!$C:$C, "E. 40-99"),"")</f>
        <v>731.4661414</v>
      </c>
      <c r="Q44" s="38">
        <f t="shared" si="41"/>
        <v>-0.08344418317</v>
      </c>
      <c r="R44" s="40">
        <f>IFERROR(SUMPRODUCT((Raw_Data_Daily!$B$2:$B$9999="Control")*(Raw_Data_Daily!$C$2:$C$9999="F. 100+")*Raw_Data_Daily!$D$2:$D$9999*Raw_Data_Daily!$Z$2:$Z$9999)/SUMIFS(Raw_Data_Daily!$D:$D, Raw_Data_Daily!$B:$B, "Control", Raw_Data_Daily!$C:$C, "F. 100+"),"")</f>
        <v>1153.201522</v>
      </c>
      <c r="S44" s="18">
        <f>IFERROR(SUMPRODUCT((Raw_Data_Daily!$B$2:$B$9999="Variant")*(Raw_Data_Daily!$C$2:$C$9999="F. 100+")*Raw_Data_Daily!$D$2:$D$9999*Raw_Data_Daily!$Z$2:$Z$9999)/SUMIFS(Raw_Data_Daily!$D:$D, Raw_Data_Daily!$B:$B, "Variant", Raw_Data_Daily!$C:$C, "F. 100+"),"")</f>
        <v>1072.862626</v>
      </c>
      <c r="T44" s="41">
        <f t="shared" si="42"/>
        <v>-0.06966596454</v>
      </c>
    </row>
    <row r="45" ht="15.75" customHeight="1">
      <c r="A45" s="9"/>
      <c r="B45" s="33" t="s">
        <v>56</v>
      </c>
      <c r="C45" s="35" t="str">
        <f>IFERROR(SUMPRODUCT((Raw_Data_Daily!$B$2:$B$9999="Control")*(Raw_Data_Daily!$C$2:$C$9999="A. 0")*Raw_Data_Daily!$D$2:$D$9999*Raw_Data_Daily!$AA$2:$AA$9999)/SUMIFS(Raw_Data_Daily!$D:$D, Raw_Data_Daily!$B:$B, "Control", Raw_Data_Daily!$C:$C, "A. 0"),"")</f>
        <v/>
      </c>
      <c r="D45" s="18" t="str">
        <f>IFERROR(SUMPRODUCT((Raw_Data_Daily!$B$2:$B$9999="Variant")*(Raw_Data_Daily!$C$2:$C$9999="A. 0")*Raw_Data_Daily!$D$2:$D$9999*Raw_Data_Daily!$AA$2:$AA$9999)/SUMIFS(Raw_Data_Daily!$D:$D, Raw_Data_Daily!$B:$B, "Variant", Raw_Data_Daily!$C:$C, "A. 0"),"")</f>
        <v/>
      </c>
      <c r="E45" s="38" t="str">
        <f t="shared" si="37"/>
        <v/>
      </c>
      <c r="F45" s="40">
        <f>IFERROR(SUMPRODUCT((Raw_Data_Daily!$B$2:$B$9999="Control")*(Raw_Data_Daily!$C$2:$C$9999="B. 1-9")*Raw_Data_Daily!$D$2:$D$9999*Raw_Data_Daily!$AA$2:$AA$9999)/SUMIFS(Raw_Data_Daily!$D:$D, Raw_Data_Daily!$B:$B, "Control", Raw_Data_Daily!$C:$C, "B. 1-9"),"")</f>
        <v>2513.782427</v>
      </c>
      <c r="G45" s="18">
        <f>IFERROR(SUMPRODUCT((Raw_Data_Daily!$B$2:$B$9999="Variant")*(Raw_Data_Daily!$C$2:$C$9999="B. 1-9")*Raw_Data_Daily!$D$2:$D$9999*Raw_Data_Daily!$AA$2:$AA$9999)/SUMIFS(Raw_Data_Daily!$D:$D, Raw_Data_Daily!$B:$B, "Variant", Raw_Data_Daily!$C:$C, "B. 1-9"),"")</f>
        <v>2311.770859</v>
      </c>
      <c r="H45" s="41">
        <f t="shared" si="38"/>
        <v>-0.08036159593</v>
      </c>
      <c r="I45" s="35">
        <f>IFERROR(SUMPRODUCT((Raw_Data_Daily!$B$2:$B$9999="Control")*(Raw_Data_Daily!$C$2:$C$9999="C. 10-19")*Raw_Data_Daily!$D$2:$D$9999*Raw_Data_Daily!$AA$2:$AA$9999)/SUMIFS(Raw_Data_Daily!$D:$D, Raw_Data_Daily!$B:$B, "Control", Raw_Data_Daily!$C:$C, "C. 10-19"),"")</f>
        <v>2188.504163</v>
      </c>
      <c r="J45" s="18">
        <f>IFERROR(SUMPRODUCT((Raw_Data_Daily!$B$2:$B$9999="Variant")*(Raw_Data_Daily!$C$2:$C$9999="C. 10-19")*Raw_Data_Daily!$D$2:$D$9999*Raw_Data_Daily!$AA$2:$AA$9999)/SUMIFS(Raw_Data_Daily!$D:$D, Raw_Data_Daily!$B:$B, "Variant", Raw_Data_Daily!$C:$C, "C. 10-19"),"")</f>
        <v>1715.003434</v>
      </c>
      <c r="K45" s="38">
        <f t="shared" si="39"/>
        <v>-0.216358158</v>
      </c>
      <c r="L45" s="40">
        <f>IFERROR(SUMPRODUCT((Raw_Data_Daily!$B$2:$B$9999="Control")*(Raw_Data_Daily!$C$2:$C$9999="D. 20-39")*Raw_Data_Daily!$D$2:$D$9999*Raw_Data_Daily!$AA$2:$AA$9999)/SUMIFS(Raw_Data_Daily!$D:$D, Raw_Data_Daily!$B:$B, "Control", Raw_Data_Daily!$C:$C, "D. 20-39"),"")</f>
        <v>2119.623343</v>
      </c>
      <c r="M45" s="18">
        <f>IFERROR(SUMPRODUCT((Raw_Data_Daily!$B$2:$B$9999="Variant")*(Raw_Data_Daily!$C$2:$C$9999="D. 20-39")*Raw_Data_Daily!$D$2:$D$9999*Raw_Data_Daily!$AA$2:$AA$9999)/SUMIFS(Raw_Data_Daily!$D:$D, Raw_Data_Daily!$B:$B, "Variant", Raw_Data_Daily!$C:$C, "D. 20-39"),"")</f>
        <v>1903.303572</v>
      </c>
      <c r="N45" s="41">
        <f t="shared" si="40"/>
        <v>-0.1020557601</v>
      </c>
      <c r="O45" s="35">
        <f>IFERROR(SUMPRODUCT((Raw_Data_Daily!$B$2:$B$9999="Control")*(Raw_Data_Daily!$C$2:$C$9999="E. 40-99")*Raw_Data_Daily!$D$2:$D$9999*Raw_Data_Daily!$AA$2:$AA$9999)/SUMIFS(Raw_Data_Daily!$D:$D, Raw_Data_Daily!$B:$B, "Control", Raw_Data_Daily!$C:$C, "E. 40-99"),"")</f>
        <v>3014.986926</v>
      </c>
      <c r="P45" s="18">
        <f>IFERROR(SUMPRODUCT((Raw_Data_Daily!$B$2:$B$9999="Variant")*(Raw_Data_Daily!$C$2:$C$9999="E. 40-99")*Raw_Data_Daily!$D$2:$D$9999*Raw_Data_Daily!$AA$2:$AA$9999)/SUMIFS(Raw_Data_Daily!$D:$D, Raw_Data_Daily!$B:$B, "Variant", Raw_Data_Daily!$C:$C, "E. 40-99"),"")</f>
        <v>2729.843817</v>
      </c>
      <c r="Q45" s="38">
        <f t="shared" si="41"/>
        <v>-0.09457523884</v>
      </c>
      <c r="R45" s="40">
        <f>IFERROR(SUMPRODUCT((Raw_Data_Daily!$B$2:$B$9999="Control")*(Raw_Data_Daily!$C$2:$C$9999="F. 100+")*Raw_Data_Daily!$D$2:$D$9999*Raw_Data_Daily!$AA$2:$AA$9999)/SUMIFS(Raw_Data_Daily!$D:$D, Raw_Data_Daily!$B:$B, "Control", Raw_Data_Daily!$C:$C, "F. 100+"),"")</f>
        <v>4782.692785</v>
      </c>
      <c r="S45" s="18">
        <f>IFERROR(SUMPRODUCT((Raw_Data_Daily!$B$2:$B$9999="Variant")*(Raw_Data_Daily!$C$2:$C$9999="F. 100+")*Raw_Data_Daily!$D$2:$D$9999*Raw_Data_Daily!$AA$2:$AA$9999)/SUMIFS(Raw_Data_Daily!$D:$D, Raw_Data_Daily!$B:$B, "Variant", Raw_Data_Daily!$C:$C, "F. 100+"),"")</f>
        <v>4166.234846</v>
      </c>
      <c r="T45" s="41">
        <f t="shared" si="42"/>
        <v>-0.1288934845</v>
      </c>
    </row>
    <row r="46" ht="15.75" customHeight="1">
      <c r="A46" s="9"/>
      <c r="B46" s="120" t="s">
        <v>57</v>
      </c>
      <c r="C46" s="35" t="str">
        <f>IFERROR(SUMPRODUCT((Raw_Data_Daily!$B$2:$B$9999="Control")*(Raw_Data_Daily!$C$2:$C$9999="A. 0")*Raw_Data_Daily!$D$2:$D$9999*Raw_Data_Daily!$BD$2:$BD$9999)/SUMIFS(Raw_Data_Daily!$D:$D, Raw_Data_Daily!$B:$B, "Control", Raw_Data_Daily!$C:$C, "A. 0"),"")</f>
        <v/>
      </c>
      <c r="D46" s="18" t="str">
        <f>IFERROR(SUMPRODUCT((Raw_Data_Daily!$B$2:$B$9999="Variant")*(Raw_Data_Daily!$C$2:$C$9999="A. 0")*Raw_Data_Daily!$D$2:$D$9999*Raw_Data_Daily!$BD$2:$BD$9999)/SUMIFS(Raw_Data_Daily!$D:$D, Raw_Data_Daily!$B:$B, "Variant", Raw_Data_Daily!$C:$C, "A. 0"),"")</f>
        <v/>
      </c>
      <c r="E46" s="38" t="str">
        <f t="shared" si="37"/>
        <v/>
      </c>
      <c r="F46" s="40">
        <f>IFERROR(SUMPRODUCT((Raw_Data_Daily!$B$2:$B$9999="Control")*(Raw_Data_Daily!$C$2:$C$9999="B. 1-9")*Raw_Data_Daily!$D$2:$D$9999*Raw_Data_Daily!$BD$2:$BD$9999)/SUMIFS(Raw_Data_Daily!$D:$D, Raw_Data_Daily!$B:$B, "Control", Raw_Data_Daily!$C:$C, "B. 1-9"),"")</f>
        <v>24677.65322</v>
      </c>
      <c r="G46" s="18">
        <f>IFERROR(SUMPRODUCT((Raw_Data_Daily!$B$2:$B$9999="Variant")*(Raw_Data_Daily!$C$2:$C$9999="B. 1-9")*Raw_Data_Daily!$D$2:$D$9999*Raw_Data_Daily!$BD$2:$BD$9999)/SUMIFS(Raw_Data_Daily!$D:$D, Raw_Data_Daily!$B:$B, "Variant", Raw_Data_Daily!$C:$C, "B. 1-9"),"")</f>
        <v>24684.52757</v>
      </c>
      <c r="H46" s="41">
        <f t="shared" si="38"/>
        <v>0.0002785657465</v>
      </c>
      <c r="I46" s="35">
        <f>IFERROR(SUMPRODUCT((Raw_Data_Daily!$B$2:$B$9999="Control")*(Raw_Data_Daily!$C$2:$C$9999="C. 10-19")*Raw_Data_Daily!$D$2:$D$9999*Raw_Data_Daily!$BD$2:$BD$9999)/SUMIFS(Raw_Data_Daily!$D:$D, Raw_Data_Daily!$B:$B, "Control", Raw_Data_Daily!$C:$C, "C. 10-19"),"")</f>
        <v>23425.74504</v>
      </c>
      <c r="J46" s="18">
        <f>IFERROR(SUMPRODUCT((Raw_Data_Daily!$B$2:$B$9999="Variant")*(Raw_Data_Daily!$C$2:$C$9999="C. 10-19")*Raw_Data_Daily!$D$2:$D$9999*Raw_Data_Daily!$BD$2:$BD$9999)/SUMIFS(Raw_Data_Daily!$D:$D, Raw_Data_Daily!$B:$B, "Variant", Raw_Data_Daily!$C:$C, "C. 10-19"),"")</f>
        <v>22419.47925</v>
      </c>
      <c r="K46" s="38">
        <f t="shared" si="39"/>
        <v>-0.04295555113</v>
      </c>
      <c r="L46" s="40">
        <f>IFERROR(SUMPRODUCT((Raw_Data_Daily!$B$2:$B$9999="Control")*(Raw_Data_Daily!$C$2:$C$9999="D. 20-39")*Raw_Data_Daily!$D$2:$D$9999*Raw_Data_Daily!$BD$2:$BD$9999)/SUMIFS(Raw_Data_Daily!$D:$D, Raw_Data_Daily!$B:$B, "Control", Raw_Data_Daily!$C:$C, "D. 20-39"),"")</f>
        <v>23902.54179</v>
      </c>
      <c r="M46" s="18">
        <f>IFERROR(SUMPRODUCT((Raw_Data_Daily!$B$2:$B$9999="Variant")*(Raw_Data_Daily!$C$2:$C$9999="D. 20-39")*Raw_Data_Daily!$D$2:$D$9999*Raw_Data_Daily!$BD$2:$BD$9999)/SUMIFS(Raw_Data_Daily!$D:$D, Raw_Data_Daily!$B:$B, "Variant", Raw_Data_Daily!$C:$C, "D. 20-39"),"")</f>
        <v>22782.56629</v>
      </c>
      <c r="N46" s="41">
        <f t="shared" si="40"/>
        <v>-0.04685591606</v>
      </c>
      <c r="O46" s="35">
        <f>IFERROR(SUMPRODUCT((Raw_Data_Daily!$B$2:$B$9999="Control")*(Raw_Data_Daily!$C$2:$C$9999="E. 40-99")*Raw_Data_Daily!$D$2:$D$9999*Raw_Data_Daily!$BD$2:$BD$9999)/SUMIFS(Raw_Data_Daily!$D:$D, Raw_Data_Daily!$B:$B, "Control", Raw_Data_Daily!$C:$C, "E. 40-99"),"")</f>
        <v>25332.85622</v>
      </c>
      <c r="P46" s="18">
        <f>IFERROR(SUMPRODUCT((Raw_Data_Daily!$B$2:$B$9999="Variant")*(Raw_Data_Daily!$C$2:$C$9999="E. 40-99")*Raw_Data_Daily!$D$2:$D$9999*Raw_Data_Daily!$BD$2:$BD$9999)/SUMIFS(Raw_Data_Daily!$D:$D, Raw_Data_Daily!$B:$B, "Variant", Raw_Data_Daily!$C:$C, "E. 40-99"),"")</f>
        <v>26398.65275</v>
      </c>
      <c r="Q46" s="38">
        <f t="shared" si="41"/>
        <v>0.04207170772</v>
      </c>
      <c r="R46" s="40">
        <f>IFERROR(SUMPRODUCT((Raw_Data_Daily!$B$2:$B$9999="Control")*(Raw_Data_Daily!$C$2:$C$9999="F. 100+")*Raw_Data_Daily!$D$2:$D$9999*Raw_Data_Daily!$BD$2:$BD$9999)/SUMIFS(Raw_Data_Daily!$D:$D, Raw_Data_Daily!$B:$B, "Control", Raw_Data_Daily!$C:$C, "F. 100+"),"")</f>
        <v>28488.00536</v>
      </c>
      <c r="S46" s="18">
        <f>IFERROR(SUMPRODUCT((Raw_Data_Daily!$B$2:$B$9999="Variant")*(Raw_Data_Daily!$C$2:$C$9999="F. 100+")*Raw_Data_Daily!$D$2:$D$9999*Raw_Data_Daily!$BD$2:$BD$9999)/SUMIFS(Raw_Data_Daily!$D:$D, Raw_Data_Daily!$B:$B, "Variant", Raw_Data_Daily!$C:$C, "F. 100+"),"")</f>
        <v>23540.44624</v>
      </c>
      <c r="T46" s="41">
        <f t="shared" si="42"/>
        <v>-0.1736716578</v>
      </c>
    </row>
    <row r="47" ht="15.75" customHeight="1">
      <c r="A47" s="27" t="s">
        <v>72</v>
      </c>
      <c r="B47" s="28"/>
      <c r="C47" s="30"/>
      <c r="D47" s="7"/>
      <c r="E47" s="31"/>
      <c r="F47" s="32"/>
      <c r="G47" s="7"/>
      <c r="H47" s="28"/>
      <c r="I47" s="30"/>
      <c r="J47" s="7"/>
      <c r="K47" s="31"/>
      <c r="L47" s="32"/>
      <c r="M47" s="7"/>
      <c r="N47" s="28"/>
      <c r="O47" s="30"/>
      <c r="P47" s="7"/>
      <c r="Q47" s="31"/>
      <c r="R47" s="32"/>
      <c r="S47" s="7"/>
      <c r="T47" s="28"/>
    </row>
    <row r="48" ht="15.75" customHeight="1">
      <c r="A48" s="9"/>
      <c r="B48" s="154" t="s">
        <v>73</v>
      </c>
      <c r="C48" s="135" t="str">
        <f>IFERROR(SUMPRODUCT((Raw_Data_Daily!$B$2:$B$9999="Control")*(Raw_Data_Daily!$C$2:$C$9999="A. 0")*Raw_Data_Daily!$D$2:$D$9999*Raw_Data_Daily!$AQ$2:$AQ$9999)/SUMIFS(Raw_Data_Daily!$D:$D, Raw_Data_Daily!$B:$B, "Control", Raw_Data_Daily!$C:$C, "A. 0"),"")</f>
        <v/>
      </c>
      <c r="D48" s="51" t="str">
        <f>IFERROR(SUMPRODUCT((Raw_Data_Daily!$B$2:$B$9999="Variant")*(Raw_Data_Daily!$C$2:$C$9999="A. 0")*Raw_Data_Daily!$D$2:$D$9999*Raw_Data_Daily!$AQ$2:$AQ$9999)/SUMIFS(Raw_Data_Daily!$D:$D, Raw_Data_Daily!$B:$B, "Variant", Raw_Data_Daily!$C:$C, "A. 0"),"")</f>
        <v/>
      </c>
      <c r="E48" s="46" t="str">
        <f t="shared" ref="E48:E53" si="43">IFERROR((D48-C48)/ABS(C48),"")</f>
        <v/>
      </c>
      <c r="F48" s="136">
        <f>IFERROR(SUMPRODUCT((Raw_Data_Daily!$B$2:$B$9999="Control")*(Raw_Data_Daily!$C$2:$C$9999="B. 1-9")*Raw_Data_Daily!$D$2:$D$9999*Raw_Data_Daily!$AQ$2:$AQ$9999)/SUMIFS(Raw_Data_Daily!$D:$D, Raw_Data_Daily!$B:$B, "Control", Raw_Data_Daily!$C:$C, "B. 1-9"),"")</f>
        <v>4.097483422</v>
      </c>
      <c r="G48" s="51">
        <f>IFERROR(SUMPRODUCT((Raw_Data_Daily!$B$2:$B$9999="Variant")*(Raw_Data_Daily!$C$2:$C$9999="B. 1-9")*Raw_Data_Daily!$D$2:$D$9999*Raw_Data_Daily!$AQ$2:$AQ$9999)/SUMIFS(Raw_Data_Daily!$D:$D, Raw_Data_Daily!$B:$B, "Variant", Raw_Data_Daily!$C:$C, "B. 1-9"),"")</f>
        <v>4.149597391</v>
      </c>
      <c r="H48" s="53">
        <f t="shared" ref="H48:H53" si="44">IFERROR((G48-F48)/ABS(F48),"")</f>
        <v>0.01271853072</v>
      </c>
      <c r="I48" s="135">
        <f>IFERROR(SUMPRODUCT((Raw_Data_Daily!$B$2:$B$9999="Control")*(Raw_Data_Daily!$C$2:$C$9999="C. 10-19")*Raw_Data_Daily!$D$2:$D$9999*Raw_Data_Daily!$AQ$2:$AQ$9999)/SUMIFS(Raw_Data_Daily!$D:$D, Raw_Data_Daily!$B:$B, "Control", Raw_Data_Daily!$C:$C, "C. 10-19"),"")</f>
        <v>6.491375147</v>
      </c>
      <c r="J48" s="51">
        <f>IFERROR(SUMPRODUCT((Raw_Data_Daily!$B$2:$B$9999="Variant")*(Raw_Data_Daily!$C$2:$C$9999="C. 10-19")*Raw_Data_Daily!$D$2:$D$9999*Raw_Data_Daily!$AQ$2:$AQ$9999)/SUMIFS(Raw_Data_Daily!$D:$D, Raw_Data_Daily!$B:$B, "Variant", Raw_Data_Daily!$C:$C, "C. 10-19"),"")</f>
        <v>6.323275762</v>
      </c>
      <c r="K48" s="50">
        <f t="shared" ref="K48:K53" si="45">IFERROR((J48-I48)/ABS(I48),"")</f>
        <v>-0.025895805</v>
      </c>
      <c r="L48" s="136">
        <f>IFERROR(SUMPRODUCT((Raw_Data_Daily!$B$2:$B$9999="Control")*(Raw_Data_Daily!$C$2:$C$9999="D. 20-39")*Raw_Data_Daily!$D$2:$D$9999*Raw_Data_Daily!$AQ$2:$AQ$9999)/SUMIFS(Raw_Data_Daily!$D:$D, Raw_Data_Daily!$B:$B, "Control", Raw_Data_Daily!$C:$C, "D. 20-39"),"")</f>
        <v>9.23058857</v>
      </c>
      <c r="M48" s="51">
        <f>IFERROR(SUMPRODUCT((Raw_Data_Daily!$B$2:$B$9999="Variant")*(Raw_Data_Daily!$C$2:$C$9999="D. 20-39")*Raw_Data_Daily!$D$2:$D$9999*Raw_Data_Daily!$AQ$2:$AQ$9999)/SUMIFS(Raw_Data_Daily!$D:$D, Raw_Data_Daily!$B:$B, "Variant", Raw_Data_Daily!$C:$C, "D. 20-39"),"")</f>
        <v>8.624280059</v>
      </c>
      <c r="N48" s="53">
        <f t="shared" ref="N48:N53" si="46">IFERROR((M48-L48)/ABS(L48),"")</f>
        <v>-0.06568470761</v>
      </c>
      <c r="O48" s="135">
        <f>IFERROR(SUMPRODUCT((Raw_Data_Daily!$B$2:$B$9999="Control")*(Raw_Data_Daily!$C$2:$C$9999="E. 40-99")*Raw_Data_Daily!$D$2:$D$9999*Raw_Data_Daily!$AQ$2:$AQ$9999)/SUMIFS(Raw_Data_Daily!$D:$D, Raw_Data_Daily!$B:$B, "Control", Raw_Data_Daily!$C:$C, "E. 40-99"),"")</f>
        <v>13.38491068</v>
      </c>
      <c r="P48" s="51">
        <f>IFERROR(SUMPRODUCT((Raw_Data_Daily!$B$2:$B$9999="Variant")*(Raw_Data_Daily!$C$2:$C$9999="E. 40-99")*Raw_Data_Daily!$D$2:$D$9999*Raw_Data_Daily!$AQ$2:$AQ$9999)/SUMIFS(Raw_Data_Daily!$D:$D, Raw_Data_Daily!$B:$B, "Variant", Raw_Data_Daily!$C:$C, "E. 40-99"),"")</f>
        <v>11.63071798</v>
      </c>
      <c r="Q48" s="50">
        <f t="shared" ref="Q48:Q53" si="47">IFERROR((P48-O48)/ABS(O48),"")</f>
        <v>-0.1310574828</v>
      </c>
      <c r="R48" s="136">
        <f>IFERROR(SUMPRODUCT((Raw_Data_Daily!$B$2:$B$9999="Control")*(Raw_Data_Daily!$C$2:$C$9999="F. 100+")*Raw_Data_Daily!$D$2:$D$9999*Raw_Data_Daily!$AQ$2:$AQ$9999)/SUMIFS(Raw_Data_Daily!$D:$D, Raw_Data_Daily!$B:$B, "Control", Raw_Data_Daily!$C:$C, "F. 100+"),"")</f>
        <v>20.4613883</v>
      </c>
      <c r="S48" s="138">
        <f>IFERROR(SUMPRODUCT((Raw_Data_Daily!$B$2:$B$9999="Variant")*(Raw_Data_Daily!$C$2:$C$9999="F. 100+")*Raw_Data_Daily!$D$2:$D$9999*Raw_Data_Daily!$AQ$2:$AQ$9999)/SUMIFS(Raw_Data_Daily!$D:$D, Raw_Data_Daily!$B:$B, "Variant", Raw_Data_Daily!$C:$C, "F. 100+"),"")</f>
        <v>16.68228934</v>
      </c>
      <c r="T48" s="220">
        <f t="shared" ref="T48:T53" si="48">IFERROR((S48-R48)/ABS(R48),"")</f>
        <v>-0.1846941619</v>
      </c>
    </row>
    <row r="49" ht="15.75" customHeight="1">
      <c r="A49" s="9"/>
      <c r="B49" s="154" t="s">
        <v>74</v>
      </c>
      <c r="C49" s="135" t="str">
        <f>IFERROR(SUMPRODUCT((Raw_Data_Daily!$B$2:$B$9999="Control")*(Raw_Data_Daily!$C$2:$C$9999="A. 0")*Raw_Data_Daily!$D$2:$D$9999*Raw_Data_Daily!$AR$2:$AR$9999)/SUMIFS(Raw_Data_Daily!$D:$D, Raw_Data_Daily!$B:$B, "Control", Raw_Data_Daily!$C:$C, "A. 0"),"")</f>
        <v/>
      </c>
      <c r="D49" s="51" t="str">
        <f>IFERROR(SUMPRODUCT((Raw_Data_Daily!$B$2:$B$9999="Variant")*(Raw_Data_Daily!$C$2:$C$9999="A. 0")*Raw_Data_Daily!$D$2:$D$9999*Raw_Data_Daily!$AR$2:$AR$9999)/SUMIFS(Raw_Data_Daily!$D:$D, Raw_Data_Daily!$B:$B, "Variant", Raw_Data_Daily!$C:$C, "A. 0"),"")</f>
        <v/>
      </c>
      <c r="E49" s="46" t="str">
        <f t="shared" si="43"/>
        <v/>
      </c>
      <c r="F49" s="136">
        <f>IFERROR(SUMPRODUCT((Raw_Data_Daily!$B$2:$B$9999="Control")*(Raw_Data_Daily!$C$2:$C$9999="B. 1-9")*Raw_Data_Daily!$D$2:$D$9999*Raw_Data_Daily!$AR$2:$AR$9999)/SUMIFS(Raw_Data_Daily!$D:$D, Raw_Data_Daily!$B:$B, "Control", Raw_Data_Daily!$C:$C, "B. 1-9"),"")</f>
        <v>0.03800574104</v>
      </c>
      <c r="G49" s="51">
        <f>IFERROR(SUMPRODUCT((Raw_Data_Daily!$B$2:$B$9999="Variant")*(Raw_Data_Daily!$C$2:$C$9999="B. 1-9")*Raw_Data_Daily!$D$2:$D$9999*Raw_Data_Daily!$AR$2:$AR$9999)/SUMIFS(Raw_Data_Daily!$D:$D, Raw_Data_Daily!$B:$B, "Variant", Raw_Data_Daily!$C:$C, "B. 1-9"),"")</f>
        <v>0.03952242473</v>
      </c>
      <c r="H49" s="53">
        <f t="shared" si="44"/>
        <v>0.03990669939</v>
      </c>
      <c r="I49" s="135">
        <f>IFERROR(SUMPRODUCT((Raw_Data_Daily!$B$2:$B$9999="Control")*(Raw_Data_Daily!$C$2:$C$9999="C. 10-19")*Raw_Data_Daily!$D$2:$D$9999*Raw_Data_Daily!$AR$2:$AR$9999)/SUMIFS(Raw_Data_Daily!$D:$D, Raw_Data_Daily!$B:$B, "Control", Raw_Data_Daily!$C:$C, "C. 10-19"),"")</f>
        <v>0.1257064394</v>
      </c>
      <c r="J49" s="51">
        <f>IFERROR(SUMPRODUCT((Raw_Data_Daily!$B$2:$B$9999="Variant")*(Raw_Data_Daily!$C$2:$C$9999="C. 10-19")*Raw_Data_Daily!$D$2:$D$9999*Raw_Data_Daily!$AR$2:$AR$9999)/SUMIFS(Raw_Data_Daily!$D:$D, Raw_Data_Daily!$B:$B, "Variant", Raw_Data_Daily!$C:$C, "C. 10-19"),"")</f>
        <v>0.1174876855</v>
      </c>
      <c r="K49" s="50">
        <f t="shared" si="45"/>
        <v>-0.06538053171</v>
      </c>
      <c r="L49" s="136">
        <f>IFERROR(SUMPRODUCT((Raw_Data_Daily!$B$2:$B$9999="Control")*(Raw_Data_Daily!$C$2:$C$9999="D. 20-39")*Raw_Data_Daily!$D$2:$D$9999*Raw_Data_Daily!$AR$2:$AR$9999)/SUMIFS(Raw_Data_Daily!$D:$D, Raw_Data_Daily!$B:$B, "Control", Raw_Data_Daily!$C:$C, "D. 20-39"),"")</f>
        <v>0.2468015645</v>
      </c>
      <c r="M49" s="51">
        <f>IFERROR(SUMPRODUCT((Raw_Data_Daily!$B$2:$B$9999="Variant")*(Raw_Data_Daily!$C$2:$C$9999="D. 20-39")*Raw_Data_Daily!$D$2:$D$9999*Raw_Data_Daily!$AR$2:$AR$9999)/SUMIFS(Raw_Data_Daily!$D:$D, Raw_Data_Daily!$B:$B, "Variant", Raw_Data_Daily!$C:$C, "D. 20-39"),"")</f>
        <v>0.1549215503</v>
      </c>
      <c r="N49" s="53">
        <f t="shared" si="46"/>
        <v>-0.3722829489</v>
      </c>
      <c r="O49" s="135">
        <f>IFERROR(SUMPRODUCT((Raw_Data_Daily!$B$2:$B$9999="Control")*(Raw_Data_Daily!$C$2:$C$9999="E. 40-99")*Raw_Data_Daily!$D$2:$D$9999*Raw_Data_Daily!$AR$2:$AR$9999)/SUMIFS(Raw_Data_Daily!$D:$D, Raw_Data_Daily!$B:$B, "Control", Raw_Data_Daily!$C:$C, "E. 40-99"),"")</f>
        <v>0.575553071</v>
      </c>
      <c r="P49" s="51">
        <f>IFERROR(SUMPRODUCT((Raw_Data_Daily!$B$2:$B$9999="Variant")*(Raw_Data_Daily!$C$2:$C$9999="E. 40-99")*Raw_Data_Daily!$D$2:$D$9999*Raw_Data_Daily!$AR$2:$AR$9999)/SUMIFS(Raw_Data_Daily!$D:$D, Raw_Data_Daily!$B:$B, "Variant", Raw_Data_Daily!$C:$C, "E. 40-99"),"")</f>
        <v>0.4391315649</v>
      </c>
      <c r="Q49" s="50">
        <f t="shared" si="47"/>
        <v>-0.237026806</v>
      </c>
      <c r="R49" s="136">
        <f>IFERROR(SUMPRODUCT((Raw_Data_Daily!$B$2:$B$9999="Control")*(Raw_Data_Daily!$C$2:$C$9999="F. 100+")*Raw_Data_Daily!$D$2:$D$9999*Raw_Data_Daily!$AR$2:$AR$9999)/SUMIFS(Raw_Data_Daily!$D:$D, Raw_Data_Daily!$B:$B, "Control", Raw_Data_Daily!$C:$C, "F. 100+"),"")</f>
        <v>0.7243587937</v>
      </c>
      <c r="S49" s="138">
        <f>IFERROR(SUMPRODUCT((Raw_Data_Daily!$B$2:$B$9999="Variant")*(Raw_Data_Daily!$C$2:$C$9999="F. 100+")*Raw_Data_Daily!$D$2:$D$9999*Raw_Data_Daily!$AR$2:$AR$9999)/SUMIFS(Raw_Data_Daily!$D:$D, Raw_Data_Daily!$B:$B, "Variant", Raw_Data_Daily!$C:$C, "F. 100+"),"")</f>
        <v>1.004883613</v>
      </c>
      <c r="T49" s="220">
        <f t="shared" si="48"/>
        <v>0.3872732979</v>
      </c>
    </row>
    <row r="50" ht="15.75" customHeight="1">
      <c r="A50" s="9"/>
      <c r="B50" s="154" t="s">
        <v>75</v>
      </c>
      <c r="C50" s="135" t="str">
        <f>IFERROR(SUMPRODUCT((Raw_Data_Daily!$B$2:$B$9999="Control")*(Raw_Data_Daily!$C$2:$C$9999="A. 0")*Raw_Data_Daily!$D$2:$D$9999*Raw_Data_Daily!$AS$2:$AS$9999)/SUMIFS(Raw_Data_Daily!$D:$D, Raw_Data_Daily!$B:$B, "Control", Raw_Data_Daily!$C:$C, "A. 0"),"")</f>
        <v/>
      </c>
      <c r="D50" s="51" t="str">
        <f>IFERROR(SUMPRODUCT((Raw_Data_Daily!$B$2:$B$9999="Variant")*(Raw_Data_Daily!$C$2:$C$9999="A. 0")*Raw_Data_Daily!$D$2:$D$9999*Raw_Data_Daily!$AS$2:$AS$9999)/SUMIFS(Raw_Data_Daily!$D:$D, Raw_Data_Daily!$B:$B, "Variant", Raw_Data_Daily!$C:$C, "A. 0"),"")</f>
        <v/>
      </c>
      <c r="E50" s="46" t="str">
        <f t="shared" si="43"/>
        <v/>
      </c>
      <c r="F50" s="136">
        <f>IFERROR(SUMPRODUCT((Raw_Data_Daily!$B$2:$B$9999="Control")*(Raw_Data_Daily!$C$2:$C$9999="B. 1-9")*Raw_Data_Daily!$D$2:$D$9999*Raw_Data_Daily!$AS$2:$AS$9999)/SUMIFS(Raw_Data_Daily!$D:$D, Raw_Data_Daily!$B:$B, "Control", Raw_Data_Daily!$C:$C, "B. 1-9"),"")</f>
        <v>4.059477844</v>
      </c>
      <c r="G50" s="51">
        <f>IFERROR(SUMPRODUCT((Raw_Data_Daily!$B$2:$B$9999="Variant")*(Raw_Data_Daily!$C$2:$C$9999="B. 1-9")*Raw_Data_Daily!$D$2:$D$9999*Raw_Data_Daily!$AS$2:$AS$9999)/SUMIFS(Raw_Data_Daily!$D:$D, Raw_Data_Daily!$B:$B, "Variant", Raw_Data_Daily!$C:$C, "B. 1-9"),"")</f>
        <v>4.110058409</v>
      </c>
      <c r="H50" s="53">
        <f t="shared" si="44"/>
        <v>0.01245986971</v>
      </c>
      <c r="I50" s="135">
        <f>IFERROR(SUMPRODUCT((Raw_Data_Daily!$B$2:$B$9999="Control")*(Raw_Data_Daily!$C$2:$C$9999="C. 10-19")*Raw_Data_Daily!$D$2:$D$9999*Raw_Data_Daily!$AS$2:$AS$9999)/SUMIFS(Raw_Data_Daily!$D:$D, Raw_Data_Daily!$B:$B, "Control", Raw_Data_Daily!$C:$C, "C. 10-19"),"")</f>
        <v>6.365685604</v>
      </c>
      <c r="J50" s="51">
        <f>IFERROR(SUMPRODUCT((Raw_Data_Daily!$B$2:$B$9999="Variant")*(Raw_Data_Daily!$C$2:$C$9999="C. 10-19")*Raw_Data_Daily!$D$2:$D$9999*Raw_Data_Daily!$AS$2:$AS$9999)/SUMIFS(Raw_Data_Daily!$D:$D, Raw_Data_Daily!$B:$B, "Variant", Raw_Data_Daily!$C:$C, "C. 10-19"),"")</f>
        <v>6.20580502</v>
      </c>
      <c r="K50" s="50">
        <f t="shared" si="45"/>
        <v>-0.02511600385</v>
      </c>
      <c r="L50" s="136">
        <f>IFERROR(SUMPRODUCT((Raw_Data_Daily!$B$2:$B$9999="Control")*(Raw_Data_Daily!$C$2:$C$9999="D. 20-39")*Raw_Data_Daily!$D$2:$D$9999*Raw_Data_Daily!$AS$2:$AS$9999)/SUMIFS(Raw_Data_Daily!$D:$D, Raw_Data_Daily!$B:$B, "Control", Raw_Data_Daily!$C:$C, "D. 20-39"),"")</f>
        <v>8.983803949</v>
      </c>
      <c r="M50" s="51">
        <f>IFERROR(SUMPRODUCT((Raw_Data_Daily!$B$2:$B$9999="Variant")*(Raw_Data_Daily!$C$2:$C$9999="D. 20-39")*Raw_Data_Daily!$D$2:$D$9999*Raw_Data_Daily!$AS$2:$AS$9999)/SUMIFS(Raw_Data_Daily!$D:$D, Raw_Data_Daily!$B:$B, "Variant", Raw_Data_Daily!$C:$C, "D. 20-39"),"")</f>
        <v>8.46937569</v>
      </c>
      <c r="N50" s="53">
        <f t="shared" si="46"/>
        <v>-0.05726174138</v>
      </c>
      <c r="O50" s="135">
        <f>IFERROR(SUMPRODUCT((Raw_Data_Daily!$B$2:$B$9999="Control")*(Raw_Data_Daily!$C$2:$C$9999="E. 40-99")*Raw_Data_Daily!$D$2:$D$9999*Raw_Data_Daily!$AS$2:$AS$9999)/SUMIFS(Raw_Data_Daily!$D:$D, Raw_Data_Daily!$B:$B, "Control", Raw_Data_Daily!$C:$C, "E. 40-99"),"")</f>
        <v>12.80937418</v>
      </c>
      <c r="P50" s="51">
        <f>IFERROR(SUMPRODUCT((Raw_Data_Daily!$B$2:$B$9999="Variant")*(Raw_Data_Daily!$C$2:$C$9999="E. 40-99")*Raw_Data_Daily!$D$2:$D$9999*Raw_Data_Daily!$AS$2:$AS$9999)/SUMIFS(Raw_Data_Daily!$D:$D, Raw_Data_Daily!$B:$B, "Variant", Raw_Data_Daily!$C:$C, "E. 40-99"),"")</f>
        <v>11.19155259</v>
      </c>
      <c r="Q50" s="50">
        <f t="shared" si="47"/>
        <v>-0.1262998147</v>
      </c>
      <c r="R50" s="136">
        <f>IFERROR(SUMPRODUCT((Raw_Data_Daily!$B$2:$B$9999="Control")*(Raw_Data_Daily!$C$2:$C$9999="F. 100+")*Raw_Data_Daily!$D$2:$D$9999*Raw_Data_Daily!$AS$2:$AS$9999)/SUMIFS(Raw_Data_Daily!$D:$D, Raw_Data_Daily!$B:$B, "Control", Raw_Data_Daily!$C:$C, "F. 100+"),"")</f>
        <v>19.73702951</v>
      </c>
      <c r="S50" s="138">
        <f>IFERROR(SUMPRODUCT((Raw_Data_Daily!$B$2:$B$9999="Variant")*(Raw_Data_Daily!$C$2:$C$9999="F. 100+")*Raw_Data_Daily!$D$2:$D$9999*Raw_Data_Daily!$AS$2:$AS$9999)/SUMIFS(Raw_Data_Daily!$D:$D, Raw_Data_Daily!$B:$B, "Variant", Raw_Data_Daily!$C:$C, "F. 100+"),"")</f>
        <v>15.67743914</v>
      </c>
      <c r="T50" s="220">
        <f t="shared" si="48"/>
        <v>-0.205683959</v>
      </c>
    </row>
    <row r="51" ht="15.75" customHeight="1">
      <c r="A51" s="9"/>
      <c r="B51" s="154" t="s">
        <v>76</v>
      </c>
      <c r="C51" s="135" t="str">
        <f>IFERROR(SUMPRODUCT((Raw_Data_Daily!$B$2:$B$9999="Control")*(Raw_Data_Daily!$C$2:$C$9999="A. 0")*Raw_Data_Daily!$D$2:$D$9999*Raw_Data_Daily!$AT$2:$AT$9999)/SUMIFS(Raw_Data_Daily!$D:$D, Raw_Data_Daily!$B:$B, "Control", Raw_Data_Daily!$C:$C, "A. 0"),"")</f>
        <v/>
      </c>
      <c r="D51" s="51" t="str">
        <f>IFERROR(SUMPRODUCT((Raw_Data_Daily!$B$2:$B$9999="Variant")*(Raw_Data_Daily!$C$2:$C$9999="A. 0")*Raw_Data_Daily!$D$2:$D$9999*Raw_Data_Daily!$AT$2:$AT$9999)/SUMIFS(Raw_Data_Daily!$D:$D, Raw_Data_Daily!$B:$B, "Variant", Raw_Data_Daily!$C:$C, "A. 0"),"")</f>
        <v/>
      </c>
      <c r="E51" s="46" t="str">
        <f t="shared" si="43"/>
        <v/>
      </c>
      <c r="F51" s="136">
        <f>IFERROR(SUMPRODUCT((Raw_Data_Daily!$B$2:$B$9999="Control")*(Raw_Data_Daily!$C$2:$C$9999="B. 1-9")*Raw_Data_Daily!$D$2:$D$9999*Raw_Data_Daily!$AT$2:$AT$9999)/SUMIFS(Raw_Data_Daily!$D:$D, Raw_Data_Daily!$B:$B, "Control", Raw_Data_Daily!$C:$C, "B. 1-9"),"")</f>
        <v>3.579487818</v>
      </c>
      <c r="G51" s="51">
        <f>IFERROR(SUMPRODUCT((Raw_Data_Daily!$B$2:$B$9999="Variant")*(Raw_Data_Daily!$C$2:$C$9999="B. 1-9")*Raw_Data_Daily!$D$2:$D$9999*Raw_Data_Daily!$AT$2:$AT$9999)/SUMIFS(Raw_Data_Daily!$D:$D, Raw_Data_Daily!$B:$B, "Variant", Raw_Data_Daily!$C:$C, "B. 1-9"),"")</f>
        <v>3.548475821</v>
      </c>
      <c r="H51" s="53">
        <f t="shared" si="44"/>
        <v>-0.008663808382</v>
      </c>
      <c r="I51" s="135">
        <f>IFERROR(SUMPRODUCT((Raw_Data_Daily!$B$2:$B$9999="Control")*(Raw_Data_Daily!$C$2:$C$9999="C. 10-19")*Raw_Data_Daily!$D$2:$D$9999*Raw_Data_Daily!$AT$2:$AT$9999)/SUMIFS(Raw_Data_Daily!$D:$D, Raw_Data_Daily!$B:$B, "Control", Raw_Data_Daily!$C:$C, "C. 10-19"),"")</f>
        <v>6.044144706</v>
      </c>
      <c r="J51" s="51">
        <f>IFERROR(SUMPRODUCT((Raw_Data_Daily!$B$2:$B$9999="Variant")*(Raw_Data_Daily!$C$2:$C$9999="C. 10-19")*Raw_Data_Daily!$D$2:$D$9999*Raw_Data_Daily!$AT$2:$AT$9999)/SUMIFS(Raw_Data_Daily!$D:$D, Raw_Data_Daily!$B:$B, "Variant", Raw_Data_Daily!$C:$C, "C. 10-19"),"")</f>
        <v>5.622084866</v>
      </c>
      <c r="K51" s="50">
        <f t="shared" si="45"/>
        <v>-0.06982953916</v>
      </c>
      <c r="L51" s="136">
        <f>IFERROR(SUMPRODUCT((Raw_Data_Daily!$B$2:$B$9999="Control")*(Raw_Data_Daily!$C$2:$C$9999="D. 20-39")*Raw_Data_Daily!$D$2:$D$9999*Raw_Data_Daily!$AT$2:$AT$9999)/SUMIFS(Raw_Data_Daily!$D:$D, Raw_Data_Daily!$B:$B, "Control", Raw_Data_Daily!$C:$C, "D. 20-39"),"")</f>
        <v>8.842562135</v>
      </c>
      <c r="M51" s="51">
        <f>IFERROR(SUMPRODUCT((Raw_Data_Daily!$B$2:$B$9999="Variant")*(Raw_Data_Daily!$C$2:$C$9999="D. 20-39")*Raw_Data_Daily!$D$2:$D$9999*Raw_Data_Daily!$AT$2:$AT$9999)/SUMIFS(Raw_Data_Daily!$D:$D, Raw_Data_Daily!$B:$B, "Variant", Raw_Data_Daily!$C:$C, "D. 20-39"),"")</f>
        <v>7.806900332</v>
      </c>
      <c r="N51" s="53">
        <f t="shared" si="46"/>
        <v>-0.1171223665</v>
      </c>
      <c r="O51" s="135">
        <f>IFERROR(SUMPRODUCT((Raw_Data_Daily!$B$2:$B$9999="Control")*(Raw_Data_Daily!$C$2:$C$9999="E. 40-99")*Raw_Data_Daily!$D$2:$D$9999*Raw_Data_Daily!$AT$2:$AT$9999)/SUMIFS(Raw_Data_Daily!$D:$D, Raw_Data_Daily!$B:$B, "Control", Raw_Data_Daily!$C:$C, "E. 40-99"),"")</f>
        <v>13.69966154</v>
      </c>
      <c r="P51" s="51">
        <f>IFERROR(SUMPRODUCT((Raw_Data_Daily!$B$2:$B$9999="Variant")*(Raw_Data_Daily!$C$2:$C$9999="E. 40-99")*Raw_Data_Daily!$D$2:$D$9999*Raw_Data_Daily!$AT$2:$AT$9999)/SUMIFS(Raw_Data_Daily!$D:$D, Raw_Data_Daily!$B:$B, "Variant", Raw_Data_Daily!$C:$C, "E. 40-99"),"")</f>
        <v>11.24020199</v>
      </c>
      <c r="Q51" s="50">
        <f t="shared" si="47"/>
        <v>-0.1795270301</v>
      </c>
      <c r="R51" s="136">
        <f>IFERROR(SUMPRODUCT((Raw_Data_Daily!$B$2:$B$9999="Control")*(Raw_Data_Daily!$C$2:$C$9999="F. 100+")*Raw_Data_Daily!$D$2:$D$9999*Raw_Data_Daily!$AT$2:$AT$9999)/SUMIFS(Raw_Data_Daily!$D:$D, Raw_Data_Daily!$B:$B, "Control", Raw_Data_Daily!$C:$C, "F. 100+"),"")</f>
        <v>22.68150581</v>
      </c>
      <c r="S51" s="138">
        <f>IFERROR(SUMPRODUCT((Raw_Data_Daily!$B$2:$B$9999="Variant")*(Raw_Data_Daily!$C$2:$C$9999="F. 100+")*Raw_Data_Daily!$D$2:$D$9999*Raw_Data_Daily!$AT$2:$AT$9999)/SUMIFS(Raw_Data_Daily!$D:$D, Raw_Data_Daily!$B:$B, "Variant", Raw_Data_Daily!$C:$C, "F. 100+"),"")</f>
        <v>17.24671593</v>
      </c>
      <c r="T51" s="220">
        <f t="shared" si="48"/>
        <v>-0.2396132744</v>
      </c>
    </row>
    <row r="52" ht="15.75" customHeight="1">
      <c r="A52" s="9"/>
      <c r="B52" s="154" t="s">
        <v>77</v>
      </c>
      <c r="C52" s="135" t="str">
        <f>IFERROR(SUMPRODUCT((Raw_Data_Daily!$B$2:$B$9999="Control")*(Raw_Data_Daily!$C$2:$C$9999="A. 0")*Raw_Data_Daily!$D$2:$D$9999*(Raw_Data_Daily!$AQ$2:$AQ$9999-Raw_Data_Daily!$AT$2:$AT$9999))/SUMIFS(Raw_Data_Daily!$D:$D, Raw_Data_Daily!$B:$B, "Control", Raw_Data_Daily!$C:$C, "A. 0"),"")</f>
        <v/>
      </c>
      <c r="D52" s="51" t="str">
        <f>IFERROR(SUMPRODUCT((Raw_Data_Daily!$B$2:$B$9999="Variant")*(Raw_Data_Daily!$C$2:$C$9999="A. 0")*Raw_Data_Daily!$D$2:$D$9999*(Raw_Data_Daily!$AQ$2:$AQ$9999-Raw_Data_Daily!$AT$2:$AT$9999))/SUMIFS(Raw_Data_Daily!$D:$D, Raw_Data_Daily!$B:$B, "Variant", Raw_Data_Daily!$C:$C, "A. 0"),"")</f>
        <v/>
      </c>
      <c r="E52" s="38" t="str">
        <f t="shared" si="43"/>
        <v/>
      </c>
      <c r="F52" s="136">
        <f>IFERROR(SUMPRODUCT((Raw_Data_Daily!$B$2:$B$9999="Control")*(Raw_Data_Daily!$C$2:$C$9999="B. 1-9")*Raw_Data_Daily!$D$2:$D$9999*(Raw_Data_Daily!$AQ$2:$AQ$9999-Raw_Data_Daily!$AT$2:$AT$9999))/SUMIFS(Raw_Data_Daily!$D:$D, Raw_Data_Daily!$B:$B, "Control", Raw_Data_Daily!$C:$C, "B. 1-9"),"")</f>
        <v>0.5179956042</v>
      </c>
      <c r="G52" s="51">
        <f>IFERROR(SUMPRODUCT((Raw_Data_Daily!$B$2:$B$9999="Variant")*(Raw_Data_Daily!$C$2:$C$9999="B. 1-9")*Raw_Data_Daily!$D$2:$D$9999*(Raw_Data_Daily!$AQ$2:$AQ$9999-Raw_Data_Daily!$AT$2:$AT$9999))/SUMIFS(Raw_Data_Daily!$D:$D, Raw_Data_Daily!$B:$B, "Variant", Raw_Data_Daily!$C:$C, "B. 1-9"),"")</f>
        <v>0.6011215696</v>
      </c>
      <c r="H52" s="53">
        <f t="shared" si="44"/>
        <v>0.1604761983</v>
      </c>
      <c r="I52" s="135">
        <f>IFERROR(SUMPRODUCT((Raw_Data_Daily!$B$2:$B$9999="Control")*(Raw_Data_Daily!$C$2:$C$9999="C. 10-19")*Raw_Data_Daily!$D$2:$D$9999*(Raw_Data_Daily!$AQ$2:$AQ$9999-Raw_Data_Daily!$AT$2:$AT$9999))/SUMIFS(Raw_Data_Daily!$D:$D, Raw_Data_Daily!$B:$B, "Control", Raw_Data_Daily!$C:$C, "C. 10-19"),"")</f>
        <v>0.4472304413</v>
      </c>
      <c r="J52" s="51">
        <f>IFERROR(SUMPRODUCT((Raw_Data_Daily!$B$2:$B$9999="Variant")*(Raw_Data_Daily!$C$2:$C$9999="C. 10-19")*Raw_Data_Daily!$D$2:$D$9999*(Raw_Data_Daily!$AQ$2:$AQ$9999-Raw_Data_Daily!$AT$2:$AT$9999))/SUMIFS(Raw_Data_Daily!$D:$D, Raw_Data_Daily!$B:$B, "Variant", Raw_Data_Daily!$C:$C, "C. 10-19"),"")</f>
        <v>0.7011908957</v>
      </c>
      <c r="K52" s="50">
        <f t="shared" si="45"/>
        <v>0.5678514496</v>
      </c>
      <c r="L52" s="136">
        <f>IFERROR(SUMPRODUCT((Raw_Data_Daily!$B$2:$B$9999="Control")*(Raw_Data_Daily!$C$2:$C$9999="D. 20-39")*Raw_Data_Daily!$D$2:$D$9999*(Raw_Data_Daily!$AQ$2:$AQ$9999-Raw_Data_Daily!$AT$2:$AT$9999))/SUMIFS(Raw_Data_Daily!$D:$D, Raw_Data_Daily!$B:$B, "Control", Raw_Data_Daily!$C:$C, "D. 20-39"),"")</f>
        <v>0.3880264348</v>
      </c>
      <c r="M52" s="51">
        <f>IFERROR(SUMPRODUCT((Raw_Data_Daily!$B$2:$B$9999="Variant")*(Raw_Data_Daily!$C$2:$C$9999="D. 20-39")*Raw_Data_Daily!$D$2:$D$9999*(Raw_Data_Daily!$AQ$2:$AQ$9999-Raw_Data_Daily!$AT$2:$AT$9999))/SUMIFS(Raw_Data_Daily!$D:$D, Raw_Data_Daily!$B:$B, "Variant", Raw_Data_Daily!$C:$C, "D. 20-39"),"")</f>
        <v>0.8173797268</v>
      </c>
      <c r="N52" s="53">
        <f t="shared" si="46"/>
        <v>1.106505262</v>
      </c>
      <c r="O52" s="135">
        <f>IFERROR(SUMPRODUCT((Raw_Data_Daily!$B$2:$B$9999="Control")*(Raw_Data_Daily!$C$2:$C$9999="E. 40-99")*Raw_Data_Daily!$D$2:$D$9999*(Raw_Data_Daily!$AQ$2:$AQ$9999-Raw_Data_Daily!$AT$2:$AT$9999))/SUMIFS(Raw_Data_Daily!$D:$D, Raw_Data_Daily!$B:$B, "Control", Raw_Data_Daily!$C:$C, "E. 40-99"),"")</f>
        <v>-0.3147508639</v>
      </c>
      <c r="P52" s="51">
        <f>IFERROR(SUMPRODUCT((Raw_Data_Daily!$B$2:$B$9999="Variant")*(Raw_Data_Daily!$C$2:$C$9999="E. 40-99")*Raw_Data_Daily!$D$2:$D$9999*(Raw_Data_Daily!$AQ$2:$AQ$9999-Raw_Data_Daily!$AT$2:$AT$9999))/SUMIFS(Raw_Data_Daily!$D:$D, Raw_Data_Daily!$B:$B, "Variant", Raw_Data_Daily!$C:$C, "E. 40-99"),"")</f>
        <v>0.390515986</v>
      </c>
      <c r="Q52" s="50">
        <f t="shared" si="47"/>
        <v>2.24071458</v>
      </c>
      <c r="R52" s="136">
        <f>IFERROR(SUMPRODUCT((Raw_Data_Daily!$B$2:$B$9999="Control")*(Raw_Data_Daily!$C$2:$C$9999="F. 100+")*Raw_Data_Daily!$D$2:$D$9999*(Raw_Data_Daily!$AQ$2:$AQ$9999-Raw_Data_Daily!$AT$2:$AT$9999))/SUMIFS(Raw_Data_Daily!$D:$D, Raw_Data_Daily!$B:$B, "Control", Raw_Data_Daily!$C:$C, "F. 100+"),"")</f>
        <v>-2.220117503</v>
      </c>
      <c r="S52" s="51">
        <f>IFERROR(SUMPRODUCT((Raw_Data_Daily!$B$2:$B$9999="Variant")*(Raw_Data_Daily!$C$2:$C$9999="F. 100+")*Raw_Data_Daily!$D$2:$D$9999*(Raw_Data_Daily!$AQ$2:$AQ$9999-Raw_Data_Daily!$AT$2:$AT$9999))/SUMIFS(Raw_Data_Daily!$D:$D, Raw_Data_Daily!$B:$B, "Variant", Raw_Data_Daily!$C:$C, "F. 100+"),"")</f>
        <v>-0.5644265915</v>
      </c>
      <c r="T52" s="53">
        <f t="shared" si="48"/>
        <v>0.7457672439</v>
      </c>
      <c r="V52" s="54"/>
    </row>
    <row r="53" ht="15.75" customHeight="1">
      <c r="A53" s="9"/>
      <c r="B53" s="33" t="s">
        <v>78</v>
      </c>
      <c r="C53" s="135" t="str">
        <f>IFERROR(SUMPRODUCT((Raw_Data_Daily!$B$2:$B$9999="Control")*(Raw_Data_Daily!$C$2:$C$9999="A. 0")*Raw_Data_Daily!$D$2:$D$9999*Raw_Data_Daily!$AU$2:$AU$9999)/SUMIFS(Raw_Data_Daily!$D:$D, Raw_Data_Daily!$B:$B, "Control", Raw_Data_Daily!$C:$C, "A. 0"),"")</f>
        <v/>
      </c>
      <c r="D53" s="51" t="str">
        <f>IFERROR(SUMPRODUCT((Raw_Data_Daily!$B$2:$B$9999="Variant")*(Raw_Data_Daily!$C$2:$C$9999="A. 0")*Raw_Data_Daily!$D$2:$D$9999*Raw_Data_Daily!$AU$2:$AU$9999)/SUMIFS(Raw_Data_Daily!$D:$D, Raw_Data_Daily!$B:$B, "Variant", Raw_Data_Daily!$C:$C, "A. 0"),"")</f>
        <v/>
      </c>
      <c r="E53" s="38" t="str">
        <f t="shared" si="43"/>
        <v/>
      </c>
      <c r="F53" s="136">
        <f>IFERROR(SUMPRODUCT((Raw_Data_Daily!$B$2:$B$9999="Control")*(Raw_Data_Daily!$C$2:$C$9999="B. 1-9")*Raw_Data_Daily!$D$2:$D$9999*Raw_Data_Daily!$AU$2:$AU$9999)/SUMIFS(Raw_Data_Daily!$D:$D, Raw_Data_Daily!$B:$B, "Control", Raw_Data_Daily!$C:$C, "B. 1-9"),"")</f>
        <v>0.2372771091</v>
      </c>
      <c r="G53" s="51">
        <f>IFERROR(SUMPRODUCT((Raw_Data_Daily!$B$2:$B$9999="Variant")*(Raw_Data_Daily!$C$2:$C$9999="B. 1-9")*Raw_Data_Daily!$D$2:$D$9999*Raw_Data_Daily!$AU$2:$AU$9999)/SUMIFS(Raw_Data_Daily!$D:$D, Raw_Data_Daily!$B:$B, "Variant", Raw_Data_Daily!$C:$C, "B. 1-9"),"")</f>
        <v>0.245862826</v>
      </c>
      <c r="H53" s="41">
        <f t="shared" si="44"/>
        <v>0.03618434532</v>
      </c>
      <c r="I53" s="135">
        <f>IFERROR(SUMPRODUCT((Raw_Data_Daily!$B$2:$B$9999="Control")*(Raw_Data_Daily!$C$2:$C$9999="C. 10-19")*Raw_Data_Daily!$D$2:$D$9999*Raw_Data_Daily!$AU$2:$AU$9999)/SUMIFS(Raw_Data_Daily!$D:$D, Raw_Data_Daily!$B:$B, "Control", Raw_Data_Daily!$C:$C, "C. 10-19"),"")</f>
        <v>0.2446150483</v>
      </c>
      <c r="J53" s="51">
        <f>IFERROR(SUMPRODUCT((Raw_Data_Daily!$B$2:$B$9999="Variant")*(Raw_Data_Daily!$C$2:$C$9999="C. 10-19")*Raw_Data_Daily!$D$2:$D$9999*Raw_Data_Daily!$AU$2:$AU$9999)/SUMIFS(Raw_Data_Daily!$D:$D, Raw_Data_Daily!$B:$B, "Variant", Raw_Data_Daily!$C:$C, "C. 10-19"),"")</f>
        <v>0.2215204699</v>
      </c>
      <c r="K53" s="38">
        <f t="shared" si="45"/>
        <v>-0.09441192846</v>
      </c>
      <c r="L53" s="136">
        <f>IFERROR(SUMPRODUCT((Raw_Data_Daily!$B$2:$B$9999="Control")*(Raw_Data_Daily!$C$2:$C$9999="D. 20-39")*Raw_Data_Daily!$D$2:$D$9999*Raw_Data_Daily!$AU$2:$AU$9999)/SUMIFS(Raw_Data_Daily!$D:$D, Raw_Data_Daily!$B:$B, "Control", Raw_Data_Daily!$C:$C, "D. 20-39"),"")</f>
        <v>0.2336124862</v>
      </c>
      <c r="M53" s="51">
        <f>IFERROR(SUMPRODUCT((Raw_Data_Daily!$B$2:$B$9999="Variant")*(Raw_Data_Daily!$C$2:$C$9999="D. 20-39")*Raw_Data_Daily!$D$2:$D$9999*Raw_Data_Daily!$AU$2:$AU$9999)/SUMIFS(Raw_Data_Daily!$D:$D, Raw_Data_Daily!$B:$B, "Variant", Raw_Data_Daily!$C:$C, "D. 20-39"),"")</f>
        <v>0.1978793353</v>
      </c>
      <c r="N53" s="41">
        <f t="shared" si="46"/>
        <v>-0.1529590798</v>
      </c>
      <c r="O53" s="135">
        <f>IFERROR(SUMPRODUCT((Raw_Data_Daily!$B$2:$B$9999="Control")*(Raw_Data_Daily!$C$2:$C$9999="E. 40-99")*Raw_Data_Daily!$D$2:$D$9999*Raw_Data_Daily!$AU$2:$AU$9999)/SUMIFS(Raw_Data_Daily!$D:$D, Raw_Data_Daily!$B:$B, "Control", Raw_Data_Daily!$C:$C, "E. 40-99"),"")</f>
        <v>0.2092958633</v>
      </c>
      <c r="P53" s="51">
        <f>IFERROR(SUMPRODUCT((Raw_Data_Daily!$B$2:$B$9999="Variant")*(Raw_Data_Daily!$C$2:$C$9999="E. 40-99")*Raw_Data_Daily!$D$2:$D$9999*Raw_Data_Daily!$AU$2:$AU$9999)/SUMIFS(Raw_Data_Daily!$D:$D, Raw_Data_Daily!$B:$B, "Variant", Raw_Data_Daily!$C:$C, "E. 40-99"),"")</f>
        <v>0.1661398468</v>
      </c>
      <c r="Q53" s="38">
        <f t="shared" si="47"/>
        <v>-0.206196223</v>
      </c>
      <c r="R53" s="136">
        <f>IFERROR(SUMPRODUCT((Raw_Data_Daily!$B$2:$B$9999="Control")*(Raw_Data_Daily!$C$2:$C$9999="F. 100+")*Raw_Data_Daily!$D$2:$D$9999*Raw_Data_Daily!$AU$2:$AU$9999)/SUMIFS(Raw_Data_Daily!$D:$D, Raw_Data_Daily!$B:$B, "Control", Raw_Data_Daily!$C:$C, "F. 100+"),"")</f>
        <v>0.1784026494</v>
      </c>
      <c r="S53" s="51">
        <f>IFERROR(SUMPRODUCT((Raw_Data_Daily!$B$2:$B$9999="Variant")*(Raw_Data_Daily!$C$2:$C$9999="F. 100+")*Raw_Data_Daily!$D$2:$D$9999*Raw_Data_Daily!$AU$2:$AU$9999)/SUMIFS(Raw_Data_Daily!$D:$D, Raw_Data_Daily!$B:$B, "Variant", Raw_Data_Daily!$C:$C, "F. 100+"),"")</f>
        <v>0.1355700274</v>
      </c>
      <c r="T53" s="41">
        <f t="shared" si="48"/>
        <v>-0.2400896069</v>
      </c>
    </row>
    <row r="54" ht="15.75" hidden="1" customHeight="1">
      <c r="B54" s="5"/>
      <c r="H54" s="5"/>
      <c r="K54" s="5"/>
      <c r="N54" s="5"/>
      <c r="Q54" s="5"/>
    </row>
    <row r="55" ht="15.75" hidden="1" customHeight="1">
      <c r="A55" s="27" t="s">
        <v>67</v>
      </c>
      <c r="B55" s="28"/>
      <c r="C55" s="30"/>
      <c r="D55" s="7"/>
      <c r="E55" s="31"/>
      <c r="F55" s="32"/>
      <c r="G55" s="7"/>
      <c r="H55" s="28"/>
      <c r="I55" s="30"/>
      <c r="J55" s="7"/>
      <c r="K55" s="31"/>
      <c r="L55" s="32"/>
      <c r="M55" s="7"/>
      <c r="N55" s="28"/>
      <c r="O55" s="30"/>
      <c r="P55" s="7"/>
      <c r="Q55" s="31"/>
      <c r="R55" s="32"/>
      <c r="S55" s="7"/>
      <c r="T55" s="7"/>
    </row>
    <row r="56" ht="15.75" hidden="1" customHeight="1">
      <c r="A56" s="9"/>
      <c r="B56" s="226"/>
      <c r="C56" s="61"/>
      <c r="D56" s="62"/>
      <c r="E56" s="38"/>
      <c r="F56" s="227" t="s">
        <v>278</v>
      </c>
      <c r="G56" s="227" t="s">
        <v>279</v>
      </c>
      <c r="H56" s="228" t="s">
        <v>7</v>
      </c>
      <c r="I56" s="229" t="s">
        <v>278</v>
      </c>
      <c r="J56" s="227" t="s">
        <v>279</v>
      </c>
      <c r="K56" s="228" t="s">
        <v>7</v>
      </c>
      <c r="L56" s="229" t="s">
        <v>278</v>
      </c>
      <c r="M56" s="227" t="s">
        <v>279</v>
      </c>
      <c r="N56" s="228" t="s">
        <v>7</v>
      </c>
      <c r="O56" s="229" t="s">
        <v>278</v>
      </c>
      <c r="P56" s="227" t="s">
        <v>279</v>
      </c>
      <c r="Q56" s="228" t="s">
        <v>7</v>
      </c>
      <c r="R56" s="229" t="s">
        <v>278</v>
      </c>
      <c r="S56" s="227" t="s">
        <v>279</v>
      </c>
      <c r="T56" s="230" t="s">
        <v>7</v>
      </c>
    </row>
    <row r="57" ht="15.75" hidden="1" customHeight="1">
      <c r="A57" s="9"/>
      <c r="B57" s="33" t="s">
        <v>68</v>
      </c>
      <c r="C57" s="61"/>
      <c r="D57" s="62" t="str">
        <f>IFERROR(SUMPRODUCT((Raw_Data_Daily!$B$2:$B$9999="Variant")*(Raw_Data_Daily!$C$2:$C$9999="A. 0")*Raw_Data_Daily!$D$2:$D$9999*Raw_Data_Daily!$AM$2:$AM$9999)/SUMIFS(Raw_Data_Daily!$D:$D, Raw_Data_Daily!$B:$B, "Variant", Raw_Data_Daily!$C:$C, "A. 0"),"")</f>
        <v/>
      </c>
      <c r="E57" s="38"/>
      <c r="F57" s="63">
        <v>42.64714275913684</v>
      </c>
      <c r="G57" s="62">
        <f>IFERROR(SUMPRODUCT((Raw_Data_Daily!$B$2:$B$9999="Variant")*(Raw_Data_Daily!$C$2:$C$9999="B. 1-9")*Raw_Data_Daily!$D$2:$D$9999*Raw_Data_Daily!$AM$2:$AM$9999)/SUMIFS(Raw_Data_Daily!$D:$D, Raw_Data_Daily!$B:$B, "Variant", Raw_Data_Daily!$C:$C, "B. 1-9"),"")</f>
        <v>48.76652939</v>
      </c>
      <c r="H57" s="38">
        <f t="shared" ref="H57:H60" si="49">IFERROR((G57-F57)/ABS(F57),"")</f>
        <v>0.1434887835</v>
      </c>
      <c r="I57" s="63">
        <v>64.2180393913231</v>
      </c>
      <c r="J57" s="62">
        <f>IFERROR(SUMPRODUCT((Raw_Data_Daily!$B$2:$B$9999="Variant")*(Raw_Data_Daily!$C$2:$C$9999="C. 10-19")*Raw_Data_Daily!$D$2:$D$9999*Raw_Data_Daily!$AM$2:$AM$9999)/SUMIFS(Raw_Data_Daily!$D:$D, Raw_Data_Daily!$B:$B, "Variant", Raw_Data_Daily!$C:$C, "C. 10-19"),"")</f>
        <v>47.94687925</v>
      </c>
      <c r="K57" s="38">
        <f t="shared" ref="K57:K60" si="50">IFERROR((J57-I57)/ABS(I57),"")</f>
        <v>-0.2533736672</v>
      </c>
      <c r="L57" s="63">
        <v>67.13105330341149</v>
      </c>
      <c r="M57" s="62">
        <f>IFERROR(SUMPRODUCT((Raw_Data_Daily!$B$2:$B$9999="Variant")*(Raw_Data_Daily!$C$2:$C$9999="D. 20-39")*Raw_Data_Daily!$D$2:$D$9999*Raw_Data_Daily!$AM$2:$AM$9999)/SUMIFS(Raw_Data_Daily!$D:$D, Raw_Data_Daily!$B:$B, "Variant", Raw_Data_Daily!$C:$C, "D. 20-39"),"")</f>
        <v>47.20351926</v>
      </c>
      <c r="N57" s="38">
        <f t="shared" ref="N57:N60" si="51">IFERROR((M57-L57)/ABS(L57),"")</f>
        <v>-0.2968452461</v>
      </c>
      <c r="O57" s="63">
        <v>69.47695179730147</v>
      </c>
      <c r="P57" s="62">
        <f>IFERROR(SUMPRODUCT((Raw_Data_Daily!$B$2:$B$9999="Variant")*(Raw_Data_Daily!$C$2:$C$9999="E. 40-99")*Raw_Data_Daily!$D$2:$D$9999*Raw_Data_Daily!$AM$2:$AM$9999)/SUMIFS(Raw_Data_Daily!$D:$D, Raw_Data_Daily!$B:$B, "Variant", Raw_Data_Daily!$C:$C, "E. 40-99"),"")</f>
        <v>41.3051009</v>
      </c>
      <c r="Q57" s="38">
        <f t="shared" ref="Q57:Q60" si="52">IFERROR((P57-O57)/ABS(O57),"")</f>
        <v>-0.4054848431</v>
      </c>
      <c r="R57" s="63">
        <v>69.55612235067437</v>
      </c>
      <c r="S57" s="231">
        <f>IFERROR(SUMPRODUCT((Raw_Data_Daily!$B$2:$B$9999="Variant")*(Raw_Data_Daily!$C$2:$C$9999="F. 100+")*Raw_Data_Daily!$D$2:$D$9999*Raw_Data_Daily!$AM$2:$AM$9999)/SUMIFS(Raw_Data_Daily!$D:$D, Raw_Data_Daily!$B:$B, "Variant", Raw_Data_Daily!$C:$C, "F. 100+"),"")</f>
        <v>36.37092903</v>
      </c>
      <c r="T57" s="29">
        <f t="shared" ref="T57:T60" si="53">IFERROR((S57-R57)/ABS(R57),"")</f>
        <v>-0.4770995306</v>
      </c>
    </row>
    <row r="58" ht="15.75" hidden="1" customHeight="1">
      <c r="A58" s="9"/>
      <c r="B58" s="33" t="s">
        <v>177</v>
      </c>
      <c r="C58" s="61"/>
      <c r="D58" s="62" t="str">
        <f>IFERROR(SUMPRODUCT((Raw_Data_Daily!$B$2:$B$9999="Variant")*(Raw_Data_Daily!$C$2:$C$9999="A. 0")*Raw_Data_Daily!$D$2:$D$9999*Raw_Data_Daily!$AN$2:$AN$9999)/SUMIFS(Raw_Data_Daily!$D:$D, Raw_Data_Daily!$B:$B, "Variant", Raw_Data_Daily!$C:$C, "A. 0"),"")</f>
        <v/>
      </c>
      <c r="E58" s="38"/>
      <c r="F58" s="63">
        <v>42.64714275913684</v>
      </c>
      <c r="G58" s="62">
        <f>IFERROR(SUMPRODUCT((Raw_Data_Daily!$B$2:$B$9999="Variant")*(Raw_Data_Daily!$C$2:$C$9999="B. 1-9")*Raw_Data_Daily!$D$2:$D$9999*Raw_Data_Daily!$AN$2:$AN$9999)/SUMIFS(Raw_Data_Daily!$D:$D, Raw_Data_Daily!$B:$B, "Variant", Raw_Data_Daily!$C:$C, "B. 1-9"),"")</f>
        <v>48.76652939</v>
      </c>
      <c r="H58" s="38">
        <f t="shared" si="49"/>
        <v>0.1434887835</v>
      </c>
      <c r="I58" s="63">
        <v>64.2180393913231</v>
      </c>
      <c r="J58" s="62">
        <f>IFERROR(SUMPRODUCT((Raw_Data_Daily!$B$2:$B$9999="Variant")*(Raw_Data_Daily!$C$2:$C$9999="C. 10-19")*Raw_Data_Daily!$D$2:$D$9999*Raw_Data_Daily!$AN$2:$AN$9999)/SUMIFS(Raw_Data_Daily!$D:$D, Raw_Data_Daily!$B:$B, "Variant", Raw_Data_Daily!$C:$C, "C. 10-19"),"")</f>
        <v>47.94687925</v>
      </c>
      <c r="K58" s="38">
        <f t="shared" si="50"/>
        <v>-0.2533736672</v>
      </c>
      <c r="L58" s="63">
        <v>67.13105330341149</v>
      </c>
      <c r="M58" s="62">
        <f>IFERROR(SUMPRODUCT((Raw_Data_Daily!$B$2:$B$9999="Variant")*(Raw_Data_Daily!$C$2:$C$9999="D. 20-39")*Raw_Data_Daily!$D$2:$D$9999*Raw_Data_Daily!$AN$2:$AN$9999)/SUMIFS(Raw_Data_Daily!$D:$D, Raw_Data_Daily!$B:$B, "Variant", Raw_Data_Daily!$C:$C, "D. 20-39"),"")</f>
        <v>47.20351926</v>
      </c>
      <c r="N58" s="38">
        <f t="shared" si="51"/>
        <v>-0.2968452461</v>
      </c>
      <c r="O58" s="63">
        <v>69.47695179730147</v>
      </c>
      <c r="P58" s="62">
        <f>IFERROR(SUMPRODUCT((Raw_Data_Daily!$B$2:$B$9999="Variant")*(Raw_Data_Daily!$C$2:$C$9999="E. 40-99")*Raw_Data_Daily!$D$2:$D$9999*Raw_Data_Daily!$AN$2:$AN$9999)/SUMIFS(Raw_Data_Daily!$D:$D, Raw_Data_Daily!$B:$B, "Variant", Raw_Data_Daily!$C:$C, "E. 40-99"),"")</f>
        <v>41.3051009</v>
      </c>
      <c r="Q58" s="38">
        <f t="shared" si="52"/>
        <v>-0.4054848431</v>
      </c>
      <c r="R58" s="63">
        <v>69.55612235067437</v>
      </c>
      <c r="S58" s="231">
        <f>IFERROR(SUMPRODUCT((Raw_Data_Daily!$B$2:$B$9999="Variant")*(Raw_Data_Daily!$C$2:$C$9999="F. 100+")*Raw_Data_Daily!$D$2:$D$9999*Raw_Data_Daily!$AN$2:$AN$9999)/SUMIFS(Raw_Data_Daily!$D:$D, Raw_Data_Daily!$B:$B, "Variant", Raw_Data_Daily!$C:$C, "F. 100+"),"")</f>
        <v>36.37092903</v>
      </c>
      <c r="T58" s="29">
        <f t="shared" si="53"/>
        <v>-0.4770995306</v>
      </c>
    </row>
    <row r="59" ht="15.75" hidden="1" customHeight="1">
      <c r="A59" s="9"/>
      <c r="B59" s="33" t="s">
        <v>178</v>
      </c>
      <c r="C59" s="61"/>
      <c r="D59" s="62" t="str">
        <f>IFERROR(SUMPRODUCT((Raw_Data_Daily!$B$2:$B$9999="Variant")*(Raw_Data_Daily!$C$2:$C$9999="A. 0")*Raw_Data_Daily!$D$2:$D$9999*Raw_Data_Daily!$AO$2:$AO$9999)/SUMIFS(Raw_Data_Daily!$D:$D, Raw_Data_Daily!$B:$B, "Variant", Raw_Data_Daily!$C:$C, "A. 0"),"")</f>
        <v/>
      </c>
      <c r="E59" s="38"/>
      <c r="F59" s="63">
        <v>20.758437882000745</v>
      </c>
      <c r="G59" s="62">
        <f>IFERROR(SUMPRODUCT((Raw_Data_Daily!$B$2:$B$9999="Variant")*(Raw_Data_Daily!$C$2:$C$9999="B. 1-9")*Raw_Data_Daily!$D$2:$D$9999*Raw_Data_Daily!$AO$2:$AO$9999)/SUMIFS(Raw_Data_Daily!$D:$D, Raw_Data_Daily!$B:$B, "Variant", Raw_Data_Daily!$C:$C, "B. 1-9"),"")</f>
        <v>28.94958867</v>
      </c>
      <c r="H59" s="38">
        <f t="shared" si="49"/>
        <v>0.3945937953</v>
      </c>
      <c r="I59" s="63">
        <v>44.857285344269364</v>
      </c>
      <c r="J59" s="62">
        <f>IFERROR(SUMPRODUCT((Raw_Data_Daily!$B$2:$B$9999="Variant")*(Raw_Data_Daily!$C$2:$C$9999="C. 10-19")*Raw_Data_Daily!$D$2:$D$9999*Raw_Data_Daily!$AO$2:$AO$9999)/SUMIFS(Raw_Data_Daily!$D:$D, Raw_Data_Daily!$B:$B, "Variant", Raw_Data_Daily!$C:$C, "C. 10-19"),"")</f>
        <v>26.07842901</v>
      </c>
      <c r="K59" s="38">
        <f t="shared" si="50"/>
        <v>-0.4186355949</v>
      </c>
      <c r="L59" s="63">
        <v>44.82143398324103</v>
      </c>
      <c r="M59" s="62">
        <f>IFERROR(SUMPRODUCT((Raw_Data_Daily!$B$2:$B$9999="Variant")*(Raw_Data_Daily!$C$2:$C$9999="D. 20-39")*Raw_Data_Daily!$D$2:$D$9999*Raw_Data_Daily!$AO$2:$AO$9999)/SUMIFS(Raw_Data_Daily!$D:$D, Raw_Data_Daily!$B:$B, "Variant", Raw_Data_Daily!$C:$C, "D. 20-39"),"")</f>
        <v>22.85542239</v>
      </c>
      <c r="N59" s="38">
        <f t="shared" si="51"/>
        <v>-0.4900782871</v>
      </c>
      <c r="O59" s="63">
        <v>49.47428880420229</v>
      </c>
      <c r="P59" s="62">
        <f>IFERROR(SUMPRODUCT((Raw_Data_Daily!$B$2:$B$9999="Variant")*(Raw_Data_Daily!$C$2:$C$9999="E. 40-99")*Raw_Data_Daily!$D$2:$D$9999*Raw_Data_Daily!$AO$2:$AO$9999)/SUMIFS(Raw_Data_Daily!$D:$D, Raw_Data_Daily!$B:$B, "Variant", Raw_Data_Daily!$C:$C, "E. 40-99"),"")</f>
        <v>19.79254848</v>
      </c>
      <c r="Q59" s="38">
        <f t="shared" si="52"/>
        <v>-0.5999427388</v>
      </c>
      <c r="R59" s="63">
        <v>49.613294797687864</v>
      </c>
      <c r="S59" s="231">
        <f>IFERROR(SUMPRODUCT((Raw_Data_Daily!$B$2:$B$9999="Variant")*(Raw_Data_Daily!$C$2:$C$9999="F. 100+")*Raw_Data_Daily!$D$2:$D$9999*Raw_Data_Daily!$AO$2:$AO$9999)/SUMIFS(Raw_Data_Daily!$D:$D, Raw_Data_Daily!$B:$B, "Variant", Raw_Data_Daily!$C:$C, "F. 100+"),"")</f>
        <v>19.9208011</v>
      </c>
      <c r="T59" s="29">
        <f t="shared" si="53"/>
        <v>-0.5984785695</v>
      </c>
    </row>
    <row r="60" ht="15.75" hidden="1" customHeight="1">
      <c r="A60" s="9"/>
      <c r="B60" s="33" t="s">
        <v>179</v>
      </c>
      <c r="C60" s="61"/>
      <c r="D60" s="62" t="str">
        <f>IFERROR(SUMPRODUCT((Raw_Data_Daily!$B$2:$B$9999="Variant")*(Raw_Data_Daily!$C$2:$C$9999="A. 0")*Raw_Data_Daily!$D$2:$D$9999*Raw_Data_Daily!$AP$2:$AP$9999)/SUMIFS(Raw_Data_Daily!$D:$D, Raw_Data_Daily!$B:$B, "Variant", Raw_Data_Daily!$C:$C, "A. 0"),"")</f>
        <v/>
      </c>
      <c r="E60" s="38"/>
      <c r="F60" s="63">
        <v>8.35851789946364</v>
      </c>
      <c r="G60" s="62">
        <f>IFERROR(SUMPRODUCT((Raw_Data_Daily!$B$2:$B$9999="Variant")*(Raw_Data_Daily!$C$2:$C$9999="B. 1-9")*Raw_Data_Daily!$D$2:$D$9999*Raw_Data_Daily!$AP$2:$AP$9999)/SUMIFS(Raw_Data_Daily!$D:$D, Raw_Data_Daily!$B:$B, "Variant", Raw_Data_Daily!$C:$C, "B. 1-9"),"")</f>
        <v>13.48598426</v>
      </c>
      <c r="H60" s="38">
        <f t="shared" si="49"/>
        <v>0.6134420509</v>
      </c>
      <c r="I60" s="63">
        <v>25.564667601985754</v>
      </c>
      <c r="J60" s="62">
        <f>IFERROR(SUMPRODUCT((Raw_Data_Daily!$B$2:$B$9999="Variant")*(Raw_Data_Daily!$C$2:$C$9999="C. 10-19")*Raw_Data_Daily!$D$2:$D$9999*Raw_Data_Daily!$AP$2:$AP$9999)/SUMIFS(Raw_Data_Daily!$D:$D, Raw_Data_Daily!$B:$B, "Variant", Raw_Data_Daily!$C:$C, "C. 10-19"),"")</f>
        <v>9.566816446</v>
      </c>
      <c r="K60" s="38">
        <f t="shared" si="50"/>
        <v>-0.6257797443</v>
      </c>
      <c r="L60" s="63">
        <v>29.76296452615758</v>
      </c>
      <c r="M60" s="62">
        <f>IFERROR(SUMPRODUCT((Raw_Data_Daily!$B$2:$B$9999="Variant")*(Raw_Data_Daily!$C$2:$C$9999="D. 20-39")*Raw_Data_Daily!$D$2:$D$9999*Raw_Data_Daily!$AP$2:$AP$9999)/SUMIFS(Raw_Data_Daily!$D:$D, Raw_Data_Daily!$B:$B, "Variant", Raw_Data_Daily!$C:$C, "D. 20-39"),"")</f>
        <v>10.52614298</v>
      </c>
      <c r="N60" s="38">
        <f t="shared" si="51"/>
        <v>-0.6463341891</v>
      </c>
      <c r="O60" s="63">
        <v>34.037131012462666</v>
      </c>
      <c r="P60" s="62">
        <f>IFERROR(SUMPRODUCT((Raw_Data_Daily!$B$2:$B$9999="Variant")*(Raw_Data_Daily!$C$2:$C$9999="E. 40-99")*Raw_Data_Daily!$D$2:$D$9999*Raw_Data_Daily!$AP$2:$AP$9999)/SUMIFS(Raw_Data_Daily!$D:$D, Raw_Data_Daily!$B:$B, "Variant", Raw_Data_Daily!$C:$C, "E. 40-99"),"")</f>
        <v>9.302757277</v>
      </c>
      <c r="Q60" s="38">
        <f t="shared" si="52"/>
        <v>-0.7266879728</v>
      </c>
      <c r="R60" s="63">
        <v>36.70592485549133</v>
      </c>
      <c r="S60" s="231">
        <f>IFERROR(SUMPRODUCT((Raw_Data_Daily!$B$2:$B$9999="Variant")*(Raw_Data_Daily!$C$2:$C$9999="F. 100+")*Raw_Data_Daily!$D$2:$D$9999*Raw_Data_Daily!$AP$2:$AP$9999)/SUMIFS(Raw_Data_Daily!$D:$D, Raw_Data_Daily!$B:$B, "Variant", Raw_Data_Daily!$C:$C, "F. 100+"),"")</f>
        <v>10.93474261</v>
      </c>
      <c r="T60" s="29">
        <f t="shared" si="53"/>
        <v>-0.7020987032</v>
      </c>
    </row>
    <row r="61" ht="15.75" customHeight="1">
      <c r="B61" s="2"/>
      <c r="F61" s="4"/>
    </row>
    <row r="62" ht="15.75" customHeight="1">
      <c r="A62" s="180" t="s">
        <v>79</v>
      </c>
      <c r="B62" s="28"/>
      <c r="C62" s="30"/>
      <c r="D62" s="7"/>
      <c r="E62" s="31"/>
      <c r="F62" s="32"/>
      <c r="G62" s="7"/>
      <c r="H62" s="28"/>
      <c r="I62" s="30"/>
      <c r="J62" s="7"/>
      <c r="K62" s="31"/>
      <c r="L62" s="32"/>
      <c r="M62" s="7"/>
      <c r="N62" s="28"/>
      <c r="O62" s="30"/>
      <c r="P62" s="7"/>
      <c r="Q62" s="31"/>
      <c r="R62" s="32"/>
      <c r="S62" s="7"/>
      <c r="T62" s="28"/>
    </row>
    <row r="63" ht="15.75" customHeight="1">
      <c r="A63" s="9"/>
      <c r="B63" s="232" t="s">
        <v>80</v>
      </c>
      <c r="C63" s="135" t="str">
        <f>IFERROR(SUMPRODUCT((Raw_Data_Daily!$B$2:$B$9999="Control")*(Raw_Data_Daily!$C$2:$C$9999="A. 0")*Raw_Data_Daily!$D$2:$D$9999*Raw_Data_Daily!$BO$2:$BO$9999)/SUMIFS(Raw_Data_Daily!$D:$D, Raw_Data_Daily!$B:$B, "Control", Raw_Data_Daily!$C:$C, "A. 0"),"")</f>
        <v/>
      </c>
      <c r="D63" s="51" t="str">
        <f>IFERROR(SUMPRODUCT((Raw_Data_Daily!$B$2:$B$9999="Variant")*(Raw_Data_Daily!$C$2:$C$9999="A. 0")*Raw_Data_Daily!$D$2:$D$9999*Raw_Data_Daily!$BO$2:$BO$9999)/SUMIFS(Raw_Data_Daily!$D:$D, Raw_Data_Daily!$B:$B, "Variant", Raw_Data_Daily!$C:$C, "A. 0"),"")</f>
        <v/>
      </c>
      <c r="E63" s="46" t="str">
        <f t="shared" ref="E63:E67" si="54">IFERROR((D63-C63)/ABS(C63),"")</f>
        <v/>
      </c>
      <c r="F63" s="136">
        <f>IFERROR(SUMPRODUCT((Raw_Data_Daily!$B$2:$B$9999="Control")*(Raw_Data_Daily!$C$2:$C$9999="B. 1-9")*Raw_Data_Daily!$D$2:$D$9999*Raw_Data_Daily!$BO$2:$BO$9999)/SUMIFS(Raw_Data_Daily!$D:$D, Raw_Data_Daily!$B:$B, "Control", Raw_Data_Daily!$C:$C, "B. 1-9"),"")</f>
        <v>1.041002485</v>
      </c>
      <c r="G63" s="51">
        <f>IFERROR(SUMPRODUCT((Raw_Data_Daily!$B$2:$B$9999="Variant")*(Raw_Data_Daily!$C$2:$C$9999="B. 1-9")*Raw_Data_Daily!$D$2:$D$9999*Raw_Data_Daily!$BO$2:$BO$9999)/SUMIFS(Raw_Data_Daily!$D:$D, Raw_Data_Daily!$B:$B, "Variant", Raw_Data_Daily!$C:$C, "B. 1-9"),"")</f>
        <v>1.233675935</v>
      </c>
      <c r="H63" s="53">
        <f t="shared" ref="H63:H67" si="55">IFERROR((G63-F63)/ABS(F63),"")</f>
        <v>0.185084524</v>
      </c>
      <c r="I63" s="135">
        <f>IFERROR(SUMPRODUCT((Raw_Data_Daily!$B$2:$B$9999="Control")*(Raw_Data_Daily!$C$2:$C$9999="C. 10-19")*Raw_Data_Daily!$D$2:$D$9999*Raw_Data_Daily!$BO$2:$BO$9999)/SUMIFS(Raw_Data_Daily!$D:$D, Raw_Data_Daily!$B:$B, "Control", Raw_Data_Daily!$C:$C, "C. 10-19"),"")</f>
        <v>1.545771115</v>
      </c>
      <c r="J63" s="51">
        <f>IFERROR(SUMPRODUCT((Raw_Data_Daily!$B$2:$B$9999="Variant")*(Raw_Data_Daily!$C$2:$C$9999="C. 10-19")*Raw_Data_Daily!$D$2:$D$9999*Raw_Data_Daily!$BO$2:$BO$9999)/SUMIFS(Raw_Data_Daily!$D:$D, Raw_Data_Daily!$B:$B, "Variant", Raw_Data_Daily!$C:$C, "C. 10-19"),"")</f>
        <v>1.666492353</v>
      </c>
      <c r="K63" s="50">
        <f t="shared" ref="K63:K67" si="56">IFERROR((J63-I63)/ABS(I63),"")</f>
        <v>0.07809774445</v>
      </c>
      <c r="L63" s="136">
        <f>IFERROR(SUMPRODUCT((Raw_Data_Daily!$B$2:$B$9999="Control")*(Raw_Data_Daily!$C$2:$C$9999="D. 20-39")*Raw_Data_Daily!$D$2:$D$9999*Raw_Data_Daily!$BO$2:$BO$9999)/SUMIFS(Raw_Data_Daily!$D:$D, Raw_Data_Daily!$B:$B, "Control", Raw_Data_Daily!$C:$C, "D. 20-39"),"")</f>
        <v>1.917481248</v>
      </c>
      <c r="M63" s="51">
        <f>IFERROR(SUMPRODUCT((Raw_Data_Daily!$B$2:$B$9999="Variant")*(Raw_Data_Daily!$C$2:$C$9999="D. 20-39")*Raw_Data_Daily!$D$2:$D$9999*Raw_Data_Daily!$BO$2:$BO$9999)/SUMIFS(Raw_Data_Daily!$D:$D, Raw_Data_Daily!$B:$B, "Variant", Raw_Data_Daily!$C:$C, "D. 20-39"),"")</f>
        <v>1.934239655</v>
      </c>
      <c r="N63" s="53">
        <f t="shared" ref="N63:N67" si="57">IFERROR((M63-L63)/ABS(L63),"")</f>
        <v>0.008739802645</v>
      </c>
      <c r="O63" s="135">
        <f>IFERROR(SUMPRODUCT((Raw_Data_Daily!$B$2:$B$9999="Control")*(Raw_Data_Daily!$C$2:$C$9999="E. 40-99")*Raw_Data_Daily!$D$2:$D$9999*Raw_Data_Daily!$BO$2:$BO$9999)/SUMIFS(Raw_Data_Daily!$D:$D, Raw_Data_Daily!$B:$B, "Control", Raw_Data_Daily!$C:$C, "E. 40-99"),"")</f>
        <v>2.475762269</v>
      </c>
      <c r="P63" s="51">
        <f>IFERROR(SUMPRODUCT((Raw_Data_Daily!$B$2:$B$9999="Variant")*(Raw_Data_Daily!$C$2:$C$9999="E. 40-99")*Raw_Data_Daily!$D$2:$D$9999*Raw_Data_Daily!$BO$2:$BO$9999)/SUMIFS(Raw_Data_Daily!$D:$D, Raw_Data_Daily!$B:$B, "Variant", Raw_Data_Daily!$C:$C, "E. 40-99"),"")</f>
        <v>2.239972926</v>
      </c>
      <c r="Q63" s="50">
        <f t="shared" ref="Q63:Q67" si="58">IFERROR((P63-O63)/ABS(O63),"")</f>
        <v>-0.09523908898</v>
      </c>
      <c r="R63" s="136">
        <f>IFERROR(SUMPRODUCT((Raw_Data_Daily!$B$2:$B$9999="Control")*(Raw_Data_Daily!$C$2:$C$9999="F. 100+")*Raw_Data_Daily!$D$2:$D$9999*Raw_Data_Daily!$BO$2:$BO$9999)/SUMIFS(Raw_Data_Daily!$D:$D, Raw_Data_Daily!$B:$B, "Control", Raw_Data_Daily!$C:$C, "F. 100+"),"")</f>
        <v>3.685479904</v>
      </c>
      <c r="S63" s="138">
        <f>IFERROR(SUMPRODUCT((Raw_Data_Daily!$B$2:$B$9999="Variant")*(Raw_Data_Daily!$C$2:$C$9999="F. 100+")*Raw_Data_Daily!$D$2:$D$9999*Raw_Data_Daily!$BO$2:$BO$9999)/SUMIFS(Raw_Data_Daily!$D:$D, Raw_Data_Daily!$B:$B, "Variant", Raw_Data_Daily!$C:$C, "F. 100+"),"")</f>
        <v>2.789832988</v>
      </c>
      <c r="T63" s="220">
        <f t="shared" ref="T63:T67" si="59">IFERROR((S63-R63)/ABS(R63),"")</f>
        <v>-0.2430204314</v>
      </c>
    </row>
    <row r="64" ht="15.75" customHeight="1">
      <c r="A64" s="9"/>
      <c r="B64" s="232" t="s">
        <v>81</v>
      </c>
      <c r="C64" s="135" t="str">
        <f>IFERROR(SUMPRODUCT((Raw_Data_Daily!$B$2:$B$9999="Control")*(Raw_Data_Daily!$C$2:$C$9999="A. 0")*Raw_Data_Daily!$D$2:$D$9999*Raw_Data_Daily!$BP$2:$BP$9999)/SUMIFS(Raw_Data_Daily!$D:$D, Raw_Data_Daily!$B:$B, "Control", Raw_Data_Daily!$C:$C, "A. 0"),"")</f>
        <v/>
      </c>
      <c r="D64" s="51" t="str">
        <f>IFERROR(SUMPRODUCT((Raw_Data_Daily!$B$2:$B$9999="Variant")*(Raw_Data_Daily!$C$2:$C$9999="A. 0")*Raw_Data_Daily!$D$2:$D$9999*Raw_Data_Daily!$BP$2:$BP$9999)/SUMIFS(Raw_Data_Daily!$D:$D, Raw_Data_Daily!$B:$B, "Variant", Raw_Data_Daily!$C:$C, "A. 0"),"")</f>
        <v/>
      </c>
      <c r="E64" s="46" t="str">
        <f t="shared" si="54"/>
        <v/>
      </c>
      <c r="F64" s="136">
        <f>IFERROR(SUMPRODUCT((Raw_Data_Daily!$B$2:$B$9999="Control")*(Raw_Data_Daily!$C$2:$C$9999="B. 1-9")*Raw_Data_Daily!$D$2:$D$9999*Raw_Data_Daily!$BP$2:$BP$9999)/SUMIFS(Raw_Data_Daily!$D:$D, Raw_Data_Daily!$B:$B, "Control", Raw_Data_Daily!$C:$C, "B. 1-9"),"")</f>
        <v>0.007324483713</v>
      </c>
      <c r="G64" s="51">
        <f>IFERROR(SUMPRODUCT((Raw_Data_Daily!$B$2:$B$9999="Variant")*(Raw_Data_Daily!$C$2:$C$9999="B. 1-9")*Raw_Data_Daily!$D$2:$D$9999*Raw_Data_Daily!$BP$2:$BP$9999)/SUMIFS(Raw_Data_Daily!$D:$D, Raw_Data_Daily!$B:$B, "Variant", Raw_Data_Daily!$C:$C, "B. 1-9"),"")</f>
        <v>0.007798497756</v>
      </c>
      <c r="H64" s="53">
        <f t="shared" si="55"/>
        <v>0.06471637614</v>
      </c>
      <c r="I64" s="135">
        <f>IFERROR(SUMPRODUCT((Raw_Data_Daily!$B$2:$B$9999="Control")*(Raw_Data_Daily!$C$2:$C$9999="C. 10-19")*Raw_Data_Daily!$D$2:$D$9999*Raw_Data_Daily!$BP$2:$BP$9999)/SUMIFS(Raw_Data_Daily!$D:$D, Raw_Data_Daily!$B:$B, "Control", Raw_Data_Daily!$C:$C, "C. 10-19"),"")</f>
        <v>0.0237432368</v>
      </c>
      <c r="J64" s="51">
        <f>IFERROR(SUMPRODUCT((Raw_Data_Daily!$B$2:$B$9999="Variant")*(Raw_Data_Daily!$C$2:$C$9999="C. 10-19")*Raw_Data_Daily!$D$2:$D$9999*Raw_Data_Daily!$BP$2:$BP$9999)/SUMIFS(Raw_Data_Daily!$D:$D, Raw_Data_Daily!$B:$B, "Variant", Raw_Data_Daily!$C:$C, "C. 10-19"),"")</f>
        <v>0.02304320117</v>
      </c>
      <c r="K64" s="50">
        <f t="shared" si="56"/>
        <v>-0.02948358033</v>
      </c>
      <c r="L64" s="136">
        <f>IFERROR(SUMPRODUCT((Raw_Data_Daily!$B$2:$B$9999="Control")*(Raw_Data_Daily!$C$2:$C$9999="D. 20-39")*Raw_Data_Daily!$D$2:$D$9999*Raw_Data_Daily!$BP$2:$BP$9999)/SUMIFS(Raw_Data_Daily!$D:$D, Raw_Data_Daily!$B:$B, "Control", Raw_Data_Daily!$C:$C, "D. 20-39"),"")</f>
        <v>0.04511008575</v>
      </c>
      <c r="M64" s="51">
        <f>IFERROR(SUMPRODUCT((Raw_Data_Daily!$B$2:$B$9999="Variant")*(Raw_Data_Daily!$C$2:$C$9999="D. 20-39")*Raw_Data_Daily!$D$2:$D$9999*Raw_Data_Daily!$BP$2:$BP$9999)/SUMIFS(Raw_Data_Daily!$D:$D, Raw_Data_Daily!$B:$B, "Variant", Raw_Data_Daily!$C:$C, "D. 20-39"),"")</f>
        <v>0.02284282243</v>
      </c>
      <c r="N64" s="53">
        <f t="shared" si="57"/>
        <v>-0.4936205052</v>
      </c>
      <c r="O64" s="135">
        <f>IFERROR(SUMPRODUCT((Raw_Data_Daily!$B$2:$B$9999="Control")*(Raw_Data_Daily!$C$2:$C$9999="E. 40-99")*Raw_Data_Daily!$D$2:$D$9999*Raw_Data_Daily!$BP$2:$BP$9999)/SUMIFS(Raw_Data_Daily!$D:$D, Raw_Data_Daily!$B:$B, "Control", Raw_Data_Daily!$C:$C, "E. 40-99"),"")</f>
        <v>0.1100458738</v>
      </c>
      <c r="P64" s="51">
        <f>IFERROR(SUMPRODUCT((Raw_Data_Daily!$B$2:$B$9999="Variant")*(Raw_Data_Daily!$C$2:$C$9999="E. 40-99")*Raw_Data_Daily!$D$2:$D$9999*Raw_Data_Daily!$BP$2:$BP$9999)/SUMIFS(Raw_Data_Daily!$D:$D, Raw_Data_Daily!$B:$B, "Variant", Raw_Data_Daily!$C:$C, "E. 40-99"),"")</f>
        <v>0.06592014883</v>
      </c>
      <c r="Q64" s="50">
        <f t="shared" si="58"/>
        <v>-0.4009757335</v>
      </c>
      <c r="R64" s="136">
        <f>IFERROR(SUMPRODUCT((Raw_Data_Daily!$B$2:$B$9999="Control")*(Raw_Data_Daily!$C$2:$C$9999="F. 100+")*Raw_Data_Daily!$D$2:$D$9999*Raw_Data_Daily!$BP$2:$BP$9999)/SUMIFS(Raw_Data_Daily!$D:$D, Raw_Data_Daily!$B:$B, "Control", Raw_Data_Daily!$C:$C, "F. 100+"),"")</f>
        <v>0.08569036077</v>
      </c>
      <c r="S64" s="138">
        <f>IFERROR(SUMPRODUCT((Raw_Data_Daily!$B$2:$B$9999="Variant")*(Raw_Data_Daily!$C$2:$C$9999="F. 100+")*Raw_Data_Daily!$D$2:$D$9999*Raw_Data_Daily!$BP$2:$BP$9999)/SUMIFS(Raw_Data_Daily!$D:$D, Raw_Data_Daily!$B:$B, "Variant", Raw_Data_Daily!$C:$C, "F. 100+"),"")</f>
        <v>0.125168078</v>
      </c>
      <c r="T64" s="220">
        <f t="shared" si="59"/>
        <v>0.4607019606</v>
      </c>
    </row>
    <row r="65" ht="15.75" customHeight="1">
      <c r="A65" s="9"/>
      <c r="B65" s="232" t="s">
        <v>82</v>
      </c>
      <c r="C65" s="135" t="str">
        <f>IFERROR(SUMPRODUCT((Raw_Data_Daily!$B$2:$B$9999="Control")*(Raw_Data_Daily!$C$2:$C$9999="A. 0")*Raw_Data_Daily!$D$2:$D$9999*Raw_Data_Daily!$BQ$2:$BQ$9999)/SUMIFS(Raw_Data_Daily!$D:$D, Raw_Data_Daily!$B:$B, "Control", Raw_Data_Daily!$C:$C, "A. 0"),"")</f>
        <v/>
      </c>
      <c r="D65" s="51" t="str">
        <f>IFERROR(SUMPRODUCT((Raw_Data_Daily!$B$2:$B$9999="Variant")*(Raw_Data_Daily!$C$2:$C$9999="A. 0")*Raw_Data_Daily!$D$2:$D$9999*Raw_Data_Daily!$BQ$2:$BQ$9999)/SUMIFS(Raw_Data_Daily!$D:$D, Raw_Data_Daily!$B:$B, "Variant", Raw_Data_Daily!$C:$C, "A. 0"),"")</f>
        <v/>
      </c>
      <c r="E65" s="46" t="str">
        <f t="shared" si="54"/>
        <v/>
      </c>
      <c r="F65" s="136">
        <f>IFERROR(SUMPRODUCT((Raw_Data_Daily!$B$2:$B$9999="Control")*(Raw_Data_Daily!$C$2:$C$9999="B. 1-9")*Raw_Data_Daily!$D$2:$D$9999*Raw_Data_Daily!$BQ$2:$BQ$9999)/SUMIFS(Raw_Data_Daily!$D:$D, Raw_Data_Daily!$B:$B, "Control", Raw_Data_Daily!$C:$C, "B. 1-9"),"")</f>
        <v>1.033677897</v>
      </c>
      <c r="G65" s="51">
        <f>IFERROR(SUMPRODUCT((Raw_Data_Daily!$B$2:$B$9999="Variant")*(Raw_Data_Daily!$C$2:$C$9999="B. 1-9")*Raw_Data_Daily!$D$2:$D$9999*Raw_Data_Daily!$BQ$2:$BQ$9999)/SUMIFS(Raw_Data_Daily!$D:$D, Raw_Data_Daily!$B:$B, "Variant", Raw_Data_Daily!$C:$C, "B. 1-9"),"")</f>
        <v>1.22591033</v>
      </c>
      <c r="H65" s="53">
        <f t="shared" si="55"/>
        <v>0.1859693754</v>
      </c>
      <c r="I65" s="135">
        <f>IFERROR(SUMPRODUCT((Raw_Data_Daily!$B$2:$B$9999="Control")*(Raw_Data_Daily!$C$2:$C$9999="C. 10-19")*Raw_Data_Daily!$D$2:$D$9999*Raw_Data_Daily!$BQ$2:$BQ$9999)/SUMIFS(Raw_Data_Daily!$D:$D, Raw_Data_Daily!$B:$B, "Control", Raw_Data_Daily!$C:$C, "C. 10-19"),"")</f>
        <v>1.522027879</v>
      </c>
      <c r="J65" s="51">
        <f>IFERROR(SUMPRODUCT((Raw_Data_Daily!$B$2:$B$9999="Variant")*(Raw_Data_Daily!$C$2:$C$9999="C. 10-19")*Raw_Data_Daily!$D$2:$D$9999*Raw_Data_Daily!$BQ$2:$BQ$9999)/SUMIFS(Raw_Data_Daily!$D:$D, Raw_Data_Daily!$B:$B, "Variant", Raw_Data_Daily!$C:$C, "C. 10-19"),"")</f>
        <v>1.64344891</v>
      </c>
      <c r="K65" s="50">
        <f t="shared" si="56"/>
        <v>0.07977582616</v>
      </c>
      <c r="L65" s="136">
        <f>IFERROR(SUMPRODUCT((Raw_Data_Daily!$B$2:$B$9999="Control")*(Raw_Data_Daily!$C$2:$C$9999="D. 20-39")*Raw_Data_Daily!$D$2:$D$9999*Raw_Data_Daily!$BQ$2:$BQ$9999)/SUMIFS(Raw_Data_Daily!$D:$D, Raw_Data_Daily!$B:$B, "Control", Raw_Data_Daily!$C:$C, "D. 20-39"),"")</f>
        <v>1.872388057</v>
      </c>
      <c r="M65" s="51">
        <f>IFERROR(SUMPRODUCT((Raw_Data_Daily!$B$2:$B$9999="Variant")*(Raw_Data_Daily!$C$2:$C$9999="D. 20-39")*Raw_Data_Daily!$D$2:$D$9999*Raw_Data_Daily!$BQ$2:$BQ$9999)/SUMIFS(Raw_Data_Daily!$D:$D, Raw_Data_Daily!$B:$B, "Variant", Raw_Data_Daily!$C:$C, "D. 20-39"),"")</f>
        <v>1.911379751</v>
      </c>
      <c r="N65" s="53">
        <f t="shared" si="57"/>
        <v>0.02082457969</v>
      </c>
      <c r="O65" s="135">
        <f>IFERROR(SUMPRODUCT((Raw_Data_Daily!$B$2:$B$9999="Control")*(Raw_Data_Daily!$C$2:$C$9999="E. 40-99")*Raw_Data_Daily!$D$2:$D$9999*Raw_Data_Daily!$BQ$2:$BQ$9999)/SUMIFS(Raw_Data_Daily!$D:$D, Raw_Data_Daily!$B:$B, "Control", Raw_Data_Daily!$C:$C, "E. 40-99"),"")</f>
        <v>2.365699844</v>
      </c>
      <c r="P65" s="51">
        <f>IFERROR(SUMPRODUCT((Raw_Data_Daily!$B$2:$B$9999="Variant")*(Raw_Data_Daily!$C$2:$C$9999="E. 40-99")*Raw_Data_Daily!$D$2:$D$9999*Raw_Data_Daily!$BQ$2:$BQ$9999)/SUMIFS(Raw_Data_Daily!$D:$D, Raw_Data_Daily!$B:$B, "Variant", Raw_Data_Daily!$C:$C, "E. 40-99"),"")</f>
        <v>2.174036419</v>
      </c>
      <c r="Q65" s="50">
        <f t="shared" si="58"/>
        <v>-0.08101764286</v>
      </c>
      <c r="R65" s="136">
        <f>IFERROR(SUMPRODUCT((Raw_Data_Daily!$B$2:$B$9999="Control")*(Raw_Data_Daily!$C$2:$C$9999="F. 100+")*Raw_Data_Daily!$D$2:$D$9999*Raw_Data_Daily!$BQ$2:$BQ$9999)/SUMIFS(Raw_Data_Daily!$D:$D, Raw_Data_Daily!$B:$B, "Control", Raw_Data_Daily!$C:$C, "F. 100+"),"")</f>
        <v>3.599772661</v>
      </c>
      <c r="S65" s="138">
        <f>IFERROR(SUMPRODUCT((Raw_Data_Daily!$B$2:$B$9999="Variant")*(Raw_Data_Daily!$C$2:$C$9999="F. 100+")*Raw_Data_Daily!$D$2:$D$9999*Raw_Data_Daily!$BQ$2:$BQ$9999)/SUMIFS(Raw_Data_Daily!$D:$D, Raw_Data_Daily!$B:$B, "Variant", Raw_Data_Daily!$C:$C, "F. 100+"),"")</f>
        <v>2.664647913</v>
      </c>
      <c r="T65" s="220">
        <f t="shared" si="59"/>
        <v>-0.2597732788</v>
      </c>
    </row>
    <row r="66" ht="15.75" customHeight="1">
      <c r="A66" s="9"/>
      <c r="B66" s="232" t="s">
        <v>83</v>
      </c>
      <c r="C66" s="135" t="str">
        <f>IFERROR(SUMPRODUCT((Raw_Data_Daily!$B$2:$B$9999="Control")*(Raw_Data_Daily!$C$2:$C$9999="A. 0")*Raw_Data_Daily!$D$2:$D$9999*Raw_Data_Daily!$BR$2:$BR$9999)/SUMIFS(Raw_Data_Daily!$D:$D, Raw_Data_Daily!$B:$B, "Control", Raw_Data_Daily!$C:$C, "A. 0"),"")</f>
        <v/>
      </c>
      <c r="D66" s="51" t="str">
        <f>IFERROR(SUMPRODUCT((Raw_Data_Daily!$B$2:$B$9999="Variant")*(Raw_Data_Daily!$C$2:$C$9999="A. 0")*Raw_Data_Daily!$D$2:$D$9999*Raw_Data_Daily!$BR$2:$BR$9999)/SUMIFS(Raw_Data_Daily!$D:$D, Raw_Data_Daily!$B:$B, "Variant", Raw_Data_Daily!$C:$C, "A. 0"),"")</f>
        <v/>
      </c>
      <c r="E66" s="46" t="str">
        <f t="shared" si="54"/>
        <v/>
      </c>
      <c r="F66" s="136">
        <f>IFERROR(SUMPRODUCT((Raw_Data_Daily!$B$2:$B$9999="Control")*(Raw_Data_Daily!$C$2:$C$9999="B. 1-9")*Raw_Data_Daily!$D$2:$D$9999*Raw_Data_Daily!$BR$2:$BR$9999)/SUMIFS(Raw_Data_Daily!$D:$D, Raw_Data_Daily!$B:$B, "Control", Raw_Data_Daily!$C:$C, "B. 1-9"),"")</f>
        <v>0.8398766726</v>
      </c>
      <c r="G66" s="51">
        <f>IFERROR(SUMPRODUCT((Raw_Data_Daily!$B$2:$B$9999="Variant")*(Raw_Data_Daily!$C$2:$C$9999="B. 1-9")*Raw_Data_Daily!$D$2:$D$9999*Raw_Data_Daily!$BR$2:$BR$9999)/SUMIFS(Raw_Data_Daily!$D:$D, Raw_Data_Daily!$B:$B, "Variant", Raw_Data_Daily!$C:$C, "B. 1-9"),"")</f>
        <v>0.9102171718</v>
      </c>
      <c r="H66" s="53">
        <f t="shared" si="55"/>
        <v>0.08375098559</v>
      </c>
      <c r="I66" s="135">
        <f>IFERROR(SUMPRODUCT((Raw_Data_Daily!$B$2:$B$9999="Control")*(Raw_Data_Daily!$C$2:$C$9999="C. 10-19")*Raw_Data_Daily!$D$2:$D$9999*Raw_Data_Daily!$BR$2:$BR$9999)/SUMIFS(Raw_Data_Daily!$D:$D, Raw_Data_Daily!$B:$B, "Control", Raw_Data_Daily!$C:$C, "C. 10-19"),"")</f>
        <v>1.318229569</v>
      </c>
      <c r="J66" s="51">
        <f>IFERROR(SUMPRODUCT((Raw_Data_Daily!$B$2:$B$9999="Variant")*(Raw_Data_Daily!$C$2:$C$9999="C. 10-19")*Raw_Data_Daily!$D$2:$D$9999*Raw_Data_Daily!$BR$2:$BR$9999)/SUMIFS(Raw_Data_Daily!$D:$D, Raw_Data_Daily!$B:$B, "Variant", Raw_Data_Daily!$C:$C, "C. 10-19"),"")</f>
        <v>1.318451226</v>
      </c>
      <c r="K66" s="50">
        <f t="shared" si="56"/>
        <v>0.0001681469283</v>
      </c>
      <c r="L66" s="136">
        <f>IFERROR(SUMPRODUCT((Raw_Data_Daily!$B$2:$B$9999="Control")*(Raw_Data_Daily!$C$2:$C$9999="D. 20-39")*Raw_Data_Daily!$D$2:$D$9999*Raw_Data_Daily!$BR$2:$BR$9999)/SUMIFS(Raw_Data_Daily!$D:$D, Raw_Data_Daily!$B:$B, "Control", Raw_Data_Daily!$C:$C, "D. 20-39"),"")</f>
        <v>1.740918981</v>
      </c>
      <c r="M66" s="51">
        <f>IFERROR(SUMPRODUCT((Raw_Data_Daily!$B$2:$B$9999="Variant")*(Raw_Data_Daily!$C$2:$C$9999="D. 20-39")*Raw_Data_Daily!$D$2:$D$9999*Raw_Data_Daily!$BR$2:$BR$9999)/SUMIFS(Raw_Data_Daily!$D:$D, Raw_Data_Daily!$B:$B, "Variant", Raw_Data_Daily!$C:$C, "D. 20-39"),"")</f>
        <v>1.638085496</v>
      </c>
      <c r="N66" s="53">
        <f t="shared" si="57"/>
        <v>-0.0590685066</v>
      </c>
      <c r="O66" s="135">
        <f>IFERROR(SUMPRODUCT((Raw_Data_Daily!$B$2:$B$9999="Control")*(Raw_Data_Daily!$C$2:$C$9999="E. 40-99")*Raw_Data_Daily!$D$2:$D$9999*Raw_Data_Daily!$BR$2:$BR$9999)/SUMIFS(Raw_Data_Daily!$D:$D, Raw_Data_Daily!$B:$B, "Control", Raw_Data_Daily!$C:$C, "E. 40-99"),"")</f>
        <v>2.494423315</v>
      </c>
      <c r="P66" s="51">
        <f>IFERROR(SUMPRODUCT((Raw_Data_Daily!$B$2:$B$9999="Variant")*(Raw_Data_Daily!$C$2:$C$9999="E. 40-99")*Raw_Data_Daily!$D$2:$D$9999*Raw_Data_Daily!$BR$2:$BR$9999)/SUMIFS(Raw_Data_Daily!$D:$D, Raw_Data_Daily!$B:$B, "Variant", Raw_Data_Daily!$C:$C, "E. 40-99"),"")</f>
        <v>2.083253202</v>
      </c>
      <c r="Q66" s="50">
        <f t="shared" si="58"/>
        <v>-0.1648357401</v>
      </c>
      <c r="R66" s="136">
        <f>IFERROR(SUMPRODUCT((Raw_Data_Daily!$B$2:$B$9999="Control")*(Raw_Data_Daily!$C$2:$C$9999="F. 100+")*Raw_Data_Daily!$D$2:$D$9999*Raw_Data_Daily!$BR$2:$BR$9999)/SUMIFS(Raw_Data_Daily!$D:$D, Raw_Data_Daily!$B:$B, "Control", Raw_Data_Daily!$C:$C, "F. 100+"),"")</f>
        <v>4.036919842</v>
      </c>
      <c r="S66" s="138">
        <f>IFERROR(SUMPRODUCT((Raw_Data_Daily!$B$2:$B$9999="Variant")*(Raw_Data_Daily!$C$2:$C$9999="F. 100+")*Raw_Data_Daily!$D$2:$D$9999*Raw_Data_Daily!$BR$2:$BR$9999)/SUMIFS(Raw_Data_Daily!$D:$D, Raw_Data_Daily!$B:$B, "Variant", Raw_Data_Daily!$C:$C, "F. 100+"),"")</f>
        <v>2.839482546</v>
      </c>
      <c r="T66" s="220">
        <f t="shared" si="59"/>
        <v>-0.296621519</v>
      </c>
    </row>
    <row r="67" ht="15.75" customHeight="1">
      <c r="A67" s="9"/>
      <c r="B67" s="232" t="s">
        <v>84</v>
      </c>
      <c r="C67" s="135" t="str">
        <f>IFERROR(SUMPRODUCT((Raw_Data_Daily!$B$2:$B$9999="Control")*(Raw_Data_Daily!$C$2:$C$9999="A. 0")*Raw_Data_Daily!$D$2:$D$9999*(Raw_Data_Daily!$BO$2:$BO$9999-Raw_Data_Daily!$BR$2:$BR$9999))/SUMIFS(Raw_Data_Daily!$D:$D, Raw_Data_Daily!$B:$B, "Control", Raw_Data_Daily!$C:$C, "A. 0"),"")</f>
        <v/>
      </c>
      <c r="D67" s="51" t="str">
        <f>IFERROR(SUMPRODUCT((Raw_Data_Daily!$B$2:$B$9999="Variant")*(Raw_Data_Daily!$C$2:$C$9999="A. 0")*Raw_Data_Daily!$D$2:$D$9999*(Raw_Data_Daily!$BO$2:$BO$9999-Raw_Data_Daily!$BR$2:$BR$9999))/SUMIFS(Raw_Data_Daily!$D:$D, Raw_Data_Daily!$B:$B, "Variant", Raw_Data_Daily!$C:$C, "A. 0"),"")</f>
        <v/>
      </c>
      <c r="E67" s="38" t="str">
        <f t="shared" si="54"/>
        <v/>
      </c>
      <c r="F67" s="136">
        <f>IFERROR(SUMPRODUCT((Raw_Data_Daily!$B$2:$B$9999="Control")*(Raw_Data_Daily!$C$2:$C$9999="B. 1-9")*Raw_Data_Daily!$D$2:$D$9999*(Raw_Data_Daily!$BO$2:$BO$9999-Raw_Data_Daily!$BR$2:$BR$9999))/SUMIFS(Raw_Data_Daily!$D:$D, Raw_Data_Daily!$B:$B, "Control", Raw_Data_Daily!$C:$C, "B. 1-9"),"")</f>
        <v>0.2011258127</v>
      </c>
      <c r="G67" s="51">
        <f>IFERROR(SUMPRODUCT((Raw_Data_Daily!$B$2:$B$9999="Variant")*(Raw_Data_Daily!$C$2:$C$9999="B. 1-9")*Raw_Data_Daily!$D$2:$D$9999*(Raw_Data_Daily!$BO$2:$BO$9999-Raw_Data_Daily!$BR$2:$BR$9999))/SUMIFS(Raw_Data_Daily!$D:$D, Raw_Data_Daily!$B:$B, "Variant", Raw_Data_Daily!$C:$C, "B. 1-9"),"")</f>
        <v>0.3234587631</v>
      </c>
      <c r="H67" s="53">
        <f t="shared" si="55"/>
        <v>0.6082409251</v>
      </c>
      <c r="I67" s="135">
        <f>IFERROR(SUMPRODUCT((Raw_Data_Daily!$B$2:$B$9999="Control")*(Raw_Data_Daily!$C$2:$C$9999="C. 10-19")*Raw_Data_Daily!$D$2:$D$9999*(Raw_Data_Daily!$BO$2:$BO$9999-Raw_Data_Daily!$BR$2:$BR$9999))/SUMIFS(Raw_Data_Daily!$D:$D, Raw_Data_Daily!$B:$B, "Control", Raw_Data_Daily!$C:$C, "C. 10-19"),"")</f>
        <v>0.227541546</v>
      </c>
      <c r="J67" s="51">
        <f>IFERROR(SUMPRODUCT((Raw_Data_Daily!$B$2:$B$9999="Variant")*(Raw_Data_Daily!$C$2:$C$9999="C. 10-19")*Raw_Data_Daily!$D$2:$D$9999*(Raw_Data_Daily!$BO$2:$BO$9999-Raw_Data_Daily!$BR$2:$BR$9999))/SUMIFS(Raw_Data_Daily!$D:$D, Raw_Data_Daily!$B:$B, "Variant", Raw_Data_Daily!$C:$C, "C. 10-19"),"")</f>
        <v>0.3480411273</v>
      </c>
      <c r="K67" s="50">
        <f t="shared" si="56"/>
        <v>0.5295717789</v>
      </c>
      <c r="L67" s="136">
        <f>IFERROR(SUMPRODUCT((Raw_Data_Daily!$B$2:$B$9999="Control")*(Raw_Data_Daily!$C$2:$C$9999="D. 20-39")*Raw_Data_Daily!$D$2:$D$9999*(Raw_Data_Daily!$BO$2:$BO$9999-Raw_Data_Daily!$BR$2:$BR$9999))/SUMIFS(Raw_Data_Daily!$D:$D, Raw_Data_Daily!$B:$B, "Control", Raw_Data_Daily!$C:$C, "D. 20-39"),"")</f>
        <v>0.1765622671</v>
      </c>
      <c r="M67" s="51">
        <f>IFERROR(SUMPRODUCT((Raw_Data_Daily!$B$2:$B$9999="Variant")*(Raw_Data_Daily!$C$2:$C$9999="D. 20-39")*Raw_Data_Daily!$D$2:$D$9999*(Raw_Data_Daily!$BO$2:$BO$9999-Raw_Data_Daily!$BR$2:$BR$9999))/SUMIFS(Raw_Data_Daily!$D:$D, Raw_Data_Daily!$B:$B, "Variant", Raw_Data_Daily!$C:$C, "D. 20-39"),"")</f>
        <v>0.2961541591</v>
      </c>
      <c r="N67" s="53">
        <f t="shared" si="57"/>
        <v>0.6773355028</v>
      </c>
      <c r="O67" s="135">
        <f>IFERROR(SUMPRODUCT((Raw_Data_Daily!$B$2:$B$9999="Control")*(Raw_Data_Daily!$C$2:$C$9999="E. 40-99")*Raw_Data_Daily!$D$2:$D$9999*(Raw_Data_Daily!$BO$2:$BO$9999-Raw_Data_Daily!$BR$2:$BR$9999))/SUMIFS(Raw_Data_Daily!$D:$D, Raw_Data_Daily!$B:$B, "Control", Raw_Data_Daily!$C:$C, "E. 40-99"),"")</f>
        <v>-0.01866104595</v>
      </c>
      <c r="P67" s="51">
        <f>IFERROR(SUMPRODUCT((Raw_Data_Daily!$B$2:$B$9999="Variant")*(Raw_Data_Daily!$C$2:$C$9999="E. 40-99")*Raw_Data_Daily!$D$2:$D$9999*(Raw_Data_Daily!$BO$2:$BO$9999-Raw_Data_Daily!$BR$2:$BR$9999))/SUMIFS(Raw_Data_Daily!$D:$D, Raw_Data_Daily!$B:$B, "Variant", Raw_Data_Daily!$C:$C, "E. 40-99"),"")</f>
        <v>0.1567197242</v>
      </c>
      <c r="Q67" s="50">
        <f t="shared" si="58"/>
        <v>9.398228302</v>
      </c>
      <c r="R67" s="136">
        <f>IFERROR(SUMPRODUCT((Raw_Data_Daily!$B$2:$B$9999="Control")*(Raw_Data_Daily!$C$2:$C$9999="F. 100+")*Raw_Data_Daily!$D$2:$D$9999*(Raw_Data_Daily!$BO$2:$BO$9999-Raw_Data_Daily!$BR$2:$BR$9999))/SUMIFS(Raw_Data_Daily!$D:$D, Raw_Data_Daily!$B:$B, "Control", Raw_Data_Daily!$C:$C, "F. 100+"),"")</f>
        <v>-0.351439938</v>
      </c>
      <c r="S67" s="51">
        <f>IFERROR(SUMPRODUCT((Raw_Data_Daily!$B$2:$B$9999="Variant")*(Raw_Data_Daily!$C$2:$C$9999="F. 100+")*Raw_Data_Daily!$D$2:$D$9999*(Raw_Data_Daily!$BO$2:$BO$9999-Raw_Data_Daily!$BR$2:$BR$9999))/SUMIFS(Raw_Data_Daily!$D:$D, Raw_Data_Daily!$B:$B, "Variant", Raw_Data_Daily!$C:$C, "F. 100+"),"")</f>
        <v>-0.04964955833</v>
      </c>
      <c r="T67" s="53">
        <f t="shared" si="59"/>
        <v>0.8587253383</v>
      </c>
    </row>
    <row r="68" ht="15.75" customHeight="1">
      <c r="A68" s="180" t="s">
        <v>85</v>
      </c>
      <c r="B68" s="28"/>
      <c r="C68" s="30"/>
      <c r="D68" s="7"/>
      <c r="E68" s="31"/>
      <c r="F68" s="32"/>
      <c r="G68" s="7"/>
      <c r="H68" s="28"/>
      <c r="I68" s="30"/>
      <c r="J68" s="7"/>
      <c r="K68" s="31"/>
      <c r="L68" s="32"/>
      <c r="M68" s="7"/>
      <c r="N68" s="28"/>
      <c r="O68" s="30"/>
      <c r="P68" s="7"/>
      <c r="Q68" s="31"/>
      <c r="R68" s="32"/>
      <c r="S68" s="7"/>
      <c r="T68" s="28"/>
    </row>
    <row r="69" ht="15.75" customHeight="1">
      <c r="A69" s="9"/>
      <c r="B69" s="232" t="s">
        <v>86</v>
      </c>
      <c r="C69" s="135" t="str">
        <f>IFERROR(SUMPRODUCT((Raw_Data_Daily!$B$2:$B$9999="Control")*(Raw_Data_Daily!$C$2:$C$9999="A. 0")*Raw_Data_Daily!$D$2:$D$9999*Raw_Data_Daily!$BS$2:$BS$9999)/SUMIFS(Raw_Data_Daily!$D:$D, Raw_Data_Daily!$B:$B, "Control", Raw_Data_Daily!$C:$C, "A. 0"),"")</f>
        <v/>
      </c>
      <c r="D69" s="51" t="str">
        <f>IFERROR(SUMPRODUCT((Raw_Data_Daily!$B$2:$B$9999="Variant")*(Raw_Data_Daily!$C$2:$C$9999="A. 0")*Raw_Data_Daily!$D$2:$D$9999*Raw_Data_Daily!$BS$2:$BS$9999)/SUMIFS(Raw_Data_Daily!$D:$D, Raw_Data_Daily!$B:$B, "Variant", Raw_Data_Daily!$C:$C, "A. 0"),"")</f>
        <v/>
      </c>
      <c r="E69" s="46" t="str">
        <f t="shared" ref="E69:E73" si="60">IFERROR((D69-C69)/ABS(C69),"")</f>
        <v/>
      </c>
      <c r="F69" s="136">
        <f>IFERROR(SUMPRODUCT((Raw_Data_Daily!$B$2:$B$9999="Control")*(Raw_Data_Daily!$C$2:$C$9999="B. 1-9")*Raw_Data_Daily!$D$2:$D$9999*Raw_Data_Daily!$BS$2:$BS$9999)/SUMIFS(Raw_Data_Daily!$D:$D, Raw_Data_Daily!$B:$B, "Control", Raw_Data_Daily!$C:$C, "B. 1-9"),"")</f>
        <v>0.9526226124</v>
      </c>
      <c r="G69" s="51">
        <f>IFERROR(SUMPRODUCT((Raw_Data_Daily!$B$2:$B$9999="Variant")*(Raw_Data_Daily!$C$2:$C$9999="B. 1-9")*Raw_Data_Daily!$D$2:$D$9999*Raw_Data_Daily!$BS$2:$BS$9999)/SUMIFS(Raw_Data_Daily!$D:$D, Raw_Data_Daily!$B:$B, "Variant", Raw_Data_Daily!$C:$C, "B. 1-9"),"")</f>
        <v>1.137841027</v>
      </c>
      <c r="H69" s="53">
        <f t="shared" ref="H69:H73" si="61">IFERROR((G69-F69)/ABS(F69),"")</f>
        <v>0.1944300003</v>
      </c>
      <c r="I69" s="135">
        <f>IFERROR(SUMPRODUCT((Raw_Data_Daily!$B$2:$B$9999="Control")*(Raw_Data_Daily!$C$2:$C$9999="C. 10-19")*Raw_Data_Daily!$D$2:$D$9999*Raw_Data_Daily!$BS$2:$BS$9999)/SUMIFS(Raw_Data_Daily!$D:$D, Raw_Data_Daily!$B:$B, "Control", Raw_Data_Daily!$C:$C, "C. 10-19"),"")</f>
        <v>1.353225878</v>
      </c>
      <c r="J69" s="51">
        <f>IFERROR(SUMPRODUCT((Raw_Data_Daily!$B$2:$B$9999="Variant")*(Raw_Data_Daily!$C$2:$C$9999="C. 10-19")*Raw_Data_Daily!$D$2:$D$9999*Raw_Data_Daily!$BS$2:$BS$9999)/SUMIFS(Raw_Data_Daily!$D:$D, Raw_Data_Daily!$B:$B, "Variant", Raw_Data_Daily!$C:$C, "C. 10-19"),"")</f>
        <v>1.512218715</v>
      </c>
      <c r="K69" s="50">
        <f t="shared" ref="K69:K73" si="62">IFERROR((J69-I69)/ABS(I69),"")</f>
        <v>0.1174917206</v>
      </c>
      <c r="L69" s="136">
        <f>IFERROR(SUMPRODUCT((Raw_Data_Daily!$B$2:$B$9999="Control")*(Raw_Data_Daily!$C$2:$C$9999="D. 20-39")*Raw_Data_Daily!$D$2:$D$9999*Raw_Data_Daily!$BS$2:$BS$9999)/SUMIFS(Raw_Data_Daily!$D:$D, Raw_Data_Daily!$B:$B, "Control", Raw_Data_Daily!$C:$C, "D. 20-39"),"")</f>
        <v>1.918769646</v>
      </c>
      <c r="M69" s="51">
        <f>IFERROR(SUMPRODUCT((Raw_Data_Daily!$B$2:$B$9999="Variant")*(Raw_Data_Daily!$C$2:$C$9999="D. 20-39")*Raw_Data_Daily!$D$2:$D$9999*Raw_Data_Daily!$BS$2:$BS$9999)/SUMIFS(Raw_Data_Daily!$D:$D, Raw_Data_Daily!$B:$B, "Variant", Raw_Data_Daily!$C:$C, "D. 20-39"),"")</f>
        <v>1.947323167</v>
      </c>
      <c r="N69" s="53">
        <f t="shared" ref="N69:N73" si="63">IFERROR((M69-L69)/ABS(L69),"")</f>
        <v>0.01488116177</v>
      </c>
      <c r="O69" s="135">
        <f>IFERROR(SUMPRODUCT((Raw_Data_Daily!$B$2:$B$9999="Control")*(Raw_Data_Daily!$C$2:$C$9999="E. 40-99")*Raw_Data_Daily!$D$2:$D$9999*Raw_Data_Daily!$BS$2:$BS$9999)/SUMIFS(Raw_Data_Daily!$D:$D, Raw_Data_Daily!$B:$B, "Control", Raw_Data_Daily!$C:$C, "E. 40-99"),"")</f>
        <v>2.550375264</v>
      </c>
      <c r="P69" s="51">
        <f>IFERROR(SUMPRODUCT((Raw_Data_Daily!$B$2:$B$9999="Variant")*(Raw_Data_Daily!$C$2:$C$9999="E. 40-99")*Raw_Data_Daily!$D$2:$D$9999*Raw_Data_Daily!$BS$2:$BS$9999)/SUMIFS(Raw_Data_Daily!$D:$D, Raw_Data_Daily!$B:$B, "Variant", Raw_Data_Daily!$C:$C, "E. 40-99"),"")</f>
        <v>2.242692865</v>
      </c>
      <c r="Q69" s="50">
        <f t="shared" ref="Q69:Q73" si="64">IFERROR((P69-O69)/ABS(O69),"")</f>
        <v>-0.1206420103</v>
      </c>
      <c r="R69" s="136">
        <f>IFERROR(SUMPRODUCT((Raw_Data_Daily!$B$2:$B$9999="Control")*(Raw_Data_Daily!$C$2:$C$9999="F. 100+")*Raw_Data_Daily!$D$2:$D$9999*Raw_Data_Daily!$BS$2:$BS$9999)/SUMIFS(Raw_Data_Daily!$D:$D, Raw_Data_Daily!$B:$B, "Control", Raw_Data_Daily!$C:$C, "F. 100+"),"")</f>
        <v>3.780998816</v>
      </c>
      <c r="S69" s="138">
        <f>IFERROR(SUMPRODUCT((Raw_Data_Daily!$B$2:$B$9999="Variant")*(Raw_Data_Daily!$C$2:$C$9999="F. 100+")*Raw_Data_Daily!$D$2:$D$9999*Raw_Data_Daily!$BS$2:$BS$9999)/SUMIFS(Raw_Data_Daily!$D:$D, Raw_Data_Daily!$B:$B, "Variant", Raw_Data_Daily!$C:$C, "F. 100+"),"")</f>
        <v>2.880902345</v>
      </c>
      <c r="T69" s="220">
        <f t="shared" ref="T69:T73" si="65">IFERROR((S69-R69)/ABS(R69),"")</f>
        <v>-0.2380578558</v>
      </c>
    </row>
    <row r="70" ht="15.75" customHeight="1">
      <c r="A70" s="9"/>
      <c r="B70" s="232" t="s">
        <v>87</v>
      </c>
      <c r="C70" s="135" t="str">
        <f>IFERROR(SUMPRODUCT((Raw_Data_Daily!$B$2:$B$9999="Control")*(Raw_Data_Daily!$C$2:$C$9999="A. 0")*Raw_Data_Daily!$D$2:$D$9999*Raw_Data_Daily!$BT$2:$BT$9999)/SUMIFS(Raw_Data_Daily!$D:$D, Raw_Data_Daily!$B:$B, "Control", Raw_Data_Daily!$C:$C, "A. 0"),"")</f>
        <v/>
      </c>
      <c r="D70" s="51" t="str">
        <f>IFERROR(SUMPRODUCT((Raw_Data_Daily!$B$2:$B$9999="Variant")*(Raw_Data_Daily!$C$2:$C$9999="A. 0")*Raw_Data_Daily!$D$2:$D$9999*Raw_Data_Daily!$BT$2:$BT$9999)/SUMIFS(Raw_Data_Daily!$D:$D, Raw_Data_Daily!$B:$B, "Variant", Raw_Data_Daily!$C:$C, "A. 0"),"")</f>
        <v/>
      </c>
      <c r="E70" s="46" t="str">
        <f t="shared" si="60"/>
        <v/>
      </c>
      <c r="F70" s="136">
        <f>IFERROR(SUMPRODUCT((Raw_Data_Daily!$B$2:$B$9999="Control")*(Raw_Data_Daily!$C$2:$C$9999="B. 1-9")*Raw_Data_Daily!$D$2:$D$9999*Raw_Data_Daily!$BT$2:$BT$9999)/SUMIFS(Raw_Data_Daily!$D:$D, Raw_Data_Daily!$B:$B, "Control", Raw_Data_Daily!$C:$C, "B. 1-9"),"")</f>
        <v>0.005908579805</v>
      </c>
      <c r="G70" s="51">
        <f>IFERROR(SUMPRODUCT((Raw_Data_Daily!$B$2:$B$9999="Variant")*(Raw_Data_Daily!$C$2:$C$9999="B. 1-9")*Raw_Data_Daily!$D$2:$D$9999*Raw_Data_Daily!$BT$2:$BT$9999)/SUMIFS(Raw_Data_Daily!$D:$D, Raw_Data_Daily!$B:$B, "Variant", Raw_Data_Daily!$C:$C, "B. 1-9"),"")</f>
        <v>0.0059906565</v>
      </c>
      <c r="H70" s="53">
        <f t="shared" si="61"/>
        <v>0.01389110381</v>
      </c>
      <c r="I70" s="135">
        <f>IFERROR(SUMPRODUCT((Raw_Data_Daily!$B$2:$B$9999="Control")*(Raw_Data_Daily!$C$2:$C$9999="C. 10-19")*Raw_Data_Daily!$D$2:$D$9999*Raw_Data_Daily!$BT$2:$BT$9999)/SUMIFS(Raw_Data_Daily!$D:$D, Raw_Data_Daily!$B:$B, "Control", Raw_Data_Daily!$C:$C, "C. 10-19"),"")</f>
        <v>0.02381616783</v>
      </c>
      <c r="J70" s="51">
        <f>IFERROR(SUMPRODUCT((Raw_Data_Daily!$B$2:$B$9999="Variant")*(Raw_Data_Daily!$C$2:$C$9999="C. 10-19")*Raw_Data_Daily!$D$2:$D$9999*Raw_Data_Daily!$BT$2:$BT$9999)/SUMIFS(Raw_Data_Daily!$D:$D, Raw_Data_Daily!$B:$B, "Variant", Raw_Data_Daily!$C:$C, "C. 10-19"),"")</f>
        <v>0.02264237885</v>
      </c>
      <c r="K70" s="50">
        <f t="shared" si="62"/>
        <v>-0.04928538397</v>
      </c>
      <c r="L70" s="136">
        <f>IFERROR(SUMPRODUCT((Raw_Data_Daily!$B$2:$B$9999="Control")*(Raw_Data_Daily!$C$2:$C$9999="D. 20-39")*Raw_Data_Daily!$D$2:$D$9999*Raw_Data_Daily!$BT$2:$BT$9999)/SUMIFS(Raw_Data_Daily!$D:$D, Raw_Data_Daily!$B:$B, "Control", Raw_Data_Daily!$C:$C, "D. 20-39"),"")</f>
        <v>0.04823886455</v>
      </c>
      <c r="M70" s="51">
        <f>IFERROR(SUMPRODUCT((Raw_Data_Daily!$B$2:$B$9999="Variant")*(Raw_Data_Daily!$C$2:$C$9999="D. 20-39")*Raw_Data_Daily!$D$2:$D$9999*Raw_Data_Daily!$BT$2:$BT$9999)/SUMIFS(Raw_Data_Daily!$D:$D, Raw_Data_Daily!$B:$B, "Variant", Raw_Data_Daily!$C:$C, "D. 20-39"),"")</f>
        <v>0.02257845514</v>
      </c>
      <c r="N70" s="53">
        <f t="shared" si="63"/>
        <v>-0.5319447223</v>
      </c>
      <c r="O70" s="135">
        <f>IFERROR(SUMPRODUCT((Raw_Data_Daily!$B$2:$B$9999="Control")*(Raw_Data_Daily!$C$2:$C$9999="E. 40-99")*Raw_Data_Daily!$D$2:$D$9999*Raw_Data_Daily!$BT$2:$BT$9999)/SUMIFS(Raw_Data_Daily!$D:$D, Raw_Data_Daily!$B:$B, "Control", Raw_Data_Daily!$C:$C, "E. 40-99"),"")</f>
        <v>0.115236192</v>
      </c>
      <c r="P70" s="51">
        <f>IFERROR(SUMPRODUCT((Raw_Data_Daily!$B$2:$B$9999="Variant")*(Raw_Data_Daily!$C$2:$C$9999="E. 40-99")*Raw_Data_Daily!$D$2:$D$9999*Raw_Data_Daily!$BT$2:$BT$9999)/SUMIFS(Raw_Data_Daily!$D:$D, Raw_Data_Daily!$B:$B, "Variant", Raw_Data_Daily!$C:$C, "E. 40-99"),"")</f>
        <v>0.07681677829</v>
      </c>
      <c r="Q70" s="50">
        <f t="shared" si="64"/>
        <v>-0.3333971131</v>
      </c>
      <c r="R70" s="136">
        <f>IFERROR(SUMPRODUCT((Raw_Data_Daily!$B$2:$B$9999="Control")*(Raw_Data_Daily!$C$2:$C$9999="F. 100+")*Raw_Data_Daily!$D$2:$D$9999*Raw_Data_Daily!$BT$2:$BT$9999)/SUMIFS(Raw_Data_Daily!$D:$D, Raw_Data_Daily!$B:$B, "Control", Raw_Data_Daily!$C:$C, "F. 100+"),"")</f>
        <v>0.08484622322</v>
      </c>
      <c r="S70" s="138">
        <f>IFERROR(SUMPRODUCT((Raw_Data_Daily!$B$2:$B$9999="Variant")*(Raw_Data_Daily!$C$2:$C$9999="F. 100+")*Raw_Data_Daily!$D$2:$D$9999*Raw_Data_Daily!$BT$2:$BT$9999)/SUMIFS(Raw_Data_Daily!$D:$D, Raw_Data_Daily!$B:$B, "Variant", Raw_Data_Daily!$C:$C, "F. 100+"),"")</f>
        <v>0.126100731</v>
      </c>
      <c r="T70" s="220">
        <f t="shared" si="65"/>
        <v>0.4862268024</v>
      </c>
    </row>
    <row r="71" ht="15.75" customHeight="1">
      <c r="A71" s="9"/>
      <c r="B71" s="232" t="s">
        <v>88</v>
      </c>
      <c r="C71" s="135" t="str">
        <f>IFERROR(SUMPRODUCT((Raw_Data_Daily!$B$2:$B$9999="Control")*(Raw_Data_Daily!$C$2:$C$9999="A. 0")*Raw_Data_Daily!$D$2:$D$9999*Raw_Data_Daily!$BU$2:$BU$9999)/SUMIFS(Raw_Data_Daily!$D:$D, Raw_Data_Daily!$B:$B, "Control", Raw_Data_Daily!$C:$C, "A. 0"),"")</f>
        <v/>
      </c>
      <c r="D71" s="51" t="str">
        <f>IFERROR(SUMPRODUCT((Raw_Data_Daily!$B$2:$B$9999="Variant")*(Raw_Data_Daily!$C$2:$C$9999="A. 0")*Raw_Data_Daily!$D$2:$D$9999*Raw_Data_Daily!$BU$2:$BU$9999)/SUMIFS(Raw_Data_Daily!$D:$D, Raw_Data_Daily!$B:$B, "Variant", Raw_Data_Daily!$C:$C, "A. 0"),"")</f>
        <v/>
      </c>
      <c r="E71" s="46" t="str">
        <f t="shared" si="60"/>
        <v/>
      </c>
      <c r="F71" s="136">
        <f>IFERROR(SUMPRODUCT((Raw_Data_Daily!$B$2:$B$9999="Control")*(Raw_Data_Daily!$C$2:$C$9999="B. 1-9")*Raw_Data_Daily!$D$2:$D$9999*Raw_Data_Daily!$BU$2:$BU$9999)/SUMIFS(Raw_Data_Daily!$D:$D, Raw_Data_Daily!$B:$B, "Control", Raw_Data_Daily!$C:$C, "B. 1-9"),"")</f>
        <v>0.9466967915</v>
      </c>
      <c r="G71" s="51">
        <f>IFERROR(SUMPRODUCT((Raw_Data_Daily!$B$2:$B$9999="Variant")*(Raw_Data_Daily!$C$2:$C$9999="B. 1-9")*Raw_Data_Daily!$D$2:$D$9999*Raw_Data_Daily!$BU$2:$BU$9999)/SUMIFS(Raw_Data_Daily!$D:$D, Raw_Data_Daily!$B:$B, "Variant", Raw_Data_Daily!$C:$C, "B. 1-9"),"")</f>
        <v>1.131850371</v>
      </c>
      <c r="H71" s="53">
        <f t="shared" si="61"/>
        <v>0.195578543</v>
      </c>
      <c r="I71" s="135">
        <f>IFERROR(SUMPRODUCT((Raw_Data_Daily!$B$2:$B$9999="Control")*(Raw_Data_Daily!$C$2:$C$9999="C. 10-19")*Raw_Data_Daily!$D$2:$D$9999*Raw_Data_Daily!$BU$2:$BU$9999)/SUMIFS(Raw_Data_Daily!$D:$D, Raw_Data_Daily!$B:$B, "Control", Raw_Data_Daily!$C:$C, "C. 10-19"),"")</f>
        <v>1.329393389</v>
      </c>
      <c r="J71" s="51">
        <f>IFERROR(SUMPRODUCT((Raw_Data_Daily!$B$2:$B$9999="Variant")*(Raw_Data_Daily!$C$2:$C$9999="C. 10-19")*Raw_Data_Daily!$D$2:$D$9999*Raw_Data_Daily!$BU$2:$BU$9999)/SUMIFS(Raw_Data_Daily!$D:$D, Raw_Data_Daily!$B:$B, "Variant", Raw_Data_Daily!$C:$C, "C. 10-19"),"")</f>
        <v>1.489592814</v>
      </c>
      <c r="K71" s="50">
        <f t="shared" si="62"/>
        <v>0.1205056573</v>
      </c>
      <c r="L71" s="136">
        <f>IFERROR(SUMPRODUCT((Raw_Data_Daily!$B$2:$B$9999="Control")*(Raw_Data_Daily!$C$2:$C$9999="D. 20-39")*Raw_Data_Daily!$D$2:$D$9999*Raw_Data_Daily!$BU$2:$BU$9999)/SUMIFS(Raw_Data_Daily!$D:$D, Raw_Data_Daily!$B:$B, "Control", Raw_Data_Daily!$C:$C, "D. 20-39"),"")</f>
        <v>1.870514338</v>
      </c>
      <c r="M71" s="51">
        <f>IFERROR(SUMPRODUCT((Raw_Data_Daily!$B$2:$B$9999="Variant")*(Raw_Data_Daily!$C$2:$C$9999="D. 20-39")*Raw_Data_Daily!$D$2:$D$9999*Raw_Data_Daily!$BU$2:$BU$9999)/SUMIFS(Raw_Data_Daily!$D:$D, Raw_Data_Daily!$B:$B, "Variant", Raw_Data_Daily!$C:$C, "D. 20-39"),"")</f>
        <v>1.924744712</v>
      </c>
      <c r="N71" s="53">
        <f t="shared" si="63"/>
        <v>0.02899222577</v>
      </c>
      <c r="O71" s="135">
        <f>IFERROR(SUMPRODUCT((Raw_Data_Daily!$B$2:$B$9999="Control")*(Raw_Data_Daily!$C$2:$C$9999="E. 40-99")*Raw_Data_Daily!$D$2:$D$9999*Raw_Data_Daily!$BU$2:$BU$9999)/SUMIFS(Raw_Data_Daily!$D:$D, Raw_Data_Daily!$B:$B, "Control", Raw_Data_Daily!$C:$C, "E. 40-99"),"")</f>
        <v>2.435172123</v>
      </c>
      <c r="P71" s="51">
        <f>IFERROR(SUMPRODUCT((Raw_Data_Daily!$B$2:$B$9999="Variant")*(Raw_Data_Daily!$C$2:$C$9999="E. 40-99")*Raw_Data_Daily!$D$2:$D$9999*Raw_Data_Daily!$BU$2:$BU$9999)/SUMIFS(Raw_Data_Daily!$D:$D, Raw_Data_Daily!$B:$B, "Variant", Raw_Data_Daily!$C:$C, "E. 40-99"),"")</f>
        <v>2.165843357</v>
      </c>
      <c r="Q71" s="50">
        <f t="shared" si="64"/>
        <v>-0.1105994781</v>
      </c>
      <c r="R71" s="136">
        <f>IFERROR(SUMPRODUCT((Raw_Data_Daily!$B$2:$B$9999="Control")*(Raw_Data_Daily!$C$2:$C$9999="F. 100+")*Raw_Data_Daily!$D$2:$D$9999*Raw_Data_Daily!$BU$2:$BU$9999)/SUMIFS(Raw_Data_Daily!$D:$D, Raw_Data_Daily!$B:$B, "Control", Raw_Data_Daily!$C:$C, "F. 100+"),"")</f>
        <v>3.696169138</v>
      </c>
      <c r="S71" s="138">
        <f>IFERROR(SUMPRODUCT((Raw_Data_Daily!$B$2:$B$9999="Variant")*(Raw_Data_Daily!$C$2:$C$9999="F. 100+")*Raw_Data_Daily!$D$2:$D$9999*Raw_Data_Daily!$BU$2:$BU$9999)/SUMIFS(Raw_Data_Daily!$D:$D, Raw_Data_Daily!$B:$B, "Variant", Raw_Data_Daily!$C:$C, "F. 100+"),"")</f>
        <v>2.754801614</v>
      </c>
      <c r="T71" s="220">
        <f t="shared" si="65"/>
        <v>-0.2546873501</v>
      </c>
    </row>
    <row r="72" ht="15.75" customHeight="1">
      <c r="A72" s="9"/>
      <c r="B72" s="232" t="s">
        <v>89</v>
      </c>
      <c r="C72" s="135" t="str">
        <f>IFERROR(SUMPRODUCT((Raw_Data_Daily!$B$2:$B$9999="Control")*(Raw_Data_Daily!$C$2:$C$9999="A. 0")*Raw_Data_Daily!$D$2:$D$9999*Raw_Data_Daily!$BV$2:$BV$9999)/SUMIFS(Raw_Data_Daily!$D:$D, Raw_Data_Daily!$B:$B, "Control", Raw_Data_Daily!$C:$C, "A. 0"),"")</f>
        <v/>
      </c>
      <c r="D72" s="51" t="str">
        <f>IFERROR(SUMPRODUCT((Raw_Data_Daily!$B$2:$B$9999="Variant")*(Raw_Data_Daily!$C$2:$C$9999="A. 0")*Raw_Data_Daily!$D$2:$D$9999*Raw_Data_Daily!$BV$2:$BV$9999)/SUMIFS(Raw_Data_Daily!$D:$D, Raw_Data_Daily!$B:$B, "Variant", Raw_Data_Daily!$C:$C, "A. 0"),"")</f>
        <v/>
      </c>
      <c r="E72" s="46" t="str">
        <f t="shared" si="60"/>
        <v/>
      </c>
      <c r="F72" s="136">
        <f>IFERROR(SUMPRODUCT((Raw_Data_Daily!$B$2:$B$9999="Control")*(Raw_Data_Daily!$C$2:$C$9999="B. 1-9")*Raw_Data_Daily!$D$2:$D$9999*Raw_Data_Daily!$BV$2:$BV$9999)/SUMIFS(Raw_Data_Daily!$D:$D, Raw_Data_Daily!$B:$B, "Control", Raw_Data_Daily!$C:$C, "B. 1-9"),"")</f>
        <v>0.7821513111</v>
      </c>
      <c r="G72" s="51">
        <f>IFERROR(SUMPRODUCT((Raw_Data_Daily!$B$2:$B$9999="Variant")*(Raw_Data_Daily!$C$2:$C$9999="B. 1-9")*Raw_Data_Daily!$D$2:$D$9999*Raw_Data_Daily!$BV$2:$BV$9999)/SUMIFS(Raw_Data_Daily!$D:$D, Raw_Data_Daily!$B:$B, "Variant", Raw_Data_Daily!$C:$C, "B. 1-9"),"")</f>
        <v>0.8455980669</v>
      </c>
      <c r="H72" s="53">
        <f t="shared" si="61"/>
        <v>0.08111826311</v>
      </c>
      <c r="I72" s="135">
        <f>IFERROR(SUMPRODUCT((Raw_Data_Daily!$B$2:$B$9999="Control")*(Raw_Data_Daily!$C$2:$C$9999="C. 10-19")*Raw_Data_Daily!$D$2:$D$9999*Raw_Data_Daily!$BV$2:$BV$9999)/SUMIFS(Raw_Data_Daily!$D:$D, Raw_Data_Daily!$B:$B, "Control", Raw_Data_Daily!$C:$C, "C. 10-19"),"")</f>
        <v>1.243068724</v>
      </c>
      <c r="J72" s="51">
        <f>IFERROR(SUMPRODUCT((Raw_Data_Daily!$B$2:$B$9999="Variant")*(Raw_Data_Daily!$C$2:$C$9999="C. 10-19")*Raw_Data_Daily!$D$2:$D$9999*Raw_Data_Daily!$BV$2:$BV$9999)/SUMIFS(Raw_Data_Daily!$D:$D, Raw_Data_Daily!$B:$B, "Variant", Raw_Data_Daily!$C:$C, "C. 10-19"),"")</f>
        <v>1.238360865</v>
      </c>
      <c r="K72" s="50">
        <f t="shared" si="62"/>
        <v>-0.003787287345</v>
      </c>
      <c r="L72" s="136">
        <f>IFERROR(SUMPRODUCT((Raw_Data_Daily!$B$2:$B$9999="Control")*(Raw_Data_Daily!$C$2:$C$9999="D. 20-39")*Raw_Data_Daily!$D$2:$D$9999*Raw_Data_Daily!$BV$2:$BV$9999)/SUMIFS(Raw_Data_Daily!$D:$D, Raw_Data_Daily!$B:$B, "Control", Raw_Data_Daily!$C:$C, "D. 20-39"),"")</f>
        <v>1.793067143</v>
      </c>
      <c r="M72" s="51">
        <f>IFERROR(SUMPRODUCT((Raw_Data_Daily!$B$2:$B$9999="Variant")*(Raw_Data_Daily!$C$2:$C$9999="D. 20-39")*Raw_Data_Daily!$D$2:$D$9999*Raw_Data_Daily!$BV$2:$BV$9999)/SUMIFS(Raw_Data_Daily!$D:$D, Raw_Data_Daily!$B:$B, "Variant", Raw_Data_Daily!$C:$C, "D. 20-39"),"")</f>
        <v>1.653274289</v>
      </c>
      <c r="N72" s="53">
        <f t="shared" si="63"/>
        <v>-0.07796297791</v>
      </c>
      <c r="O72" s="135">
        <f>IFERROR(SUMPRODUCT((Raw_Data_Daily!$B$2:$B$9999="Control")*(Raw_Data_Daily!$C$2:$C$9999="E. 40-99")*Raw_Data_Daily!$D$2:$D$9999*Raw_Data_Daily!$BV$2:$BV$9999)/SUMIFS(Raw_Data_Daily!$D:$D, Raw_Data_Daily!$B:$B, "Control", Raw_Data_Daily!$C:$C, "E. 40-99"),"")</f>
        <v>2.576783176</v>
      </c>
      <c r="P72" s="51">
        <f>IFERROR(SUMPRODUCT((Raw_Data_Daily!$B$2:$B$9999="Variant")*(Raw_Data_Daily!$C$2:$C$9999="E. 40-99")*Raw_Data_Daily!$D$2:$D$9999*Raw_Data_Daily!$BV$2:$BV$9999)/SUMIFS(Raw_Data_Daily!$D:$D, Raw_Data_Daily!$B:$B, "Variant", Raw_Data_Daily!$C:$C, "E. 40-99"),"")</f>
        <v>2.103963169</v>
      </c>
      <c r="Q72" s="50">
        <f t="shared" si="64"/>
        <v>-0.1834923524</v>
      </c>
      <c r="R72" s="136">
        <f>IFERROR(SUMPRODUCT((Raw_Data_Daily!$B$2:$B$9999="Control")*(Raw_Data_Daily!$C$2:$C$9999="F. 100+")*Raw_Data_Daily!$D$2:$D$9999*Raw_Data_Daily!$BV$2:$BV$9999)/SUMIFS(Raw_Data_Daily!$D:$D, Raw_Data_Daily!$B:$B, "Control", Raw_Data_Daily!$C:$C, "F. 100+"),"")</f>
        <v>4.074396759</v>
      </c>
      <c r="S72" s="138">
        <f>IFERROR(SUMPRODUCT((Raw_Data_Daily!$B$2:$B$9999="Variant")*(Raw_Data_Daily!$C$2:$C$9999="F. 100+")*Raw_Data_Daily!$D$2:$D$9999*Raw_Data_Daily!$BV$2:$BV$9999)/SUMIFS(Raw_Data_Daily!$D:$D, Raw_Data_Daily!$B:$B, "Variant", Raw_Data_Daily!$C:$C, "F. 100+"),"")</f>
        <v>2.902819647</v>
      </c>
      <c r="T72" s="220">
        <f t="shared" si="65"/>
        <v>-0.2875461526</v>
      </c>
    </row>
    <row r="73" ht="15.75" customHeight="1">
      <c r="A73" s="9"/>
      <c r="B73" s="232" t="s">
        <v>90</v>
      </c>
      <c r="C73" s="135" t="str">
        <f>IFERROR(SUMPRODUCT((Raw_Data_Daily!$B$2:$B$9999="Control")*(Raw_Data_Daily!$C$2:$C$9999="A. 0")*Raw_Data_Daily!$D$2:$D$9999*(Raw_Data_Daily!$BS$2:$BS$9999-Raw_Data_Daily!$BV$2:$BV$9999))/SUMIFS(Raw_Data_Daily!$D:$D, Raw_Data_Daily!$B:$B, "Control", Raw_Data_Daily!$C:$C, "A. 0"),"")</f>
        <v/>
      </c>
      <c r="D73" s="51" t="str">
        <f>IFERROR(SUMPRODUCT((Raw_Data_Daily!$B$2:$B$9999="Variant")*(Raw_Data_Daily!$C$2:$C$9999="A. 0")*Raw_Data_Daily!$D$2:$D$9999*(Raw_Data_Daily!$BS$2:$BS$9999-Raw_Data_Daily!$BV$2:$BV$9999))/SUMIFS(Raw_Data_Daily!$D:$D, Raw_Data_Daily!$B:$B, "Variant", Raw_Data_Daily!$C:$C, "A. 0"),"")</f>
        <v/>
      </c>
      <c r="E73" s="38" t="str">
        <f t="shared" si="60"/>
        <v/>
      </c>
      <c r="F73" s="136">
        <f>IFERROR(SUMPRODUCT((Raw_Data_Daily!$B$2:$B$9999="Control")*(Raw_Data_Daily!$C$2:$C$9999="B. 1-9")*Raw_Data_Daily!$D$2:$D$9999*(Raw_Data_Daily!$BS$2:$BS$9999-Raw_Data_Daily!$BV$2:$BV$9999))/SUMIFS(Raw_Data_Daily!$D:$D, Raw_Data_Daily!$B:$B, "Control", Raw_Data_Daily!$C:$C, "B. 1-9"),"")</f>
        <v>0.1704713013</v>
      </c>
      <c r="G73" s="51">
        <f>IFERROR(SUMPRODUCT((Raw_Data_Daily!$B$2:$B$9999="Variant")*(Raw_Data_Daily!$C$2:$C$9999="B. 1-9")*Raw_Data_Daily!$D$2:$D$9999*(Raw_Data_Daily!$BS$2:$BS$9999-Raw_Data_Daily!$BV$2:$BV$9999))/SUMIFS(Raw_Data_Daily!$D:$D, Raw_Data_Daily!$B:$B, "Variant", Raw_Data_Daily!$C:$C, "B. 1-9"),"")</f>
        <v>0.2922429603</v>
      </c>
      <c r="H73" s="53">
        <f t="shared" si="61"/>
        <v>0.7143235139</v>
      </c>
      <c r="I73" s="135">
        <f>IFERROR(SUMPRODUCT((Raw_Data_Daily!$B$2:$B$9999="Control")*(Raw_Data_Daily!$C$2:$C$9999="C. 10-19")*Raw_Data_Daily!$D$2:$D$9999*(Raw_Data_Daily!$BS$2:$BS$9999-Raw_Data_Daily!$BV$2:$BV$9999))/SUMIFS(Raw_Data_Daily!$D:$D, Raw_Data_Daily!$B:$B, "Control", Raw_Data_Daily!$C:$C, "C. 10-19"),"")</f>
        <v>0.1101571541</v>
      </c>
      <c r="J73" s="51">
        <f>IFERROR(SUMPRODUCT((Raw_Data_Daily!$B$2:$B$9999="Variant")*(Raw_Data_Daily!$C$2:$C$9999="C. 10-19")*Raw_Data_Daily!$D$2:$D$9999*(Raw_Data_Daily!$BS$2:$BS$9999-Raw_Data_Daily!$BV$2:$BV$9999))/SUMIFS(Raw_Data_Daily!$D:$D, Raw_Data_Daily!$B:$B, "Variant", Raw_Data_Daily!$C:$C, "C. 10-19"),"")</f>
        <v>0.2738578493</v>
      </c>
      <c r="K73" s="50">
        <f t="shared" si="62"/>
        <v>1.486065037</v>
      </c>
      <c r="L73" s="136">
        <f>IFERROR(SUMPRODUCT((Raw_Data_Daily!$B$2:$B$9999="Control")*(Raw_Data_Daily!$C$2:$C$9999="D. 20-39")*Raw_Data_Daily!$D$2:$D$9999*(Raw_Data_Daily!$BS$2:$BS$9999-Raw_Data_Daily!$BV$2:$BV$9999))/SUMIFS(Raw_Data_Daily!$D:$D, Raw_Data_Daily!$B:$B, "Control", Raw_Data_Daily!$C:$C, "D. 20-39"),"")</f>
        <v>0.1257025026</v>
      </c>
      <c r="M73" s="51">
        <f>IFERROR(SUMPRODUCT((Raw_Data_Daily!$B$2:$B$9999="Variant")*(Raw_Data_Daily!$C$2:$C$9999="D. 20-39")*Raw_Data_Daily!$D$2:$D$9999*(Raw_Data_Daily!$BS$2:$BS$9999-Raw_Data_Daily!$BV$2:$BV$9999))/SUMIFS(Raw_Data_Daily!$D:$D, Raw_Data_Daily!$B:$B, "Variant", Raw_Data_Daily!$C:$C, "D. 20-39"),"")</f>
        <v>0.2940488782</v>
      </c>
      <c r="N73" s="53">
        <f t="shared" si="63"/>
        <v>1.339244423</v>
      </c>
      <c r="O73" s="135">
        <f>IFERROR(SUMPRODUCT((Raw_Data_Daily!$B$2:$B$9999="Control")*(Raw_Data_Daily!$C$2:$C$9999="E. 40-99")*Raw_Data_Daily!$D$2:$D$9999*(Raw_Data_Daily!$BS$2:$BS$9999-Raw_Data_Daily!$BV$2:$BV$9999))/SUMIFS(Raw_Data_Daily!$D:$D, Raw_Data_Daily!$B:$B, "Control", Raw_Data_Daily!$C:$C, "E. 40-99"),"")</f>
        <v>-0.02640791188</v>
      </c>
      <c r="P73" s="51">
        <f>IFERROR(SUMPRODUCT((Raw_Data_Daily!$B$2:$B$9999="Variant")*(Raw_Data_Daily!$C$2:$C$9999="E. 40-99")*Raw_Data_Daily!$D$2:$D$9999*(Raw_Data_Daily!$BS$2:$BS$9999-Raw_Data_Daily!$BV$2:$BV$9999))/SUMIFS(Raw_Data_Daily!$D:$D, Raw_Data_Daily!$B:$B, "Variant", Raw_Data_Daily!$C:$C, "E. 40-99"),"")</f>
        <v>0.1387296958</v>
      </c>
      <c r="Q73" s="50">
        <f t="shared" si="64"/>
        <v>6.253338332</v>
      </c>
      <c r="R73" s="136">
        <f>IFERROR(SUMPRODUCT((Raw_Data_Daily!$B$2:$B$9999="Control")*(Raw_Data_Daily!$C$2:$C$9999="F. 100+")*Raw_Data_Daily!$D$2:$D$9999*(Raw_Data_Daily!$BS$2:$BS$9999-Raw_Data_Daily!$BV$2:$BV$9999))/SUMIFS(Raw_Data_Daily!$D:$D, Raw_Data_Daily!$B:$B, "Control", Raw_Data_Daily!$C:$C, "F. 100+"),"")</f>
        <v>-0.2933979425</v>
      </c>
      <c r="S73" s="51">
        <f>IFERROR(SUMPRODUCT((Raw_Data_Daily!$B$2:$B$9999="Variant")*(Raw_Data_Daily!$C$2:$C$9999="F. 100+")*Raw_Data_Daily!$D$2:$D$9999*(Raw_Data_Daily!$BS$2:$BS$9999-Raw_Data_Daily!$BV$2:$BV$9999))/SUMIFS(Raw_Data_Daily!$D:$D, Raw_Data_Daily!$B:$B, "Variant", Raw_Data_Daily!$C:$C, "F. 100+"),"")</f>
        <v>-0.02191730125</v>
      </c>
      <c r="T73" s="53">
        <f t="shared" si="65"/>
        <v>0.9252983812</v>
      </c>
    </row>
    <row r="74" ht="15.75" customHeight="1">
      <c r="A74" s="180" t="s">
        <v>91</v>
      </c>
      <c r="B74" s="28"/>
      <c r="C74" s="30"/>
      <c r="D74" s="7"/>
      <c r="E74" s="31"/>
      <c r="F74" s="32"/>
      <c r="G74" s="7"/>
      <c r="H74" s="28"/>
      <c r="I74" s="30"/>
      <c r="J74" s="7"/>
      <c r="K74" s="31"/>
      <c r="L74" s="32"/>
      <c r="M74" s="7"/>
      <c r="N74" s="28"/>
      <c r="O74" s="30"/>
      <c r="P74" s="7"/>
      <c r="Q74" s="31"/>
      <c r="R74" s="32"/>
      <c r="S74" s="7"/>
      <c r="T74" s="28"/>
    </row>
    <row r="75" ht="15.75" customHeight="1">
      <c r="A75" s="9"/>
      <c r="B75" s="232" t="s">
        <v>92</v>
      </c>
      <c r="C75" s="135" t="str">
        <f>IFERROR(SUMPRODUCT((Raw_Data_Daily!$B$2:$B$9999="Control")*(Raw_Data_Daily!$C$2:$C$9999="A. 0")*Raw_Data_Daily!$D$2:$D$9999*Raw_Data_Daily!$BW$2:$BW$9999)/SUMIFS(Raw_Data_Daily!$D:$D, Raw_Data_Daily!$B:$B, "Control", Raw_Data_Daily!$C:$C, "A. 0"),"")</f>
        <v/>
      </c>
      <c r="D75" s="51" t="str">
        <f>IFERROR(SUMPRODUCT((Raw_Data_Daily!$B$2:$B$9999="Variant")*(Raw_Data_Daily!$C$2:$C$9999="A. 0")*Raw_Data_Daily!$D$2:$D$9999*Raw_Data_Daily!$BW$2:$BW$9999)/SUMIFS(Raw_Data_Daily!$D:$D, Raw_Data_Daily!$B:$B, "Variant", Raw_Data_Daily!$C:$C, "A. 0"),"")</f>
        <v/>
      </c>
      <c r="E75" s="46" t="str">
        <f t="shared" ref="E75:E79" si="66">IFERROR((D75-C75)/ABS(C75),"")</f>
        <v/>
      </c>
      <c r="F75" s="136">
        <f>IFERROR(SUMPRODUCT((Raw_Data_Daily!$B$2:$B$9999="Control")*(Raw_Data_Daily!$C$2:$C$9999="B. 1-9")*Raw_Data_Daily!$D$2:$D$9999*Raw_Data_Daily!$BW$2:$BW$9999)/SUMIFS(Raw_Data_Daily!$D:$D, Raw_Data_Daily!$B:$B, "Control", Raw_Data_Daily!$C:$C, "B. 1-9"),"")</f>
        <v>0.4789269104</v>
      </c>
      <c r="G75" s="51">
        <f>IFERROR(SUMPRODUCT((Raw_Data_Daily!$B$2:$B$9999="Variant")*(Raw_Data_Daily!$C$2:$C$9999="B. 1-9")*Raw_Data_Daily!$D$2:$D$9999*Raw_Data_Daily!$BW$2:$BW$9999)/SUMIFS(Raw_Data_Daily!$D:$D, Raw_Data_Daily!$B:$B, "Variant", Raw_Data_Daily!$C:$C, "B. 1-9"),"")</f>
        <v>0.3724960818</v>
      </c>
      <c r="H75" s="53">
        <f t="shared" ref="H75:H79" si="67">IFERROR((G75-F75)/ABS(F75),"")</f>
        <v>-0.2222277059</v>
      </c>
      <c r="I75" s="135">
        <f>IFERROR(SUMPRODUCT((Raw_Data_Daily!$B$2:$B$9999="Control")*(Raw_Data_Daily!$C$2:$C$9999="C. 10-19")*Raw_Data_Daily!$D$2:$D$9999*Raw_Data_Daily!$BW$2:$BW$9999)/SUMIFS(Raw_Data_Daily!$D:$D, Raw_Data_Daily!$B:$B, "Control", Raw_Data_Daily!$C:$C, "C. 10-19"),"")</f>
        <v>0.9079000023</v>
      </c>
      <c r="J75" s="51">
        <f>IFERROR(SUMPRODUCT((Raw_Data_Daily!$B$2:$B$9999="Variant")*(Raw_Data_Daily!$C$2:$C$9999="C. 10-19")*Raw_Data_Daily!$D$2:$D$9999*Raw_Data_Daily!$BW$2:$BW$9999)/SUMIFS(Raw_Data_Daily!$D:$D, Raw_Data_Daily!$B:$B, "Variant", Raw_Data_Daily!$C:$C, "C. 10-19"),"")</f>
        <v>0.7743223427</v>
      </c>
      <c r="K75" s="50">
        <f t="shared" ref="K75:K79" si="68">IFERROR((J75-I75)/ABS(I75),"")</f>
        <v>-0.1471281631</v>
      </c>
      <c r="L75" s="136">
        <f>IFERROR(SUMPRODUCT((Raw_Data_Daily!$B$2:$B$9999="Control")*(Raw_Data_Daily!$C$2:$C$9999="D. 20-39")*Raw_Data_Daily!$D$2:$D$9999*Raw_Data_Daily!$BW$2:$BW$9999)/SUMIFS(Raw_Data_Daily!$D:$D, Raw_Data_Daily!$B:$B, "Control", Raw_Data_Daily!$C:$C, "D. 20-39"),"")</f>
        <v>1.431875226</v>
      </c>
      <c r="M75" s="51">
        <f>IFERROR(SUMPRODUCT((Raw_Data_Daily!$B$2:$B$9999="Variant")*(Raw_Data_Daily!$C$2:$C$9999="D. 20-39")*Raw_Data_Daily!$D$2:$D$9999*Raw_Data_Daily!$BW$2:$BW$9999)/SUMIFS(Raw_Data_Daily!$D:$D, Raw_Data_Daily!$B:$B, "Variant", Raw_Data_Daily!$C:$C, "D. 20-39"),"")</f>
        <v>1.289762712</v>
      </c>
      <c r="N75" s="53">
        <f t="shared" ref="N75:N79" si="69">IFERROR((M75-L75)/ABS(L75),"")</f>
        <v>-0.09924923036</v>
      </c>
      <c r="O75" s="135">
        <f>IFERROR(SUMPRODUCT((Raw_Data_Daily!$B$2:$B$9999="Control")*(Raw_Data_Daily!$C$2:$C$9999="E. 40-99")*Raw_Data_Daily!$D$2:$D$9999*Raw_Data_Daily!$BW$2:$BW$9999)/SUMIFS(Raw_Data_Daily!$D:$D, Raw_Data_Daily!$B:$B, "Control", Raw_Data_Daily!$C:$C, "E. 40-99"),"")</f>
        <v>2.233782213</v>
      </c>
      <c r="P75" s="51">
        <f>IFERROR(SUMPRODUCT((Raw_Data_Daily!$B$2:$B$9999="Variant")*(Raw_Data_Daily!$C$2:$C$9999="E. 40-99")*Raw_Data_Daily!$D$2:$D$9999*Raw_Data_Daily!$BW$2:$BW$9999)/SUMIFS(Raw_Data_Daily!$D:$D, Raw_Data_Daily!$B:$B, "Variant", Raw_Data_Daily!$C:$C, "E. 40-99"),"")</f>
        <v>1.939412878</v>
      </c>
      <c r="Q75" s="50">
        <f t="shared" ref="Q75:Q79" si="70">IFERROR((P75-O75)/ABS(O75),"")</f>
        <v>-0.1317806782</v>
      </c>
      <c r="R75" s="136">
        <f>IFERROR(SUMPRODUCT((Raw_Data_Daily!$B$2:$B$9999="Control")*(Raw_Data_Daily!$C$2:$C$9999="F. 100+")*Raw_Data_Daily!$D$2:$D$9999*Raw_Data_Daily!$BW$2:$BW$9999)/SUMIFS(Raw_Data_Daily!$D:$D, Raw_Data_Daily!$B:$B, "Control", Raw_Data_Daily!$C:$C, "F. 100+"),"")</f>
        <v>3.520012993</v>
      </c>
      <c r="S75" s="138">
        <f>IFERROR(SUMPRODUCT((Raw_Data_Daily!$B$2:$B$9999="Variant")*(Raw_Data_Daily!$C$2:$C$9999="F. 100+")*Raw_Data_Daily!$D$2:$D$9999*Raw_Data_Daily!$BW$2:$BW$9999)/SUMIFS(Raw_Data_Daily!$D:$D, Raw_Data_Daily!$B:$B, "Variant", Raw_Data_Daily!$C:$C, "F. 100+"),"")</f>
        <v>2.775820865</v>
      </c>
      <c r="T75" s="220">
        <f t="shared" ref="T75:T79" si="71">IFERROR((S75-R75)/ABS(R75),"")</f>
        <v>-0.2114174378</v>
      </c>
    </row>
    <row r="76" ht="15.75" customHeight="1">
      <c r="A76" s="9"/>
      <c r="B76" s="232" t="s">
        <v>93</v>
      </c>
      <c r="C76" s="135" t="str">
        <f>IFERROR(SUMPRODUCT((Raw_Data_Daily!$B$2:$B$9999="Control")*(Raw_Data_Daily!$C$2:$C$9999="A. 0")*Raw_Data_Daily!$D$2:$D$9999*Raw_Data_Daily!$BX$2:$BX$9999)/SUMIFS(Raw_Data_Daily!$D:$D, Raw_Data_Daily!$B:$B, "Control", Raw_Data_Daily!$C:$C, "A. 0"),"")</f>
        <v/>
      </c>
      <c r="D76" s="51" t="str">
        <f>IFERROR(SUMPRODUCT((Raw_Data_Daily!$B$2:$B$9999="Variant")*(Raw_Data_Daily!$C$2:$C$9999="A. 0")*Raw_Data_Daily!$D$2:$D$9999*Raw_Data_Daily!$BX$2:$BX$9999)/SUMIFS(Raw_Data_Daily!$D:$D, Raw_Data_Daily!$B:$B, "Variant", Raw_Data_Daily!$C:$C, "A. 0"),"")</f>
        <v/>
      </c>
      <c r="E76" s="46" t="str">
        <f t="shared" si="66"/>
        <v/>
      </c>
      <c r="F76" s="136">
        <f>IFERROR(SUMPRODUCT((Raw_Data_Daily!$B$2:$B$9999="Control")*(Raw_Data_Daily!$C$2:$C$9999="B. 1-9")*Raw_Data_Daily!$D$2:$D$9999*Raw_Data_Daily!$BX$2:$BX$9999)/SUMIFS(Raw_Data_Daily!$D:$D, Raw_Data_Daily!$B:$B, "Control", Raw_Data_Daily!$C:$C, "B. 1-9"),"")</f>
        <v>0.007797767101</v>
      </c>
      <c r="G76" s="51">
        <f>IFERROR(SUMPRODUCT((Raw_Data_Daily!$B$2:$B$9999="Variant")*(Raw_Data_Daily!$C$2:$C$9999="B. 1-9")*Raw_Data_Daily!$D$2:$D$9999*Raw_Data_Daily!$BX$2:$BX$9999)/SUMIFS(Raw_Data_Daily!$D:$D, Raw_Data_Daily!$B:$B, "Variant", Raw_Data_Daily!$C:$C, "B. 1-9"),"")</f>
        <v>0.006520784288</v>
      </c>
      <c r="H76" s="53">
        <f t="shared" si="67"/>
        <v>-0.1637626254</v>
      </c>
      <c r="I76" s="135">
        <f>IFERROR(SUMPRODUCT((Raw_Data_Daily!$B$2:$B$9999="Control")*(Raw_Data_Daily!$C$2:$C$9999="C. 10-19")*Raw_Data_Daily!$D$2:$D$9999*Raw_Data_Daily!$BX$2:$BX$9999)/SUMIFS(Raw_Data_Daily!$D:$D, Raw_Data_Daily!$B:$B, "Control", Raw_Data_Daily!$C:$C, "C. 10-19"),"")</f>
        <v>0.02756968821</v>
      </c>
      <c r="J76" s="51">
        <f>IFERROR(SUMPRODUCT((Raw_Data_Daily!$B$2:$B$9999="Variant")*(Raw_Data_Daily!$C$2:$C$9999="C. 10-19")*Raw_Data_Daily!$D$2:$D$9999*Raw_Data_Daily!$BX$2:$BX$9999)/SUMIFS(Raw_Data_Daily!$D:$D, Raw_Data_Daily!$B:$B, "Variant", Raw_Data_Daily!$C:$C, "C. 10-19"),"")</f>
        <v>0.02466363493</v>
      </c>
      <c r="K76" s="50">
        <f t="shared" si="68"/>
        <v>-0.1054075498</v>
      </c>
      <c r="L76" s="136">
        <f>IFERROR(SUMPRODUCT((Raw_Data_Daily!$B$2:$B$9999="Control")*(Raw_Data_Daily!$C$2:$C$9999="D. 20-39")*Raw_Data_Daily!$D$2:$D$9999*Raw_Data_Daily!$BX$2:$BX$9999)/SUMIFS(Raw_Data_Daily!$D:$D, Raw_Data_Daily!$B:$B, "Control", Raw_Data_Daily!$C:$C, "D. 20-39"),"")</f>
        <v>0.05237386361</v>
      </c>
      <c r="M76" s="51">
        <f>IFERROR(SUMPRODUCT((Raw_Data_Daily!$B$2:$B$9999="Variant")*(Raw_Data_Daily!$C$2:$C$9999="D. 20-39")*Raw_Data_Daily!$D$2:$D$9999*Raw_Data_Daily!$BX$2:$BX$9999)/SUMIFS(Raw_Data_Daily!$D:$D, Raw_Data_Daily!$B:$B, "Variant", Raw_Data_Daily!$C:$C, "D. 20-39"),"")</f>
        <v>0.02511167688</v>
      </c>
      <c r="N76" s="53">
        <f t="shared" si="69"/>
        <v>-0.5205303724</v>
      </c>
      <c r="O76" s="135">
        <f>IFERROR(SUMPRODUCT((Raw_Data_Daily!$B$2:$B$9999="Control")*(Raw_Data_Daily!$C$2:$C$9999="E. 40-99")*Raw_Data_Daily!$D$2:$D$9999*Raw_Data_Daily!$BX$2:$BX$9999)/SUMIFS(Raw_Data_Daily!$D:$D, Raw_Data_Daily!$B:$B, "Control", Raw_Data_Daily!$C:$C, "E. 40-99"),"")</f>
        <v>0.1188630428</v>
      </c>
      <c r="P76" s="51">
        <f>IFERROR(SUMPRODUCT((Raw_Data_Daily!$B$2:$B$9999="Variant")*(Raw_Data_Daily!$C$2:$C$9999="E. 40-99")*Raw_Data_Daily!$D$2:$D$9999*Raw_Data_Daily!$BX$2:$BX$9999)/SUMIFS(Raw_Data_Daily!$D:$D, Raw_Data_Daily!$B:$B, "Variant", Raw_Data_Daily!$C:$C, "E. 40-99"),"")</f>
        <v>0.09007752681</v>
      </c>
      <c r="Q76" s="50">
        <f t="shared" si="70"/>
        <v>-0.2421738106</v>
      </c>
      <c r="R76" s="136">
        <f>IFERROR(SUMPRODUCT((Raw_Data_Daily!$B$2:$B$9999="Control")*(Raw_Data_Daily!$C$2:$C$9999="F. 100+")*Raw_Data_Daily!$D$2:$D$9999*Raw_Data_Daily!$BX$2:$BX$9999)/SUMIFS(Raw_Data_Daily!$D:$D, Raw_Data_Daily!$B:$B, "Control", Raw_Data_Daily!$C:$C, "F. 100+"),"")</f>
        <v>0.08569041714</v>
      </c>
      <c r="S76" s="138">
        <f>IFERROR(SUMPRODUCT((Raw_Data_Daily!$B$2:$B$9999="Variant")*(Raw_Data_Daily!$C$2:$C$9999="F. 100+")*Raw_Data_Daily!$D$2:$D$9999*Raw_Data_Daily!$BX$2:$BX$9999)/SUMIFS(Raw_Data_Daily!$D:$D, Raw_Data_Daily!$B:$B, "Variant", Raw_Data_Daily!$C:$C, "F. 100+"),"")</f>
        <v>0.1388890953</v>
      </c>
      <c r="T76" s="220">
        <f t="shared" si="71"/>
        <v>0.6208241246</v>
      </c>
    </row>
    <row r="77" ht="15.75" customHeight="1">
      <c r="A77" s="9"/>
      <c r="B77" s="232" t="s">
        <v>94</v>
      </c>
      <c r="C77" s="135" t="str">
        <f>IFERROR(SUMPRODUCT((Raw_Data_Daily!$B$2:$B$9999="Control")*(Raw_Data_Daily!$C$2:$C$9999="A. 0")*Raw_Data_Daily!$D$2:$D$9999*Raw_Data_Daily!$BY$2:$BY$9999)/SUMIFS(Raw_Data_Daily!$D:$D, Raw_Data_Daily!$B:$B, "Control", Raw_Data_Daily!$C:$C, "A. 0"),"")</f>
        <v/>
      </c>
      <c r="D77" s="51" t="str">
        <f>IFERROR(SUMPRODUCT((Raw_Data_Daily!$B$2:$B$9999="Variant")*(Raw_Data_Daily!$C$2:$C$9999="A. 0")*Raw_Data_Daily!$D$2:$D$9999*Raw_Data_Daily!$BY$2:$BY$9999)/SUMIFS(Raw_Data_Daily!$D:$D, Raw_Data_Daily!$B:$B, "Variant", Raw_Data_Daily!$C:$C, "A. 0"),"")</f>
        <v/>
      </c>
      <c r="E77" s="46" t="str">
        <f t="shared" si="66"/>
        <v/>
      </c>
      <c r="F77" s="136">
        <f>IFERROR(SUMPRODUCT((Raw_Data_Daily!$B$2:$B$9999="Control")*(Raw_Data_Daily!$C$2:$C$9999="B. 1-9")*Raw_Data_Daily!$D$2:$D$9999*Raw_Data_Daily!$BY$2:$BY$9999)/SUMIFS(Raw_Data_Daily!$D:$D, Raw_Data_Daily!$B:$B, "Control", Raw_Data_Daily!$C:$C, "B. 1-9"),"")</f>
        <v>0.4711126433</v>
      </c>
      <c r="G77" s="51">
        <f>IFERROR(SUMPRODUCT((Raw_Data_Daily!$B$2:$B$9999="Variant")*(Raw_Data_Daily!$C$2:$C$9999="B. 1-9")*Raw_Data_Daily!$D$2:$D$9999*Raw_Data_Daily!$BY$2:$BY$9999)/SUMIFS(Raw_Data_Daily!$D:$D, Raw_Data_Daily!$B:$B, "Variant", Raw_Data_Daily!$C:$C, "B. 1-9"),"")</f>
        <v>0.3659749106</v>
      </c>
      <c r="H77" s="53">
        <f t="shared" si="67"/>
        <v>-0.2231689899</v>
      </c>
      <c r="I77" s="135">
        <f>IFERROR(SUMPRODUCT((Raw_Data_Daily!$B$2:$B$9999="Control")*(Raw_Data_Daily!$C$2:$C$9999="C. 10-19")*Raw_Data_Daily!$D$2:$D$9999*Raw_Data_Daily!$BY$2:$BY$9999)/SUMIFS(Raw_Data_Daily!$D:$D, Raw_Data_Daily!$B:$B, "Control", Raw_Data_Daily!$C:$C, "C. 10-19"),"")</f>
        <v>0.8803634547</v>
      </c>
      <c r="J77" s="51">
        <f>IFERROR(SUMPRODUCT((Raw_Data_Daily!$B$2:$B$9999="Variant")*(Raw_Data_Daily!$C$2:$C$9999="C. 10-19")*Raw_Data_Daily!$D$2:$D$9999*Raw_Data_Daily!$BY$2:$BY$9999)/SUMIFS(Raw_Data_Daily!$D:$D, Raw_Data_Daily!$B:$B, "Variant", Raw_Data_Daily!$C:$C, "C. 10-19"),"")</f>
        <v>0.7496422998</v>
      </c>
      <c r="K77" s="50">
        <f t="shared" si="68"/>
        <v>-0.14848544</v>
      </c>
      <c r="L77" s="136">
        <f>IFERROR(SUMPRODUCT((Raw_Data_Daily!$B$2:$B$9999="Control")*(Raw_Data_Daily!$C$2:$C$9999="D. 20-39")*Raw_Data_Daily!$D$2:$D$9999*Raw_Data_Daily!$BY$2:$BY$9999)/SUMIFS(Raw_Data_Daily!$D:$D, Raw_Data_Daily!$B:$B, "Control", Raw_Data_Daily!$C:$C, "D. 20-39"),"")</f>
        <v>1.379501363</v>
      </c>
      <c r="M77" s="51">
        <f>IFERROR(SUMPRODUCT((Raw_Data_Daily!$B$2:$B$9999="Variant")*(Raw_Data_Daily!$C$2:$C$9999="D. 20-39")*Raw_Data_Daily!$D$2:$D$9999*Raw_Data_Daily!$BY$2:$BY$9999)/SUMIFS(Raw_Data_Daily!$D:$D, Raw_Data_Daily!$B:$B, "Variant", Raw_Data_Daily!$C:$C, "D. 20-39"),"")</f>
        <v>1.264684479</v>
      </c>
      <c r="N77" s="53">
        <f t="shared" si="69"/>
        <v>-0.08323071469</v>
      </c>
      <c r="O77" s="135">
        <f>IFERROR(SUMPRODUCT((Raw_Data_Daily!$B$2:$B$9999="Control")*(Raw_Data_Daily!$C$2:$C$9999="E. 40-99")*Raw_Data_Daily!$D$2:$D$9999*Raw_Data_Daily!$BY$2:$BY$9999)/SUMIFS(Raw_Data_Daily!$D:$D, Raw_Data_Daily!$B:$B, "Control", Raw_Data_Daily!$C:$C, "E. 40-99"),"")</f>
        <v>2.114869252</v>
      </c>
      <c r="P77" s="51">
        <f>IFERROR(SUMPRODUCT((Raw_Data_Daily!$B$2:$B$9999="Variant")*(Raw_Data_Daily!$C$2:$C$9999="E. 40-99")*Raw_Data_Daily!$D$2:$D$9999*Raw_Data_Daily!$BY$2:$BY$9999)/SUMIFS(Raw_Data_Daily!$D:$D, Raw_Data_Daily!$B:$B, "Variant", Raw_Data_Daily!$C:$C, "E. 40-99"),"")</f>
        <v>1.849335898</v>
      </c>
      <c r="Q77" s="50">
        <f t="shared" si="70"/>
        <v>-0.1255554467</v>
      </c>
      <c r="R77" s="136">
        <f>IFERROR(SUMPRODUCT((Raw_Data_Daily!$B$2:$B$9999="Control")*(Raw_Data_Daily!$C$2:$C$9999="F. 100+")*Raw_Data_Daily!$D$2:$D$9999*Raw_Data_Daily!$BY$2:$BY$9999)/SUMIFS(Raw_Data_Daily!$D:$D, Raw_Data_Daily!$B:$B, "Control", Raw_Data_Daily!$C:$C, "F. 100+"),"")</f>
        <v>3.434307272</v>
      </c>
      <c r="S77" s="138">
        <f>IFERROR(SUMPRODUCT((Raw_Data_Daily!$B$2:$B$9999="Variant")*(Raw_Data_Daily!$C$2:$C$9999="F. 100+")*Raw_Data_Daily!$D$2:$D$9999*Raw_Data_Daily!$BY$2:$BY$9999)/SUMIFS(Raw_Data_Daily!$D:$D, Raw_Data_Daily!$B:$B, "Variant", Raw_Data_Daily!$C:$C, "F. 100+"),"")</f>
        <v>2.636915291</v>
      </c>
      <c r="T77" s="220">
        <f t="shared" si="71"/>
        <v>-0.2321842275</v>
      </c>
    </row>
    <row r="78" ht="15.75" customHeight="1">
      <c r="A78" s="9"/>
      <c r="B78" s="232" t="s">
        <v>95</v>
      </c>
      <c r="C78" s="135" t="str">
        <f>IFERROR(SUMPRODUCT((Raw_Data_Daily!$B$2:$B$9999="Control")*(Raw_Data_Daily!$C$2:$C$9999="A. 0")*Raw_Data_Daily!$D$2:$D$9999*Raw_Data_Daily!$BZ$2:$BZ$9999)/SUMIFS(Raw_Data_Daily!$D:$D, Raw_Data_Daily!$B:$B, "Control", Raw_Data_Daily!$C:$C, "A. 0"),"")</f>
        <v/>
      </c>
      <c r="D78" s="51" t="str">
        <f>IFERROR(SUMPRODUCT((Raw_Data_Daily!$B$2:$B$9999="Variant")*(Raw_Data_Daily!$C$2:$C$9999="A. 0")*Raw_Data_Daily!$D$2:$D$9999*Raw_Data_Daily!$BZ$2:$BZ$9999)/SUMIFS(Raw_Data_Daily!$D:$D, Raw_Data_Daily!$B:$B, "Variant", Raw_Data_Daily!$C:$C, "A. 0"),"")</f>
        <v/>
      </c>
      <c r="E78" s="46" t="str">
        <f t="shared" si="66"/>
        <v/>
      </c>
      <c r="F78" s="136">
        <f>IFERROR(SUMPRODUCT((Raw_Data_Daily!$B$2:$B$9999="Control")*(Raw_Data_Daily!$C$2:$C$9999="B. 1-9")*Raw_Data_Daily!$D$2:$D$9999*Raw_Data_Daily!$BZ$2:$BZ$9999)/SUMIFS(Raw_Data_Daily!$D:$D, Raw_Data_Daily!$B:$B, "Control", Raw_Data_Daily!$C:$C, "B. 1-9"),"")</f>
        <v>0.4172716661</v>
      </c>
      <c r="G78" s="51">
        <f>IFERROR(SUMPRODUCT((Raw_Data_Daily!$B$2:$B$9999="Variant")*(Raw_Data_Daily!$C$2:$C$9999="B. 1-9")*Raw_Data_Daily!$D$2:$D$9999*Raw_Data_Daily!$BZ$2:$BZ$9999)/SUMIFS(Raw_Data_Daily!$D:$D, Raw_Data_Daily!$B:$B, "Variant", Raw_Data_Daily!$C:$C, "B. 1-9"),"")</f>
        <v>0.3420673555</v>
      </c>
      <c r="H78" s="53">
        <f t="shared" si="67"/>
        <v>-0.1802286538</v>
      </c>
      <c r="I78" s="135">
        <f>IFERROR(SUMPRODUCT((Raw_Data_Daily!$B$2:$B$9999="Control")*(Raw_Data_Daily!$C$2:$C$9999="C. 10-19")*Raw_Data_Daily!$D$2:$D$9999*Raw_Data_Daily!$BZ$2:$BZ$9999)/SUMIFS(Raw_Data_Daily!$D:$D, Raw_Data_Daily!$B:$B, "Control", Raw_Data_Daily!$C:$C, "C. 10-19"),"")</f>
        <v>0.7898093954</v>
      </c>
      <c r="J78" s="51">
        <f>IFERROR(SUMPRODUCT((Raw_Data_Daily!$B$2:$B$9999="Variant")*(Raw_Data_Daily!$C$2:$C$9999="C. 10-19")*Raw_Data_Daily!$D$2:$D$9999*Raw_Data_Daily!$BZ$2:$BZ$9999)/SUMIFS(Raw_Data_Daily!$D:$D, Raw_Data_Daily!$B:$B, "Variant", Raw_Data_Daily!$C:$C, "C. 10-19"),"")</f>
        <v>0.6544091246</v>
      </c>
      <c r="K78" s="50">
        <f t="shared" si="68"/>
        <v>-0.17143411</v>
      </c>
      <c r="L78" s="136">
        <f>IFERROR(SUMPRODUCT((Raw_Data_Daily!$B$2:$B$9999="Control")*(Raw_Data_Daily!$C$2:$C$9999="D. 20-39")*Raw_Data_Daily!$D$2:$D$9999*Raw_Data_Daily!$BZ$2:$BZ$9999)/SUMIFS(Raw_Data_Daily!$D:$D, Raw_Data_Daily!$B:$B, "Control", Raw_Data_Daily!$C:$C, "D. 20-39"),"")</f>
        <v>1.261952439</v>
      </c>
      <c r="M78" s="51">
        <f>IFERROR(SUMPRODUCT((Raw_Data_Daily!$B$2:$B$9999="Variant")*(Raw_Data_Daily!$C$2:$C$9999="D. 20-39")*Raw_Data_Daily!$D$2:$D$9999*Raw_Data_Daily!$BZ$2:$BZ$9999)/SUMIFS(Raw_Data_Daily!$D:$D, Raw_Data_Daily!$B:$B, "Variant", Raw_Data_Daily!$C:$C, "D. 20-39"),"")</f>
        <v>1.05029899</v>
      </c>
      <c r="N78" s="53">
        <f t="shared" si="69"/>
        <v>-0.167719038</v>
      </c>
      <c r="O78" s="135">
        <f>IFERROR(SUMPRODUCT((Raw_Data_Daily!$B$2:$B$9999="Control")*(Raw_Data_Daily!$C$2:$C$9999="E. 40-99")*Raw_Data_Daily!$D$2:$D$9999*Raw_Data_Daily!$BZ$2:$BZ$9999)/SUMIFS(Raw_Data_Daily!$D:$D, Raw_Data_Daily!$B:$B, "Control", Raw_Data_Daily!$C:$C, "E. 40-99"),"")</f>
        <v>2.077276979</v>
      </c>
      <c r="P78" s="51">
        <f>IFERROR(SUMPRODUCT((Raw_Data_Daily!$B$2:$B$9999="Variant")*(Raw_Data_Daily!$C$2:$C$9999="E. 40-99")*Raw_Data_Daily!$D$2:$D$9999*Raw_Data_Daily!$BZ$2:$BZ$9999)/SUMIFS(Raw_Data_Daily!$D:$D, Raw_Data_Daily!$B:$B, "Variant", Raw_Data_Daily!$C:$C, "E. 40-99"),"")</f>
        <v>1.659745143</v>
      </c>
      <c r="Q78" s="50">
        <f t="shared" si="70"/>
        <v>-0.200999597</v>
      </c>
      <c r="R78" s="136">
        <f>IFERROR(SUMPRODUCT((Raw_Data_Daily!$B$2:$B$9999="Control")*(Raw_Data_Daily!$C$2:$C$9999="F. 100+")*Raw_Data_Daily!$D$2:$D$9999*Raw_Data_Daily!$BZ$2:$BZ$9999)/SUMIFS(Raw_Data_Daily!$D:$D, Raw_Data_Daily!$B:$B, "Control", Raw_Data_Daily!$C:$C, "F. 100+"),"")</f>
        <v>3.562869109</v>
      </c>
      <c r="S78" s="138">
        <f>IFERROR(SUMPRODUCT((Raw_Data_Daily!$B$2:$B$9999="Variant")*(Raw_Data_Daily!$C$2:$C$9999="F. 100+")*Raw_Data_Daily!$D$2:$D$9999*Raw_Data_Daily!$BZ$2:$BZ$9999)/SUMIFS(Raw_Data_Daily!$D:$D, Raw_Data_Daily!$B:$B, "Variant", Raw_Data_Daily!$C:$C, "F. 100+"),"")</f>
        <v>2.591849193</v>
      </c>
      <c r="T78" s="220">
        <f t="shared" si="71"/>
        <v>-0.2725387565</v>
      </c>
    </row>
    <row r="79" ht="15.75" customHeight="1">
      <c r="A79" s="9"/>
      <c r="B79" s="232" t="s">
        <v>96</v>
      </c>
      <c r="C79" s="135" t="str">
        <f>IFERROR(SUMPRODUCT((Raw_Data_Daily!$B$2:$B$9999="Control")*(Raw_Data_Daily!$C$2:$C$9999="A. 0")*Raw_Data_Daily!$D$2:$D$9999*(Raw_Data_Daily!$BW$2:$BW$9999-Raw_Data_Daily!$BZ$2:$BZ$9999))/SUMIFS(Raw_Data_Daily!$D:$D, Raw_Data_Daily!$B:$B, "Control", Raw_Data_Daily!$C:$C, "A. 0"),"")</f>
        <v/>
      </c>
      <c r="D79" s="51" t="str">
        <f>IFERROR(SUMPRODUCT((Raw_Data_Daily!$B$2:$B$9999="Variant")*(Raw_Data_Daily!$C$2:$C$9999="A. 0")*Raw_Data_Daily!$D$2:$D$9999*(Raw_Data_Daily!$BW$2:$BW$9999-Raw_Data_Daily!$BZ$2:$BZ$9999))/SUMIFS(Raw_Data_Daily!$D:$D, Raw_Data_Daily!$B:$B, "Variant", Raw_Data_Daily!$C:$C, "A. 0"),"")</f>
        <v/>
      </c>
      <c r="E79" s="38" t="str">
        <f t="shared" si="66"/>
        <v/>
      </c>
      <c r="F79" s="136">
        <f>IFERROR(SUMPRODUCT((Raw_Data_Daily!$B$2:$B$9999="Control")*(Raw_Data_Daily!$C$2:$C$9999="B. 1-9")*Raw_Data_Daily!$D$2:$D$9999*(Raw_Data_Daily!$BW$2:$BW$9999-Raw_Data_Daily!$BZ$2:$BZ$9999))/SUMIFS(Raw_Data_Daily!$D:$D, Raw_Data_Daily!$B:$B, "Control", Raw_Data_Daily!$C:$C, "B. 1-9"),"")</f>
        <v>0.0616552443</v>
      </c>
      <c r="G79" s="51">
        <f>IFERROR(SUMPRODUCT((Raw_Data_Daily!$B$2:$B$9999="Variant")*(Raw_Data_Daily!$C$2:$C$9999="B. 1-9")*Raw_Data_Daily!$D$2:$D$9999*(Raw_Data_Daily!$BW$2:$BW$9999-Raw_Data_Daily!$BZ$2:$BZ$9999))/SUMIFS(Raw_Data_Daily!$D:$D, Raw_Data_Daily!$B:$B, "Variant", Raw_Data_Daily!$C:$C, "B. 1-9"),"")</f>
        <v>0.03042872634</v>
      </c>
      <c r="H79" s="53">
        <f t="shared" si="67"/>
        <v>-0.506469779</v>
      </c>
      <c r="I79" s="135">
        <f>IFERROR(SUMPRODUCT((Raw_Data_Daily!$B$2:$B$9999="Control")*(Raw_Data_Daily!$C$2:$C$9999="C. 10-19")*Raw_Data_Daily!$D$2:$D$9999*(Raw_Data_Daily!$BW$2:$BW$9999-Raw_Data_Daily!$BZ$2:$BZ$9999))/SUMIFS(Raw_Data_Daily!$D:$D, Raw_Data_Daily!$B:$B, "Control", Raw_Data_Daily!$C:$C, "C. 10-19"),"")</f>
        <v>0.1180906069</v>
      </c>
      <c r="J79" s="51">
        <f>IFERROR(SUMPRODUCT((Raw_Data_Daily!$B$2:$B$9999="Variant")*(Raw_Data_Daily!$C$2:$C$9999="C. 10-19")*Raw_Data_Daily!$D$2:$D$9999*(Raw_Data_Daily!$BW$2:$BW$9999-Raw_Data_Daily!$BZ$2:$BZ$9999))/SUMIFS(Raw_Data_Daily!$D:$D, Raw_Data_Daily!$B:$B, "Variant", Raw_Data_Daily!$C:$C, "C. 10-19"),"")</f>
        <v>0.1199132181</v>
      </c>
      <c r="K79" s="50">
        <f t="shared" si="68"/>
        <v>0.01543400644</v>
      </c>
      <c r="L79" s="136">
        <f>IFERROR(SUMPRODUCT((Raw_Data_Daily!$B$2:$B$9999="Control")*(Raw_Data_Daily!$C$2:$C$9999="D. 20-39")*Raw_Data_Daily!$D$2:$D$9999*(Raw_Data_Daily!$BW$2:$BW$9999-Raw_Data_Daily!$BZ$2:$BZ$9999))/SUMIFS(Raw_Data_Daily!$D:$D, Raw_Data_Daily!$B:$B, "Control", Raw_Data_Daily!$C:$C, "D. 20-39"),"")</f>
        <v>0.169922787</v>
      </c>
      <c r="M79" s="51">
        <f>IFERROR(SUMPRODUCT((Raw_Data_Daily!$B$2:$B$9999="Variant")*(Raw_Data_Daily!$C$2:$C$9999="D. 20-39")*Raw_Data_Daily!$D$2:$D$9999*(Raw_Data_Daily!$BW$2:$BW$9999-Raw_Data_Daily!$BZ$2:$BZ$9999))/SUMIFS(Raw_Data_Daily!$D:$D, Raw_Data_Daily!$B:$B, "Variant", Raw_Data_Daily!$C:$C, "D. 20-39"),"")</f>
        <v>0.239463722</v>
      </c>
      <c r="N79" s="53">
        <f t="shared" si="69"/>
        <v>0.4092502025</v>
      </c>
      <c r="O79" s="135">
        <f>IFERROR(SUMPRODUCT((Raw_Data_Daily!$B$2:$B$9999="Control")*(Raw_Data_Daily!$C$2:$C$9999="E. 40-99")*Raw_Data_Daily!$D$2:$D$9999*(Raw_Data_Daily!$BW$2:$BW$9999-Raw_Data_Daily!$BZ$2:$BZ$9999))/SUMIFS(Raw_Data_Daily!$D:$D, Raw_Data_Daily!$B:$B, "Control", Raw_Data_Daily!$C:$C, "E. 40-99"),"")</f>
        <v>0.156505234</v>
      </c>
      <c r="P79" s="51">
        <f>IFERROR(SUMPRODUCT((Raw_Data_Daily!$B$2:$B$9999="Variant")*(Raw_Data_Daily!$C$2:$C$9999="E. 40-99")*Raw_Data_Daily!$D$2:$D$9999*(Raw_Data_Daily!$BW$2:$BW$9999-Raw_Data_Daily!$BZ$2:$BZ$9999))/SUMIFS(Raw_Data_Daily!$D:$D, Raw_Data_Daily!$B:$B, "Variant", Raw_Data_Daily!$C:$C, "E. 40-99"),"")</f>
        <v>0.2796677347</v>
      </c>
      <c r="Q79" s="50">
        <f t="shared" si="70"/>
        <v>0.7869545169</v>
      </c>
      <c r="R79" s="136">
        <f>IFERROR(SUMPRODUCT((Raw_Data_Daily!$B$2:$B$9999="Control")*(Raw_Data_Daily!$C$2:$C$9999="F. 100+")*Raw_Data_Daily!$D$2:$D$9999*(Raw_Data_Daily!$BW$2:$BW$9999-Raw_Data_Daily!$BZ$2:$BZ$9999))/SUMIFS(Raw_Data_Daily!$D:$D, Raw_Data_Daily!$B:$B, "Control", Raw_Data_Daily!$C:$C, "F. 100+"),"")</f>
        <v>-0.04285611612</v>
      </c>
      <c r="S79" s="51">
        <f>IFERROR(SUMPRODUCT((Raw_Data_Daily!$B$2:$B$9999="Variant")*(Raw_Data_Daily!$C$2:$C$9999="F. 100+")*Raw_Data_Daily!$D$2:$D$9999*(Raw_Data_Daily!$BW$2:$BW$9999-Raw_Data_Daily!$BZ$2:$BZ$9999))/SUMIFS(Raw_Data_Daily!$D:$D, Raw_Data_Daily!$B:$B, "Variant", Raw_Data_Daily!$C:$C, "F. 100+"),"")</f>
        <v>0.1839716723</v>
      </c>
      <c r="T79" s="53">
        <f t="shared" si="71"/>
        <v>5.292775195</v>
      </c>
    </row>
    <row r="80" ht="15.75" customHeight="1">
      <c r="A80" s="180" t="s">
        <v>97</v>
      </c>
      <c r="B80" s="28"/>
      <c r="C80" s="30"/>
      <c r="D80" s="7"/>
      <c r="E80" s="31"/>
      <c r="F80" s="32"/>
      <c r="G80" s="7"/>
      <c r="H80" s="28"/>
      <c r="I80" s="30"/>
      <c r="J80" s="7"/>
      <c r="K80" s="31"/>
      <c r="L80" s="32"/>
      <c r="M80" s="7"/>
      <c r="N80" s="28"/>
      <c r="O80" s="30"/>
      <c r="P80" s="7"/>
      <c r="Q80" s="31"/>
      <c r="R80" s="32"/>
      <c r="S80" s="7"/>
      <c r="T80" s="28"/>
    </row>
    <row r="81" ht="15.75" customHeight="1">
      <c r="A81" s="9"/>
      <c r="B81" s="232" t="s">
        <v>98</v>
      </c>
      <c r="C81" s="135" t="str">
        <f>IFERROR(SUMPRODUCT((Raw_Data_Daily!$B$2:$B$9999="Control")*(Raw_Data_Daily!$C$2:$C$9999="A. 0")*Raw_Data_Daily!$D$2:$D$9999*Raw_Data_Daily!$CE$2:$CE$9999)/SUMIFS(Raw_Data_Daily!$D:$D, Raw_Data_Daily!$B:$B, "Control", Raw_Data_Daily!$C:$C, "A. 0"),"")</f>
        <v/>
      </c>
      <c r="D81" s="51" t="str">
        <f>IFERROR(SUMPRODUCT((Raw_Data_Daily!$B$2:$B$9999="Variant")*(Raw_Data_Daily!$C$2:$C$9999="A. 0")*Raw_Data_Daily!$D$2:$D$9999*Raw_Data_Daily!$CE$2:$CE$9999)/SUMIFS(Raw_Data_Daily!$D:$D, Raw_Data_Daily!$B:$B, "Variant", Raw_Data_Daily!$C:$C, "A. 0"),"")</f>
        <v/>
      </c>
      <c r="E81" s="46" t="str">
        <f t="shared" ref="E81:E85" si="72">IFERROR((D81-C81)/ABS(C81),"")</f>
        <v/>
      </c>
      <c r="F81" s="136">
        <f>IFERROR(SUMPRODUCT((Raw_Data_Daily!$B$2:$B$9999="Control")*(Raw_Data_Daily!$C$2:$C$9999="B. 1-9")*Raw_Data_Daily!$D$2:$D$9999*Raw_Data_Daily!$CE$2:$CE$9999)/SUMIFS(Raw_Data_Daily!$D:$D, Raw_Data_Daily!$B:$B, "Control", Raw_Data_Daily!$C:$C, "B. 1-9"),"")</f>
        <v>0.7435463925</v>
      </c>
      <c r="G81" s="51">
        <f>IFERROR(SUMPRODUCT((Raw_Data_Daily!$B$2:$B$9999="Variant")*(Raw_Data_Daily!$C$2:$C$9999="B. 1-9")*Raw_Data_Daily!$D$2:$D$9999*Raw_Data_Daily!$CE$2:$CE$9999)/SUMIFS(Raw_Data_Daily!$D:$D, Raw_Data_Daily!$B:$B, "Variant", Raw_Data_Daily!$C:$C, "B. 1-9"),"")</f>
        <v>0.6563938577</v>
      </c>
      <c r="H81" s="53">
        <f t="shared" ref="H81:H85" si="73">IFERROR((G81-F81)/ABS(F81),"")</f>
        <v>-0.1172119664</v>
      </c>
      <c r="I81" s="135">
        <f>IFERROR(SUMPRODUCT((Raw_Data_Daily!$B$2:$B$9999="Control")*(Raw_Data_Daily!$C$2:$C$9999="C. 10-19")*Raw_Data_Daily!$D$2:$D$9999*Raw_Data_Daily!$CE$2:$CE$9999)/SUMIFS(Raw_Data_Daily!$D:$D, Raw_Data_Daily!$B:$B, "Control", Raw_Data_Daily!$C:$C, "C. 10-19"),"")</f>
        <v>1.072912072</v>
      </c>
      <c r="J81" s="51">
        <f>IFERROR(SUMPRODUCT((Raw_Data_Daily!$B$2:$B$9999="Variant")*(Raw_Data_Daily!$C$2:$C$9999="C. 10-19")*Raw_Data_Daily!$D$2:$D$9999*Raw_Data_Daily!$CE$2:$CE$9999)/SUMIFS(Raw_Data_Daily!$D:$D, Raw_Data_Daily!$B:$B, "Variant", Raw_Data_Daily!$C:$C, "C. 10-19"),"")</f>
        <v>0.9218822117</v>
      </c>
      <c r="K81" s="50">
        <f t="shared" ref="K81:K85" si="74">IFERROR((J81-I81)/ABS(I81),"")</f>
        <v>-0.1407662975</v>
      </c>
      <c r="L81" s="136">
        <f>IFERROR(SUMPRODUCT((Raw_Data_Daily!$B$2:$B$9999="Control")*(Raw_Data_Daily!$C$2:$C$9999="D. 20-39")*Raw_Data_Daily!$D$2:$D$9999*Raw_Data_Daily!$CE$2:$CE$9999)/SUMIFS(Raw_Data_Daily!$D:$D, Raw_Data_Daily!$B:$B, "Control", Raw_Data_Daily!$C:$C, "D. 20-39"),"")</f>
        <v>1.479529185</v>
      </c>
      <c r="M81" s="51">
        <f>IFERROR(SUMPRODUCT((Raw_Data_Daily!$B$2:$B$9999="Variant")*(Raw_Data_Daily!$C$2:$C$9999="D. 20-39")*Raw_Data_Daily!$D$2:$D$9999*Raw_Data_Daily!$CE$2:$CE$9999)/SUMIFS(Raw_Data_Daily!$D:$D, Raw_Data_Daily!$B:$B, "Variant", Raw_Data_Daily!$C:$C, "D. 20-39"),"")</f>
        <v>1.241332182</v>
      </c>
      <c r="N81" s="53">
        <f t="shared" ref="N81:N85" si="75">IFERROR((M81-L81)/ABS(L81),"")</f>
        <v>-0.1609951361</v>
      </c>
      <c r="O81" s="135">
        <f>IFERROR(SUMPRODUCT((Raw_Data_Daily!$B$2:$B$9999="Control")*(Raw_Data_Daily!$C$2:$C$9999="E. 40-99")*Raw_Data_Daily!$D$2:$D$9999*Raw_Data_Daily!$CE$2:$CE$9999)/SUMIFS(Raw_Data_Daily!$D:$D, Raw_Data_Daily!$B:$B, "Control", Raw_Data_Daily!$C:$C, "E. 40-99"),"")</f>
        <v>2.022880292</v>
      </c>
      <c r="P81" s="51">
        <f>IFERROR(SUMPRODUCT((Raw_Data_Daily!$B$2:$B$9999="Variant")*(Raw_Data_Daily!$C$2:$C$9999="E. 40-99")*Raw_Data_Daily!$D$2:$D$9999*Raw_Data_Daily!$CE$2:$CE$9999)/SUMIFS(Raw_Data_Daily!$D:$D, Raw_Data_Daily!$B:$B, "Variant", Raw_Data_Daily!$C:$C, "E. 40-99"),"")</f>
        <v>1.655867231</v>
      </c>
      <c r="Q81" s="50">
        <f t="shared" ref="Q81:Q85" si="76">IFERROR((P81-O81)/ABS(O81),"")</f>
        <v>-0.1814309339</v>
      </c>
      <c r="R81" s="136">
        <f>IFERROR(SUMPRODUCT((Raw_Data_Daily!$B$2:$B$9999="Control")*(Raw_Data_Daily!$C$2:$C$9999="F. 100+")*Raw_Data_Daily!$D$2:$D$9999*Raw_Data_Daily!$CE$2:$CE$9999)/SUMIFS(Raw_Data_Daily!$D:$D, Raw_Data_Daily!$B:$B, "Control", Raw_Data_Daily!$C:$C, "F. 100+"),"")</f>
        <v>2.872314543</v>
      </c>
      <c r="S81" s="138">
        <f>IFERROR(SUMPRODUCT((Raw_Data_Daily!$B$2:$B$9999="Variant")*(Raw_Data_Daily!$C$2:$C$9999="F. 100+")*Raw_Data_Daily!$D$2:$D$9999*Raw_Data_Daily!$CE$2:$CE$9999)/SUMIFS(Raw_Data_Daily!$D:$D, Raw_Data_Daily!$B:$B, "Variant", Raw_Data_Daily!$C:$C, "F. 100+"),"")</f>
        <v>2.468790314</v>
      </c>
      <c r="T81" s="220">
        <f t="shared" ref="T81:T85" si="77">IFERROR((S81-R81)/ABS(R81),"")</f>
        <v>-0.1404874792</v>
      </c>
    </row>
    <row r="82" ht="15.75" customHeight="1">
      <c r="A82" s="9"/>
      <c r="B82" s="232" t="s">
        <v>99</v>
      </c>
      <c r="C82" s="135" t="str">
        <f>IFERROR(SUMPRODUCT((Raw_Data_Daily!$B$2:$B$9999="Control")*(Raw_Data_Daily!$C$2:$C$9999="A. 0")*Raw_Data_Daily!$D$2:$D$9999*Raw_Data_Daily!$CF$2:$CF$9999)/SUMIFS(Raw_Data_Daily!$D:$D, Raw_Data_Daily!$B:$B, "Control", Raw_Data_Daily!$C:$C, "A. 0"),"")</f>
        <v/>
      </c>
      <c r="D82" s="51" t="str">
        <f>IFERROR(SUMPRODUCT((Raw_Data_Daily!$B$2:$B$9999="Variant")*(Raw_Data_Daily!$C$2:$C$9999="A. 0")*Raw_Data_Daily!$D$2:$D$9999*Raw_Data_Daily!$CF$2:$CF$9999)/SUMIFS(Raw_Data_Daily!$D:$D, Raw_Data_Daily!$B:$B, "Variant", Raw_Data_Daily!$C:$C, "A. 0"),"")</f>
        <v/>
      </c>
      <c r="E82" s="46" t="str">
        <f t="shared" si="72"/>
        <v/>
      </c>
      <c r="F82" s="136">
        <f>IFERROR(SUMPRODUCT((Raw_Data_Daily!$B$2:$B$9999="Control")*(Raw_Data_Daily!$C$2:$C$9999="B. 1-9")*Raw_Data_Daily!$D$2:$D$9999*Raw_Data_Daily!$CF$2:$CF$9999)/SUMIFS(Raw_Data_Daily!$D:$D, Raw_Data_Daily!$B:$B, "Control", Raw_Data_Daily!$C:$C, "B. 1-9"),"")</f>
        <v>0.006491208469</v>
      </c>
      <c r="G82" s="51">
        <f>IFERROR(SUMPRODUCT((Raw_Data_Daily!$B$2:$B$9999="Variant")*(Raw_Data_Daily!$C$2:$C$9999="B. 1-9")*Raw_Data_Daily!$D$2:$D$9999*Raw_Data_Daily!$CF$2:$CF$9999)/SUMIFS(Raw_Data_Daily!$D:$D, Raw_Data_Daily!$B:$B, "Variant", Raw_Data_Daily!$C:$C, "B. 1-9"),"")</f>
        <v>0.008133140405</v>
      </c>
      <c r="H82" s="53">
        <f t="shared" si="73"/>
        <v>0.2529470349</v>
      </c>
      <c r="I82" s="135">
        <f>IFERROR(SUMPRODUCT((Raw_Data_Daily!$B$2:$B$9999="Control")*(Raw_Data_Daily!$C$2:$C$9999="C. 10-19")*Raw_Data_Daily!$D$2:$D$9999*Raw_Data_Daily!$CF$2:$CF$9999)/SUMIFS(Raw_Data_Daily!$D:$D, Raw_Data_Daily!$B:$B, "Control", Raw_Data_Daily!$C:$C, "C. 10-19"),"")</f>
        <v>0.01967320627</v>
      </c>
      <c r="J82" s="51">
        <f>IFERROR(SUMPRODUCT((Raw_Data_Daily!$B$2:$B$9999="Variant")*(Raw_Data_Daily!$C$2:$C$9999="C. 10-19")*Raw_Data_Daily!$D$2:$D$9999*Raw_Data_Daily!$CF$2:$CF$9999)/SUMIFS(Raw_Data_Daily!$D:$D, Raw_Data_Daily!$B:$B, "Variant", Raw_Data_Daily!$C:$C, "C. 10-19"),"")</f>
        <v>0.0197426635</v>
      </c>
      <c r="K82" s="50">
        <f t="shared" si="74"/>
        <v>0.003530549626</v>
      </c>
      <c r="L82" s="136">
        <f>IFERROR(SUMPRODUCT((Raw_Data_Daily!$B$2:$B$9999="Control")*(Raw_Data_Daily!$C$2:$C$9999="D. 20-39")*Raw_Data_Daily!$D$2:$D$9999*Raw_Data_Daily!$CF$2:$CF$9999)/SUMIFS(Raw_Data_Daily!$D:$D, Raw_Data_Daily!$B:$B, "Control", Raw_Data_Daily!$C:$C, "D. 20-39"),"")</f>
        <v>0.04082365797</v>
      </c>
      <c r="M82" s="51">
        <f>IFERROR(SUMPRODUCT((Raw_Data_Daily!$B$2:$B$9999="Variant")*(Raw_Data_Daily!$C$2:$C$9999="D. 20-39")*Raw_Data_Daily!$D$2:$D$9999*Raw_Data_Daily!$CF$2:$CF$9999)/SUMIFS(Raw_Data_Daily!$D:$D, Raw_Data_Daily!$B:$B, "Variant", Raw_Data_Daily!$C:$C, "D. 20-39"),"")</f>
        <v>0.03726116256</v>
      </c>
      <c r="N82" s="53">
        <f t="shared" si="75"/>
        <v>-0.08726546285</v>
      </c>
      <c r="O82" s="135">
        <f>IFERROR(SUMPRODUCT((Raw_Data_Daily!$B$2:$B$9999="Control")*(Raw_Data_Daily!$C$2:$C$9999="E. 40-99")*Raw_Data_Daily!$D$2:$D$9999*Raw_Data_Daily!$CF$2:$CF$9999)/SUMIFS(Raw_Data_Daily!$D:$D, Raw_Data_Daily!$B:$B, "Control", Raw_Data_Daily!$C:$C, "E. 40-99"),"")</f>
        <v>0.09157273301</v>
      </c>
      <c r="P82" s="51">
        <f>IFERROR(SUMPRODUCT((Raw_Data_Daily!$B$2:$B$9999="Variant")*(Raw_Data_Daily!$C$2:$C$9999="E. 40-99")*Raw_Data_Daily!$D$2:$D$9999*Raw_Data_Daily!$CF$2:$CF$9999)/SUMIFS(Raw_Data_Daily!$D:$D, Raw_Data_Daily!$B:$B, "Variant", Raw_Data_Daily!$C:$C, "E. 40-99"),"")</f>
        <v>0.08646233311</v>
      </c>
      <c r="Q82" s="50">
        <f t="shared" si="76"/>
        <v>-0.05580700415</v>
      </c>
      <c r="R82" s="136">
        <f>IFERROR(SUMPRODUCT((Raw_Data_Daily!$B$2:$B$9999="Control")*(Raw_Data_Daily!$C$2:$C$9999="F. 100+")*Raw_Data_Daily!$D$2:$D$9999*Raw_Data_Daily!$CF$2:$CF$9999)/SUMIFS(Raw_Data_Daily!$D:$D, Raw_Data_Daily!$B:$B, "Control", Raw_Data_Daily!$C:$C, "F. 100+"),"")</f>
        <v>0.21419969</v>
      </c>
      <c r="S82" s="138">
        <f>IFERROR(SUMPRODUCT((Raw_Data_Daily!$B$2:$B$9999="Variant")*(Raw_Data_Daily!$C$2:$C$9999="F. 100+")*Raw_Data_Daily!$D$2:$D$9999*Raw_Data_Daily!$CF$2:$CF$9999)/SUMIFS(Raw_Data_Daily!$D:$D, Raw_Data_Daily!$B:$B, "Variant", Raw_Data_Daily!$C:$C, "F. 100+"),"")</f>
        <v>0.2613443497</v>
      </c>
      <c r="T82" s="220">
        <f t="shared" si="77"/>
        <v>0.2200967691</v>
      </c>
    </row>
    <row r="83" ht="15.75" customHeight="1">
      <c r="A83" s="9"/>
      <c r="B83" s="232" t="s">
        <v>100</v>
      </c>
      <c r="C83" s="135" t="str">
        <f>IFERROR(SUMPRODUCT((Raw_Data_Daily!$B$2:$B$9999="Control")*(Raw_Data_Daily!$C$2:$C$9999="A. 0")*Raw_Data_Daily!$D$2:$D$9999*Raw_Data_Daily!$CG$2:$CG$9999)/SUMIFS(Raw_Data_Daily!$D:$D, Raw_Data_Daily!$B:$B, "Control", Raw_Data_Daily!$C:$C, "A. 0"),"")</f>
        <v/>
      </c>
      <c r="D83" s="51" t="str">
        <f>IFERROR(SUMPRODUCT((Raw_Data_Daily!$B$2:$B$9999="Variant")*(Raw_Data_Daily!$C$2:$C$9999="A. 0")*Raw_Data_Daily!$D$2:$D$9999*Raw_Data_Daily!$CG$2:$CG$9999)/SUMIFS(Raw_Data_Daily!$D:$D, Raw_Data_Daily!$B:$B, "Variant", Raw_Data_Daily!$C:$C, "A. 0"),"")</f>
        <v/>
      </c>
      <c r="E83" s="46" t="str">
        <f t="shared" si="72"/>
        <v/>
      </c>
      <c r="F83" s="136">
        <f>IFERROR(SUMPRODUCT((Raw_Data_Daily!$B$2:$B$9999="Control")*(Raw_Data_Daily!$C$2:$C$9999="B. 1-9")*Raw_Data_Daily!$D$2:$D$9999*Raw_Data_Daily!$CG$2:$CG$9999)/SUMIFS(Raw_Data_Daily!$D:$D, Raw_Data_Daily!$B:$B, "Control", Raw_Data_Daily!$C:$C, "B. 1-9"),"")</f>
        <v>0.737055184</v>
      </c>
      <c r="G83" s="51">
        <f>IFERROR(SUMPRODUCT((Raw_Data_Daily!$B$2:$B$9999="Variant")*(Raw_Data_Daily!$C$2:$C$9999="B. 1-9")*Raw_Data_Daily!$D$2:$D$9999*Raw_Data_Daily!$CG$2:$CG$9999)/SUMIFS(Raw_Data_Daily!$D:$D, Raw_Data_Daily!$B:$B, "Variant", Raw_Data_Daily!$C:$C, "B. 1-9"),"")</f>
        <v>0.648227824</v>
      </c>
      <c r="H83" s="53">
        <f t="shared" si="73"/>
        <v>-0.1205165664</v>
      </c>
      <c r="I83" s="135">
        <f>IFERROR(SUMPRODUCT((Raw_Data_Daily!$B$2:$B$9999="Control")*(Raw_Data_Daily!$C$2:$C$9999="C. 10-19")*Raw_Data_Daily!$D$2:$D$9999*Raw_Data_Daily!$CG$2:$CG$9999)/SUMIFS(Raw_Data_Daily!$D:$D, Raw_Data_Daily!$B:$B, "Control", Raw_Data_Daily!$C:$C, "C. 10-19"),"")</f>
        <v>1.053272138</v>
      </c>
      <c r="J83" s="51">
        <f>IFERROR(SUMPRODUCT((Raw_Data_Daily!$B$2:$B$9999="Variant")*(Raw_Data_Daily!$C$2:$C$9999="C. 10-19")*Raw_Data_Daily!$D$2:$D$9999*Raw_Data_Daily!$CG$2:$CG$9999)/SUMIFS(Raw_Data_Daily!$D:$D, Raw_Data_Daily!$B:$B, "Variant", Raw_Data_Daily!$C:$C, "C. 10-19"),"")</f>
        <v>0.9021726172</v>
      </c>
      <c r="K83" s="50">
        <f t="shared" si="74"/>
        <v>-0.1434572463</v>
      </c>
      <c r="L83" s="136">
        <f>IFERROR(SUMPRODUCT((Raw_Data_Daily!$B$2:$B$9999="Control")*(Raw_Data_Daily!$C$2:$C$9999="D. 20-39")*Raw_Data_Daily!$D$2:$D$9999*Raw_Data_Daily!$CG$2:$CG$9999)/SUMIFS(Raw_Data_Daily!$D:$D, Raw_Data_Daily!$B:$B, "Control", Raw_Data_Daily!$C:$C, "D. 20-39"),"")</f>
        <v>1.438688576</v>
      </c>
      <c r="M83" s="51">
        <f>IFERROR(SUMPRODUCT((Raw_Data_Daily!$B$2:$B$9999="Variant")*(Raw_Data_Daily!$C$2:$C$9999="D. 20-39")*Raw_Data_Daily!$D$2:$D$9999*Raw_Data_Daily!$CG$2:$CG$9999)/SUMIFS(Raw_Data_Daily!$D:$D, Raw_Data_Daily!$B:$B, "Variant", Raw_Data_Daily!$C:$C, "D. 20-39"),"")</f>
        <v>1.204071535</v>
      </c>
      <c r="N83" s="53">
        <f t="shared" si="75"/>
        <v>-0.1630770162</v>
      </c>
      <c r="O83" s="135">
        <f>IFERROR(SUMPRODUCT((Raw_Data_Daily!$B$2:$B$9999="Control")*(Raw_Data_Daily!$C$2:$C$9999="E. 40-99")*Raw_Data_Daily!$D$2:$D$9999*Raw_Data_Daily!$CG$2:$CG$9999)/SUMIFS(Raw_Data_Daily!$D:$D, Raw_Data_Daily!$B:$B, "Control", Raw_Data_Daily!$C:$C, "E. 40-99"),"")</f>
        <v>1.931307559</v>
      </c>
      <c r="P83" s="51">
        <f>IFERROR(SUMPRODUCT((Raw_Data_Daily!$B$2:$B$9999="Variant")*(Raw_Data_Daily!$C$2:$C$9999="E. 40-99")*Raw_Data_Daily!$D$2:$D$9999*Raw_Data_Daily!$CG$2:$CG$9999)/SUMIFS(Raw_Data_Daily!$D:$D, Raw_Data_Daily!$B:$B, "Variant", Raw_Data_Daily!$C:$C, "E. 40-99"),"")</f>
        <v>1.56940485</v>
      </c>
      <c r="Q83" s="50">
        <f t="shared" si="76"/>
        <v>-0.1873874034</v>
      </c>
      <c r="R83" s="136">
        <f>IFERROR(SUMPRODUCT((Raw_Data_Daily!$B$2:$B$9999="Control")*(Raw_Data_Daily!$C$2:$C$9999="F. 100+")*Raw_Data_Daily!$D$2:$D$9999*Raw_Data_Daily!$CG$2:$CG$9999)/SUMIFS(Raw_Data_Daily!$D:$D, Raw_Data_Daily!$B:$B, "Control", Raw_Data_Daily!$C:$C, "F. 100+"),"")</f>
        <v>2.65811615</v>
      </c>
      <c r="S83" s="138">
        <f>IFERROR(SUMPRODUCT((Raw_Data_Daily!$B$2:$B$9999="Variant")*(Raw_Data_Daily!$C$2:$C$9999="F. 100+")*Raw_Data_Daily!$D$2:$D$9999*Raw_Data_Daily!$CG$2:$CG$9999)/SUMIFS(Raw_Data_Daily!$D:$D, Raw_Data_Daily!$B:$B, "Variant", Raw_Data_Daily!$C:$C, "F. 100+"),"")</f>
        <v>2.207445964</v>
      </c>
      <c r="T83" s="220">
        <f t="shared" si="77"/>
        <v>-0.1695449561</v>
      </c>
    </row>
    <row r="84" ht="15.75" customHeight="1">
      <c r="A84" s="9"/>
      <c r="B84" s="232" t="s">
        <v>101</v>
      </c>
      <c r="C84" s="135" t="str">
        <f>IFERROR(SUMPRODUCT((Raw_Data_Daily!$B$2:$B$9999="Control")*(Raw_Data_Daily!$C$2:$C$9999="A. 0")*Raw_Data_Daily!$D$2:$D$9999*Raw_Data_Daily!$CH$2:$CH$9999)/SUMIFS(Raw_Data_Daily!$D:$D, Raw_Data_Daily!$B:$B, "Control", Raw_Data_Daily!$C:$C, "A. 0"),"")</f>
        <v/>
      </c>
      <c r="D84" s="51" t="str">
        <f>IFERROR(SUMPRODUCT((Raw_Data_Daily!$B$2:$B$9999="Variant")*(Raw_Data_Daily!$C$2:$C$9999="A. 0")*Raw_Data_Daily!$D$2:$D$9999*Raw_Data_Daily!$CH$2:$CH$9999)/SUMIFS(Raw_Data_Daily!$D:$D, Raw_Data_Daily!$B:$B, "Variant", Raw_Data_Daily!$C:$C, "A. 0"),"")</f>
        <v/>
      </c>
      <c r="E84" s="46" t="str">
        <f t="shared" si="72"/>
        <v/>
      </c>
      <c r="F84" s="136">
        <f>IFERROR(SUMPRODUCT((Raw_Data_Daily!$B$2:$B$9999="Control")*(Raw_Data_Daily!$C$2:$C$9999="B. 1-9")*Raw_Data_Daily!$D$2:$D$9999*Raw_Data_Daily!$CH$2:$CH$9999)/SUMIFS(Raw_Data_Daily!$D:$D, Raw_Data_Daily!$B:$B, "Control", Raw_Data_Daily!$C:$C, "B. 1-9"),"")</f>
        <v>0.6773561221</v>
      </c>
      <c r="G84" s="51">
        <f>IFERROR(SUMPRODUCT((Raw_Data_Daily!$B$2:$B$9999="Variant")*(Raw_Data_Daily!$C$2:$C$9999="B. 1-9")*Raw_Data_Daily!$D$2:$D$9999*Raw_Data_Daily!$CH$2:$CH$9999)/SUMIFS(Raw_Data_Daily!$D:$D, Raw_Data_Daily!$B:$B, "Variant", Raw_Data_Daily!$C:$C, "B. 1-9"),"")</f>
        <v>0.6973635576</v>
      </c>
      <c r="H84" s="53">
        <f t="shared" si="73"/>
        <v>0.02953754278</v>
      </c>
      <c r="I84" s="135">
        <f>IFERROR(SUMPRODUCT((Raw_Data_Daily!$B$2:$B$9999="Control")*(Raw_Data_Daily!$C$2:$C$9999="C. 10-19")*Raw_Data_Daily!$D$2:$D$9999*Raw_Data_Daily!$CH$2:$CH$9999)/SUMIFS(Raw_Data_Daily!$D:$D, Raw_Data_Daily!$B:$B, "Control", Raw_Data_Daily!$C:$C, "C. 10-19"),"")</f>
        <v>1.037988609</v>
      </c>
      <c r="J84" s="51">
        <f>IFERROR(SUMPRODUCT((Raw_Data_Daily!$B$2:$B$9999="Variant")*(Raw_Data_Daily!$C$2:$C$9999="C. 10-19")*Raw_Data_Daily!$D$2:$D$9999*Raw_Data_Daily!$CH$2:$CH$9999)/SUMIFS(Raw_Data_Daily!$D:$D, Raw_Data_Daily!$B:$B, "Variant", Raw_Data_Daily!$C:$C, "C. 10-19"),"")</f>
        <v>0.9908081215</v>
      </c>
      <c r="K84" s="50">
        <f t="shared" si="74"/>
        <v>-0.0454537618</v>
      </c>
      <c r="L84" s="136">
        <f>IFERROR(SUMPRODUCT((Raw_Data_Daily!$B$2:$B$9999="Control")*(Raw_Data_Daily!$C$2:$C$9999="D. 20-39")*Raw_Data_Daily!$D$2:$D$9999*Raw_Data_Daily!$CH$2:$CH$9999)/SUMIFS(Raw_Data_Daily!$D:$D, Raw_Data_Daily!$B:$B, "Control", Raw_Data_Daily!$C:$C, "D. 20-39"),"")</f>
        <v>1.464596742</v>
      </c>
      <c r="M84" s="51">
        <f>IFERROR(SUMPRODUCT((Raw_Data_Daily!$B$2:$B$9999="Variant")*(Raw_Data_Daily!$C$2:$C$9999="D. 20-39")*Raw_Data_Daily!$D$2:$D$9999*Raw_Data_Daily!$CH$2:$CH$9999)/SUMIFS(Raw_Data_Daily!$D:$D, Raw_Data_Daily!$B:$B, "Variant", Raw_Data_Daily!$C:$C, "D. 20-39"),"")</f>
        <v>1.315515052</v>
      </c>
      <c r="N84" s="53">
        <f t="shared" si="75"/>
        <v>-0.1017902649</v>
      </c>
      <c r="O84" s="135">
        <f>IFERROR(SUMPRODUCT((Raw_Data_Daily!$B$2:$B$9999="Control")*(Raw_Data_Daily!$C$2:$C$9999="E. 40-99")*Raw_Data_Daily!$D$2:$D$9999*Raw_Data_Daily!$CH$2:$CH$9999)/SUMIFS(Raw_Data_Daily!$D:$D, Raw_Data_Daily!$B:$B, "Control", Raw_Data_Daily!$C:$C, "E. 40-99"),"")</f>
        <v>2.080633846</v>
      </c>
      <c r="P84" s="51">
        <f>IFERROR(SUMPRODUCT((Raw_Data_Daily!$B$2:$B$9999="Variant")*(Raw_Data_Daily!$C$2:$C$9999="E. 40-99")*Raw_Data_Daily!$D$2:$D$9999*Raw_Data_Daily!$CH$2:$CH$9999)/SUMIFS(Raw_Data_Daily!$D:$D, Raw_Data_Daily!$B:$B, "Variant", Raw_Data_Daily!$C:$C, "E. 40-99"),"")</f>
        <v>1.732990707</v>
      </c>
      <c r="Q84" s="50">
        <f t="shared" si="76"/>
        <v>-0.1670852082</v>
      </c>
      <c r="R84" s="136">
        <f>IFERROR(SUMPRODUCT((Raw_Data_Daily!$B$2:$B$9999="Control")*(Raw_Data_Daily!$C$2:$C$9999="F. 100+")*Raw_Data_Daily!$D$2:$D$9999*Raw_Data_Daily!$CH$2:$CH$9999)/SUMIFS(Raw_Data_Daily!$D:$D, Raw_Data_Daily!$B:$B, "Control", Raw_Data_Daily!$C:$C, "F. 100+"),"")</f>
        <v>3.230292052</v>
      </c>
      <c r="S84" s="138">
        <f>IFERROR(SUMPRODUCT((Raw_Data_Daily!$B$2:$B$9999="Variant")*(Raw_Data_Daily!$C$2:$C$9999="F. 100+")*Raw_Data_Daily!$D$2:$D$9999*Raw_Data_Daily!$CH$2:$CH$9999)/SUMIFS(Raw_Data_Daily!$D:$D, Raw_Data_Daily!$B:$B, "Variant", Raw_Data_Daily!$C:$C, "F. 100+"),"")</f>
        <v>2.597329759</v>
      </c>
      <c r="T84" s="220">
        <f t="shared" si="77"/>
        <v>-0.1959458409</v>
      </c>
    </row>
    <row r="85" ht="15.75" customHeight="1">
      <c r="A85" s="9"/>
      <c r="B85" s="232" t="s">
        <v>102</v>
      </c>
      <c r="C85" s="135" t="str">
        <f>IFERROR(SUMPRODUCT((Raw_Data_Daily!$B$2:$B$9999="Control")*(Raw_Data_Daily!$C$2:$C$9999="A. 0")*Raw_Data_Daily!$D$2:$D$9999*(Raw_Data_Daily!$CE$2:$CE$9999-Raw_Data_Daily!$CH$2:$CH$9999))/SUMIFS(Raw_Data_Daily!$D:$D, Raw_Data_Daily!$B:$B, "Control", Raw_Data_Daily!$C:$C, "A. 0"),"")</f>
        <v/>
      </c>
      <c r="D85" s="51" t="str">
        <f>IFERROR(SUMPRODUCT((Raw_Data_Daily!$B$2:$B$9999="Variant")*(Raw_Data_Daily!$C$2:$C$9999="A. 0")*Raw_Data_Daily!$D$2:$D$9999*(Raw_Data_Daily!$CE$2:$CE$9999-Raw_Data_Daily!$CH$2:$CH$9999))/SUMIFS(Raw_Data_Daily!$D:$D, Raw_Data_Daily!$B:$B, "Variant", Raw_Data_Daily!$C:$C, "A. 0"),"")</f>
        <v/>
      </c>
      <c r="E85" s="38" t="str">
        <f t="shared" si="72"/>
        <v/>
      </c>
      <c r="F85" s="136">
        <f>IFERROR(SUMPRODUCT((Raw_Data_Daily!$B$2:$B$9999="Control")*(Raw_Data_Daily!$C$2:$C$9999="B. 1-9")*Raw_Data_Daily!$D$2:$D$9999*(Raw_Data_Daily!$CE$2:$CE$9999-Raw_Data_Daily!$CH$2:$CH$9999))/SUMIFS(Raw_Data_Daily!$D:$D, Raw_Data_Daily!$B:$B, "Control", Raw_Data_Daily!$C:$C, "B. 1-9"),"")</f>
        <v>0.06619027036</v>
      </c>
      <c r="G85" s="51">
        <f>IFERROR(SUMPRODUCT((Raw_Data_Daily!$B$2:$B$9999="Variant")*(Raw_Data_Daily!$C$2:$C$9999="B. 1-9")*Raw_Data_Daily!$D$2:$D$9999*(Raw_Data_Daily!$CE$2:$CE$9999-Raw_Data_Daily!$CH$2:$CH$9999))/SUMIFS(Raw_Data_Daily!$D:$D, Raw_Data_Daily!$B:$B, "Variant", Raw_Data_Daily!$C:$C, "B. 1-9"),"")</f>
        <v>-0.04096969988</v>
      </c>
      <c r="H85" s="53">
        <f t="shared" si="73"/>
        <v>-1.618968614</v>
      </c>
      <c r="I85" s="135">
        <f>IFERROR(SUMPRODUCT((Raw_Data_Daily!$B$2:$B$9999="Control")*(Raw_Data_Daily!$C$2:$C$9999="C. 10-19")*Raw_Data_Daily!$D$2:$D$9999*(Raw_Data_Daily!$CE$2:$CE$9999-Raw_Data_Daily!$CH$2:$CH$9999))/SUMIFS(Raw_Data_Daily!$D:$D, Raw_Data_Daily!$B:$B, "Control", Raw_Data_Daily!$C:$C, "C. 10-19"),"")</f>
        <v>0.03492346302</v>
      </c>
      <c r="J85" s="51">
        <f>IFERROR(SUMPRODUCT((Raw_Data_Daily!$B$2:$B$9999="Variant")*(Raw_Data_Daily!$C$2:$C$9999="C. 10-19")*Raw_Data_Daily!$D$2:$D$9999*(Raw_Data_Daily!$CE$2:$CE$9999-Raw_Data_Daily!$CH$2:$CH$9999))/SUMIFS(Raw_Data_Daily!$D:$D, Raw_Data_Daily!$B:$B, "Variant", Raw_Data_Daily!$C:$C, "C. 10-19"),"")</f>
        <v>-0.06892590986</v>
      </c>
      <c r="K85" s="50">
        <f t="shared" si="74"/>
        <v>-2.973627582</v>
      </c>
      <c r="L85" s="136">
        <f>IFERROR(SUMPRODUCT((Raw_Data_Daily!$B$2:$B$9999="Control")*(Raw_Data_Daily!$C$2:$C$9999="D. 20-39")*Raw_Data_Daily!$D$2:$D$9999*(Raw_Data_Daily!$CE$2:$CE$9999-Raw_Data_Daily!$CH$2:$CH$9999))/SUMIFS(Raw_Data_Daily!$D:$D, Raw_Data_Daily!$B:$B, "Control", Raw_Data_Daily!$C:$C, "D. 20-39"),"")</f>
        <v>0.01493244268</v>
      </c>
      <c r="M85" s="51">
        <f>IFERROR(SUMPRODUCT((Raw_Data_Daily!$B$2:$B$9999="Variant")*(Raw_Data_Daily!$C$2:$C$9999="D. 20-39")*Raw_Data_Daily!$D$2:$D$9999*(Raw_Data_Daily!$CE$2:$CE$9999-Raw_Data_Daily!$CH$2:$CH$9999))/SUMIFS(Raw_Data_Daily!$D:$D, Raw_Data_Daily!$B:$B, "Variant", Raw_Data_Daily!$C:$C, "D. 20-39"),"")</f>
        <v>-0.07418286941</v>
      </c>
      <c r="N85" s="53">
        <f t="shared" si="75"/>
        <v>-5.967899159</v>
      </c>
      <c r="O85" s="135">
        <f>IFERROR(SUMPRODUCT((Raw_Data_Daily!$B$2:$B$9999="Control")*(Raw_Data_Daily!$C$2:$C$9999="E. 40-99")*Raw_Data_Daily!$D$2:$D$9999*(Raw_Data_Daily!$CE$2:$CE$9999-Raw_Data_Daily!$CH$2:$CH$9999))/SUMIFS(Raw_Data_Daily!$D:$D, Raw_Data_Daily!$B:$B, "Control", Raw_Data_Daily!$C:$C, "E. 40-99"),"")</f>
        <v>-0.05775355446</v>
      </c>
      <c r="P85" s="51">
        <f>IFERROR(SUMPRODUCT((Raw_Data_Daily!$B$2:$B$9999="Variant")*(Raw_Data_Daily!$C$2:$C$9999="E. 40-99")*Raw_Data_Daily!$D$2:$D$9999*(Raw_Data_Daily!$CE$2:$CE$9999-Raw_Data_Daily!$CH$2:$CH$9999))/SUMIFS(Raw_Data_Daily!$D:$D, Raw_Data_Daily!$B:$B, "Variant", Raw_Data_Daily!$C:$C, "E. 40-99"),"")</f>
        <v>-0.0771234756</v>
      </c>
      <c r="Q85" s="50">
        <f t="shared" si="76"/>
        <v>-0.3353892468</v>
      </c>
      <c r="R85" s="136">
        <f>IFERROR(SUMPRODUCT((Raw_Data_Daily!$B$2:$B$9999="Control")*(Raw_Data_Daily!$C$2:$C$9999="F. 100+")*Raw_Data_Daily!$D$2:$D$9999*(Raw_Data_Daily!$CE$2:$CE$9999-Raw_Data_Daily!$CH$2:$CH$9999))/SUMIFS(Raw_Data_Daily!$D:$D, Raw_Data_Daily!$B:$B, "Control", Raw_Data_Daily!$C:$C, "F. 100+"),"")</f>
        <v>-0.3579775085</v>
      </c>
      <c r="S85" s="51">
        <f>IFERROR(SUMPRODUCT((Raw_Data_Daily!$B$2:$B$9999="Variant")*(Raw_Data_Daily!$C$2:$C$9999="F. 100+")*Raw_Data_Daily!$D$2:$D$9999*(Raw_Data_Daily!$CE$2:$CE$9999-Raw_Data_Daily!$CH$2:$CH$9999))/SUMIFS(Raw_Data_Daily!$D:$D, Raw_Data_Daily!$B:$B, "Variant", Raw_Data_Daily!$C:$C, "F. 100+"),"")</f>
        <v>-0.1285394456</v>
      </c>
      <c r="T85" s="53">
        <f t="shared" si="77"/>
        <v>0.6409287103</v>
      </c>
    </row>
    <row r="86" ht="15.75" customHeight="1">
      <c r="A86" s="180" t="s">
        <v>103</v>
      </c>
      <c r="B86" s="28"/>
      <c r="C86" s="30"/>
      <c r="D86" s="7"/>
      <c r="E86" s="31"/>
      <c r="F86" s="32"/>
      <c r="G86" s="7"/>
      <c r="H86" s="28"/>
      <c r="I86" s="30"/>
      <c r="J86" s="7"/>
      <c r="K86" s="31"/>
      <c r="L86" s="32"/>
      <c r="M86" s="7"/>
      <c r="N86" s="28"/>
      <c r="O86" s="30"/>
      <c r="P86" s="7"/>
      <c r="Q86" s="31"/>
      <c r="R86" s="32"/>
      <c r="S86" s="7"/>
      <c r="T86" s="28"/>
    </row>
    <row r="87" ht="15.75" customHeight="1">
      <c r="A87" s="9"/>
      <c r="B87" s="232" t="s">
        <v>104</v>
      </c>
      <c r="C87" s="135" t="str">
        <f>IFERROR(SUMPRODUCT((Raw_Data_Daily!$B$2:$B$9999="Control")*(Raw_Data_Daily!$C$2:$C$9999="A. 0")*Raw_Data_Daily!$D$2:$D$9999*Raw_Data_Daily!$CI$2:$CI$9999)/SUMIFS(Raw_Data_Daily!$D:$D, Raw_Data_Daily!$B:$B, "Control", Raw_Data_Daily!$C:$C, "A. 0"),"")</f>
        <v/>
      </c>
      <c r="D87" s="51" t="str">
        <f>IFERROR(SUMPRODUCT((Raw_Data_Daily!$B$2:$B$9999="Variant")*(Raw_Data_Daily!$C$2:$C$9999="A. 0")*Raw_Data_Daily!$D$2:$D$9999*Raw_Data_Daily!$CI$2:$CI$9999)/SUMIFS(Raw_Data_Daily!$D:$D, Raw_Data_Daily!$B:$B, "Variant", Raw_Data_Daily!$C:$C, "A. 0"),"")</f>
        <v/>
      </c>
      <c r="E87" s="46" t="str">
        <f t="shared" ref="E87:E91" si="78">IFERROR((D87-C87)/ABS(C87),"")</f>
        <v/>
      </c>
      <c r="F87" s="136">
        <f>IFERROR(SUMPRODUCT((Raw_Data_Daily!$B$2:$B$9999="Control")*(Raw_Data_Daily!$C$2:$C$9999="B. 1-9")*Raw_Data_Daily!$D$2:$D$9999*Raw_Data_Daily!$CI$2:$CI$9999)/SUMIFS(Raw_Data_Daily!$D:$D, Raw_Data_Daily!$B:$B, "Control", Raw_Data_Daily!$C:$C, "B. 1-9"),"")</f>
        <v>0.554142158</v>
      </c>
      <c r="G87" s="51">
        <f>IFERROR(SUMPRODUCT((Raw_Data_Daily!$B$2:$B$9999="Variant")*(Raw_Data_Daily!$C$2:$C$9999="B. 1-9")*Raw_Data_Daily!$D$2:$D$9999*Raw_Data_Daily!$CI$2:$CI$9999)/SUMIFS(Raw_Data_Daily!$D:$D, Raw_Data_Daily!$B:$B, "Variant", Raw_Data_Daily!$C:$C, "B. 1-9"),"")</f>
        <v>0.5151024387</v>
      </c>
      <c r="H87" s="53">
        <f t="shared" ref="H87:H91" si="79">IFERROR((G87-F87)/ABS(F87),"")</f>
        <v>-0.07045072949</v>
      </c>
      <c r="I87" s="135">
        <f>IFERROR(SUMPRODUCT((Raw_Data_Daily!$B$2:$B$9999="Control")*(Raw_Data_Daily!$C$2:$C$9999="C. 10-19")*Raw_Data_Daily!$D$2:$D$9999*Raw_Data_Daily!$CI$2:$CI$9999)/SUMIFS(Raw_Data_Daily!$D:$D, Raw_Data_Daily!$B:$B, "Control", Raw_Data_Daily!$C:$C, "C. 10-19"),"")</f>
        <v>1.044217396</v>
      </c>
      <c r="J87" s="51">
        <f>IFERROR(SUMPRODUCT((Raw_Data_Daily!$B$2:$B$9999="Variant")*(Raw_Data_Daily!$C$2:$C$9999="C. 10-19")*Raw_Data_Daily!$D$2:$D$9999*Raw_Data_Daily!$CI$2:$CI$9999)/SUMIFS(Raw_Data_Daily!$D:$D, Raw_Data_Daily!$B:$B, "Variant", Raw_Data_Daily!$C:$C, "C. 10-19"),"")</f>
        <v>0.9743709183</v>
      </c>
      <c r="K87" s="50">
        <f t="shared" ref="K87:K91" si="80">IFERROR((J87-I87)/ABS(I87),"")</f>
        <v>-0.0668888279</v>
      </c>
      <c r="L87" s="136">
        <f>IFERROR(SUMPRODUCT((Raw_Data_Daily!$B$2:$B$9999="Control")*(Raw_Data_Daily!$C$2:$C$9999="D. 20-39")*Raw_Data_Daily!$D$2:$D$9999*Raw_Data_Daily!$CI$2:$CI$9999)/SUMIFS(Raw_Data_Daily!$D:$D, Raw_Data_Daily!$B:$B, "Control", Raw_Data_Daily!$C:$C, "D. 20-39"),"")</f>
        <v>1.562503758</v>
      </c>
      <c r="M87" s="51">
        <f>IFERROR(SUMPRODUCT((Raw_Data_Daily!$B$2:$B$9999="Variant")*(Raw_Data_Daily!$C$2:$C$9999="D. 20-39")*Raw_Data_Daily!$D$2:$D$9999*Raw_Data_Daily!$CI$2:$CI$9999)/SUMIFS(Raw_Data_Daily!$D:$D, Raw_Data_Daily!$B:$B, "Variant", Raw_Data_Daily!$C:$C, "D. 20-39"),"")</f>
        <v>1.47960831</v>
      </c>
      <c r="N87" s="53">
        <f t="shared" ref="N87:N91" si="81">IFERROR((M87-L87)/ABS(L87),"")</f>
        <v>-0.053052959</v>
      </c>
      <c r="O87" s="135">
        <f>IFERROR(SUMPRODUCT((Raw_Data_Daily!$B$2:$B$9999="Control")*(Raw_Data_Daily!$C$2:$C$9999="E. 40-99")*Raw_Data_Daily!$D$2:$D$9999*Raw_Data_Daily!$CI$2:$CI$9999)/SUMIFS(Raw_Data_Daily!$D:$D, Raw_Data_Daily!$B:$B, "Control", Raw_Data_Daily!$C:$C, "E. 40-99"),"")</f>
        <v>2.404122769</v>
      </c>
      <c r="P87" s="51">
        <f>IFERROR(SUMPRODUCT((Raw_Data_Daily!$B$2:$B$9999="Variant")*(Raw_Data_Daily!$C$2:$C$9999="E. 40-99")*Raw_Data_Daily!$D$2:$D$9999*Raw_Data_Daily!$CI$2:$CI$9999)/SUMIFS(Raw_Data_Daily!$D:$D, Raw_Data_Daily!$B:$B, "Variant", Raw_Data_Daily!$C:$C, "E. 40-99"),"")</f>
        <v>2.286430956</v>
      </c>
      <c r="Q87" s="50">
        <f t="shared" ref="Q87:Q91" si="82">IFERROR((P87-O87)/ABS(O87),"")</f>
        <v>-0.04895416067</v>
      </c>
      <c r="R87" s="136">
        <f>IFERROR(SUMPRODUCT((Raw_Data_Daily!$B$2:$B$9999="Control")*(Raw_Data_Daily!$C$2:$C$9999="F. 100+")*Raw_Data_Daily!$D$2:$D$9999*Raw_Data_Daily!$CI$2:$CI$9999)/SUMIFS(Raw_Data_Daily!$D:$D, Raw_Data_Daily!$B:$B, "Control", Raw_Data_Daily!$C:$C, "F. 100+"),"")</f>
        <v>3.67279022</v>
      </c>
      <c r="S87" s="138">
        <f>IFERROR(SUMPRODUCT((Raw_Data_Daily!$B$2:$B$9999="Variant")*(Raw_Data_Daily!$C$2:$C$9999="F. 100+")*Raw_Data_Daily!$D$2:$D$9999*Raw_Data_Daily!$CI$2:$CI$9999)/SUMIFS(Raw_Data_Daily!$D:$D, Raw_Data_Daily!$B:$B, "Variant", Raw_Data_Daily!$C:$C, "F. 100+"),"")</f>
        <v>3.436503533</v>
      </c>
      <c r="T87" s="220">
        <f t="shared" ref="T87:T91" si="83">IFERROR((S87-R87)/ABS(R87),"")</f>
        <v>-0.06433438131</v>
      </c>
    </row>
    <row r="88" ht="15.75" customHeight="1">
      <c r="A88" s="9"/>
      <c r="B88" s="232" t="s">
        <v>105</v>
      </c>
      <c r="C88" s="135" t="str">
        <f>IFERROR(SUMPRODUCT((Raw_Data_Daily!$B$2:$B$9999="Control")*(Raw_Data_Daily!$C$2:$C$9999="A. 0")*Raw_Data_Daily!$D$2:$D$9999*Raw_Data_Daily!$CJ$2:$CJ$9999)/SUMIFS(Raw_Data_Daily!$D:$D, Raw_Data_Daily!$B:$B, "Control", Raw_Data_Daily!$C:$C, "A. 0"),"")</f>
        <v/>
      </c>
      <c r="D88" s="51" t="str">
        <f>IFERROR(SUMPRODUCT((Raw_Data_Daily!$B$2:$B$9999="Variant")*(Raw_Data_Daily!$C$2:$C$9999="A. 0")*Raw_Data_Daily!$D$2:$D$9999*Raw_Data_Daily!$CJ$2:$CJ$9999)/SUMIFS(Raw_Data_Daily!$D:$D, Raw_Data_Daily!$B:$B, "Variant", Raw_Data_Daily!$C:$C, "A. 0"),"")</f>
        <v/>
      </c>
      <c r="E88" s="46" t="str">
        <f t="shared" si="78"/>
        <v/>
      </c>
      <c r="F88" s="136">
        <f>IFERROR(SUMPRODUCT((Raw_Data_Daily!$B$2:$B$9999="Control")*(Raw_Data_Daily!$C$2:$C$9999="B. 1-9")*Raw_Data_Daily!$D$2:$D$9999*Raw_Data_Daily!$CJ$2:$CJ$9999)/SUMIFS(Raw_Data_Daily!$D:$D, Raw_Data_Daily!$B:$B, "Control", Raw_Data_Daily!$C:$C, "B. 1-9"),"")</f>
        <v>0.006128905537</v>
      </c>
      <c r="G88" s="51">
        <f>IFERROR(SUMPRODUCT((Raw_Data_Daily!$B$2:$B$9999="Variant")*(Raw_Data_Daily!$C$2:$C$9999="B. 1-9")*Raw_Data_Daily!$D$2:$D$9999*Raw_Data_Daily!$CJ$2:$CJ$9999)/SUMIFS(Raw_Data_Daily!$D:$D, Raw_Data_Daily!$B:$B, "Variant", Raw_Data_Daily!$C:$C, "B. 1-9"),"")</f>
        <v>0.006726733108</v>
      </c>
      <c r="H88" s="53">
        <f t="shared" si="79"/>
        <v>0.09754230454</v>
      </c>
      <c r="I88" s="135">
        <f>IFERROR(SUMPRODUCT((Raw_Data_Daily!$B$2:$B$9999="Control")*(Raw_Data_Daily!$C$2:$C$9999="C. 10-19")*Raw_Data_Daily!$D$2:$D$9999*Raw_Data_Daily!$CJ$2:$CJ$9999)/SUMIFS(Raw_Data_Daily!$D:$D, Raw_Data_Daily!$B:$B, "Control", Raw_Data_Daily!$C:$C, "C. 10-19"),"")</f>
        <v>0.01737578526</v>
      </c>
      <c r="J88" s="51">
        <f>IFERROR(SUMPRODUCT((Raw_Data_Daily!$B$2:$B$9999="Variant")*(Raw_Data_Daily!$C$2:$C$9999="C. 10-19")*Raw_Data_Daily!$D$2:$D$9999*Raw_Data_Daily!$CJ$2:$CJ$9999)/SUMIFS(Raw_Data_Daily!$D:$D, Raw_Data_Daily!$B:$B, "Variant", Raw_Data_Daily!$C:$C, "C. 10-19"),"")</f>
        <v>0.01545082797</v>
      </c>
      <c r="K88" s="50">
        <f t="shared" si="80"/>
        <v>-0.1107839021</v>
      </c>
      <c r="L88" s="136">
        <f>IFERROR(SUMPRODUCT((Raw_Data_Daily!$B$2:$B$9999="Control")*(Raw_Data_Daily!$C$2:$C$9999="D. 20-39")*Raw_Data_Daily!$D$2:$D$9999*Raw_Data_Daily!$CJ$2:$CJ$9999)/SUMIFS(Raw_Data_Daily!$D:$D, Raw_Data_Daily!$B:$B, "Control", Raw_Data_Daily!$C:$C, "D. 20-39"),"")</f>
        <v>0.03302129513</v>
      </c>
      <c r="M88" s="51">
        <f>IFERROR(SUMPRODUCT((Raw_Data_Daily!$B$2:$B$9999="Variant")*(Raw_Data_Daily!$C$2:$C$9999="D. 20-39")*Raw_Data_Daily!$D$2:$D$9999*Raw_Data_Daily!$CJ$2:$CJ$9999)/SUMIFS(Raw_Data_Daily!$D:$D, Raw_Data_Daily!$B:$B, "Variant", Raw_Data_Daily!$C:$C, "D. 20-39"),"")</f>
        <v>0.02608209995</v>
      </c>
      <c r="N88" s="53">
        <f t="shared" si="81"/>
        <v>-0.210143035</v>
      </c>
      <c r="O88" s="135">
        <f>IFERROR(SUMPRODUCT((Raw_Data_Daily!$B$2:$B$9999="Control")*(Raw_Data_Daily!$C$2:$C$9999="E. 40-99")*Raw_Data_Daily!$D$2:$D$9999*Raw_Data_Daily!$CJ$2:$CJ$9999)/SUMIFS(Raw_Data_Daily!$D:$D, Raw_Data_Daily!$B:$B, "Control", Raw_Data_Daily!$C:$C, "E. 40-99"),"")</f>
        <v>0.0752883718</v>
      </c>
      <c r="P88" s="51">
        <f>IFERROR(SUMPRODUCT((Raw_Data_Daily!$B$2:$B$9999="Variant")*(Raw_Data_Daily!$C$2:$C$9999="E. 40-99")*Raw_Data_Daily!$D$2:$D$9999*Raw_Data_Daily!$CJ$2:$CJ$9999)/SUMIFS(Raw_Data_Daily!$D:$D, Raw_Data_Daily!$B:$B, "Variant", Raw_Data_Daily!$C:$C, "E. 40-99"),"")</f>
        <v>0.06624153644</v>
      </c>
      <c r="Q88" s="50">
        <f t="shared" si="82"/>
        <v>-0.1201624519</v>
      </c>
      <c r="R88" s="136">
        <f>IFERROR(SUMPRODUCT((Raw_Data_Daily!$B$2:$B$9999="Control")*(Raw_Data_Daily!$C$2:$C$9999="F. 100+")*Raw_Data_Daily!$D$2:$D$9999*Raw_Data_Daily!$CJ$2:$CJ$9999)/SUMIFS(Raw_Data_Daily!$D:$D, Raw_Data_Daily!$B:$B, "Control", Raw_Data_Daily!$C:$C, "F. 100+"),"")</f>
        <v>0.1448535513</v>
      </c>
      <c r="S88" s="138">
        <f>IFERROR(SUMPRODUCT((Raw_Data_Daily!$B$2:$B$9999="Variant")*(Raw_Data_Daily!$C$2:$C$9999="F. 100+")*Raw_Data_Daily!$D$2:$D$9999*Raw_Data_Daily!$CJ$2:$CJ$9999)/SUMIFS(Raw_Data_Daily!$D:$D, Raw_Data_Daily!$B:$B, "Variant", Raw_Data_Daily!$C:$C, "F. 100+"),"")</f>
        <v>0.2001049041</v>
      </c>
      <c r="T88" s="220">
        <f t="shared" si="83"/>
        <v>0.381429052</v>
      </c>
    </row>
    <row r="89" ht="15.75" customHeight="1">
      <c r="A89" s="9"/>
      <c r="B89" s="232" t="s">
        <v>106</v>
      </c>
      <c r="C89" s="135" t="str">
        <f>IFERROR(SUMPRODUCT((Raw_Data_Daily!$B$2:$B$9999="Control")*(Raw_Data_Daily!$C$2:$C$9999="A. 0")*Raw_Data_Daily!$D$2:$D$9999*Raw_Data_Daily!$CK$2:$CK$9999)/SUMIFS(Raw_Data_Daily!$D:$D, Raw_Data_Daily!$B:$B, "Control", Raw_Data_Daily!$C:$C, "A. 0"),"")</f>
        <v/>
      </c>
      <c r="D89" s="51" t="str">
        <f>IFERROR(SUMPRODUCT((Raw_Data_Daily!$B$2:$B$9999="Variant")*(Raw_Data_Daily!$C$2:$C$9999="A. 0")*Raw_Data_Daily!$D$2:$D$9999*Raw_Data_Daily!$CK$2:$CK$9999)/SUMIFS(Raw_Data_Daily!$D:$D, Raw_Data_Daily!$B:$B, "Variant", Raw_Data_Daily!$C:$C, "A. 0"),"")</f>
        <v/>
      </c>
      <c r="E89" s="46" t="str">
        <f t="shared" si="78"/>
        <v/>
      </c>
      <c r="F89" s="136">
        <f>IFERROR(SUMPRODUCT((Raw_Data_Daily!$B$2:$B$9999="Control")*(Raw_Data_Daily!$C$2:$C$9999="B. 1-9")*Raw_Data_Daily!$D$2:$D$9999*Raw_Data_Daily!$CK$2:$CK$9999)/SUMIFS(Raw_Data_Daily!$D:$D, Raw_Data_Daily!$B:$B, "Control", Raw_Data_Daily!$C:$C, "B. 1-9"),"")</f>
        <v>0.5479962248</v>
      </c>
      <c r="G89" s="51">
        <f>IFERROR(SUMPRODUCT((Raw_Data_Daily!$B$2:$B$9999="Variant")*(Raw_Data_Daily!$C$2:$C$9999="B. 1-9")*Raw_Data_Daily!$D$2:$D$9999*Raw_Data_Daily!$CK$2:$CK$9999)/SUMIFS(Raw_Data_Daily!$D:$D, Raw_Data_Daily!$B:$B, "Variant", Raw_Data_Daily!$C:$C, "B. 1-9"),"")</f>
        <v>0.5083584591</v>
      </c>
      <c r="H89" s="53">
        <f t="shared" si="79"/>
        <v>-0.07233218753</v>
      </c>
      <c r="I89" s="135">
        <f>IFERROR(SUMPRODUCT((Raw_Data_Daily!$B$2:$B$9999="Control")*(Raw_Data_Daily!$C$2:$C$9999="C. 10-19")*Raw_Data_Daily!$D$2:$D$9999*Raw_Data_Daily!$CK$2:$CK$9999)/SUMIFS(Raw_Data_Daily!$D:$D, Raw_Data_Daily!$B:$B, "Control", Raw_Data_Daily!$C:$C, "C. 10-19"),"")</f>
        <v>1.026808306</v>
      </c>
      <c r="J89" s="51">
        <f>IFERROR(SUMPRODUCT((Raw_Data_Daily!$B$2:$B$9999="Variant")*(Raw_Data_Daily!$C$2:$C$9999="C. 10-19")*Raw_Data_Daily!$D$2:$D$9999*Raw_Data_Daily!$CK$2:$CK$9999)/SUMIFS(Raw_Data_Daily!$D:$D, Raw_Data_Daily!$B:$B, "Variant", Raw_Data_Daily!$C:$C, "C. 10-19"),"")</f>
        <v>0.9589370383</v>
      </c>
      <c r="K89" s="50">
        <f t="shared" si="80"/>
        <v>-0.06609925852</v>
      </c>
      <c r="L89" s="136">
        <f>IFERROR(SUMPRODUCT((Raw_Data_Daily!$B$2:$B$9999="Control")*(Raw_Data_Daily!$C$2:$C$9999="D. 20-39")*Raw_Data_Daily!$D$2:$D$9999*Raw_Data_Daily!$CK$2:$CK$9999)/SUMIFS(Raw_Data_Daily!$D:$D, Raw_Data_Daily!$B:$B, "Control", Raw_Data_Daily!$C:$C, "D. 20-39"),"")</f>
        <v>1.529498446</v>
      </c>
      <c r="M89" s="51">
        <f>IFERROR(SUMPRODUCT((Raw_Data_Daily!$B$2:$B$9999="Variant")*(Raw_Data_Daily!$C$2:$C$9999="D. 20-39")*Raw_Data_Daily!$D$2:$D$9999*Raw_Data_Daily!$CK$2:$CK$9999)/SUMIFS(Raw_Data_Daily!$D:$D, Raw_Data_Daily!$B:$B, "Variant", Raw_Data_Daily!$C:$C, "D. 20-39"),"")</f>
        <v>1.45352621</v>
      </c>
      <c r="N89" s="53">
        <f t="shared" si="81"/>
        <v>-0.04967133916</v>
      </c>
      <c r="O89" s="135">
        <f>IFERROR(SUMPRODUCT((Raw_Data_Daily!$B$2:$B$9999="Control")*(Raw_Data_Daily!$C$2:$C$9999="E. 40-99")*Raw_Data_Daily!$D$2:$D$9999*Raw_Data_Daily!$CK$2:$CK$9999)/SUMIFS(Raw_Data_Daily!$D:$D, Raw_Data_Daily!$B:$B, "Control", Raw_Data_Daily!$C:$C, "E. 40-99"),"")</f>
        <v>2.328817505</v>
      </c>
      <c r="P89" s="51">
        <f>IFERROR(SUMPRODUCT((Raw_Data_Daily!$B$2:$B$9999="Variant")*(Raw_Data_Daily!$C$2:$C$9999="E. 40-99")*Raw_Data_Daily!$D$2:$D$9999*Raw_Data_Daily!$CK$2:$CK$9999)/SUMIFS(Raw_Data_Daily!$D:$D, Raw_Data_Daily!$B:$B, "Variant", Raw_Data_Daily!$C:$C, "E. 40-99"),"")</f>
        <v>2.220173097</v>
      </c>
      <c r="Q89" s="50">
        <f t="shared" si="82"/>
        <v>-0.04665217783</v>
      </c>
      <c r="R89" s="136">
        <f>IFERROR(SUMPRODUCT((Raw_Data_Daily!$B$2:$B$9999="Control")*(Raw_Data_Daily!$C$2:$C$9999="F. 100+")*Raw_Data_Daily!$D$2:$D$9999*Raw_Data_Daily!$CK$2:$CK$9999)/SUMIFS(Raw_Data_Daily!$D:$D, Raw_Data_Daily!$B:$B, "Control", Raw_Data_Daily!$C:$C, "F. 100+"),"")</f>
        <v>3.527902931</v>
      </c>
      <c r="S89" s="138">
        <f>IFERROR(SUMPRODUCT((Raw_Data_Daily!$B$2:$B$9999="Variant")*(Raw_Data_Daily!$C$2:$C$9999="F. 100+")*Raw_Data_Daily!$D$2:$D$9999*Raw_Data_Daily!$CK$2:$CK$9999)/SUMIFS(Raw_Data_Daily!$D:$D, Raw_Data_Daily!$B:$B, "Variant", Raw_Data_Daily!$C:$C, "F. 100+"),"")</f>
        <v>3.23638215</v>
      </c>
      <c r="T89" s="220">
        <f t="shared" si="83"/>
        <v>-0.08263288034</v>
      </c>
    </row>
    <row r="90" ht="15.75" customHeight="1">
      <c r="A90" s="9"/>
      <c r="B90" s="232" t="s">
        <v>107</v>
      </c>
      <c r="C90" s="135" t="str">
        <f>IFERROR(SUMPRODUCT((Raw_Data_Daily!$B$2:$B$9999="Control")*(Raw_Data_Daily!$C$2:$C$9999="A. 0")*Raw_Data_Daily!$D$2:$D$9999*Raw_Data_Daily!$CL$2:$CL$9999)/SUMIFS(Raw_Data_Daily!$D:$D, Raw_Data_Daily!$B:$B, "Control", Raw_Data_Daily!$C:$C, "A. 0"),"")</f>
        <v/>
      </c>
      <c r="D90" s="51" t="str">
        <f>IFERROR(SUMPRODUCT((Raw_Data_Daily!$B$2:$B$9999="Variant")*(Raw_Data_Daily!$C$2:$C$9999="A. 0")*Raw_Data_Daily!$D$2:$D$9999*Raw_Data_Daily!$CL$2:$CL$9999)/SUMIFS(Raw_Data_Daily!$D:$D, Raw_Data_Daily!$B:$B, "Variant", Raw_Data_Daily!$C:$C, "A. 0"),"")</f>
        <v/>
      </c>
      <c r="E90" s="46" t="str">
        <f t="shared" si="78"/>
        <v/>
      </c>
      <c r="F90" s="136">
        <f>IFERROR(SUMPRODUCT((Raw_Data_Daily!$B$2:$B$9999="Control")*(Raw_Data_Daily!$C$2:$C$9999="B. 1-9")*Raw_Data_Daily!$D$2:$D$9999*Raw_Data_Daily!$CL$2:$CL$9999)/SUMIFS(Raw_Data_Daily!$D:$D, Raw_Data_Daily!$B:$B, "Control", Raw_Data_Daily!$C:$C, "B. 1-9"),"")</f>
        <v>0.5513733062</v>
      </c>
      <c r="G90" s="51">
        <f>IFERROR(SUMPRODUCT((Raw_Data_Daily!$B$2:$B$9999="Variant")*(Raw_Data_Daily!$C$2:$C$9999="B. 1-9")*Raw_Data_Daily!$D$2:$D$9999*Raw_Data_Daily!$CL$2:$CL$9999)/SUMIFS(Raw_Data_Daily!$D:$D, Raw_Data_Daily!$B:$B, "Variant", Raw_Data_Daily!$C:$C, "B. 1-9"),"")</f>
        <v>0.5080006666</v>
      </c>
      <c r="H90" s="53">
        <f t="shared" si="79"/>
        <v>-0.07866292967</v>
      </c>
      <c r="I90" s="135">
        <f>IFERROR(SUMPRODUCT((Raw_Data_Daily!$B$2:$B$9999="Control")*(Raw_Data_Daily!$C$2:$C$9999="C. 10-19")*Raw_Data_Daily!$D$2:$D$9999*Raw_Data_Daily!$CL$2:$CL$9999)/SUMIFS(Raw_Data_Daily!$D:$D, Raw_Data_Daily!$B:$B, "Control", Raw_Data_Daily!$C:$C, "C. 10-19"),"")</f>
        <v>1.027402107</v>
      </c>
      <c r="J90" s="51">
        <f>IFERROR(SUMPRODUCT((Raw_Data_Daily!$B$2:$B$9999="Variant")*(Raw_Data_Daily!$C$2:$C$9999="C. 10-19")*Raw_Data_Daily!$D$2:$D$9999*Raw_Data_Daily!$CL$2:$CL$9999)/SUMIFS(Raw_Data_Daily!$D:$D, Raw_Data_Daily!$B:$B, "Variant", Raw_Data_Daily!$C:$C, "C. 10-19"),"")</f>
        <v>0.9437750616</v>
      </c>
      <c r="K90" s="50">
        <f t="shared" si="80"/>
        <v>-0.08139660703</v>
      </c>
      <c r="L90" s="136">
        <f>IFERROR(SUMPRODUCT((Raw_Data_Daily!$B$2:$B$9999="Control")*(Raw_Data_Daily!$C$2:$C$9999="D. 20-39")*Raw_Data_Daily!$D$2:$D$9999*Raw_Data_Daily!$CL$2:$CL$9999)/SUMIFS(Raw_Data_Daily!$D:$D, Raw_Data_Daily!$B:$B, "Control", Raw_Data_Daily!$C:$C, "D. 20-39"),"")</f>
        <v>1.5774518</v>
      </c>
      <c r="M90" s="51">
        <f>IFERROR(SUMPRODUCT((Raw_Data_Daily!$B$2:$B$9999="Variant")*(Raw_Data_Daily!$C$2:$C$9999="D. 20-39")*Raw_Data_Daily!$D$2:$D$9999*Raw_Data_Daily!$CL$2:$CL$9999)/SUMIFS(Raw_Data_Daily!$D:$D, Raw_Data_Daily!$B:$B, "Variant", Raw_Data_Daily!$C:$C, "D. 20-39"),"")</f>
        <v>1.438241475</v>
      </c>
      <c r="N90" s="53">
        <f t="shared" si="81"/>
        <v>-0.08825012879</v>
      </c>
      <c r="O90" s="135">
        <f>IFERROR(SUMPRODUCT((Raw_Data_Daily!$B$2:$B$9999="Control")*(Raw_Data_Daily!$C$2:$C$9999="E. 40-99")*Raw_Data_Daily!$D$2:$D$9999*Raw_Data_Daily!$CL$2:$CL$9999)/SUMIFS(Raw_Data_Daily!$D:$D, Raw_Data_Daily!$B:$B, "Control", Raw_Data_Daily!$C:$C, "E. 40-99"),"")</f>
        <v>2.585636171</v>
      </c>
      <c r="P90" s="51">
        <f>IFERROR(SUMPRODUCT((Raw_Data_Daily!$B$2:$B$9999="Variant")*(Raw_Data_Daily!$C$2:$C$9999="E. 40-99")*Raw_Data_Daily!$D$2:$D$9999*Raw_Data_Daily!$CL$2:$CL$9999)/SUMIFS(Raw_Data_Daily!$D:$D, Raw_Data_Daily!$B:$B, "Variant", Raw_Data_Daily!$C:$C, "E. 40-99"),"")</f>
        <v>2.374647577</v>
      </c>
      <c r="Q90" s="50">
        <f t="shared" si="82"/>
        <v>-0.08160026389</v>
      </c>
      <c r="R90" s="136">
        <f>IFERROR(SUMPRODUCT((Raw_Data_Daily!$B$2:$B$9999="Control")*(Raw_Data_Daily!$C$2:$C$9999="F. 100+")*Raw_Data_Daily!$D$2:$D$9999*Raw_Data_Daily!$CL$2:$CL$9999)/SUMIFS(Raw_Data_Daily!$D:$D, Raw_Data_Daily!$B:$B, "Control", Raw_Data_Daily!$C:$C, "F. 100+"),"")</f>
        <v>4.640927283</v>
      </c>
      <c r="S90" s="138">
        <f>IFERROR(SUMPRODUCT((Raw_Data_Daily!$B$2:$B$9999="Variant")*(Raw_Data_Daily!$C$2:$C$9999="F. 100+")*Raw_Data_Daily!$D$2:$D$9999*Raw_Data_Daily!$CL$2:$CL$9999)/SUMIFS(Raw_Data_Daily!$D:$D, Raw_Data_Daily!$B:$B, "Variant", Raw_Data_Daily!$C:$C, "F. 100+"),"")</f>
        <v>3.397184526</v>
      </c>
      <c r="T90" s="220">
        <f t="shared" si="83"/>
        <v>-0.2679944504</v>
      </c>
    </row>
    <row r="91" ht="15.75" customHeight="1">
      <c r="A91" s="9"/>
      <c r="B91" s="232" t="s">
        <v>108</v>
      </c>
      <c r="C91" s="135" t="str">
        <f>IFERROR(SUMPRODUCT((Raw_Data_Daily!$B$2:$B$9999="Control")*(Raw_Data_Daily!$C$2:$C$9999="A. 0")*Raw_Data_Daily!$D$2:$D$9999*(Raw_Data_Daily!$CI$2:$CI$9999-Raw_Data_Daily!$CL$2:$CL$9999))/SUMIFS(Raw_Data_Daily!$D:$D, Raw_Data_Daily!$B:$B, "Control", Raw_Data_Daily!$C:$C, "A. 0"),"")</f>
        <v/>
      </c>
      <c r="D91" s="51" t="str">
        <f>IFERROR(SUMPRODUCT((Raw_Data_Daily!$B$2:$B$9999="Variant")*(Raw_Data_Daily!$C$2:$C$9999="A. 0")*Raw_Data_Daily!$D$2:$D$9999*(Raw_Data_Daily!$CI$2:$CI$9999-Raw_Data_Daily!$CL$2:$CL$9999))/SUMIFS(Raw_Data_Daily!$D:$D, Raw_Data_Daily!$B:$B, "Variant", Raw_Data_Daily!$C:$C, "A. 0"),"")</f>
        <v/>
      </c>
      <c r="E91" s="38" t="str">
        <f t="shared" si="78"/>
        <v/>
      </c>
      <c r="F91" s="136">
        <f>IFERROR(SUMPRODUCT((Raw_Data_Daily!$B$2:$B$9999="Control")*(Raw_Data_Daily!$C$2:$C$9999="B. 1-9")*Raw_Data_Daily!$D$2:$D$9999*(Raw_Data_Daily!$CI$2:$CI$9999-Raw_Data_Daily!$CL$2:$CL$9999))/SUMIFS(Raw_Data_Daily!$D:$D, Raw_Data_Daily!$B:$B, "Control", Raw_Data_Daily!$C:$C, "B. 1-9"),"")</f>
        <v>0.002768851792</v>
      </c>
      <c r="G91" s="51">
        <f>IFERROR(SUMPRODUCT((Raw_Data_Daily!$B$2:$B$9999="Variant")*(Raw_Data_Daily!$C$2:$C$9999="B. 1-9")*Raw_Data_Daily!$D$2:$D$9999*(Raw_Data_Daily!$CI$2:$CI$9999-Raw_Data_Daily!$CL$2:$CL$9999))/SUMIFS(Raw_Data_Daily!$D:$D, Raw_Data_Daily!$B:$B, "Variant", Raw_Data_Daily!$C:$C, "B. 1-9"),"")</f>
        <v>0.007101772127</v>
      </c>
      <c r="H91" s="53">
        <f t="shared" si="79"/>
        <v>1.564879835</v>
      </c>
      <c r="I91" s="135">
        <f>IFERROR(SUMPRODUCT((Raw_Data_Daily!$B$2:$B$9999="Control")*(Raw_Data_Daily!$C$2:$C$9999="C. 10-19")*Raw_Data_Daily!$D$2:$D$9999*(Raw_Data_Daily!$CI$2:$CI$9999-Raw_Data_Daily!$CL$2:$CL$9999))/SUMIFS(Raw_Data_Daily!$D:$D, Raw_Data_Daily!$B:$B, "Control", Raw_Data_Daily!$C:$C, "C. 10-19"),"")</f>
        <v>0.01681528889</v>
      </c>
      <c r="J91" s="51">
        <f>IFERROR(SUMPRODUCT((Raw_Data_Daily!$B$2:$B$9999="Variant")*(Raw_Data_Daily!$C$2:$C$9999="C. 10-19")*Raw_Data_Daily!$D$2:$D$9999*(Raw_Data_Daily!$CI$2:$CI$9999-Raw_Data_Daily!$CL$2:$CL$9999))/SUMIFS(Raw_Data_Daily!$D:$D, Raw_Data_Daily!$B:$B, "Variant", Raw_Data_Daily!$C:$C, "C. 10-19"),"")</f>
        <v>0.03059585677</v>
      </c>
      <c r="K91" s="50">
        <f t="shared" si="80"/>
        <v>0.8195260852</v>
      </c>
      <c r="L91" s="136">
        <f>IFERROR(SUMPRODUCT((Raw_Data_Daily!$B$2:$B$9999="Control")*(Raw_Data_Daily!$C$2:$C$9999="D. 20-39")*Raw_Data_Daily!$D$2:$D$9999*(Raw_Data_Daily!$CI$2:$CI$9999-Raw_Data_Daily!$CL$2:$CL$9999))/SUMIFS(Raw_Data_Daily!$D:$D, Raw_Data_Daily!$B:$B, "Control", Raw_Data_Daily!$C:$C, "D. 20-39"),"")</f>
        <v>-0.01494804172</v>
      </c>
      <c r="M91" s="51">
        <f>IFERROR(SUMPRODUCT((Raw_Data_Daily!$B$2:$B$9999="Variant")*(Raw_Data_Daily!$C$2:$C$9999="D. 20-39")*Raw_Data_Daily!$D$2:$D$9999*(Raw_Data_Daily!$CI$2:$CI$9999-Raw_Data_Daily!$CL$2:$CL$9999))/SUMIFS(Raw_Data_Daily!$D:$D, Raw_Data_Daily!$B:$B, "Variant", Raw_Data_Daily!$C:$C, "D. 20-39"),"")</f>
        <v>0.04136683496</v>
      </c>
      <c r="N91" s="53">
        <f t="shared" si="81"/>
        <v>3.767374867</v>
      </c>
      <c r="O91" s="135">
        <f>IFERROR(SUMPRODUCT((Raw_Data_Daily!$B$2:$B$9999="Control")*(Raw_Data_Daily!$C$2:$C$9999="E. 40-99")*Raw_Data_Daily!$D$2:$D$9999*(Raw_Data_Daily!$CI$2:$CI$9999-Raw_Data_Daily!$CL$2:$CL$9999))/SUMIFS(Raw_Data_Daily!$D:$D, Raw_Data_Daily!$B:$B, "Control", Raw_Data_Daily!$C:$C, "E. 40-99"),"")</f>
        <v>-0.1815134023</v>
      </c>
      <c r="P91" s="51">
        <f>IFERROR(SUMPRODUCT((Raw_Data_Daily!$B$2:$B$9999="Variant")*(Raw_Data_Daily!$C$2:$C$9999="E. 40-99")*Raw_Data_Daily!$D$2:$D$9999*(Raw_Data_Daily!$CI$2:$CI$9999-Raw_Data_Daily!$CL$2:$CL$9999))/SUMIFS(Raw_Data_Daily!$D:$D, Raw_Data_Daily!$B:$B, "Variant", Raw_Data_Daily!$C:$C, "E. 40-99"),"")</f>
        <v>-0.0882166207</v>
      </c>
      <c r="Q91" s="50">
        <f t="shared" si="82"/>
        <v>0.5139939002</v>
      </c>
      <c r="R91" s="136">
        <f>IFERROR(SUMPRODUCT((Raw_Data_Daily!$B$2:$B$9999="Control")*(Raw_Data_Daily!$C$2:$C$9999="F. 100+")*Raw_Data_Daily!$D$2:$D$9999*(Raw_Data_Daily!$CI$2:$CI$9999-Raw_Data_Daily!$CL$2:$CL$9999))/SUMIFS(Raw_Data_Daily!$D:$D, Raw_Data_Daily!$B:$B, "Control", Raw_Data_Daily!$C:$C, "F. 100+"),"")</f>
        <v>-0.9681370631</v>
      </c>
      <c r="S91" s="51">
        <f>IFERROR(SUMPRODUCT((Raw_Data_Daily!$B$2:$B$9999="Variant")*(Raw_Data_Daily!$C$2:$C$9999="F. 100+")*Raw_Data_Daily!$D$2:$D$9999*(Raw_Data_Daily!$CI$2:$CI$9999-Raw_Data_Daily!$CL$2:$CL$9999))/SUMIFS(Raw_Data_Daily!$D:$D, Raw_Data_Daily!$B:$B, "Variant", Raw_Data_Daily!$C:$C, "F. 100+"),"")</f>
        <v>0.03931900701</v>
      </c>
      <c r="T91" s="53">
        <f t="shared" si="83"/>
        <v>1.040613058</v>
      </c>
    </row>
    <row r="92" ht="15.75" customHeight="1">
      <c r="A92" s="180" t="s">
        <v>109</v>
      </c>
      <c r="B92" s="28"/>
      <c r="C92" s="30"/>
      <c r="D92" s="7"/>
      <c r="E92" s="31"/>
      <c r="F92" s="32"/>
      <c r="G92" s="7"/>
      <c r="H92" s="28"/>
      <c r="I92" s="30"/>
      <c r="J92" s="7"/>
      <c r="K92" s="31"/>
      <c r="L92" s="32"/>
      <c r="M92" s="7"/>
      <c r="N92" s="28"/>
      <c r="O92" s="30"/>
      <c r="P92" s="7"/>
      <c r="Q92" s="31"/>
      <c r="R92" s="32"/>
      <c r="S92" s="7"/>
      <c r="T92" s="28"/>
    </row>
    <row r="93" ht="15.75" customHeight="1">
      <c r="A93" s="9"/>
      <c r="B93" s="232" t="s">
        <v>110</v>
      </c>
      <c r="C93" s="135" t="str">
        <f>IFERROR(SUMPRODUCT((Raw_Data_Daily!$B$2:$B$9999="Control")*(Raw_Data_Daily!$C$2:$C$9999="A. 0")*Raw_Data_Daily!$D$2:$D$9999*Raw_Data_Daily!$CA$2:$CA$9999)/SUMIFS(Raw_Data_Daily!$D:$D, Raw_Data_Daily!$B:$B, "Control", Raw_Data_Daily!$C:$C, "A. 0"),"")</f>
        <v/>
      </c>
      <c r="D93" s="51" t="str">
        <f>IFERROR(SUMPRODUCT((Raw_Data_Daily!$B$2:$B$9999="Variant")*(Raw_Data_Daily!$C$2:$C$9999="A. 0")*Raw_Data_Daily!$D$2:$D$9999*Raw_Data_Daily!$CA$2:$CA$9999)/SUMIFS(Raw_Data_Daily!$D:$D, Raw_Data_Daily!$B:$B, "Variant", Raw_Data_Daily!$C:$C, "A. 0"),"")</f>
        <v/>
      </c>
      <c r="E93" s="46" t="str">
        <f t="shared" ref="E93:E97" si="84">IFERROR((D93-C93)/ABS(C93),"")</f>
        <v/>
      </c>
      <c r="F93" s="136">
        <f>IFERROR(SUMPRODUCT((Raw_Data_Daily!$B$2:$B$9999="Control")*(Raw_Data_Daily!$C$2:$C$9999="B. 1-9")*Raw_Data_Daily!$D$2:$D$9999*Raw_Data_Daily!$CA$2:$CA$9999)/SUMIFS(Raw_Data_Daily!$D:$D, Raw_Data_Daily!$B:$B, "Control", Raw_Data_Daily!$C:$C, "B. 1-9"),"")</f>
        <v>0.3272935879</v>
      </c>
      <c r="G93" s="51">
        <f>IFERROR(SUMPRODUCT((Raw_Data_Daily!$B$2:$B$9999="Variant")*(Raw_Data_Daily!$C$2:$C$9999="B. 1-9")*Raw_Data_Daily!$D$2:$D$9999*Raw_Data_Daily!$CA$2:$CA$9999)/SUMIFS(Raw_Data_Daily!$D:$D, Raw_Data_Daily!$B:$B, "Variant", Raw_Data_Daily!$C:$C, "B. 1-9"),"")</f>
        <v>0.2340716996</v>
      </c>
      <c r="H93" s="53">
        <f t="shared" ref="H93:H97" si="85">IFERROR((G93-F93)/ABS(F93),"")</f>
        <v>-0.2848265037</v>
      </c>
      <c r="I93" s="135">
        <f>IFERROR(SUMPRODUCT((Raw_Data_Daily!$B$2:$B$9999="Control")*(Raw_Data_Daily!$C$2:$C$9999="C. 10-19")*Raw_Data_Daily!$D$2:$D$9999*Raw_Data_Daily!$CA$2:$CA$9999)/SUMIFS(Raw_Data_Daily!$D:$D, Raw_Data_Daily!$B:$B, "Control", Raw_Data_Daily!$C:$C, "C. 10-19"),"")</f>
        <v>0.5673152079</v>
      </c>
      <c r="J93" s="51">
        <f>IFERROR(SUMPRODUCT((Raw_Data_Daily!$B$2:$B$9999="Variant")*(Raw_Data_Daily!$C$2:$C$9999="C. 10-19")*Raw_Data_Daily!$D$2:$D$9999*Raw_Data_Daily!$CA$2:$CA$9999)/SUMIFS(Raw_Data_Daily!$D:$D, Raw_Data_Daily!$B:$B, "Variant", Raw_Data_Daily!$C:$C, "C. 10-19"),"")</f>
        <v>0.474006382</v>
      </c>
      <c r="K93" s="50">
        <f t="shared" ref="K93:K97" si="86">IFERROR((J93-I93)/ABS(I93),"")</f>
        <v>-0.1644743956</v>
      </c>
      <c r="L93" s="136">
        <f>IFERROR(SUMPRODUCT((Raw_Data_Daily!$B$2:$B$9999="Control")*(Raw_Data_Daily!$C$2:$C$9999="D. 20-39")*Raw_Data_Daily!$D$2:$D$9999*Raw_Data_Daily!$CA$2:$CA$9999)/SUMIFS(Raw_Data_Daily!$D:$D, Raw_Data_Daily!$B:$B, "Control", Raw_Data_Daily!$C:$C, "D. 20-39"),"")</f>
        <v>0.9203794737</v>
      </c>
      <c r="M93" s="51">
        <f>IFERROR(SUMPRODUCT((Raw_Data_Daily!$B$2:$B$9999="Variant")*(Raw_Data_Daily!$C$2:$C$9999="D. 20-39")*Raw_Data_Daily!$D$2:$D$9999*Raw_Data_Daily!$CA$2:$CA$9999)/SUMIFS(Raw_Data_Daily!$D:$D, Raw_Data_Daily!$B:$B, "Variant", Raw_Data_Daily!$C:$C, "D. 20-39"),"")</f>
        <v>0.7320147601</v>
      </c>
      <c r="N93" s="53">
        <f t="shared" ref="N93:N97" si="87">IFERROR((M93-L93)/ABS(L93),"")</f>
        <v>-0.2046598375</v>
      </c>
      <c r="O93" s="135">
        <f>IFERROR(SUMPRODUCT((Raw_Data_Daily!$B$2:$B$9999="Control")*(Raw_Data_Daily!$C$2:$C$9999="E. 40-99")*Raw_Data_Daily!$D$2:$D$9999*Raw_Data_Daily!$CA$2:$CA$9999)/SUMIFS(Raw_Data_Daily!$D:$D, Raw_Data_Daily!$B:$B, "Control", Raw_Data_Daily!$C:$C, "E. 40-99"),"")</f>
        <v>1.697987464</v>
      </c>
      <c r="P93" s="51">
        <f>IFERROR(SUMPRODUCT((Raw_Data_Daily!$B$2:$B$9999="Variant")*(Raw_Data_Daily!$C$2:$C$9999="E. 40-99")*Raw_Data_Daily!$D$2:$D$9999*Raw_Data_Daily!$CA$2:$CA$9999)/SUMIFS(Raw_Data_Daily!$D:$D, Raw_Data_Daily!$B:$B, "Variant", Raw_Data_Daily!$C:$C, "E. 40-99"),"")</f>
        <v>1.266356354</v>
      </c>
      <c r="Q93" s="50">
        <f t="shared" ref="Q93:Q97" si="88">IFERROR((P93-O93)/ABS(O93),"")</f>
        <v>-0.2542015882</v>
      </c>
      <c r="R93" s="136">
        <f>IFERROR(SUMPRODUCT((Raw_Data_Daily!$B$2:$B$9999="Control")*(Raw_Data_Daily!$C$2:$C$9999="F. 100+")*Raw_Data_Daily!$D$2:$D$9999*Raw_Data_Daily!$CA$2:$CA$9999)/SUMIFS(Raw_Data_Daily!$D:$D, Raw_Data_Daily!$B:$B, "Control", Raw_Data_Daily!$C:$C, "F. 100+"),"")</f>
        <v>2.929824605</v>
      </c>
      <c r="S93" s="138">
        <f>IFERROR(SUMPRODUCT((Raw_Data_Daily!$B$2:$B$9999="Variant")*(Raw_Data_Daily!$C$2:$C$9999="F. 100+")*Raw_Data_Daily!$D$2:$D$9999*Raw_Data_Daily!$CA$2:$CA$9999)/SUMIFS(Raw_Data_Daily!$D:$D, Raw_Data_Daily!$B:$B, "Variant", Raw_Data_Daily!$C:$C, "F. 100+"),"")</f>
        <v>2.330490222</v>
      </c>
      <c r="T93" s="220">
        <f t="shared" ref="T93:T97" si="89">IFERROR((S93-R93)/ABS(R93),"")</f>
        <v>-0.2045632295</v>
      </c>
    </row>
    <row r="94" ht="15.75" customHeight="1">
      <c r="A94" s="9"/>
      <c r="B94" s="232" t="s">
        <v>111</v>
      </c>
      <c r="C94" s="135" t="str">
        <f>IFERROR(SUMPRODUCT((Raw_Data_Daily!$B$2:$B$9999="Control")*(Raw_Data_Daily!$C$2:$C$9999="A. 0")*Raw_Data_Daily!$D$2:$D$9999*Raw_Data_Daily!$CB$2:$CB$9999)/SUMIFS(Raw_Data_Daily!$D:$D, Raw_Data_Daily!$B:$B, "Control", Raw_Data_Daily!$C:$C, "A. 0"),"")</f>
        <v/>
      </c>
      <c r="D94" s="51" t="str">
        <f>IFERROR(SUMPRODUCT((Raw_Data_Daily!$B$2:$B$9999="Variant")*(Raw_Data_Daily!$C$2:$C$9999="A. 0")*Raw_Data_Daily!$D$2:$D$9999*Raw_Data_Daily!$CB$2:$CB$9999)/SUMIFS(Raw_Data_Daily!$D:$D, Raw_Data_Daily!$B:$B, "Variant", Raw_Data_Daily!$C:$C, "A. 0"),"")</f>
        <v/>
      </c>
      <c r="E94" s="46" t="str">
        <f t="shared" si="84"/>
        <v/>
      </c>
      <c r="F94" s="136">
        <f>IFERROR(SUMPRODUCT((Raw_Data_Daily!$B$2:$B$9999="Control")*(Raw_Data_Daily!$C$2:$C$9999="B. 1-9")*Raw_Data_Daily!$D$2:$D$9999*Raw_Data_Daily!$CB$2:$CB$9999)/SUMIFS(Raw_Data_Daily!$D:$D, Raw_Data_Daily!$B:$B, "Control", Raw_Data_Daily!$C:$C, "B. 1-9"),"")</f>
        <v>0.004321224756</v>
      </c>
      <c r="G94" s="51">
        <f>IFERROR(SUMPRODUCT((Raw_Data_Daily!$B$2:$B$9999="Variant")*(Raw_Data_Daily!$C$2:$C$9999="B. 1-9")*Raw_Data_Daily!$D$2:$D$9999*Raw_Data_Daily!$CB$2:$CB$9999)/SUMIFS(Raw_Data_Daily!$D:$D, Raw_Data_Daily!$B:$B, "Variant", Raw_Data_Daily!$C:$C, "B. 1-9"),"")</f>
        <v>0.004319192625</v>
      </c>
      <c r="H94" s="53">
        <f t="shared" si="85"/>
        <v>-0.0004702672195</v>
      </c>
      <c r="I94" s="135">
        <f>IFERROR(SUMPRODUCT((Raw_Data_Daily!$B$2:$B$9999="Control")*(Raw_Data_Daily!$C$2:$C$9999="C. 10-19")*Raw_Data_Daily!$D$2:$D$9999*Raw_Data_Daily!$CB$2:$CB$9999)/SUMIFS(Raw_Data_Daily!$D:$D, Raw_Data_Daily!$B:$B, "Control", Raw_Data_Daily!$C:$C, "C. 10-19"),"")</f>
        <v>0.01351166443</v>
      </c>
      <c r="J94" s="51">
        <f>IFERROR(SUMPRODUCT((Raw_Data_Daily!$B$2:$B$9999="Variant")*(Raw_Data_Daily!$C$2:$C$9999="C. 10-19")*Raw_Data_Daily!$D$2:$D$9999*Raw_Data_Daily!$CB$2:$CB$9999)/SUMIFS(Raw_Data_Daily!$D:$D, Raw_Data_Daily!$B:$B, "Variant", Raw_Data_Daily!$C:$C, "C. 10-19"),"")</f>
        <v>0.01196146165</v>
      </c>
      <c r="K94" s="50">
        <f t="shared" si="86"/>
        <v>-0.1147307045</v>
      </c>
      <c r="L94" s="136">
        <f>IFERROR(SUMPRODUCT((Raw_Data_Daily!$B$2:$B$9999="Control")*(Raw_Data_Daily!$C$2:$C$9999="D. 20-39")*Raw_Data_Daily!$D$2:$D$9999*Raw_Data_Daily!$CB$2:$CB$9999)/SUMIFS(Raw_Data_Daily!$D:$D, Raw_Data_Daily!$B:$B, "Control", Raw_Data_Daily!$C:$C, "D. 20-39"),"")</f>
        <v>0.02723383511</v>
      </c>
      <c r="M94" s="51">
        <f>IFERROR(SUMPRODUCT((Raw_Data_Daily!$B$2:$B$9999="Variant")*(Raw_Data_Daily!$C$2:$C$9999="D. 20-39")*Raw_Data_Daily!$D$2:$D$9999*Raw_Data_Daily!$CB$2:$CB$9999)/SUMIFS(Raw_Data_Daily!$D:$D, Raw_Data_Daily!$B:$B, "Variant", Raw_Data_Daily!$C:$C, "D. 20-39"),"")</f>
        <v>0.0210453468</v>
      </c>
      <c r="N94" s="53">
        <f t="shared" si="87"/>
        <v>-0.2272352862</v>
      </c>
      <c r="O94" s="135">
        <f>IFERROR(SUMPRODUCT((Raw_Data_Daily!$B$2:$B$9999="Control")*(Raw_Data_Daily!$C$2:$C$9999="E. 40-99")*Raw_Data_Daily!$D$2:$D$9999*Raw_Data_Daily!$CB$2:$CB$9999)/SUMIFS(Raw_Data_Daily!$D:$D, Raw_Data_Daily!$B:$B, "Control", Raw_Data_Daily!$C:$C, "E. 40-99"),"")</f>
        <v>0.06452919242</v>
      </c>
      <c r="P94" s="51">
        <f>IFERROR(SUMPRODUCT((Raw_Data_Daily!$B$2:$B$9999="Variant")*(Raw_Data_Daily!$C$2:$C$9999="E. 40-99")*Raw_Data_Daily!$D$2:$D$9999*Raw_Data_Daily!$CB$2:$CB$9999)/SUMIFS(Raw_Data_Daily!$D:$D, Raw_Data_Daily!$B:$B, "Variant", Raw_Data_Daily!$C:$C, "E. 40-99"),"")</f>
        <v>0.05362989713</v>
      </c>
      <c r="Q94" s="50">
        <f t="shared" si="88"/>
        <v>-0.1689048766</v>
      </c>
      <c r="R94" s="136">
        <f>IFERROR(SUMPRODUCT((Raw_Data_Daily!$B$2:$B$9999="Control")*(Raw_Data_Daily!$C$2:$C$9999="F. 100+")*Raw_Data_Daily!$D$2:$D$9999*Raw_Data_Daily!$CB$2:$CB$9999)/SUMIFS(Raw_Data_Daily!$D:$D, Raw_Data_Daily!$B:$B, "Control", Raw_Data_Daily!$C:$C, "F. 100+"),"")</f>
        <v>0.1090651353</v>
      </c>
      <c r="S94" s="138">
        <f>IFERROR(SUMPRODUCT((Raw_Data_Daily!$B$2:$B$9999="Variant")*(Raw_Data_Daily!$C$2:$C$9999="F. 100+")*Raw_Data_Daily!$D$2:$D$9999*Raw_Data_Daily!$CB$2:$CB$9999)/SUMIFS(Raw_Data_Daily!$D:$D, Raw_Data_Daily!$B:$B, "Variant", Raw_Data_Daily!$C:$C, "F. 100+"),"")</f>
        <v>0.1532102041</v>
      </c>
      <c r="T94" s="220">
        <f t="shared" si="89"/>
        <v>0.4047587589</v>
      </c>
    </row>
    <row r="95" ht="15.75" customHeight="1">
      <c r="A95" s="9"/>
      <c r="B95" s="232" t="s">
        <v>112</v>
      </c>
      <c r="C95" s="135" t="str">
        <f>IFERROR(SUMPRODUCT((Raw_Data_Daily!$B$2:$B$9999="Control")*(Raw_Data_Daily!$C$2:$C$9999="A. 0")*Raw_Data_Daily!$D$2:$D$9999*Raw_Data_Daily!$CC$2:$CC$9999)/SUMIFS(Raw_Data_Daily!$D:$D, Raw_Data_Daily!$B:$B, "Control", Raw_Data_Daily!$C:$C, "A. 0"),"")</f>
        <v/>
      </c>
      <c r="D95" s="51" t="str">
        <f>IFERROR(SUMPRODUCT((Raw_Data_Daily!$B$2:$B$9999="Variant")*(Raw_Data_Daily!$C$2:$C$9999="A. 0")*Raw_Data_Daily!$D$2:$D$9999*Raw_Data_Daily!$CC$2:$CC$9999)/SUMIFS(Raw_Data_Daily!$D:$D, Raw_Data_Daily!$B:$B, "Variant", Raw_Data_Daily!$C:$C, "A. 0"),"")</f>
        <v/>
      </c>
      <c r="E95" s="46" t="str">
        <f t="shared" si="84"/>
        <v/>
      </c>
      <c r="F95" s="136">
        <f>IFERROR(SUMPRODUCT((Raw_Data_Daily!$B$2:$B$9999="Control")*(Raw_Data_Daily!$C$2:$C$9999="B. 1-9")*Raw_Data_Daily!$D$2:$D$9999*Raw_Data_Daily!$CC$2:$CC$9999)/SUMIFS(Raw_Data_Daily!$D:$D, Raw_Data_Daily!$B:$B, "Control", Raw_Data_Daily!$C:$C, "B. 1-9"),"")</f>
        <v>0.3229558632</v>
      </c>
      <c r="G95" s="51">
        <f>IFERROR(SUMPRODUCT((Raw_Data_Daily!$B$2:$B$9999="Variant")*(Raw_Data_Daily!$C$2:$C$9999="B. 1-9")*Raw_Data_Daily!$D$2:$D$9999*Raw_Data_Daily!$CC$2:$CC$9999)/SUMIFS(Raw_Data_Daily!$D:$D, Raw_Data_Daily!$B:$B, "Variant", Raw_Data_Daily!$C:$C, "B. 1-9"),"")</f>
        <v>0.2297359904</v>
      </c>
      <c r="H95" s="53">
        <f t="shared" si="85"/>
        <v>-0.2886458596</v>
      </c>
      <c r="I95" s="135">
        <f>IFERROR(SUMPRODUCT((Raw_Data_Daily!$B$2:$B$9999="Control")*(Raw_Data_Daily!$C$2:$C$9999="C. 10-19")*Raw_Data_Daily!$D$2:$D$9999*Raw_Data_Daily!$CC$2:$CC$9999)/SUMIFS(Raw_Data_Daily!$D:$D, Raw_Data_Daily!$B:$B, "Control", Raw_Data_Daily!$C:$C, "C. 10-19"),"")</f>
        <v>0.5538035088</v>
      </c>
      <c r="J95" s="51">
        <f>IFERROR(SUMPRODUCT((Raw_Data_Daily!$B$2:$B$9999="Variant")*(Raw_Data_Daily!$C$2:$C$9999="C. 10-19")*Raw_Data_Daily!$D$2:$D$9999*Raw_Data_Daily!$CC$2:$CC$9999)/SUMIFS(Raw_Data_Daily!$D:$D, Raw_Data_Daily!$B:$B, "Variant", Raw_Data_Daily!$C:$C, "C. 10-19"),"")</f>
        <v>0.4620613984</v>
      </c>
      <c r="K95" s="50">
        <f t="shared" si="86"/>
        <v>-0.1656582325</v>
      </c>
      <c r="L95" s="136">
        <f>IFERROR(SUMPRODUCT((Raw_Data_Daily!$B$2:$B$9999="Control")*(Raw_Data_Daily!$C$2:$C$9999="D. 20-39")*Raw_Data_Daily!$D$2:$D$9999*Raw_Data_Daily!$CC$2:$CC$9999)/SUMIFS(Raw_Data_Daily!$D:$D, Raw_Data_Daily!$B:$B, "Control", Raw_Data_Daily!$C:$C, "D. 20-39"),"")</f>
        <v>0.893179385</v>
      </c>
      <c r="M95" s="51">
        <f>IFERROR(SUMPRODUCT((Raw_Data_Daily!$B$2:$B$9999="Variant")*(Raw_Data_Daily!$C$2:$C$9999="D. 20-39")*Raw_Data_Daily!$D$2:$D$9999*Raw_Data_Daily!$CC$2:$CC$9999)/SUMIFS(Raw_Data_Daily!$D:$D, Raw_Data_Daily!$B:$B, "Variant", Raw_Data_Daily!$C:$C, "D. 20-39"),"")</f>
        <v>0.7109864899</v>
      </c>
      <c r="N95" s="53">
        <f t="shared" si="87"/>
        <v>-0.2039824229</v>
      </c>
      <c r="O95" s="135">
        <f>IFERROR(SUMPRODUCT((Raw_Data_Daily!$B$2:$B$9999="Control")*(Raw_Data_Daily!$C$2:$C$9999="E. 40-99")*Raw_Data_Daily!$D$2:$D$9999*Raw_Data_Daily!$CC$2:$CC$9999)/SUMIFS(Raw_Data_Daily!$D:$D, Raw_Data_Daily!$B:$B, "Control", Raw_Data_Daily!$C:$C, "E. 40-99"),"")</f>
        <v>1.633458271</v>
      </c>
      <c r="P95" s="51">
        <f>IFERROR(SUMPRODUCT((Raw_Data_Daily!$B$2:$B$9999="Variant")*(Raw_Data_Daily!$C$2:$C$9999="E. 40-99")*Raw_Data_Daily!$D$2:$D$9999*Raw_Data_Daily!$CC$2:$CC$9999)/SUMIFS(Raw_Data_Daily!$D:$D, Raw_Data_Daily!$B:$B, "Variant", Raw_Data_Daily!$C:$C, "E. 40-99"),"")</f>
        <v>1.212726457</v>
      </c>
      <c r="Q95" s="50">
        <f t="shared" si="88"/>
        <v>-0.2575712047</v>
      </c>
      <c r="R95" s="136">
        <f>IFERROR(SUMPRODUCT((Raw_Data_Daily!$B$2:$B$9999="Control")*(Raw_Data_Daily!$C$2:$C$9999="F. 100+")*Raw_Data_Daily!$D$2:$D$9999*Raw_Data_Daily!$CC$2:$CC$9999)/SUMIFS(Raw_Data_Daily!$D:$D, Raw_Data_Daily!$B:$B, "Control", Raw_Data_Daily!$C:$C, "F. 100+"),"")</f>
        <v>2.820742926</v>
      </c>
      <c r="S95" s="138">
        <f>IFERROR(SUMPRODUCT((Raw_Data_Daily!$B$2:$B$9999="Variant")*(Raw_Data_Daily!$C$2:$C$9999="F. 100+")*Raw_Data_Daily!$D$2:$D$9999*Raw_Data_Daily!$CC$2:$CC$9999)/SUMIFS(Raw_Data_Daily!$D:$D, Raw_Data_Daily!$B:$B, "Variant", Raw_Data_Daily!$C:$C, "F. 100+"),"")</f>
        <v>2.177279226</v>
      </c>
      <c r="T95" s="220">
        <f t="shared" si="89"/>
        <v>-0.2281185192</v>
      </c>
    </row>
    <row r="96" ht="15.75" customHeight="1">
      <c r="A96" s="9"/>
      <c r="B96" s="232" t="s">
        <v>113</v>
      </c>
      <c r="C96" s="135" t="str">
        <f>IFERROR(SUMPRODUCT((Raw_Data_Daily!$B$2:$B$9999="Control")*(Raw_Data_Daily!$C$2:$C$9999="A. 0")*Raw_Data_Daily!$D$2:$D$9999*Raw_Data_Daily!$CD$2:$CD$9999)/SUMIFS(Raw_Data_Daily!$D:$D, Raw_Data_Daily!$B:$B, "Control", Raw_Data_Daily!$C:$C, "A. 0"),"")</f>
        <v/>
      </c>
      <c r="D96" s="51" t="str">
        <f>IFERROR(SUMPRODUCT((Raw_Data_Daily!$B$2:$B$9999="Variant")*(Raw_Data_Daily!$C$2:$C$9999="A. 0")*Raw_Data_Daily!$D$2:$D$9999*Raw_Data_Daily!$CD$2:$CD$9999)/SUMIFS(Raw_Data_Daily!$D:$D, Raw_Data_Daily!$B:$B, "Variant", Raw_Data_Daily!$C:$C, "A. 0"),"")</f>
        <v/>
      </c>
      <c r="E96" s="46" t="str">
        <f t="shared" si="84"/>
        <v/>
      </c>
      <c r="F96" s="136">
        <f>IFERROR(SUMPRODUCT((Raw_Data_Daily!$B$2:$B$9999="Control")*(Raw_Data_Daily!$C$2:$C$9999="B. 1-9")*Raw_Data_Daily!$D$2:$D$9999*Raw_Data_Daily!$CD$2:$CD$9999)/SUMIFS(Raw_Data_Daily!$D:$D, Raw_Data_Daily!$B:$B, "Control", Raw_Data_Daily!$C:$C, "B. 1-9"),"")</f>
        <v>0.3114420928</v>
      </c>
      <c r="G96" s="51">
        <f>IFERROR(SUMPRODUCT((Raw_Data_Daily!$B$2:$B$9999="Variant")*(Raw_Data_Daily!$C$2:$C$9999="B. 1-9")*Raw_Data_Daily!$D$2:$D$9999*Raw_Data_Daily!$CD$2:$CD$9999)/SUMIFS(Raw_Data_Daily!$D:$D, Raw_Data_Daily!$B:$B, "Variant", Raw_Data_Daily!$C:$C, "B. 1-9"),"")</f>
        <v>0.2451791279</v>
      </c>
      <c r="H96" s="53">
        <f t="shared" si="85"/>
        <v>-0.2127617507</v>
      </c>
      <c r="I96" s="135">
        <f>IFERROR(SUMPRODUCT((Raw_Data_Daily!$B$2:$B$9999="Control")*(Raw_Data_Daily!$C$2:$C$9999="C. 10-19")*Raw_Data_Daily!$D$2:$D$9999*Raw_Data_Daily!$CD$2:$CD$9999)/SUMIFS(Raw_Data_Daily!$D:$D, Raw_Data_Daily!$B:$B, "Control", Raw_Data_Daily!$C:$C, "C. 10-19"),"")</f>
        <v>0.6276465421</v>
      </c>
      <c r="J96" s="51">
        <f>IFERROR(SUMPRODUCT((Raw_Data_Daily!$B$2:$B$9999="Variant")*(Raw_Data_Daily!$C$2:$C$9999="C. 10-19")*Raw_Data_Daily!$D$2:$D$9999*Raw_Data_Daily!$CD$2:$CD$9999)/SUMIFS(Raw_Data_Daily!$D:$D, Raw_Data_Daily!$B:$B, "Variant", Raw_Data_Daily!$C:$C, "C. 10-19"),"")</f>
        <v>0.4762305252</v>
      </c>
      <c r="K96" s="50">
        <f t="shared" si="86"/>
        <v>-0.2412440867</v>
      </c>
      <c r="L96" s="136">
        <f>IFERROR(SUMPRODUCT((Raw_Data_Daily!$B$2:$B$9999="Control")*(Raw_Data_Daily!$C$2:$C$9999="D. 20-39")*Raw_Data_Daily!$D$2:$D$9999*Raw_Data_Daily!$CD$2:$CD$9999)/SUMIFS(Raw_Data_Daily!$D:$D, Raw_Data_Daily!$B:$B, "Control", Raw_Data_Daily!$C:$C, "D. 20-39"),"")</f>
        <v>1.004558227</v>
      </c>
      <c r="M96" s="51">
        <f>IFERROR(SUMPRODUCT((Raw_Data_Daily!$B$2:$B$9999="Variant")*(Raw_Data_Daily!$C$2:$C$9999="D. 20-39")*Raw_Data_Daily!$D$2:$D$9999*Raw_Data_Daily!$CD$2:$CD$9999)/SUMIFS(Raw_Data_Daily!$D:$D, Raw_Data_Daily!$B:$B, "Variant", Raw_Data_Daily!$C:$C, "D. 20-39"),"")</f>
        <v>0.7115019061</v>
      </c>
      <c r="N96" s="53">
        <f t="shared" si="87"/>
        <v>-0.2917265649</v>
      </c>
      <c r="O96" s="135">
        <f>IFERROR(SUMPRODUCT((Raw_Data_Daily!$B$2:$B$9999="Control")*(Raw_Data_Daily!$C$2:$C$9999="E. 40-99")*Raw_Data_Daily!$D$2:$D$9999*Raw_Data_Daily!$CD$2:$CD$9999)/SUMIFS(Raw_Data_Daily!$D:$D, Raw_Data_Daily!$B:$B, "Control", Raw_Data_Daily!$C:$C, "E. 40-99"),"")</f>
        <v>1.884891188</v>
      </c>
      <c r="P96" s="51">
        <f>IFERROR(SUMPRODUCT((Raw_Data_Daily!$B$2:$B$9999="Variant")*(Raw_Data_Daily!$C$2:$C$9999="E. 40-99")*Raw_Data_Daily!$D$2:$D$9999*Raw_Data_Daily!$CD$2:$CD$9999)/SUMIFS(Raw_Data_Daily!$D:$D, Raw_Data_Daily!$B:$B, "Variant", Raw_Data_Daily!$C:$C, "E. 40-99"),"")</f>
        <v>1.285601388</v>
      </c>
      <c r="Q96" s="50">
        <f t="shared" si="88"/>
        <v>-0.3179439771</v>
      </c>
      <c r="R96" s="136">
        <f>IFERROR(SUMPRODUCT((Raw_Data_Daily!$B$2:$B$9999="Control")*(Raw_Data_Daily!$C$2:$C$9999="F. 100+")*Raw_Data_Daily!$D$2:$D$9999*Raw_Data_Daily!$CD$2:$CD$9999)/SUMIFS(Raw_Data_Daily!$D:$D, Raw_Data_Daily!$B:$B, "Control", Raw_Data_Daily!$C:$C, "F. 100+"),"")</f>
        <v>3.136134837</v>
      </c>
      <c r="S96" s="138">
        <f>IFERROR(SUMPRODUCT((Raw_Data_Daily!$B$2:$B$9999="Variant")*(Raw_Data_Daily!$C$2:$C$9999="F. 100+")*Raw_Data_Daily!$D$2:$D$9999*Raw_Data_Daily!$CD$2:$CD$9999)/SUMIFS(Raw_Data_Daily!$D:$D, Raw_Data_Daily!$B:$B, "Variant", Raw_Data_Daily!$C:$C, "F. 100+"),"")</f>
        <v>2.918067682</v>
      </c>
      <c r="T96" s="220">
        <f t="shared" si="89"/>
        <v>-0.0695337305</v>
      </c>
    </row>
    <row r="97" ht="15.75" customHeight="1">
      <c r="A97" s="9"/>
      <c r="B97" s="232" t="s">
        <v>114</v>
      </c>
      <c r="C97" s="135" t="str">
        <f>IFERROR(SUMPRODUCT((Raw_Data_Daily!$B$2:$B$9999="Control")*(Raw_Data_Daily!$C$2:$C$9999="A. 0")*Raw_Data_Daily!$D$2:$D$9999*(Raw_Data_Daily!$CA$2:$CA$9999-Raw_Data_Daily!$CD$2:$CD$9999))/SUMIFS(Raw_Data_Daily!$D:$D, Raw_Data_Daily!$B:$B, "Control", Raw_Data_Daily!$C:$C, "A. 0"),"")</f>
        <v/>
      </c>
      <c r="D97" s="51" t="str">
        <f>IFERROR(SUMPRODUCT((Raw_Data_Daily!$B$2:$B$9999="Variant")*(Raw_Data_Daily!$C$2:$C$9999="A. 0")*Raw_Data_Daily!$D$2:$D$9999*(Raw_Data_Daily!$CA$2:$CA$9999-Raw_Data_Daily!$CD$2:$CD$9999))/SUMIFS(Raw_Data_Daily!$D:$D, Raw_Data_Daily!$B:$B, "Variant", Raw_Data_Daily!$C:$C, "A. 0"),"")</f>
        <v/>
      </c>
      <c r="E97" s="38" t="str">
        <f t="shared" si="84"/>
        <v/>
      </c>
      <c r="F97" s="136">
        <f>IFERROR(SUMPRODUCT((Raw_Data_Daily!$B$2:$B$9999="Control")*(Raw_Data_Daily!$C$2:$C$9999="B. 1-9")*Raw_Data_Daily!$D$2:$D$9999*(Raw_Data_Daily!$CA$2:$CA$9999-Raw_Data_Daily!$CD$2:$CD$9999))/SUMIFS(Raw_Data_Daily!$D:$D, Raw_Data_Daily!$B:$B, "Control", Raw_Data_Daily!$C:$C, "B. 1-9"),"")</f>
        <v>0.01585149511</v>
      </c>
      <c r="G97" s="51">
        <f>IFERROR(SUMPRODUCT((Raw_Data_Daily!$B$2:$B$9999="Variant")*(Raw_Data_Daily!$C$2:$C$9999="B. 1-9")*Raw_Data_Daily!$D$2:$D$9999*(Raw_Data_Daily!$CA$2:$CA$9999-Raw_Data_Daily!$CD$2:$CD$9999))/SUMIFS(Raw_Data_Daily!$D:$D, Raw_Data_Daily!$B:$B, "Variant", Raw_Data_Daily!$C:$C, "B. 1-9"),"")</f>
        <v>-0.0111074283</v>
      </c>
      <c r="H97" s="53">
        <f t="shared" si="85"/>
        <v>-1.700718022</v>
      </c>
      <c r="I97" s="135">
        <f>IFERROR(SUMPRODUCT((Raw_Data_Daily!$B$2:$B$9999="Control")*(Raw_Data_Daily!$C$2:$C$9999="C. 10-19")*Raw_Data_Daily!$D$2:$D$9999*(Raw_Data_Daily!$CA$2:$CA$9999-Raw_Data_Daily!$CD$2:$CD$9999))/SUMIFS(Raw_Data_Daily!$D:$D, Raw_Data_Daily!$B:$B, "Control", Raw_Data_Daily!$C:$C, "C. 10-19"),"")</f>
        <v>-0.06033133414</v>
      </c>
      <c r="J97" s="51">
        <f>IFERROR(SUMPRODUCT((Raw_Data_Daily!$B$2:$B$9999="Variant")*(Raw_Data_Daily!$C$2:$C$9999="C. 10-19")*Raw_Data_Daily!$D$2:$D$9999*(Raw_Data_Daily!$CA$2:$CA$9999-Raw_Data_Daily!$CD$2:$CD$9999))/SUMIFS(Raw_Data_Daily!$D:$D, Raw_Data_Daily!$B:$B, "Variant", Raw_Data_Daily!$C:$C, "C. 10-19"),"")</f>
        <v>-0.002224143228</v>
      </c>
      <c r="K97" s="50">
        <f t="shared" si="86"/>
        <v>0.963134526</v>
      </c>
      <c r="L97" s="136">
        <f>IFERROR(SUMPRODUCT((Raw_Data_Daily!$B$2:$B$9999="Control")*(Raw_Data_Daily!$C$2:$C$9999="D. 20-39")*Raw_Data_Daily!$D$2:$D$9999*(Raw_Data_Daily!$CA$2:$CA$9999-Raw_Data_Daily!$CD$2:$CD$9999))/SUMIFS(Raw_Data_Daily!$D:$D, Raw_Data_Daily!$B:$B, "Control", Raw_Data_Daily!$C:$C, "D. 20-39"),"")</f>
        <v>-0.08417875326</v>
      </c>
      <c r="M97" s="51">
        <f>IFERROR(SUMPRODUCT((Raw_Data_Daily!$B$2:$B$9999="Variant")*(Raw_Data_Daily!$C$2:$C$9999="D. 20-39")*Raw_Data_Daily!$D$2:$D$9999*(Raw_Data_Daily!$CA$2:$CA$9999-Raw_Data_Daily!$CD$2:$CD$9999))/SUMIFS(Raw_Data_Daily!$D:$D, Raw_Data_Daily!$B:$B, "Variant", Raw_Data_Daily!$C:$C, "D. 20-39"),"")</f>
        <v>0.02051285402</v>
      </c>
      <c r="N97" s="53">
        <f t="shared" si="87"/>
        <v>1.243682084</v>
      </c>
      <c r="O97" s="135">
        <f>IFERROR(SUMPRODUCT((Raw_Data_Daily!$B$2:$B$9999="Control")*(Raw_Data_Daily!$C$2:$C$9999="E. 40-99")*Raw_Data_Daily!$D$2:$D$9999*(Raw_Data_Daily!$CA$2:$CA$9999-Raw_Data_Daily!$CD$2:$CD$9999))/SUMIFS(Raw_Data_Daily!$D:$D, Raw_Data_Daily!$B:$B, "Control", Raw_Data_Daily!$C:$C, "E. 40-99"),"")</f>
        <v>-0.1869037247</v>
      </c>
      <c r="P97" s="51">
        <f>IFERROR(SUMPRODUCT((Raw_Data_Daily!$B$2:$B$9999="Variant")*(Raw_Data_Daily!$C$2:$C$9999="E. 40-99")*Raw_Data_Daily!$D$2:$D$9999*(Raw_Data_Daily!$CA$2:$CA$9999-Raw_Data_Daily!$CD$2:$CD$9999))/SUMIFS(Raw_Data_Daily!$D:$D, Raw_Data_Daily!$B:$B, "Variant", Raw_Data_Daily!$C:$C, "E. 40-99"),"")</f>
        <v>-0.01924503392</v>
      </c>
      <c r="Q97" s="50">
        <f t="shared" si="88"/>
        <v>0.8970323681</v>
      </c>
      <c r="R97" s="136">
        <f>IFERROR(SUMPRODUCT((Raw_Data_Daily!$B$2:$B$9999="Control")*(Raw_Data_Daily!$C$2:$C$9999="F. 100+")*Raw_Data_Daily!$D$2:$D$9999*(Raw_Data_Daily!$CA$2:$CA$9999-Raw_Data_Daily!$CD$2:$CD$9999))/SUMIFS(Raw_Data_Daily!$D:$D, Raw_Data_Daily!$B:$B, "Control", Raw_Data_Daily!$C:$C, "F. 100+"),"")</f>
        <v>-0.2063102311</v>
      </c>
      <c r="S97" s="51">
        <f>IFERROR(SUMPRODUCT((Raw_Data_Daily!$B$2:$B$9999="Variant")*(Raw_Data_Daily!$C$2:$C$9999="F. 100+")*Raw_Data_Daily!$D$2:$D$9999*(Raw_Data_Daily!$CA$2:$CA$9999-Raw_Data_Daily!$CD$2:$CD$9999))/SUMIFS(Raw_Data_Daily!$D:$D, Raw_Data_Daily!$B:$B, "Variant", Raw_Data_Daily!$C:$C, "F. 100+"),"")</f>
        <v>-0.5875774596</v>
      </c>
      <c r="T97" s="53">
        <f t="shared" si="89"/>
        <v>-1.848028702</v>
      </c>
    </row>
    <row r="98" ht="15.75" customHeight="1">
      <c r="A98" s="180" t="s">
        <v>115</v>
      </c>
      <c r="B98" s="259" t="s">
        <v>116</v>
      </c>
      <c r="C98" s="30"/>
      <c r="D98" s="7"/>
      <c r="E98" s="31"/>
      <c r="F98" s="32"/>
      <c r="G98" s="7"/>
      <c r="H98" s="28"/>
      <c r="I98" s="30"/>
      <c r="J98" s="7"/>
      <c r="K98" s="31"/>
      <c r="L98" s="32"/>
      <c r="M98" s="7"/>
      <c r="N98" s="28"/>
      <c r="O98" s="30"/>
      <c r="P98" s="7"/>
      <c r="Q98" s="31"/>
      <c r="R98" s="32"/>
      <c r="S98" s="7"/>
      <c r="T98" s="28"/>
    </row>
    <row r="99" ht="15.75" customHeight="1">
      <c r="A99" s="75" t="s">
        <v>116</v>
      </c>
      <c r="B99" s="232" t="s">
        <v>117</v>
      </c>
      <c r="C99" s="135" t="str">
        <f>IFERROR(SUMPRODUCT((Raw_Data_Daily!$B$2:$B$9999="Control")*(Raw_Data_Daily!$C$2:$C$9999="A. 0")*Raw_Data_Daily!$D$2:$D$9999*Raw_Data_Daily!$CM$2:$CM$9999)/SUMIFS(Raw_Data_Daily!$D:$D, Raw_Data_Daily!$B:$B, "Control", Raw_Data_Daily!$C:$C, "A. 0"),"")</f>
        <v/>
      </c>
      <c r="D99" s="51" t="str">
        <f>IFERROR(SUMPRODUCT((Raw_Data_Daily!$B$2:$B$9999="Variant")*(Raw_Data_Daily!$C$2:$C$9999="A. 0")*Raw_Data_Daily!$D$2:$D$9999*Raw_Data_Daily!$CM$2:$CM$9999)/SUMIFS(Raw_Data_Daily!$D:$D, Raw_Data_Daily!$B:$B, "Variant", Raw_Data_Daily!$C:$C, "A. 0"),"")</f>
        <v/>
      </c>
      <c r="E99" s="46" t="str">
        <f t="shared" ref="E99:E106" si="90">IFERROR((D99-C99)/ABS(C99),"")</f>
        <v/>
      </c>
      <c r="F99" s="136">
        <f>IFERROR(SUMPRODUCT((Raw_Data_Daily!$B$2:$B$9999="Control")*(Raw_Data_Daily!$C$2:$C$9999="B. 1-9")*Raw_Data_Daily!$D$2:$D$9999*Raw_Data_Daily!$CM$2:$CM$9999)/SUMIFS(Raw_Data_Daily!$D:$D, Raw_Data_Daily!$B:$B, "Control", Raw_Data_Daily!$C:$C, "B. 1-9"),"")</f>
        <v>120.919251</v>
      </c>
      <c r="G99" s="51">
        <f>IFERROR(SUMPRODUCT((Raw_Data_Daily!$B$2:$B$9999="Variant")*(Raw_Data_Daily!$C$2:$C$9999="B. 1-9")*Raw_Data_Daily!$D$2:$D$9999*Raw_Data_Daily!$CM$2:$CM$9999)/SUMIFS(Raw_Data_Daily!$D:$D, Raw_Data_Daily!$B:$B, "Variant", Raw_Data_Daily!$C:$C, "B. 1-9"),"")</f>
        <v>115.3443476</v>
      </c>
      <c r="H99" s="53">
        <f t="shared" ref="H99:H106" si="91">IFERROR((G99-F99)/ABS(F99),"")</f>
        <v>-0.04610434954</v>
      </c>
      <c r="I99" s="135">
        <f>IFERROR(SUMPRODUCT((Raw_Data_Daily!$B$2:$B$9999="Control")*(Raw_Data_Daily!$C$2:$C$9999="C. 10-19")*Raw_Data_Daily!$D$2:$D$9999*Raw_Data_Daily!$CM$2:$CM$9999)/SUMIFS(Raw_Data_Daily!$D:$D, Raw_Data_Daily!$B:$B, "Control", Raw_Data_Daily!$C:$C, "C. 10-19"),"")</f>
        <v>258.9734535</v>
      </c>
      <c r="J99" s="51">
        <f>IFERROR(SUMPRODUCT((Raw_Data_Daily!$B$2:$B$9999="Variant")*(Raw_Data_Daily!$C$2:$C$9999="C. 10-19")*Raw_Data_Daily!$D$2:$D$9999*Raw_Data_Daily!$CM$2:$CM$9999)/SUMIFS(Raw_Data_Daily!$D:$D, Raw_Data_Daily!$B:$B, "Variant", Raw_Data_Daily!$C:$C, "C. 10-19"),"")</f>
        <v>246.320181</v>
      </c>
      <c r="K99" s="50">
        <f t="shared" ref="K99:K106" si="92">IFERROR((J99-I99)/ABS(I99),"")</f>
        <v>-0.04885934216</v>
      </c>
      <c r="L99" s="136">
        <f>IFERROR(SUMPRODUCT((Raw_Data_Daily!$B$2:$B$9999="Control")*(Raw_Data_Daily!$C$2:$C$9999="D. 20-39")*Raw_Data_Daily!$D$2:$D$9999*Raw_Data_Daily!$CM$2:$CM$9999)/SUMIFS(Raw_Data_Daily!$D:$D, Raw_Data_Daily!$B:$B, "Control", Raw_Data_Daily!$C:$C, "D. 20-39"),"")</f>
        <v>471.8356017</v>
      </c>
      <c r="M99" s="51">
        <f>IFERROR(SUMPRODUCT((Raw_Data_Daily!$B$2:$B$9999="Variant")*(Raw_Data_Daily!$C$2:$C$9999="D. 20-39")*Raw_Data_Daily!$D$2:$D$9999*Raw_Data_Daily!$CM$2:$CM$9999)/SUMIFS(Raw_Data_Daily!$D:$D, Raw_Data_Daily!$B:$B, "Variant", Raw_Data_Daily!$C:$C, "D. 20-39"),"")</f>
        <v>453.590801</v>
      </c>
      <c r="N99" s="53">
        <f t="shared" ref="N99:N106" si="93">IFERROR((M99-L99)/ABS(L99),"")</f>
        <v>-0.03866770675</v>
      </c>
      <c r="O99" s="135">
        <f>IFERROR(SUMPRODUCT((Raw_Data_Daily!$B$2:$B$9999="Control")*(Raw_Data_Daily!$C$2:$C$9999="E. 40-99")*Raw_Data_Daily!$D$2:$D$9999*Raw_Data_Daily!$CM$2:$CM$9999)/SUMIFS(Raw_Data_Daily!$D:$D, Raw_Data_Daily!$B:$B, "Control", Raw_Data_Daily!$C:$C, "E. 40-99"),"")</f>
        <v>934.4342103</v>
      </c>
      <c r="P99" s="51">
        <f>IFERROR(SUMPRODUCT((Raw_Data_Daily!$B$2:$B$9999="Variant")*(Raw_Data_Daily!$C$2:$C$9999="E. 40-99")*Raw_Data_Daily!$D$2:$D$9999*Raw_Data_Daily!$CM$2:$CM$9999)/SUMIFS(Raw_Data_Daily!$D:$D, Raw_Data_Daily!$B:$B, "Variant", Raw_Data_Daily!$C:$C, "E. 40-99"),"")</f>
        <v>886.9973044</v>
      </c>
      <c r="Q99" s="50">
        <f t="shared" ref="Q99:Q106" si="94">IFERROR((P99-O99)/ABS(O99),"")</f>
        <v>-0.05076537793</v>
      </c>
      <c r="R99" s="136">
        <f>IFERROR(SUMPRODUCT((Raw_Data_Daily!$B$2:$B$9999="Control")*(Raw_Data_Daily!$C$2:$C$9999="F. 100+")*Raw_Data_Daily!$D$2:$D$9999*Raw_Data_Daily!$CM$2:$CM$9999)/SUMIFS(Raw_Data_Daily!$D:$D, Raw_Data_Daily!$B:$B, "Control", Raw_Data_Daily!$C:$C, "F. 100+"),"")</f>
        <v>1984.251344</v>
      </c>
      <c r="S99" s="138">
        <f>IFERROR(SUMPRODUCT((Raw_Data_Daily!$B$2:$B$9999="Variant")*(Raw_Data_Daily!$C$2:$C$9999="F. 100+")*Raw_Data_Daily!$D$2:$D$9999*Raw_Data_Daily!$CM$2:$CM$9999)/SUMIFS(Raw_Data_Daily!$D:$D, Raw_Data_Daily!$B:$B, "Variant", Raw_Data_Daily!$C:$C, "F. 100+"),"")</f>
        <v>1865.83929</v>
      </c>
      <c r="T99" s="50">
        <f t="shared" ref="T99:T106" si="95">IFERROR((S99-R99)/ABS(R99),"")</f>
        <v>-0.05967593494</v>
      </c>
    </row>
    <row r="100" ht="15.75" customHeight="1">
      <c r="A100" s="75" t="s">
        <v>116</v>
      </c>
      <c r="B100" s="232" t="s">
        <v>118</v>
      </c>
      <c r="C100" s="135" t="str">
        <f>IFERROR(SUMPRODUCT((Raw_Data_Daily!$B$2:$B$9999="Control")*(Raw_Data_Daily!$C$2:$C$9999="A. 0")*Raw_Data_Daily!$D$2:$D$9999*Raw_Data_Daily!$CN$2:$CN$9999)/SUMIFS(Raw_Data_Daily!$D:$D, Raw_Data_Daily!$B:$B, "Control", Raw_Data_Daily!$C:$C, "A. 0"),"")</f>
        <v/>
      </c>
      <c r="D100" s="51" t="str">
        <f>IFERROR(SUMPRODUCT((Raw_Data_Daily!$B$2:$B$9999="Variant")*(Raw_Data_Daily!$C$2:$C$9999="A. 0")*Raw_Data_Daily!$D$2:$D$9999*Raw_Data_Daily!$CN$2:$CN$9999)/SUMIFS(Raw_Data_Daily!$D:$D, Raw_Data_Daily!$B:$B, "Variant", Raw_Data_Daily!$C:$C, "A. 0"),"")</f>
        <v/>
      </c>
      <c r="E100" s="46" t="str">
        <f t="shared" si="90"/>
        <v/>
      </c>
      <c r="F100" s="136">
        <f>IFERROR(SUMPRODUCT((Raw_Data_Daily!$B$2:$B$9999="Control")*(Raw_Data_Daily!$C$2:$C$9999="B. 1-9")*Raw_Data_Daily!$D$2:$D$9999*Raw_Data_Daily!$CN$2:$CN$9999)/SUMIFS(Raw_Data_Daily!$D:$D, Raw_Data_Daily!$B:$B, "Control", Raw_Data_Daily!$C:$C, "B. 1-9"),"")</f>
        <v>74.48594837</v>
      </c>
      <c r="G100" s="51">
        <f>IFERROR(SUMPRODUCT((Raw_Data_Daily!$B$2:$B$9999="Variant")*(Raw_Data_Daily!$C$2:$C$9999="B. 1-9")*Raw_Data_Daily!$D$2:$D$9999*Raw_Data_Daily!$CN$2:$CN$9999)/SUMIFS(Raw_Data_Daily!$D:$D, Raw_Data_Daily!$B:$B, "Variant", Raw_Data_Daily!$C:$C, "B. 1-9"),"")</f>
        <v>74.78157102</v>
      </c>
      <c r="H100" s="53">
        <f t="shared" si="91"/>
        <v>0.003968837751</v>
      </c>
      <c r="I100" s="135">
        <f>IFERROR(SUMPRODUCT((Raw_Data_Daily!$B$2:$B$9999="Control")*(Raw_Data_Daily!$C$2:$C$9999="C. 10-19")*Raw_Data_Daily!$D$2:$D$9999*Raw_Data_Daily!$CN$2:$CN$9999)/SUMIFS(Raw_Data_Daily!$D:$D, Raw_Data_Daily!$B:$B, "Control", Raw_Data_Daily!$C:$C, "C. 10-19"),"")</f>
        <v>87.61661378</v>
      </c>
      <c r="J100" s="51">
        <f>IFERROR(SUMPRODUCT((Raw_Data_Daily!$B$2:$B$9999="Variant")*(Raw_Data_Daily!$C$2:$C$9999="C. 10-19")*Raw_Data_Daily!$D$2:$D$9999*Raw_Data_Daily!$CN$2:$CN$9999)/SUMIFS(Raw_Data_Daily!$D:$D, Raw_Data_Daily!$B:$B, "Variant", Raw_Data_Daily!$C:$C, "C. 10-19"),"")</f>
        <v>87.83418999</v>
      </c>
      <c r="K100" s="50">
        <f t="shared" si="92"/>
        <v>0.002483275791</v>
      </c>
      <c r="L100" s="136">
        <f>IFERROR(SUMPRODUCT((Raw_Data_Daily!$B$2:$B$9999="Control")*(Raw_Data_Daily!$C$2:$C$9999="D. 20-39")*Raw_Data_Daily!$D$2:$D$9999*Raw_Data_Daily!$CN$2:$CN$9999)/SUMIFS(Raw_Data_Daily!$D:$D, Raw_Data_Daily!$B:$B, "Control", Raw_Data_Daily!$C:$C, "D. 20-39"),"")</f>
        <v>93.36078923</v>
      </c>
      <c r="M100" s="51">
        <f>IFERROR(SUMPRODUCT((Raw_Data_Daily!$B$2:$B$9999="Variant")*(Raw_Data_Daily!$C$2:$C$9999="D. 20-39")*Raw_Data_Daily!$D$2:$D$9999*Raw_Data_Daily!$CN$2:$CN$9999)/SUMIFS(Raw_Data_Daily!$D:$D, Raw_Data_Daily!$B:$B, "Variant", Raw_Data_Daily!$C:$C, "D. 20-39"),"")</f>
        <v>93.7060385</v>
      </c>
      <c r="N100" s="53">
        <f t="shared" si="93"/>
        <v>0.003698011518</v>
      </c>
      <c r="O100" s="135">
        <f>IFERROR(SUMPRODUCT((Raw_Data_Daily!$B$2:$B$9999="Control")*(Raw_Data_Daily!$C$2:$C$9999="E. 40-99")*Raw_Data_Daily!$D$2:$D$9999*Raw_Data_Daily!$CN$2:$CN$9999)/SUMIFS(Raw_Data_Daily!$D:$D, Raw_Data_Daily!$B:$B, "Control", Raw_Data_Daily!$C:$C, "E. 40-99"),"")</f>
        <v>96.62289486</v>
      </c>
      <c r="P100" s="51">
        <f>IFERROR(SUMPRODUCT((Raw_Data_Daily!$B$2:$B$9999="Variant")*(Raw_Data_Daily!$C$2:$C$9999="E. 40-99")*Raw_Data_Daily!$D$2:$D$9999*Raw_Data_Daily!$CN$2:$CN$9999)/SUMIFS(Raw_Data_Daily!$D:$D, Raw_Data_Daily!$B:$B, "Variant", Raw_Data_Daily!$C:$C, "E. 40-99"),"")</f>
        <v>96.70370278</v>
      </c>
      <c r="Q100" s="50">
        <f t="shared" si="94"/>
        <v>0.0008363227078</v>
      </c>
      <c r="R100" s="136">
        <f>IFERROR(SUMPRODUCT((Raw_Data_Daily!$B$2:$B$9999="Control")*(Raw_Data_Daily!$C$2:$C$9999="F. 100+")*Raw_Data_Daily!$D$2:$D$9999*Raw_Data_Daily!$CN$2:$CN$9999)/SUMIFS(Raw_Data_Daily!$D:$D, Raw_Data_Daily!$B:$B, "Control", Raw_Data_Daily!$C:$C, "F. 100+"),"")</f>
        <v>98.11163191</v>
      </c>
      <c r="S100" s="138">
        <f>IFERROR(SUMPRODUCT((Raw_Data_Daily!$B$2:$B$9999="Variant")*(Raw_Data_Daily!$C$2:$C$9999="F. 100+")*Raw_Data_Daily!$D$2:$D$9999*Raw_Data_Daily!$CN$2:$CN$9999)/SUMIFS(Raw_Data_Daily!$D:$D, Raw_Data_Daily!$B:$B, "Variant", Raw_Data_Daily!$C:$C, "F. 100+"),"")</f>
        <v>98.75203472</v>
      </c>
      <c r="T100" s="50">
        <f t="shared" si="95"/>
        <v>0.006527287403</v>
      </c>
    </row>
    <row r="101" ht="15.75" customHeight="1">
      <c r="A101" s="75" t="s">
        <v>116</v>
      </c>
      <c r="B101" s="232" t="s">
        <v>119</v>
      </c>
      <c r="C101" s="135" t="str">
        <f>IFERROR(SUMPRODUCT((Raw_Data_Daily!$B$2:$B$9999="Control")*(Raw_Data_Daily!$C$2:$C$9999="A. 0")*Raw_Data_Daily!$D$2:$D$9999*Raw_Data_Daily!$CO$2:$CO$9999)/SUMIFS(Raw_Data_Daily!$D:$D, Raw_Data_Daily!$B:$B, "Control", Raw_Data_Daily!$C:$C, "A. 0"),"")</f>
        <v/>
      </c>
      <c r="D101" s="51" t="str">
        <f>IFERROR(SUMPRODUCT((Raw_Data_Daily!$B$2:$B$9999="Variant")*(Raw_Data_Daily!$C$2:$C$9999="A. 0")*Raw_Data_Daily!$D$2:$D$9999*Raw_Data_Daily!$CO$2:$CO$9999)/SUMIFS(Raw_Data_Daily!$D:$D, Raw_Data_Daily!$B:$B, "Variant", Raw_Data_Daily!$C:$C, "A. 0"),"")</f>
        <v/>
      </c>
      <c r="E101" s="46" t="str">
        <f t="shared" si="90"/>
        <v/>
      </c>
      <c r="F101" s="136">
        <f>IFERROR(SUMPRODUCT((Raw_Data_Daily!$B$2:$B$9999="Control")*(Raw_Data_Daily!$C$2:$C$9999="B. 1-9")*Raw_Data_Daily!$D$2:$D$9999*Raw_Data_Daily!$CO$2:$CO$9999)/SUMIFS(Raw_Data_Daily!$D:$D, Raw_Data_Daily!$B:$B, "Control", Raw_Data_Daily!$C:$C, "B. 1-9"),"")</f>
        <v>160.2092365</v>
      </c>
      <c r="G101" s="51">
        <f>IFERROR(SUMPRODUCT((Raw_Data_Daily!$B$2:$B$9999="Variant")*(Raw_Data_Daily!$C$2:$C$9999="B. 1-9")*Raw_Data_Daily!$D$2:$D$9999*Raw_Data_Daily!$CO$2:$CO$9999)/SUMIFS(Raw_Data_Daily!$D:$D, Raw_Data_Daily!$B:$B, "Variant", Raw_Data_Daily!$C:$C, "B. 1-9"),"")</f>
        <v>152.4790908</v>
      </c>
      <c r="H101" s="53">
        <f t="shared" si="91"/>
        <v>-0.04825031192</v>
      </c>
      <c r="I101" s="135">
        <f>IFERROR(SUMPRODUCT((Raw_Data_Daily!$B$2:$B$9999="Control")*(Raw_Data_Daily!$C$2:$C$9999="C. 10-19")*Raw_Data_Daily!$D$2:$D$9999*Raw_Data_Daily!$CO$2:$CO$9999)/SUMIFS(Raw_Data_Daily!$D:$D, Raw_Data_Daily!$B:$B, "Control", Raw_Data_Daily!$C:$C, "C. 10-19"),"")</f>
        <v>293.6682782</v>
      </c>
      <c r="J101" s="51">
        <f>IFERROR(SUMPRODUCT((Raw_Data_Daily!$B$2:$B$9999="Variant")*(Raw_Data_Daily!$C$2:$C$9999="C. 10-19")*Raw_Data_Daily!$D$2:$D$9999*Raw_Data_Daily!$CO$2:$CO$9999)/SUMIFS(Raw_Data_Daily!$D:$D, Raw_Data_Daily!$B:$B, "Variant", Raw_Data_Daily!$C:$C, "C. 10-19"),"")</f>
        <v>279.1689086</v>
      </c>
      <c r="K101" s="50">
        <f t="shared" si="92"/>
        <v>-0.04937329179</v>
      </c>
      <c r="L101" s="136">
        <f>IFERROR(SUMPRODUCT((Raw_Data_Daily!$B$2:$B$9999="Control")*(Raw_Data_Daily!$C$2:$C$9999="D. 20-39")*Raw_Data_Daily!$D$2:$D$9999*Raw_Data_Daily!$CO$2:$CO$9999)/SUMIFS(Raw_Data_Daily!$D:$D, Raw_Data_Daily!$B:$B, "Control", Raw_Data_Daily!$C:$C, "D. 20-39"),"")</f>
        <v>503.4722593</v>
      </c>
      <c r="M101" s="51">
        <f>IFERROR(SUMPRODUCT((Raw_Data_Daily!$B$2:$B$9999="Variant")*(Raw_Data_Daily!$C$2:$C$9999="D. 20-39")*Raw_Data_Daily!$D$2:$D$9999*Raw_Data_Daily!$CO$2:$CO$9999)/SUMIFS(Raw_Data_Daily!$D:$D, Raw_Data_Daily!$B:$B, "Variant", Raw_Data_Daily!$C:$C, "D. 20-39"),"")</f>
        <v>482.9360974</v>
      </c>
      <c r="N101" s="53">
        <f t="shared" si="93"/>
        <v>-0.04078906357</v>
      </c>
      <c r="O101" s="135">
        <f>IFERROR(SUMPRODUCT((Raw_Data_Daily!$B$2:$B$9999="Control")*(Raw_Data_Daily!$C$2:$C$9999="E. 40-99")*Raw_Data_Daily!$D$2:$D$9999*Raw_Data_Daily!$CO$2:$CO$9999)/SUMIFS(Raw_Data_Daily!$D:$D, Raw_Data_Daily!$B:$B, "Control", Raw_Data_Daily!$C:$C, "E. 40-99"),"")</f>
        <v>965.4910703</v>
      </c>
      <c r="P101" s="51">
        <f>IFERROR(SUMPRODUCT((Raw_Data_Daily!$B$2:$B$9999="Variant")*(Raw_Data_Daily!$C$2:$C$9999="E. 40-99")*Raw_Data_Daily!$D$2:$D$9999*Raw_Data_Daily!$CO$2:$CO$9999)/SUMIFS(Raw_Data_Daily!$D:$D, Raw_Data_Daily!$B:$B, "Variant", Raw_Data_Daily!$C:$C, "E. 40-99"),"")</f>
        <v>915.2739059</v>
      </c>
      <c r="Q101" s="50">
        <f t="shared" si="94"/>
        <v>-0.05201204443</v>
      </c>
      <c r="R101" s="136">
        <f>IFERROR(SUMPRODUCT((Raw_Data_Daily!$B$2:$B$9999="Control")*(Raw_Data_Daily!$C$2:$C$9999="F. 100+")*Raw_Data_Daily!$D$2:$D$9999*Raw_Data_Daily!$CO$2:$CO$9999)/SUMIFS(Raw_Data_Daily!$D:$D, Raw_Data_Daily!$B:$B, "Control", Raw_Data_Daily!$C:$C, "F. 100+"),"")</f>
        <v>2022.393613</v>
      </c>
      <c r="S101" s="138">
        <f>IFERROR(SUMPRODUCT((Raw_Data_Daily!$B$2:$B$9999="Variant")*(Raw_Data_Daily!$C$2:$C$9999="F. 100+")*Raw_Data_Daily!$D$2:$D$9999*Raw_Data_Daily!$CO$2:$CO$9999)/SUMIFS(Raw_Data_Daily!$D:$D, Raw_Data_Daily!$B:$B, "Variant", Raw_Data_Daily!$C:$C, "F. 100+"),"")</f>
        <v>1884.389869</v>
      </c>
      <c r="T101" s="50">
        <f t="shared" si="95"/>
        <v>-0.06823782639</v>
      </c>
    </row>
    <row r="102" ht="15.75" customHeight="1">
      <c r="A102" s="75" t="s">
        <v>116</v>
      </c>
      <c r="B102" s="232" t="s">
        <v>120</v>
      </c>
      <c r="C102" s="135" t="str">
        <f>IFERROR(SUMPRODUCT((Raw_Data_Daily!$B$2:$B$9999="Control")*(Raw_Data_Daily!$C$2:$C$9999="A. 0")*Raw_Data_Daily!$D$2:$D$9999*Raw_Data_Daily!$CP$2:$CP$9999)/SUMIFS(Raw_Data_Daily!$D:$D, Raw_Data_Daily!$B:$B, "Control", Raw_Data_Daily!$C:$C, "A. 0"),"")</f>
        <v/>
      </c>
      <c r="D102" s="51" t="str">
        <f>IFERROR(SUMPRODUCT((Raw_Data_Daily!$B$2:$B$9999="Variant")*(Raw_Data_Daily!$C$2:$C$9999="A. 0")*Raw_Data_Daily!$D$2:$D$9999*Raw_Data_Daily!$CP$2:$CP$9999)/SUMIFS(Raw_Data_Daily!$D:$D, Raw_Data_Daily!$B:$B, "Variant", Raw_Data_Daily!$C:$C, "A. 0"),"")</f>
        <v/>
      </c>
      <c r="E102" s="46" t="str">
        <f t="shared" si="90"/>
        <v/>
      </c>
      <c r="F102" s="136">
        <f>IFERROR(SUMPRODUCT((Raw_Data_Daily!$B$2:$B$9999="Control")*(Raw_Data_Daily!$C$2:$C$9999="B. 1-9")*Raw_Data_Daily!$D$2:$D$9999*Raw_Data_Daily!$CP$2:$CP$9999)/SUMIFS(Raw_Data_Daily!$D:$D, Raw_Data_Daily!$B:$B, "Control", Raw_Data_Daily!$C:$C, "B. 1-9"),"")</f>
        <v>112.13162</v>
      </c>
      <c r="G102" s="51">
        <f>IFERROR(SUMPRODUCT((Raw_Data_Daily!$B$2:$B$9999="Variant")*(Raw_Data_Daily!$C$2:$C$9999="B. 1-9")*Raw_Data_Daily!$D$2:$D$9999*Raw_Data_Daily!$CP$2:$CP$9999)/SUMIFS(Raw_Data_Daily!$D:$D, Raw_Data_Daily!$B:$B, "Variant", Raw_Data_Daily!$C:$C, "B. 1-9"),"")</f>
        <v>96.52343598</v>
      </c>
      <c r="H102" s="53">
        <f t="shared" si="91"/>
        <v>-0.139195207</v>
      </c>
      <c r="I102" s="135">
        <f>IFERROR(SUMPRODUCT((Raw_Data_Daily!$B$2:$B$9999="Control")*(Raw_Data_Daily!$C$2:$C$9999="C. 10-19")*Raw_Data_Daily!$D$2:$D$9999*Raw_Data_Daily!$CP$2:$CP$9999)/SUMIFS(Raw_Data_Daily!$D:$D, Raw_Data_Daily!$B:$B, "Control", Raw_Data_Daily!$C:$C, "C. 10-19"),"")</f>
        <v>243.985086</v>
      </c>
      <c r="J102" s="51">
        <f>IFERROR(SUMPRODUCT((Raw_Data_Daily!$B$2:$B$9999="Variant")*(Raw_Data_Daily!$C$2:$C$9999="C. 10-19")*Raw_Data_Daily!$D$2:$D$9999*Raw_Data_Daily!$CP$2:$CP$9999)/SUMIFS(Raw_Data_Daily!$D:$D, Raw_Data_Daily!$B:$B, "Variant", Raw_Data_Daily!$C:$C, "C. 10-19"),"")</f>
        <v>211.8556338</v>
      </c>
      <c r="K102" s="50">
        <f t="shared" si="92"/>
        <v>-0.131686132</v>
      </c>
      <c r="L102" s="136">
        <f>IFERROR(SUMPRODUCT((Raw_Data_Daily!$B$2:$B$9999="Control")*(Raw_Data_Daily!$C$2:$C$9999="D. 20-39")*Raw_Data_Daily!$D$2:$D$9999*Raw_Data_Daily!$CP$2:$CP$9999)/SUMIFS(Raw_Data_Daily!$D:$D, Raw_Data_Daily!$B:$B, "Control", Raw_Data_Daily!$C:$C, "D. 20-39"),"")</f>
        <v>451.3418908</v>
      </c>
      <c r="M102" s="51">
        <f>IFERROR(SUMPRODUCT((Raw_Data_Daily!$B$2:$B$9999="Variant")*(Raw_Data_Daily!$C$2:$C$9999="D. 20-39")*Raw_Data_Daily!$D$2:$D$9999*Raw_Data_Daily!$CP$2:$CP$9999)/SUMIFS(Raw_Data_Daily!$D:$D, Raw_Data_Daily!$B:$B, "Variant", Raw_Data_Daily!$C:$C, "D. 20-39"),"")</f>
        <v>397.2870688</v>
      </c>
      <c r="N102" s="53">
        <f t="shared" si="93"/>
        <v>-0.1197646909</v>
      </c>
      <c r="O102" s="135">
        <f>IFERROR(SUMPRODUCT((Raw_Data_Daily!$B$2:$B$9999="Control")*(Raw_Data_Daily!$C$2:$C$9999="E. 40-99")*Raw_Data_Daily!$D$2:$D$9999*Raw_Data_Daily!$CP$2:$CP$9999)/SUMIFS(Raw_Data_Daily!$D:$D, Raw_Data_Daily!$B:$B, "Control", Raw_Data_Daily!$C:$C, "E. 40-99"),"")</f>
        <v>907.3062168</v>
      </c>
      <c r="P102" s="51">
        <f>IFERROR(SUMPRODUCT((Raw_Data_Daily!$B$2:$B$9999="Variant")*(Raw_Data_Daily!$C$2:$C$9999="E. 40-99")*Raw_Data_Daily!$D$2:$D$9999*Raw_Data_Daily!$CP$2:$CP$9999)/SUMIFS(Raw_Data_Daily!$D:$D, Raw_Data_Daily!$B:$B, "Variant", Raw_Data_Daily!$C:$C, "E. 40-99"),"")</f>
        <v>789.3100425</v>
      </c>
      <c r="Q102" s="50">
        <f t="shared" si="94"/>
        <v>-0.1300511031</v>
      </c>
      <c r="R102" s="136">
        <f>IFERROR(SUMPRODUCT((Raw_Data_Daily!$B$2:$B$9999="Control")*(Raw_Data_Daily!$C$2:$C$9999="F. 100+")*Raw_Data_Daily!$D$2:$D$9999*Raw_Data_Daily!$CP$2:$CP$9999)/SUMIFS(Raw_Data_Daily!$D:$D, Raw_Data_Daily!$B:$B, "Control", Raw_Data_Daily!$C:$C, "F. 100+"),"")</f>
        <v>1951.305572</v>
      </c>
      <c r="S102" s="138">
        <f>IFERROR(SUMPRODUCT((Raw_Data_Daily!$B$2:$B$9999="Variant")*(Raw_Data_Daily!$C$2:$C$9999="F. 100+")*Raw_Data_Daily!$D$2:$D$9999*Raw_Data_Daily!$CP$2:$CP$9999)/SUMIFS(Raw_Data_Daily!$D:$D, Raw_Data_Daily!$B:$B, "Variant", Raw_Data_Daily!$C:$C, "F. 100+"),"")</f>
        <v>1678.650835</v>
      </c>
      <c r="T102" s="50">
        <f t="shared" si="95"/>
        <v>-0.1397293901</v>
      </c>
    </row>
    <row r="103" ht="15.75" customHeight="1">
      <c r="A103" s="75" t="s">
        <v>116</v>
      </c>
      <c r="B103" s="232" t="s">
        <v>121</v>
      </c>
      <c r="C103" s="135" t="str">
        <f>IFERROR(SUMPRODUCT((Raw_Data_Daily!$B$2:$B$9999="Control")*(Raw_Data_Daily!$C$2:$C$9999="A. 0")*Raw_Data_Daily!$D$2:$D$9999*Raw_Data_Daily!$CQ$2:$CQ$9999)/SUMIFS(Raw_Data_Daily!$D:$D, Raw_Data_Daily!$B:$B, "Control", Raw_Data_Daily!$C:$C, "A. 0"),"")</f>
        <v/>
      </c>
      <c r="D103" s="51" t="str">
        <f>IFERROR(SUMPRODUCT((Raw_Data_Daily!$B$2:$B$9999="Variant")*(Raw_Data_Daily!$C$2:$C$9999="A. 0")*Raw_Data_Daily!$D$2:$D$9999*Raw_Data_Daily!$CQ$2:$CQ$9999)/SUMIFS(Raw_Data_Daily!$D:$D, Raw_Data_Daily!$B:$B, "Variant", Raw_Data_Daily!$C:$C, "A. 0"),"")</f>
        <v/>
      </c>
      <c r="E103" s="46" t="str">
        <f t="shared" si="90"/>
        <v/>
      </c>
      <c r="F103" s="136">
        <f>IFERROR(SUMPRODUCT((Raw_Data_Daily!$B$2:$B$9999="Control")*(Raw_Data_Daily!$C$2:$C$9999="B. 1-9")*Raw_Data_Daily!$D$2:$D$9999*Raw_Data_Daily!$CQ$2:$CQ$9999)/SUMIFS(Raw_Data_Daily!$D:$D, Raw_Data_Daily!$B:$B, "Control", Raw_Data_Daily!$C:$C, "B. 1-9"),"")</f>
        <v>0</v>
      </c>
      <c r="G103" s="51">
        <f>IFERROR(SUMPRODUCT((Raw_Data_Daily!$B$2:$B$9999="Variant")*(Raw_Data_Daily!$C$2:$C$9999="B. 1-9")*Raw_Data_Daily!$D$2:$D$9999*Raw_Data_Daily!$CQ$2:$CQ$9999)/SUMIFS(Raw_Data_Daily!$D:$D, Raw_Data_Daily!$B:$B, "Variant", Raw_Data_Daily!$C:$C, "B. 1-9"),"")</f>
        <v>9.443303798</v>
      </c>
      <c r="H103" s="53" t="str">
        <f t="shared" si="91"/>
        <v/>
      </c>
      <c r="I103" s="135">
        <f>IFERROR(SUMPRODUCT((Raw_Data_Daily!$B$2:$B$9999="Control")*(Raw_Data_Daily!$C$2:$C$9999="C. 10-19")*Raw_Data_Daily!$D$2:$D$9999*Raw_Data_Daily!$CQ$2:$CQ$9999)/SUMIFS(Raw_Data_Daily!$D:$D, Raw_Data_Daily!$B:$B, "Control", Raw_Data_Daily!$C:$C, "C. 10-19"),"")</f>
        <v>0</v>
      </c>
      <c r="J103" s="51">
        <f>IFERROR(SUMPRODUCT((Raw_Data_Daily!$B$2:$B$9999="Variant")*(Raw_Data_Daily!$C$2:$C$9999="C. 10-19")*Raw_Data_Daily!$D$2:$D$9999*Raw_Data_Daily!$CQ$2:$CQ$9999)/SUMIFS(Raw_Data_Daily!$D:$D, Raw_Data_Daily!$B:$B, "Variant", Raw_Data_Daily!$C:$C, "C. 10-19"),"")</f>
        <v>17.5577088</v>
      </c>
      <c r="K103" s="50" t="str">
        <f t="shared" si="92"/>
        <v/>
      </c>
      <c r="L103" s="136">
        <f>IFERROR(SUMPRODUCT((Raw_Data_Daily!$B$2:$B$9999="Control")*(Raw_Data_Daily!$C$2:$C$9999="D. 20-39")*Raw_Data_Daily!$D$2:$D$9999*Raw_Data_Daily!$CQ$2:$CQ$9999)/SUMIFS(Raw_Data_Daily!$D:$D, Raw_Data_Daily!$B:$B, "Control", Raw_Data_Daily!$C:$C, "D. 20-39"),"")</f>
        <v>0</v>
      </c>
      <c r="M103" s="51">
        <f>IFERROR(SUMPRODUCT((Raw_Data_Daily!$B$2:$B$9999="Variant")*(Raw_Data_Daily!$C$2:$C$9999="D. 20-39")*Raw_Data_Daily!$D$2:$D$9999*Raw_Data_Daily!$CQ$2:$CQ$9999)/SUMIFS(Raw_Data_Daily!$D:$D, Raw_Data_Daily!$B:$B, "Variant", Raw_Data_Daily!$C:$C, "D. 20-39"),"")</f>
        <v>30.99172386</v>
      </c>
      <c r="N103" s="53" t="str">
        <f t="shared" si="93"/>
        <v/>
      </c>
      <c r="O103" s="135">
        <f>IFERROR(SUMPRODUCT((Raw_Data_Daily!$B$2:$B$9999="Control")*(Raw_Data_Daily!$C$2:$C$9999="E. 40-99")*Raw_Data_Daily!$D$2:$D$9999*Raw_Data_Daily!$CQ$2:$CQ$9999)/SUMIFS(Raw_Data_Daily!$D:$D, Raw_Data_Daily!$B:$B, "Control", Raw_Data_Daily!$C:$C, "E. 40-99"),"")</f>
        <v>0</v>
      </c>
      <c r="P103" s="51">
        <f>IFERROR(SUMPRODUCT((Raw_Data_Daily!$B$2:$B$9999="Variant")*(Raw_Data_Daily!$C$2:$C$9999="E. 40-99")*Raw_Data_Daily!$D$2:$D$9999*Raw_Data_Daily!$CQ$2:$CQ$9999)/SUMIFS(Raw_Data_Daily!$D:$D, Raw_Data_Daily!$B:$B, "Variant", Raw_Data_Daily!$C:$C, "E. 40-99"),"")</f>
        <v>60.59990545</v>
      </c>
      <c r="Q103" s="50" t="str">
        <f t="shared" si="94"/>
        <v/>
      </c>
      <c r="R103" s="136">
        <f>IFERROR(SUMPRODUCT((Raw_Data_Daily!$B$2:$B$9999="Control")*(Raw_Data_Daily!$C$2:$C$9999="F. 100+")*Raw_Data_Daily!$D$2:$D$9999*Raw_Data_Daily!$CQ$2:$CQ$9999)/SUMIFS(Raw_Data_Daily!$D:$D, Raw_Data_Daily!$B:$B, "Control", Raw_Data_Daily!$C:$C, "F. 100+"),"")</f>
        <v>0</v>
      </c>
      <c r="S103" s="138">
        <f>IFERROR(SUMPRODUCT((Raw_Data_Daily!$B$2:$B$9999="Variant")*(Raw_Data_Daily!$C$2:$C$9999="F. 100+")*Raw_Data_Daily!$D$2:$D$9999*Raw_Data_Daily!$CQ$2:$CQ$9999)/SUMIFS(Raw_Data_Daily!$D:$D, Raw_Data_Daily!$B:$B, "Variant", Raw_Data_Daily!$C:$C, "F. 100+"),"")</f>
        <v>130.2042918</v>
      </c>
      <c r="T103" s="50" t="str">
        <f t="shared" si="95"/>
        <v/>
      </c>
    </row>
    <row r="104" ht="15.75" customHeight="1">
      <c r="A104" s="75" t="s">
        <v>116</v>
      </c>
      <c r="B104" s="232" t="s">
        <v>122</v>
      </c>
      <c r="C104" s="135" t="str">
        <f>IFERROR(SUMPRODUCT((Raw_Data_Daily!$B$2:$B$9999="Control")*(Raw_Data_Daily!$C$2:$C$9999="A. 0")*Raw_Data_Daily!$D$2:$D$9999*Raw_Data_Daily!$CR$2:$CR$9999)/SUMIFS(Raw_Data_Daily!$D:$D, Raw_Data_Daily!$B:$B, "Control", Raw_Data_Daily!$C:$C, "A. 0"),"")</f>
        <v/>
      </c>
      <c r="D104" s="51" t="str">
        <f>IFERROR(SUMPRODUCT((Raw_Data_Daily!$B$2:$B$9999="Variant")*(Raw_Data_Daily!$C$2:$C$9999="A. 0")*Raw_Data_Daily!$D$2:$D$9999*Raw_Data_Daily!$CR$2:$CR$9999)/SUMIFS(Raw_Data_Daily!$D:$D, Raw_Data_Daily!$B:$B, "Variant", Raw_Data_Daily!$C:$C, "A. 0"),"")</f>
        <v/>
      </c>
      <c r="E104" s="46" t="str">
        <f t="shared" si="90"/>
        <v/>
      </c>
      <c r="F104" s="136">
        <f>IFERROR(SUMPRODUCT((Raw_Data_Daily!$B$2:$B$9999="Control")*(Raw_Data_Daily!$C$2:$C$9999="B. 1-9")*Raw_Data_Daily!$D$2:$D$9999*Raw_Data_Daily!$CR$2:$CR$9999)/SUMIFS(Raw_Data_Daily!$D:$D, Raw_Data_Daily!$B:$B, "Control", Raw_Data_Daily!$C:$C, "B. 1-9"),"")</f>
        <v>5.766557818</v>
      </c>
      <c r="G104" s="51">
        <f>IFERROR(SUMPRODUCT((Raw_Data_Daily!$B$2:$B$9999="Variant")*(Raw_Data_Daily!$C$2:$C$9999="B. 1-9")*Raw_Data_Daily!$D$2:$D$9999*Raw_Data_Daily!$CR$2:$CR$9999)/SUMIFS(Raw_Data_Daily!$D:$D, Raw_Data_Daily!$B:$B, "Variant", Raw_Data_Daily!$C:$C, "B. 1-9"),"")</f>
        <v>5.662378878</v>
      </c>
      <c r="H104" s="53">
        <f t="shared" si="91"/>
        <v>-0.01806605315</v>
      </c>
      <c r="I104" s="135">
        <f>IFERROR(SUMPRODUCT((Raw_Data_Daily!$B$2:$B$9999="Control")*(Raw_Data_Daily!$C$2:$C$9999="C. 10-19")*Raw_Data_Daily!$D$2:$D$9999*Raw_Data_Daily!$CR$2:$CR$9999)/SUMIFS(Raw_Data_Daily!$D:$D, Raw_Data_Daily!$B:$B, "Control", Raw_Data_Daily!$C:$C, "C. 10-19"),"")</f>
        <v>6.431598742</v>
      </c>
      <c r="J104" s="51">
        <f>IFERROR(SUMPRODUCT((Raw_Data_Daily!$B$2:$B$9999="Variant")*(Raw_Data_Daily!$C$2:$C$9999="C. 10-19")*Raw_Data_Daily!$D$2:$D$9999*Raw_Data_Daily!$CR$2:$CR$9999)/SUMIFS(Raw_Data_Daily!$D:$D, Raw_Data_Daily!$B:$B, "Variant", Raw_Data_Daily!$C:$C, "C. 10-19"),"")</f>
        <v>6.236295041</v>
      </c>
      <c r="K104" s="50">
        <f t="shared" si="92"/>
        <v>-0.03036627569</v>
      </c>
      <c r="L104" s="136">
        <f>IFERROR(SUMPRODUCT((Raw_Data_Daily!$B$2:$B$9999="Control")*(Raw_Data_Daily!$C$2:$C$9999="D. 20-39")*Raw_Data_Daily!$D$2:$D$9999*Raw_Data_Daily!$CR$2:$CR$9999)/SUMIFS(Raw_Data_Daily!$D:$D, Raw_Data_Daily!$B:$B, "Control", Raw_Data_Daily!$C:$C, "D. 20-39"),"")</f>
        <v>7.31612161</v>
      </c>
      <c r="M104" s="51">
        <f>IFERROR(SUMPRODUCT((Raw_Data_Daily!$B$2:$B$9999="Variant")*(Raw_Data_Daily!$C$2:$C$9999="D. 20-39")*Raw_Data_Daily!$D$2:$D$9999*Raw_Data_Daily!$CR$2:$CR$9999)/SUMIFS(Raw_Data_Daily!$D:$D, Raw_Data_Daily!$B:$B, "Variant", Raw_Data_Daily!$C:$C, "D. 20-39"),"")</f>
        <v>7.112982262</v>
      </c>
      <c r="N104" s="53">
        <f t="shared" si="93"/>
        <v>-0.02776598839</v>
      </c>
      <c r="O104" s="135">
        <f>IFERROR(SUMPRODUCT((Raw_Data_Daily!$B$2:$B$9999="Control")*(Raw_Data_Daily!$C$2:$C$9999="E. 40-99")*Raw_Data_Daily!$D$2:$D$9999*Raw_Data_Daily!$CR$2:$CR$9999)/SUMIFS(Raw_Data_Daily!$D:$D, Raw_Data_Daily!$B:$B, "Control", Raw_Data_Daily!$C:$C, "E. 40-99"),"")</f>
        <v>8.501530668</v>
      </c>
      <c r="P104" s="51">
        <f>IFERROR(SUMPRODUCT((Raw_Data_Daily!$B$2:$B$9999="Variant")*(Raw_Data_Daily!$C$2:$C$9999="E. 40-99")*Raw_Data_Daily!$D$2:$D$9999*Raw_Data_Daily!$CR$2:$CR$9999)/SUMIFS(Raw_Data_Daily!$D:$D, Raw_Data_Daily!$B:$B, "Variant", Raw_Data_Daily!$C:$C, "E. 40-99"),"")</f>
        <v>8.110884657</v>
      </c>
      <c r="Q104" s="50">
        <f t="shared" si="94"/>
        <v>-0.04595007956</v>
      </c>
      <c r="R104" s="136">
        <f>IFERROR(SUMPRODUCT((Raw_Data_Daily!$B$2:$B$9999="Control")*(Raw_Data_Daily!$C$2:$C$9999="F. 100+")*Raw_Data_Daily!$D$2:$D$9999*Raw_Data_Daily!$CR$2:$CR$9999)/SUMIFS(Raw_Data_Daily!$D:$D, Raw_Data_Daily!$B:$B, "Control", Raw_Data_Daily!$C:$C, "F. 100+"),"")</f>
        <v>10.51300451</v>
      </c>
      <c r="S104" s="138">
        <f>IFERROR(SUMPRODUCT((Raw_Data_Daily!$B$2:$B$9999="Variant")*(Raw_Data_Daily!$C$2:$C$9999="F. 100+")*Raw_Data_Daily!$D$2:$D$9999*Raw_Data_Daily!$CR$2:$CR$9999)/SUMIFS(Raw_Data_Daily!$D:$D, Raw_Data_Daily!$B:$B, "Variant", Raw_Data_Daily!$C:$C, "F. 100+"),"")</f>
        <v>12.52392324</v>
      </c>
      <c r="T104" s="50">
        <f t="shared" si="95"/>
        <v>0.1912791657</v>
      </c>
    </row>
    <row r="105" ht="15.75" customHeight="1">
      <c r="A105" s="75" t="s">
        <v>116</v>
      </c>
      <c r="B105" s="232" t="s">
        <v>123</v>
      </c>
      <c r="C105" s="135" t="str">
        <f>IFERROR(SUMPRODUCT((Raw_Data_Daily!$B$2:$B$9999="Control")*(Raw_Data_Daily!$C$2:$C$9999="A. 0")*Raw_Data_Daily!$D$2:$D$9999*Raw_Data_Daily!$CS$2:$CS$9999)/SUMIFS(Raw_Data_Daily!$D:$D, Raw_Data_Daily!$B:$B, "Control", Raw_Data_Daily!$C:$C, "A. 0"),"")</f>
        <v/>
      </c>
      <c r="D105" s="51" t="str">
        <f>IFERROR(SUMPRODUCT((Raw_Data_Daily!$B$2:$B$9999="Variant")*(Raw_Data_Daily!$C$2:$C$9999="A. 0")*Raw_Data_Daily!$D$2:$D$9999*Raw_Data_Daily!$CS$2:$CS$9999)/SUMIFS(Raw_Data_Daily!$D:$D, Raw_Data_Daily!$B:$B, "Variant", Raw_Data_Daily!$C:$C, "A. 0"),"")</f>
        <v/>
      </c>
      <c r="E105" s="46" t="str">
        <f t="shared" si="90"/>
        <v/>
      </c>
      <c r="F105" s="136">
        <f>IFERROR(SUMPRODUCT((Raw_Data_Daily!$B$2:$B$9999="Control")*(Raw_Data_Daily!$C$2:$C$9999="B. 1-9")*Raw_Data_Daily!$D$2:$D$9999*Raw_Data_Daily!$CS$2:$CS$9999)/SUMIFS(Raw_Data_Daily!$D:$D, Raw_Data_Daily!$B:$B, "Control", Raw_Data_Daily!$C:$C, "B. 1-9"),"")</f>
        <v>3.021073127</v>
      </c>
      <c r="G105" s="51">
        <f>IFERROR(SUMPRODUCT((Raw_Data_Daily!$B$2:$B$9999="Variant")*(Raw_Data_Daily!$C$2:$C$9999="B. 1-9")*Raw_Data_Daily!$D$2:$D$9999*Raw_Data_Daily!$CS$2:$CS$9999)/SUMIFS(Raw_Data_Daily!$D:$D, Raw_Data_Daily!$B:$B, "Variant", Raw_Data_Daily!$C:$C, "B. 1-9"),"")</f>
        <v>3.713566853</v>
      </c>
      <c r="H105" s="53">
        <f t="shared" si="91"/>
        <v>0.2292211069</v>
      </c>
      <c r="I105" s="135">
        <f>IFERROR(SUMPRODUCT((Raw_Data_Daily!$B$2:$B$9999="Control")*(Raw_Data_Daily!$C$2:$C$9999="C. 10-19")*Raw_Data_Daily!$D$2:$D$9999*Raw_Data_Daily!$CS$2:$CS$9999)/SUMIFS(Raw_Data_Daily!$D:$D, Raw_Data_Daily!$B:$B, "Control", Raw_Data_Daily!$C:$C, "C. 10-19"),"")</f>
        <v>8.560111024</v>
      </c>
      <c r="J105" s="51">
        <f>IFERROR(SUMPRODUCT((Raw_Data_Daily!$B$2:$B$9999="Variant")*(Raw_Data_Daily!$C$2:$C$9999="C. 10-19")*Raw_Data_Daily!$D$2:$D$9999*Raw_Data_Daily!$CS$2:$CS$9999)/SUMIFS(Raw_Data_Daily!$D:$D, Raw_Data_Daily!$B:$B, "Variant", Raw_Data_Daily!$C:$C, "C. 10-19"),"")</f>
        <v>10.66884898</v>
      </c>
      <c r="K105" s="50">
        <f t="shared" si="92"/>
        <v>0.2463446967</v>
      </c>
      <c r="L105" s="136">
        <f>IFERROR(SUMPRODUCT((Raw_Data_Daily!$B$2:$B$9999="Control")*(Raw_Data_Daily!$C$2:$C$9999="D. 20-39")*Raw_Data_Daily!$D$2:$D$9999*Raw_Data_Daily!$CS$2:$CS$9999)/SUMIFS(Raw_Data_Daily!$D:$D, Raw_Data_Daily!$B:$B, "Control", Raw_Data_Daily!$C:$C, "D. 20-39"),"")</f>
        <v>13.17758931</v>
      </c>
      <c r="M105" s="51">
        <f>IFERROR(SUMPRODUCT((Raw_Data_Daily!$B$2:$B$9999="Variant")*(Raw_Data_Daily!$C$2:$C$9999="D. 20-39")*Raw_Data_Daily!$D$2:$D$9999*Raw_Data_Daily!$CS$2:$CS$9999)/SUMIFS(Raw_Data_Daily!$D:$D, Raw_Data_Daily!$B:$B, "Variant", Raw_Data_Daily!$C:$C, "D. 20-39"),"")</f>
        <v>18.19733416</v>
      </c>
      <c r="N105" s="53">
        <f t="shared" si="93"/>
        <v>0.3809304365</v>
      </c>
      <c r="O105" s="135">
        <f>IFERROR(SUMPRODUCT((Raw_Data_Daily!$B$2:$B$9999="Control")*(Raw_Data_Daily!$C$2:$C$9999="E. 40-99")*Raw_Data_Daily!$D$2:$D$9999*Raw_Data_Daily!$CS$2:$CS$9999)/SUMIFS(Raw_Data_Daily!$D:$D, Raw_Data_Daily!$B:$B, "Control", Raw_Data_Daily!$C:$C, "E. 40-99"),"")</f>
        <v>18.62480557</v>
      </c>
      <c r="P105" s="51">
        <f>IFERROR(SUMPRODUCT((Raw_Data_Daily!$B$2:$B$9999="Variant")*(Raw_Data_Daily!$C$2:$C$9999="E. 40-99")*Raw_Data_Daily!$D$2:$D$9999*Raw_Data_Daily!$CS$2:$CS$9999)/SUMIFS(Raw_Data_Daily!$D:$D, Raw_Data_Daily!$B:$B, "Variant", Raw_Data_Daily!$C:$C, "E. 40-99"),"")</f>
        <v>28.97654892</v>
      </c>
      <c r="Q105" s="50">
        <f t="shared" si="94"/>
        <v>0.555804103</v>
      </c>
      <c r="R105" s="136">
        <f>IFERROR(SUMPRODUCT((Raw_Data_Daily!$B$2:$B$9999="Control")*(Raw_Data_Daily!$C$2:$C$9999="F. 100+")*Raw_Data_Daily!$D$2:$D$9999*Raw_Data_Daily!$CS$2:$CS$9999)/SUMIFS(Raw_Data_Daily!$D:$D, Raw_Data_Daily!$B:$B, "Control", Raw_Data_Daily!$C:$C, "F. 100+"),"")</f>
        <v>22.43302142</v>
      </c>
      <c r="S105" s="138">
        <f>IFERROR(SUMPRODUCT((Raw_Data_Daily!$B$2:$B$9999="Variant")*(Raw_Data_Daily!$C$2:$C$9999="F. 100+")*Raw_Data_Daily!$D$2:$D$9999*Raw_Data_Daily!$CS$2:$CS$9999)/SUMIFS(Raw_Data_Daily!$D:$D, Raw_Data_Daily!$B:$B, "Variant", Raw_Data_Daily!$C:$C, "F. 100+"),"")</f>
        <v>44.4603046</v>
      </c>
      <c r="T105" s="50">
        <f t="shared" si="95"/>
        <v>0.9819133485</v>
      </c>
    </row>
    <row r="106" ht="15.75" customHeight="1">
      <c r="A106" s="75" t="s">
        <v>116</v>
      </c>
      <c r="B106" s="232" t="s">
        <v>124</v>
      </c>
      <c r="C106" s="135" t="str">
        <f>IFERROR(SUMPRODUCT((Raw_Data_Daily!$B$2:$B$9999="Control")*(Raw_Data_Daily!$C$2:$C$9999="A. 0")*Raw_Data_Daily!$D$2:$D$9999*Raw_Data_Daily!$CT$2:$CT$9999)/SUMIFS(Raw_Data_Daily!$D:$D, Raw_Data_Daily!$B:$B, "Control", Raw_Data_Daily!$C:$C, "A. 0"),"")</f>
        <v/>
      </c>
      <c r="D106" s="51" t="str">
        <f>IFERROR(SUMPRODUCT((Raw_Data_Daily!$B$2:$B$9999="Variant")*(Raw_Data_Daily!$C$2:$C$9999="A. 0")*Raw_Data_Daily!$D$2:$D$9999*Raw_Data_Daily!$CT$2:$CT$9999)/SUMIFS(Raw_Data_Daily!$D:$D, Raw_Data_Daily!$B:$B, "Variant", Raw_Data_Daily!$C:$C, "A. 0"),"")</f>
        <v/>
      </c>
      <c r="E106" s="46" t="str">
        <f t="shared" si="90"/>
        <v/>
      </c>
      <c r="F106" s="136">
        <f>IFERROR(SUMPRODUCT((Raw_Data_Daily!$B$2:$B$9999="Control")*(Raw_Data_Daily!$C$2:$C$9999="B. 1-9")*Raw_Data_Daily!$D$2:$D$9999*Raw_Data_Daily!$CT$2:$CT$9999)/SUMIFS(Raw_Data_Daily!$D:$D, Raw_Data_Daily!$B:$B, "Control", Raw_Data_Daily!$C:$C, "B. 1-9"),"")</f>
        <v>0</v>
      </c>
      <c r="G106" s="51">
        <f>IFERROR(SUMPRODUCT((Raw_Data_Daily!$B$2:$B$9999="Variant")*(Raw_Data_Daily!$C$2:$C$9999="B. 1-9")*Raw_Data_Daily!$D$2:$D$9999*Raw_Data_Daily!$CT$2:$CT$9999)/SUMIFS(Raw_Data_Daily!$D:$D, Raw_Data_Daily!$B:$B, "Variant", Raw_Data_Daily!$C:$C, "B. 1-9"),"")</f>
        <v>0</v>
      </c>
      <c r="H106" s="53" t="str">
        <f t="shared" si="91"/>
        <v/>
      </c>
      <c r="I106" s="135">
        <f>IFERROR(SUMPRODUCT((Raw_Data_Daily!$B$2:$B$9999="Control")*(Raw_Data_Daily!$C$2:$C$9999="C. 10-19")*Raw_Data_Daily!$D$2:$D$9999*Raw_Data_Daily!$CT$2:$CT$9999)/SUMIFS(Raw_Data_Daily!$D:$D, Raw_Data_Daily!$B:$B, "Control", Raw_Data_Daily!$C:$C, "C. 10-19"),"")</f>
        <v>0</v>
      </c>
      <c r="J106" s="51">
        <f>IFERROR(SUMPRODUCT((Raw_Data_Daily!$B$2:$B$9999="Variant")*(Raw_Data_Daily!$C$2:$C$9999="C. 10-19")*Raw_Data_Daily!$D$2:$D$9999*Raw_Data_Daily!$CT$2:$CT$9999)/SUMIFS(Raw_Data_Daily!$D:$D, Raw_Data_Daily!$B:$B, "Variant", Raw_Data_Daily!$C:$C, "C. 10-19"),"")</f>
        <v>0</v>
      </c>
      <c r="K106" s="50" t="str">
        <f t="shared" si="92"/>
        <v/>
      </c>
      <c r="L106" s="136">
        <f>IFERROR(SUMPRODUCT((Raw_Data_Daily!$B$2:$B$9999="Control")*(Raw_Data_Daily!$C$2:$C$9999="D. 20-39")*Raw_Data_Daily!$D$2:$D$9999*Raw_Data_Daily!$CT$2:$CT$9999)/SUMIFS(Raw_Data_Daily!$D:$D, Raw_Data_Daily!$B:$B, "Control", Raw_Data_Daily!$C:$C, "D. 20-39"),"")</f>
        <v>0</v>
      </c>
      <c r="M106" s="51">
        <f>IFERROR(SUMPRODUCT((Raw_Data_Daily!$B$2:$B$9999="Variant")*(Raw_Data_Daily!$C$2:$C$9999="D. 20-39")*Raw_Data_Daily!$D$2:$D$9999*Raw_Data_Daily!$CT$2:$CT$9999)/SUMIFS(Raw_Data_Daily!$D:$D, Raw_Data_Daily!$B:$B, "Variant", Raw_Data_Daily!$C:$C, "D. 20-39"),"")</f>
        <v>0</v>
      </c>
      <c r="N106" s="53" t="str">
        <f t="shared" si="93"/>
        <v/>
      </c>
      <c r="O106" s="135">
        <f>IFERROR(SUMPRODUCT((Raw_Data_Daily!$B$2:$B$9999="Control")*(Raw_Data_Daily!$C$2:$C$9999="E. 40-99")*Raw_Data_Daily!$D$2:$D$9999*Raw_Data_Daily!$CT$2:$CT$9999)/SUMIFS(Raw_Data_Daily!$D:$D, Raw_Data_Daily!$B:$B, "Control", Raw_Data_Daily!$C:$C, "E. 40-99"),"")</f>
        <v>0</v>
      </c>
      <c r="P106" s="51">
        <f>IFERROR(SUMPRODUCT((Raw_Data_Daily!$B$2:$B$9999="Variant")*(Raw_Data_Daily!$C$2:$C$9999="E. 40-99")*Raw_Data_Daily!$D$2:$D$9999*Raw_Data_Daily!$CT$2:$CT$9999)/SUMIFS(Raw_Data_Daily!$D:$D, Raw_Data_Daily!$B:$B, "Variant", Raw_Data_Daily!$C:$C, "E. 40-99"),"")</f>
        <v>0</v>
      </c>
      <c r="Q106" s="50" t="str">
        <f t="shared" si="94"/>
        <v/>
      </c>
      <c r="R106" s="136">
        <f>IFERROR(SUMPRODUCT((Raw_Data_Daily!$B$2:$B$9999="Control")*(Raw_Data_Daily!$C$2:$C$9999="F. 100+")*Raw_Data_Daily!$D$2:$D$9999*Raw_Data_Daily!$CT$2:$CT$9999)/SUMIFS(Raw_Data_Daily!$D:$D, Raw_Data_Daily!$B:$B, "Control", Raw_Data_Daily!$C:$C, "F. 100+"),"")</f>
        <v>0</v>
      </c>
      <c r="S106" s="138">
        <f>IFERROR(SUMPRODUCT((Raw_Data_Daily!$B$2:$B$9999="Variant")*(Raw_Data_Daily!$C$2:$C$9999="F. 100+")*Raw_Data_Daily!$D$2:$D$9999*Raw_Data_Daily!$CT$2:$CT$9999)/SUMIFS(Raw_Data_Daily!$D:$D, Raw_Data_Daily!$B:$B, "Variant", Raw_Data_Daily!$C:$C, "F. 100+"),"")</f>
        <v>0</v>
      </c>
      <c r="T106" s="50" t="str">
        <f t="shared" si="95"/>
        <v/>
      </c>
    </row>
    <row r="107" ht="15.75" customHeight="1">
      <c r="B107" s="2"/>
      <c r="F107" s="4"/>
    </row>
    <row r="108" ht="15.75" customHeight="1">
      <c r="B108" s="2"/>
      <c r="F108" s="4"/>
    </row>
    <row r="109" ht="15.75" customHeight="1">
      <c r="B109" s="2"/>
      <c r="F109" s="4"/>
    </row>
    <row r="110" ht="15.75" customHeight="1">
      <c r="B110" s="2"/>
      <c r="F110" s="4"/>
    </row>
    <row r="111" ht="15.75" customHeight="1">
      <c r="B111" s="2"/>
      <c r="F111" s="4"/>
    </row>
    <row r="112" ht="15.75" customHeight="1">
      <c r="B112" s="2"/>
      <c r="F112" s="4"/>
    </row>
    <row r="113" ht="15.75" customHeight="1">
      <c r="B113" s="2"/>
      <c r="F113" s="4"/>
    </row>
    <row r="114" ht="15.75" customHeight="1">
      <c r="B114" s="2"/>
      <c r="F114" s="4"/>
    </row>
    <row r="115" ht="15.75" customHeight="1">
      <c r="B115" s="2"/>
      <c r="F115" s="4"/>
    </row>
    <row r="116" ht="15.75" customHeight="1">
      <c r="B116" s="2"/>
      <c r="F116" s="4"/>
    </row>
    <row r="117" ht="15.75" customHeight="1">
      <c r="B117" s="2"/>
      <c r="F117" s="4"/>
    </row>
    <row r="118" ht="15.75" customHeight="1">
      <c r="B118" s="2"/>
      <c r="F118" s="4"/>
    </row>
    <row r="119" ht="15.75" customHeight="1">
      <c r="B119" s="2"/>
      <c r="F119" s="4"/>
    </row>
    <row r="120" ht="15.75" customHeight="1">
      <c r="B120" s="2"/>
      <c r="F120" s="4"/>
    </row>
    <row r="121" ht="15.75" customHeight="1">
      <c r="B121" s="2"/>
      <c r="F121" s="4"/>
    </row>
    <row r="122" ht="15.75" customHeight="1">
      <c r="B122" s="2"/>
      <c r="F122" s="4"/>
    </row>
    <row r="123" ht="15.75" customHeight="1">
      <c r="B123" s="2"/>
      <c r="F123" s="4"/>
    </row>
    <row r="124" ht="15.75" customHeight="1">
      <c r="B124" s="2"/>
      <c r="F124" s="4"/>
    </row>
    <row r="125" ht="15.75" customHeight="1">
      <c r="B125" s="2"/>
      <c r="F125" s="4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</sheetData>
  <mergeCells count="9">
    <mergeCell ref="O3:Q3"/>
    <mergeCell ref="R3:T3"/>
    <mergeCell ref="A1:T1"/>
    <mergeCell ref="A3:A4"/>
    <mergeCell ref="B3:B4"/>
    <mergeCell ref="C3:E3"/>
    <mergeCell ref="F3:H3"/>
    <mergeCell ref="I3:K3"/>
    <mergeCell ref="L3:N3"/>
  </mergeCells>
  <conditionalFormatting sqref="E8:E11">
    <cfRule type="cellIs" dxfId="17" priority="1" operator="greaterThan">
      <formula>0</formula>
    </cfRule>
  </conditionalFormatting>
  <conditionalFormatting sqref="E8:E11">
    <cfRule type="cellIs" dxfId="18" priority="2" operator="lessThan">
      <formula>0</formula>
    </cfRule>
  </conditionalFormatting>
  <conditionalFormatting sqref="E13:E15">
    <cfRule type="cellIs" dxfId="17" priority="3" operator="greaterThan">
      <formula>0</formula>
    </cfRule>
  </conditionalFormatting>
  <conditionalFormatting sqref="E13:E15">
    <cfRule type="cellIs" dxfId="18" priority="4" operator="lessThan">
      <formula>0</formula>
    </cfRule>
  </conditionalFormatting>
  <conditionalFormatting sqref="E17:E22">
    <cfRule type="cellIs" dxfId="17" priority="5" operator="greaterThan">
      <formula>0</formula>
    </cfRule>
  </conditionalFormatting>
  <conditionalFormatting sqref="E17:E22">
    <cfRule type="cellIs" dxfId="18" priority="6" operator="lessThan">
      <formula>0</formula>
    </cfRule>
  </conditionalFormatting>
  <conditionalFormatting sqref="E29">
    <cfRule type="cellIs" dxfId="2" priority="7" operator="greaterThan">
      <formula>0</formula>
    </cfRule>
  </conditionalFormatting>
  <conditionalFormatting sqref="E29">
    <cfRule type="cellIs" dxfId="3" priority="8" operator="lessThan">
      <formula>0</formula>
    </cfRule>
  </conditionalFormatting>
  <conditionalFormatting sqref="E30">
    <cfRule type="cellIs" dxfId="17" priority="9" operator="greaterThan">
      <formula>0</formula>
    </cfRule>
  </conditionalFormatting>
  <conditionalFormatting sqref="E30">
    <cfRule type="cellIs" dxfId="18" priority="10" operator="lessThan">
      <formula>0</formula>
    </cfRule>
  </conditionalFormatting>
  <conditionalFormatting sqref="E31">
    <cfRule type="cellIs" dxfId="2" priority="11" operator="lessThan">
      <formula>0</formula>
    </cfRule>
  </conditionalFormatting>
  <conditionalFormatting sqref="E31">
    <cfRule type="cellIs" dxfId="3" priority="12" operator="greaterThan">
      <formula>0</formula>
    </cfRule>
  </conditionalFormatting>
  <conditionalFormatting sqref="E32">
    <cfRule type="cellIs" dxfId="2" priority="13" operator="greaterThan">
      <formula>0</formula>
    </cfRule>
  </conditionalFormatting>
  <conditionalFormatting sqref="E32">
    <cfRule type="cellIs" dxfId="3" priority="14" operator="lessThan">
      <formula>0</formula>
    </cfRule>
  </conditionalFormatting>
  <conditionalFormatting sqref="E33">
    <cfRule type="cellIs" dxfId="2" priority="15" operator="lessThan">
      <formula>0</formula>
    </cfRule>
  </conditionalFormatting>
  <conditionalFormatting sqref="E33">
    <cfRule type="cellIs" dxfId="3" priority="16" operator="greaterThan">
      <formula>0</formula>
    </cfRule>
  </conditionalFormatting>
  <conditionalFormatting sqref="E34">
    <cfRule type="cellIs" dxfId="2" priority="17" operator="greaterThan">
      <formula>0</formula>
    </cfRule>
  </conditionalFormatting>
  <conditionalFormatting sqref="E34">
    <cfRule type="cellIs" dxfId="3" priority="18" operator="lessThan">
      <formula>0</formula>
    </cfRule>
  </conditionalFormatting>
  <conditionalFormatting sqref="E35">
    <cfRule type="cellIs" dxfId="17" priority="19" operator="greaterThan">
      <formula>0</formula>
    </cfRule>
  </conditionalFormatting>
  <conditionalFormatting sqref="E35">
    <cfRule type="cellIs" dxfId="18" priority="20" operator="lessThan">
      <formula>0</formula>
    </cfRule>
  </conditionalFormatting>
  <conditionalFormatting sqref="E56:E60">
    <cfRule type="cellIs" dxfId="2" priority="21" operator="greaterThan">
      <formula>0</formula>
    </cfRule>
  </conditionalFormatting>
  <conditionalFormatting sqref="E56:E60">
    <cfRule type="cellIs" dxfId="3" priority="22" operator="lessThan">
      <formula>0</formula>
    </cfRule>
  </conditionalFormatting>
  <conditionalFormatting sqref="E48:E49 E63:E64 E69:E70 E75:E76 E81:E82 E87:E88 E93:E94 E99:E106">
    <cfRule type="cellIs" dxfId="2" priority="23" operator="greaterThan">
      <formula>0</formula>
    </cfRule>
  </conditionalFormatting>
  <conditionalFormatting sqref="E48:E49 E63:E64 E69:E70 E75:E76 E81:E82 E87:E88 E93:E94 E99:E106">
    <cfRule type="cellIs" dxfId="3" priority="24" operator="lessThan">
      <formula>0</formula>
    </cfRule>
  </conditionalFormatting>
  <conditionalFormatting sqref="E50 E65 E71 E77 E83 E89 E95">
    <cfRule type="cellIs" dxfId="2" priority="25" operator="lessThan">
      <formula>0</formula>
    </cfRule>
  </conditionalFormatting>
  <conditionalFormatting sqref="E50 E65 E71 E77 E83 E89 E95">
    <cfRule type="cellIs" dxfId="3" priority="26" operator="greaterThan">
      <formula>0</formula>
    </cfRule>
  </conditionalFormatting>
  <conditionalFormatting sqref="E51 E66 E72 E78 E84 E90 E96">
    <cfRule type="cellIs" dxfId="2" priority="27" operator="greaterThan">
      <formula>0</formula>
    </cfRule>
  </conditionalFormatting>
  <conditionalFormatting sqref="E51 E66 E72 E78 E84 E90 E96">
    <cfRule type="cellIs" dxfId="3" priority="28" operator="lessThan">
      <formula>0</formula>
    </cfRule>
  </conditionalFormatting>
  <conditionalFormatting sqref="E52 E67 E73 E79 E85 E91 E97">
    <cfRule type="cellIs" dxfId="2" priority="29" operator="lessThan">
      <formula>0</formula>
    </cfRule>
  </conditionalFormatting>
  <conditionalFormatting sqref="E52 E67 E73 E79 E85 E91 E97">
    <cfRule type="cellIs" dxfId="3" priority="30" operator="greaterThan">
      <formula>0</formula>
    </cfRule>
  </conditionalFormatting>
  <conditionalFormatting sqref="E53">
    <cfRule type="cellIs" dxfId="2" priority="31" operator="greaterThan">
      <formula>0</formula>
    </cfRule>
  </conditionalFormatting>
  <conditionalFormatting sqref="E53">
    <cfRule type="cellIs" dxfId="3" priority="32" operator="lessThan">
      <formula>0</formula>
    </cfRule>
  </conditionalFormatting>
  <conditionalFormatting sqref="H8:H11">
    <cfRule type="cellIs" dxfId="17" priority="33" operator="greaterThan">
      <formula>0</formula>
    </cfRule>
  </conditionalFormatting>
  <conditionalFormatting sqref="H8:H11">
    <cfRule type="cellIs" dxfId="18" priority="34" operator="lessThan">
      <formula>0</formula>
    </cfRule>
  </conditionalFormatting>
  <conditionalFormatting sqref="H13:H15">
    <cfRule type="cellIs" dxfId="17" priority="35" operator="greaterThan">
      <formula>0</formula>
    </cfRule>
  </conditionalFormatting>
  <conditionalFormatting sqref="H13:H15">
    <cfRule type="cellIs" dxfId="18" priority="36" operator="lessThan">
      <formula>0</formula>
    </cfRule>
  </conditionalFormatting>
  <conditionalFormatting sqref="H17:H22 H39:H40 K39:K40 N39:N40 Q39:Q40 T39:T40">
    <cfRule type="cellIs" dxfId="17" priority="37" operator="greaterThan">
      <formula>0</formula>
    </cfRule>
  </conditionalFormatting>
  <conditionalFormatting sqref="H17:H22 H39:H40 K39:K40 N39:N40 Q39:Q40 T39:T40">
    <cfRule type="cellIs" dxfId="18" priority="38" operator="lessThan">
      <formula>0</formula>
    </cfRule>
  </conditionalFormatting>
  <conditionalFormatting sqref="H30">
    <cfRule type="cellIs" dxfId="17" priority="39" operator="greaterThan">
      <formula>0</formula>
    </cfRule>
  </conditionalFormatting>
  <conditionalFormatting sqref="H30">
    <cfRule type="cellIs" dxfId="18" priority="40" operator="lessThan">
      <formula>0</formula>
    </cfRule>
  </conditionalFormatting>
  <conditionalFormatting sqref="H31">
    <cfRule type="cellIs" dxfId="2" priority="41" operator="lessThan">
      <formula>0</formula>
    </cfRule>
  </conditionalFormatting>
  <conditionalFormatting sqref="H31">
    <cfRule type="cellIs" dxfId="3" priority="42" operator="greaterThan">
      <formula>0</formula>
    </cfRule>
  </conditionalFormatting>
  <conditionalFormatting sqref="H32">
    <cfRule type="cellIs" dxfId="2" priority="43" operator="greaterThan">
      <formula>0</formula>
    </cfRule>
  </conditionalFormatting>
  <conditionalFormatting sqref="H32">
    <cfRule type="cellIs" dxfId="3" priority="44" operator="lessThan">
      <formula>0</formula>
    </cfRule>
  </conditionalFormatting>
  <conditionalFormatting sqref="H33">
    <cfRule type="cellIs" dxfId="2" priority="45" operator="lessThan">
      <formula>0</formula>
    </cfRule>
  </conditionalFormatting>
  <conditionalFormatting sqref="H33">
    <cfRule type="cellIs" dxfId="3" priority="46" operator="greaterThan">
      <formula>0</formula>
    </cfRule>
  </conditionalFormatting>
  <conditionalFormatting sqref="H34">
    <cfRule type="cellIs" dxfId="2" priority="47" operator="greaterThan">
      <formula>0</formula>
    </cfRule>
  </conditionalFormatting>
  <conditionalFormatting sqref="H34">
    <cfRule type="cellIs" dxfId="3" priority="48" operator="lessThan">
      <formula>0</formula>
    </cfRule>
  </conditionalFormatting>
  <conditionalFormatting sqref="H35">
    <cfRule type="cellIs" dxfId="17" priority="49" operator="greaterThan">
      <formula>0</formula>
    </cfRule>
  </conditionalFormatting>
  <conditionalFormatting sqref="H35">
    <cfRule type="cellIs" dxfId="18" priority="50" operator="lessThan">
      <formula>0</formula>
    </cfRule>
  </conditionalFormatting>
  <conditionalFormatting sqref="H49 H64 H70 H76 H82 H88 H94">
    <cfRule type="cellIs" dxfId="2" priority="51" operator="greaterThan">
      <formula>0</formula>
    </cfRule>
  </conditionalFormatting>
  <conditionalFormatting sqref="H49 H64 H70 H76 H82 H88 H94">
    <cfRule type="cellIs" dxfId="3" priority="52" operator="lessThan">
      <formula>0</formula>
    </cfRule>
  </conditionalFormatting>
  <conditionalFormatting sqref="H50 H65 H71 H77 H83 H89 H95">
    <cfRule type="cellIs" dxfId="2" priority="53" operator="lessThan">
      <formula>0</formula>
    </cfRule>
  </conditionalFormatting>
  <conditionalFormatting sqref="H50 H65 H71 H77 H83 H89 H95">
    <cfRule type="cellIs" dxfId="3" priority="54" operator="greaterThan">
      <formula>0</formula>
    </cfRule>
  </conditionalFormatting>
  <conditionalFormatting sqref="H51 H66 H72 H78 H84 H90 H96">
    <cfRule type="cellIs" dxfId="2" priority="55" operator="greaterThan">
      <formula>0</formula>
    </cfRule>
  </conditionalFormatting>
  <conditionalFormatting sqref="H51 H66 H72 H78 H84 H90 H96">
    <cfRule type="cellIs" dxfId="3" priority="56" operator="lessThan">
      <formula>0</formula>
    </cfRule>
  </conditionalFormatting>
  <conditionalFormatting sqref="H52 H67 H73 H79 H85 H91 H97">
    <cfRule type="cellIs" dxfId="2" priority="57" operator="lessThan">
      <formula>0</formula>
    </cfRule>
  </conditionalFormatting>
  <conditionalFormatting sqref="H52 H67 H73 H79 H85 H91 H97">
    <cfRule type="cellIs" dxfId="3" priority="58" operator="greaterThan">
      <formula>0</formula>
    </cfRule>
  </conditionalFormatting>
  <conditionalFormatting sqref="H53">
    <cfRule type="cellIs" dxfId="2" priority="59" operator="greaterThan">
      <formula>0</formula>
    </cfRule>
  </conditionalFormatting>
  <conditionalFormatting sqref="H53">
    <cfRule type="cellIs" dxfId="3" priority="60" operator="lessThan">
      <formula>0</formula>
    </cfRule>
  </conditionalFormatting>
  <conditionalFormatting sqref="K8:K11">
    <cfRule type="cellIs" dxfId="17" priority="61" operator="greaterThan">
      <formula>0</formula>
    </cfRule>
  </conditionalFormatting>
  <conditionalFormatting sqref="K8:K11">
    <cfRule type="cellIs" dxfId="18" priority="62" operator="lessThan">
      <formula>0</formula>
    </cfRule>
  </conditionalFormatting>
  <conditionalFormatting sqref="K13:K15">
    <cfRule type="cellIs" dxfId="17" priority="63" operator="greaterThan">
      <formula>0</formula>
    </cfRule>
  </conditionalFormatting>
  <conditionalFormatting sqref="K13:K15">
    <cfRule type="cellIs" dxfId="18" priority="64" operator="lessThan">
      <formula>0</formula>
    </cfRule>
  </conditionalFormatting>
  <conditionalFormatting sqref="K17:K22">
    <cfRule type="cellIs" dxfId="17" priority="65" operator="greaterThan">
      <formula>0</formula>
    </cfRule>
  </conditionalFormatting>
  <conditionalFormatting sqref="K17:K22">
    <cfRule type="cellIs" dxfId="18" priority="66" operator="lessThan">
      <formula>0</formula>
    </cfRule>
  </conditionalFormatting>
  <conditionalFormatting sqref="K30">
    <cfRule type="cellIs" dxfId="17" priority="67" operator="greaterThan">
      <formula>0</formula>
    </cfRule>
  </conditionalFormatting>
  <conditionalFormatting sqref="K30">
    <cfRule type="cellIs" dxfId="18" priority="68" operator="lessThan">
      <formula>0</formula>
    </cfRule>
  </conditionalFormatting>
  <conditionalFormatting sqref="K31">
    <cfRule type="cellIs" dxfId="2" priority="69" operator="lessThan">
      <formula>0</formula>
    </cfRule>
  </conditionalFormatting>
  <conditionalFormatting sqref="K31">
    <cfRule type="cellIs" dxfId="3" priority="70" operator="greaterThan">
      <formula>0</formula>
    </cfRule>
  </conditionalFormatting>
  <conditionalFormatting sqref="K32">
    <cfRule type="cellIs" dxfId="2" priority="71" operator="greaterThan">
      <formula>0</formula>
    </cfRule>
  </conditionalFormatting>
  <conditionalFormatting sqref="K32">
    <cfRule type="cellIs" dxfId="3" priority="72" operator="lessThan">
      <formula>0</formula>
    </cfRule>
  </conditionalFormatting>
  <conditionalFormatting sqref="K33">
    <cfRule type="cellIs" dxfId="2" priority="73" operator="lessThan">
      <formula>0</formula>
    </cfRule>
  </conditionalFormatting>
  <conditionalFormatting sqref="K33">
    <cfRule type="cellIs" dxfId="3" priority="74" operator="greaterThan">
      <formula>0</formula>
    </cfRule>
  </conditionalFormatting>
  <conditionalFormatting sqref="K34">
    <cfRule type="cellIs" dxfId="2" priority="75" operator="greaterThan">
      <formula>0</formula>
    </cfRule>
  </conditionalFormatting>
  <conditionalFormatting sqref="K34">
    <cfRule type="cellIs" dxfId="3" priority="76" operator="lessThan">
      <formula>0</formula>
    </cfRule>
  </conditionalFormatting>
  <conditionalFormatting sqref="K35">
    <cfRule type="cellIs" dxfId="17" priority="77" operator="greaterThan">
      <formula>0</formula>
    </cfRule>
  </conditionalFormatting>
  <conditionalFormatting sqref="K35">
    <cfRule type="cellIs" dxfId="18" priority="78" operator="lessThan">
      <formula>0</formula>
    </cfRule>
  </conditionalFormatting>
  <conditionalFormatting sqref="K49 K64 K70 K76 K82 K88 K94">
    <cfRule type="cellIs" dxfId="2" priority="79" operator="greaterThan">
      <formula>0</formula>
    </cfRule>
  </conditionalFormatting>
  <conditionalFormatting sqref="K49 K64 K70 K76 K82 K88 K94">
    <cfRule type="cellIs" dxfId="3" priority="80" operator="lessThan">
      <formula>0</formula>
    </cfRule>
  </conditionalFormatting>
  <conditionalFormatting sqref="K50 K65 K71 K77 K83 K89 K95">
    <cfRule type="cellIs" dxfId="2" priority="81" operator="lessThan">
      <formula>0</formula>
    </cfRule>
  </conditionalFormatting>
  <conditionalFormatting sqref="K50 K65 K71 K77 K83 K89 K95">
    <cfRule type="cellIs" dxfId="3" priority="82" operator="greaterThan">
      <formula>0</formula>
    </cfRule>
  </conditionalFormatting>
  <conditionalFormatting sqref="K51 K66 K72 K78 K84 K90 K96">
    <cfRule type="cellIs" dxfId="2" priority="83" operator="greaterThan">
      <formula>0</formula>
    </cfRule>
  </conditionalFormatting>
  <conditionalFormatting sqref="K51 K66 K72 K78 K84 K90 K96">
    <cfRule type="cellIs" dxfId="3" priority="84" operator="lessThan">
      <formula>0</formula>
    </cfRule>
  </conditionalFormatting>
  <conditionalFormatting sqref="K52 K67 K73 K79 K85 K91 K97">
    <cfRule type="cellIs" dxfId="2" priority="85" operator="lessThan">
      <formula>0</formula>
    </cfRule>
  </conditionalFormatting>
  <conditionalFormatting sqref="K52 K67 K73 K79 K85 K91 K97">
    <cfRule type="cellIs" dxfId="3" priority="86" operator="greaterThan">
      <formula>0</formula>
    </cfRule>
  </conditionalFormatting>
  <conditionalFormatting sqref="K53">
    <cfRule type="cellIs" dxfId="2" priority="87" operator="greaterThan">
      <formula>0</formula>
    </cfRule>
  </conditionalFormatting>
  <conditionalFormatting sqref="K53">
    <cfRule type="cellIs" dxfId="3" priority="88" operator="lessThan">
      <formula>0</formula>
    </cfRule>
  </conditionalFormatting>
  <conditionalFormatting sqref="N8:N11">
    <cfRule type="cellIs" dxfId="17" priority="89" operator="greaterThan">
      <formula>0</formula>
    </cfRule>
  </conditionalFormatting>
  <conditionalFormatting sqref="N8:N11">
    <cfRule type="cellIs" dxfId="18" priority="90" operator="lessThan">
      <formula>0</formula>
    </cfRule>
  </conditionalFormatting>
  <conditionalFormatting sqref="N13:N15">
    <cfRule type="cellIs" dxfId="17" priority="91" operator="greaterThan">
      <formula>0</formula>
    </cfRule>
  </conditionalFormatting>
  <conditionalFormatting sqref="N13:N15">
    <cfRule type="cellIs" dxfId="18" priority="92" operator="lessThan">
      <formula>0</formula>
    </cfRule>
  </conditionalFormatting>
  <conditionalFormatting sqref="N17:N22">
    <cfRule type="cellIs" dxfId="17" priority="93" operator="greaterThan">
      <formula>0</formula>
    </cfRule>
  </conditionalFormatting>
  <conditionalFormatting sqref="N17:N22">
    <cfRule type="cellIs" dxfId="18" priority="94" operator="lessThan">
      <formula>0</formula>
    </cfRule>
  </conditionalFormatting>
  <conditionalFormatting sqref="N30">
    <cfRule type="cellIs" dxfId="17" priority="95" operator="greaterThan">
      <formula>0</formula>
    </cfRule>
  </conditionalFormatting>
  <conditionalFormatting sqref="N30">
    <cfRule type="cellIs" dxfId="18" priority="96" operator="lessThan">
      <formula>0</formula>
    </cfRule>
  </conditionalFormatting>
  <conditionalFormatting sqref="N31">
    <cfRule type="cellIs" dxfId="2" priority="97" operator="lessThan">
      <formula>0</formula>
    </cfRule>
  </conditionalFormatting>
  <conditionalFormatting sqref="N31">
    <cfRule type="cellIs" dxfId="3" priority="98" operator="greaterThan">
      <formula>0</formula>
    </cfRule>
  </conditionalFormatting>
  <conditionalFormatting sqref="N32">
    <cfRule type="cellIs" dxfId="2" priority="99" operator="greaterThan">
      <formula>0</formula>
    </cfRule>
  </conditionalFormatting>
  <conditionalFormatting sqref="N32">
    <cfRule type="cellIs" dxfId="3" priority="100" operator="lessThan">
      <formula>0</formula>
    </cfRule>
  </conditionalFormatting>
  <conditionalFormatting sqref="N33">
    <cfRule type="cellIs" dxfId="2" priority="101" operator="lessThan">
      <formula>0</formula>
    </cfRule>
  </conditionalFormatting>
  <conditionalFormatting sqref="N33">
    <cfRule type="cellIs" dxfId="3" priority="102" operator="greaterThan">
      <formula>0</formula>
    </cfRule>
  </conditionalFormatting>
  <conditionalFormatting sqref="N34">
    <cfRule type="cellIs" dxfId="2" priority="103" operator="greaterThan">
      <formula>0</formula>
    </cfRule>
  </conditionalFormatting>
  <conditionalFormatting sqref="N34">
    <cfRule type="cellIs" dxfId="3" priority="104" operator="lessThan">
      <formula>0</formula>
    </cfRule>
  </conditionalFormatting>
  <conditionalFormatting sqref="N35">
    <cfRule type="cellIs" dxfId="17" priority="105" operator="greaterThan">
      <formula>0</formula>
    </cfRule>
  </conditionalFormatting>
  <conditionalFormatting sqref="N35">
    <cfRule type="cellIs" dxfId="18" priority="106" operator="lessThan">
      <formula>0</formula>
    </cfRule>
  </conditionalFormatting>
  <conditionalFormatting sqref="N49 N64 N70 N76 N82 N88 N94">
    <cfRule type="cellIs" dxfId="2" priority="107" operator="greaterThan">
      <formula>0</formula>
    </cfRule>
  </conditionalFormatting>
  <conditionalFormatting sqref="N49 N64 N70 N76 N82 N88 N94">
    <cfRule type="cellIs" dxfId="3" priority="108" operator="lessThan">
      <formula>0</formula>
    </cfRule>
  </conditionalFormatting>
  <conditionalFormatting sqref="N50 N65 N71 N77 N83 N89 N95">
    <cfRule type="cellIs" dxfId="2" priority="109" operator="lessThan">
      <formula>0</formula>
    </cfRule>
  </conditionalFormatting>
  <conditionalFormatting sqref="N50 N65 N71 N77 N83 N89 N95">
    <cfRule type="cellIs" dxfId="3" priority="110" operator="greaterThan">
      <formula>0</formula>
    </cfRule>
  </conditionalFormatting>
  <conditionalFormatting sqref="N51 N66 N72 N78 N84 N90 N96">
    <cfRule type="cellIs" dxfId="2" priority="111" operator="greaterThan">
      <formula>0</formula>
    </cfRule>
  </conditionalFormatting>
  <conditionalFormatting sqref="N51 N66 N72 N78 N84 N90 N96">
    <cfRule type="cellIs" dxfId="3" priority="112" operator="lessThan">
      <formula>0</formula>
    </cfRule>
  </conditionalFormatting>
  <conditionalFormatting sqref="N52 N67 N73 N79 N85 N91 N97">
    <cfRule type="cellIs" dxfId="2" priority="113" operator="lessThan">
      <formula>0</formula>
    </cfRule>
  </conditionalFormatting>
  <conditionalFormatting sqref="N52 N67 N73 N79 N85 N91 N97">
    <cfRule type="cellIs" dxfId="3" priority="114" operator="greaterThan">
      <formula>0</formula>
    </cfRule>
  </conditionalFormatting>
  <conditionalFormatting sqref="N53">
    <cfRule type="cellIs" dxfId="2" priority="115" operator="greaterThan">
      <formula>0</formula>
    </cfRule>
  </conditionalFormatting>
  <conditionalFormatting sqref="N53">
    <cfRule type="cellIs" dxfId="3" priority="116" operator="lessThan">
      <formula>0</formula>
    </cfRule>
  </conditionalFormatting>
  <conditionalFormatting sqref="Q8:Q11">
    <cfRule type="cellIs" dxfId="17" priority="117" operator="greaterThan">
      <formula>0</formula>
    </cfRule>
  </conditionalFormatting>
  <conditionalFormatting sqref="Q8:Q11">
    <cfRule type="cellIs" dxfId="18" priority="118" operator="lessThan">
      <formula>0</formula>
    </cfRule>
  </conditionalFormatting>
  <conditionalFormatting sqref="Q13:Q15">
    <cfRule type="cellIs" dxfId="17" priority="119" operator="greaterThan">
      <formula>0</formula>
    </cfRule>
  </conditionalFormatting>
  <conditionalFormatting sqref="Q13:Q15">
    <cfRule type="cellIs" dxfId="18" priority="120" operator="lessThan">
      <formula>0</formula>
    </cfRule>
  </conditionalFormatting>
  <conditionalFormatting sqref="Q17:Q22">
    <cfRule type="cellIs" dxfId="17" priority="121" operator="greaterThan">
      <formula>0</formula>
    </cfRule>
  </conditionalFormatting>
  <conditionalFormatting sqref="Q17:Q22">
    <cfRule type="cellIs" dxfId="18" priority="122" operator="lessThan">
      <formula>0</formula>
    </cfRule>
  </conditionalFormatting>
  <conditionalFormatting sqref="Q30">
    <cfRule type="cellIs" dxfId="17" priority="123" operator="greaterThan">
      <formula>0</formula>
    </cfRule>
  </conditionalFormatting>
  <conditionalFormatting sqref="Q30">
    <cfRule type="cellIs" dxfId="18" priority="124" operator="lessThan">
      <formula>0</formula>
    </cfRule>
  </conditionalFormatting>
  <conditionalFormatting sqref="Q31">
    <cfRule type="cellIs" dxfId="2" priority="125" operator="lessThan">
      <formula>0</formula>
    </cfRule>
  </conditionalFormatting>
  <conditionalFormatting sqref="Q31">
    <cfRule type="cellIs" dxfId="3" priority="126" operator="greaterThan">
      <formula>0</formula>
    </cfRule>
  </conditionalFormatting>
  <conditionalFormatting sqref="Q32">
    <cfRule type="cellIs" dxfId="2" priority="127" operator="greaterThan">
      <formula>0</formula>
    </cfRule>
  </conditionalFormatting>
  <conditionalFormatting sqref="Q32">
    <cfRule type="cellIs" dxfId="3" priority="128" operator="lessThan">
      <formula>0</formula>
    </cfRule>
  </conditionalFormatting>
  <conditionalFormatting sqref="Q33">
    <cfRule type="cellIs" dxfId="2" priority="129" operator="lessThan">
      <formula>0</formula>
    </cfRule>
  </conditionalFormatting>
  <conditionalFormatting sqref="Q33">
    <cfRule type="cellIs" dxfId="3" priority="130" operator="greaterThan">
      <formula>0</formula>
    </cfRule>
  </conditionalFormatting>
  <conditionalFormatting sqref="Q34">
    <cfRule type="cellIs" dxfId="2" priority="131" operator="greaterThan">
      <formula>0</formula>
    </cfRule>
  </conditionalFormatting>
  <conditionalFormatting sqref="Q34">
    <cfRule type="cellIs" dxfId="3" priority="132" operator="lessThan">
      <formula>0</formula>
    </cfRule>
  </conditionalFormatting>
  <conditionalFormatting sqref="Q35">
    <cfRule type="cellIs" dxfId="17" priority="133" operator="greaterThan">
      <formula>0</formula>
    </cfRule>
  </conditionalFormatting>
  <conditionalFormatting sqref="Q35">
    <cfRule type="cellIs" dxfId="18" priority="134" operator="lessThan">
      <formula>0</formula>
    </cfRule>
  </conditionalFormatting>
  <conditionalFormatting sqref="Q49 Q64 Q70 Q76 Q82 Q88 Q94">
    <cfRule type="cellIs" dxfId="2" priority="135" operator="greaterThan">
      <formula>0</formula>
    </cfRule>
  </conditionalFormatting>
  <conditionalFormatting sqref="Q49 Q64 Q70 Q76 Q82 Q88 Q94">
    <cfRule type="cellIs" dxfId="3" priority="136" operator="lessThan">
      <formula>0</formula>
    </cfRule>
  </conditionalFormatting>
  <conditionalFormatting sqref="Q50 Q65 Q71 Q77 Q83 Q89 Q95">
    <cfRule type="cellIs" dxfId="2" priority="137" operator="lessThan">
      <formula>0</formula>
    </cfRule>
  </conditionalFormatting>
  <conditionalFormatting sqref="Q50 Q65 Q71 Q77 Q83 Q89 Q95">
    <cfRule type="cellIs" dxfId="3" priority="138" operator="greaterThan">
      <formula>0</formula>
    </cfRule>
  </conditionalFormatting>
  <conditionalFormatting sqref="Q51 Q66 Q72 Q78 Q84 Q90 Q96">
    <cfRule type="cellIs" dxfId="2" priority="139" operator="greaterThan">
      <formula>0</formula>
    </cfRule>
  </conditionalFormatting>
  <conditionalFormatting sqref="Q51 Q66 Q72 Q78 Q84 Q90 Q96">
    <cfRule type="cellIs" dxfId="3" priority="140" operator="lessThan">
      <formula>0</formula>
    </cfRule>
  </conditionalFormatting>
  <conditionalFormatting sqref="Q52 Q67 Q73 Q79 Q85 Q91 Q97">
    <cfRule type="cellIs" dxfId="2" priority="141" operator="lessThan">
      <formula>0</formula>
    </cfRule>
  </conditionalFormatting>
  <conditionalFormatting sqref="Q52 Q67 Q73 Q79 Q85 Q91 Q97">
    <cfRule type="cellIs" dxfId="3" priority="142" operator="greaterThan">
      <formula>0</formula>
    </cfRule>
  </conditionalFormatting>
  <conditionalFormatting sqref="Q53">
    <cfRule type="cellIs" dxfId="2" priority="143" operator="greaterThan">
      <formula>0</formula>
    </cfRule>
  </conditionalFormatting>
  <conditionalFormatting sqref="Q53">
    <cfRule type="cellIs" dxfId="3" priority="144" operator="lessThan">
      <formula>0</formula>
    </cfRule>
  </conditionalFormatting>
  <conditionalFormatting sqref="T8:T11">
    <cfRule type="cellIs" dxfId="17" priority="145" operator="greaterThan">
      <formula>0</formula>
    </cfRule>
  </conditionalFormatting>
  <conditionalFormatting sqref="T8:T11">
    <cfRule type="cellIs" dxfId="18" priority="146" operator="lessThan">
      <formula>0</formula>
    </cfRule>
  </conditionalFormatting>
  <conditionalFormatting sqref="T13:T15">
    <cfRule type="cellIs" dxfId="17" priority="147" operator="greaterThan">
      <formula>0</formula>
    </cfRule>
  </conditionalFormatting>
  <conditionalFormatting sqref="T13:T15">
    <cfRule type="cellIs" dxfId="18" priority="148" operator="lessThan">
      <formula>0</formula>
    </cfRule>
  </conditionalFormatting>
  <conditionalFormatting sqref="T17:T22">
    <cfRule type="cellIs" dxfId="17" priority="149" operator="greaterThan">
      <formula>0</formula>
    </cfRule>
  </conditionalFormatting>
  <conditionalFormatting sqref="T17:T22">
    <cfRule type="cellIs" dxfId="18" priority="150" operator="lessThan">
      <formula>0</formula>
    </cfRule>
  </conditionalFormatting>
  <conditionalFormatting sqref="T30">
    <cfRule type="cellIs" dxfId="17" priority="151" operator="greaterThan">
      <formula>0</formula>
    </cfRule>
  </conditionalFormatting>
  <conditionalFormatting sqref="T30">
    <cfRule type="cellIs" dxfId="18" priority="152" operator="lessThan">
      <formula>0</formula>
    </cfRule>
  </conditionalFormatting>
  <conditionalFormatting sqref="T31">
    <cfRule type="cellIs" dxfId="2" priority="153" operator="lessThan">
      <formula>0</formula>
    </cfRule>
  </conditionalFormatting>
  <conditionalFormatting sqref="T31">
    <cfRule type="cellIs" dxfId="3" priority="154" operator="greaterThan">
      <formula>0</formula>
    </cfRule>
  </conditionalFormatting>
  <conditionalFormatting sqref="T32">
    <cfRule type="cellIs" dxfId="2" priority="155" operator="greaterThan">
      <formula>0</formula>
    </cfRule>
  </conditionalFormatting>
  <conditionalFormatting sqref="T32">
    <cfRule type="cellIs" dxfId="3" priority="156" operator="lessThan">
      <formula>0</formula>
    </cfRule>
  </conditionalFormatting>
  <conditionalFormatting sqref="T33">
    <cfRule type="cellIs" dxfId="2" priority="157" operator="lessThan">
      <formula>0</formula>
    </cfRule>
  </conditionalFormatting>
  <conditionalFormatting sqref="T33">
    <cfRule type="cellIs" dxfId="3" priority="158" operator="greaterThan">
      <formula>0</formula>
    </cfRule>
  </conditionalFormatting>
  <conditionalFormatting sqref="T34">
    <cfRule type="cellIs" dxfId="2" priority="159" operator="greaterThan">
      <formula>0</formula>
    </cfRule>
  </conditionalFormatting>
  <conditionalFormatting sqref="T34">
    <cfRule type="cellIs" dxfId="3" priority="160" operator="lessThan">
      <formula>0</formula>
    </cfRule>
  </conditionalFormatting>
  <conditionalFormatting sqref="T35">
    <cfRule type="cellIs" dxfId="17" priority="161" operator="greaterThan">
      <formula>0</formula>
    </cfRule>
  </conditionalFormatting>
  <conditionalFormatting sqref="T35">
    <cfRule type="cellIs" dxfId="18" priority="162" operator="lessThan">
      <formula>0</formula>
    </cfRule>
  </conditionalFormatting>
  <conditionalFormatting sqref="T49 T64 T70 T76 T82 T88 T94">
    <cfRule type="cellIs" dxfId="2" priority="163" operator="greaterThan">
      <formula>0</formula>
    </cfRule>
  </conditionalFormatting>
  <conditionalFormatting sqref="T49 T64 T70 T76 T82 T88 T94">
    <cfRule type="cellIs" dxfId="3" priority="164" operator="lessThan">
      <formula>0</formula>
    </cfRule>
  </conditionalFormatting>
  <conditionalFormatting sqref="T50 T65 T71 T77 T83 T89 T95">
    <cfRule type="cellIs" dxfId="2" priority="165" operator="lessThan">
      <formula>0</formula>
    </cfRule>
  </conditionalFormatting>
  <conditionalFormatting sqref="T50 T65 T71 T77 T83 T89 T95">
    <cfRule type="cellIs" dxfId="3" priority="166" operator="greaterThan">
      <formula>0</formula>
    </cfRule>
  </conditionalFormatting>
  <conditionalFormatting sqref="T51 T66 T72 T78 T84 T90 T96">
    <cfRule type="cellIs" dxfId="2" priority="167" operator="greaterThan">
      <formula>0</formula>
    </cfRule>
  </conditionalFormatting>
  <conditionalFormatting sqref="T51 T66 T72 T78 T84 T90 T96">
    <cfRule type="cellIs" dxfId="3" priority="168" operator="lessThan">
      <formula>0</formula>
    </cfRule>
  </conditionalFormatting>
  <conditionalFormatting sqref="T52 T67 T73 T79 T85 T91 T97">
    <cfRule type="cellIs" dxfId="2" priority="169" operator="lessThan">
      <formula>0</formula>
    </cfRule>
  </conditionalFormatting>
  <conditionalFormatting sqref="T52 T67 T73 T79 T85 T91 T97">
    <cfRule type="cellIs" dxfId="3" priority="170" operator="greaterThan">
      <formula>0</formula>
    </cfRule>
  </conditionalFormatting>
  <conditionalFormatting sqref="T53">
    <cfRule type="cellIs" dxfId="2" priority="171" operator="greaterThan">
      <formula>0</formula>
    </cfRule>
  </conditionalFormatting>
  <conditionalFormatting sqref="T53">
    <cfRule type="cellIs" dxfId="3" priority="172" operator="lessThan">
      <formula>0</formula>
    </cfRule>
  </conditionalFormatting>
  <conditionalFormatting sqref="H29">
    <cfRule type="cellIs" dxfId="2" priority="173" operator="lessThan">
      <formula>0</formula>
    </cfRule>
  </conditionalFormatting>
  <conditionalFormatting sqref="H29">
    <cfRule type="cellIs" dxfId="3" priority="174" operator="greaterThan">
      <formula>0</formula>
    </cfRule>
  </conditionalFormatting>
  <conditionalFormatting sqref="K29">
    <cfRule type="cellIs" dxfId="2" priority="175" operator="lessThan">
      <formula>0</formula>
    </cfRule>
  </conditionalFormatting>
  <conditionalFormatting sqref="K29">
    <cfRule type="cellIs" dxfId="3" priority="176" operator="greaterThan">
      <formula>0</formula>
    </cfRule>
  </conditionalFormatting>
  <conditionalFormatting sqref="N29">
    <cfRule type="cellIs" dxfId="2" priority="177" operator="lessThan">
      <formula>0</formula>
    </cfRule>
  </conditionalFormatting>
  <conditionalFormatting sqref="N29">
    <cfRule type="cellIs" dxfId="3" priority="178" operator="greaterThan">
      <formula>0</formula>
    </cfRule>
  </conditionalFormatting>
  <conditionalFormatting sqref="Q29">
    <cfRule type="cellIs" dxfId="2" priority="179" operator="lessThan">
      <formula>0</formula>
    </cfRule>
  </conditionalFormatting>
  <conditionalFormatting sqref="Q29">
    <cfRule type="cellIs" dxfId="3" priority="180" operator="greaterThan">
      <formula>0</formula>
    </cfRule>
  </conditionalFormatting>
  <conditionalFormatting sqref="T29">
    <cfRule type="cellIs" dxfId="2" priority="181" operator="lessThan">
      <formula>0</formula>
    </cfRule>
  </conditionalFormatting>
  <conditionalFormatting sqref="T29">
    <cfRule type="cellIs" dxfId="3" priority="182" operator="greaterThan">
      <formula>0</formula>
    </cfRule>
  </conditionalFormatting>
  <conditionalFormatting sqref="H48 H63 H69 H75 H81 H87 H93 H99:H106">
    <cfRule type="cellIs" dxfId="2" priority="183" operator="lessThan">
      <formula>0</formula>
    </cfRule>
  </conditionalFormatting>
  <conditionalFormatting sqref="H48 H63 H69 H75 H81 H87 H93 H99:H106">
    <cfRule type="cellIs" dxfId="3" priority="184" operator="greaterThan">
      <formula>0</formula>
    </cfRule>
  </conditionalFormatting>
  <conditionalFormatting sqref="K48 K63 K69 K75 K81 K87 K93 K99:K106">
    <cfRule type="cellIs" dxfId="2" priority="185" operator="lessThan">
      <formula>0</formula>
    </cfRule>
  </conditionalFormatting>
  <conditionalFormatting sqref="K48 K63 K69 K75 K81 K87 K93 K99:K106">
    <cfRule type="cellIs" dxfId="3" priority="186" operator="greaterThan">
      <formula>0</formula>
    </cfRule>
  </conditionalFormatting>
  <conditionalFormatting sqref="N48 N63 N69 N75 N81 N87 N93 N99:N106">
    <cfRule type="cellIs" dxfId="2" priority="187" operator="lessThan">
      <formula>0</formula>
    </cfRule>
  </conditionalFormatting>
  <conditionalFormatting sqref="N48 N63 N69 N75 N81 N87 N93 N99:N106">
    <cfRule type="cellIs" dxfId="3" priority="188" operator="greaterThan">
      <formula>0</formula>
    </cfRule>
  </conditionalFormatting>
  <conditionalFormatting sqref="Q48 Q63 Q69 Q75 Q81 Q87 Q93 Q99:Q106 T99:T106">
    <cfRule type="cellIs" dxfId="2" priority="189" operator="lessThan">
      <formula>0</formula>
    </cfRule>
  </conditionalFormatting>
  <conditionalFormatting sqref="Q48 Q63 Q69 Q75 Q81 Q87 Q93 Q99:Q106 T99:T106">
    <cfRule type="cellIs" dxfId="3" priority="190" operator="greaterThan">
      <formula>0</formula>
    </cfRule>
  </conditionalFormatting>
  <conditionalFormatting sqref="T48 T63 T69 T75 T81 T87 T93 T99:T106">
    <cfRule type="cellIs" dxfId="2" priority="191" operator="lessThan">
      <formula>0</formula>
    </cfRule>
  </conditionalFormatting>
  <conditionalFormatting sqref="T48 T63 T69 T75 T81 T87 T93 T99:T106">
    <cfRule type="cellIs" dxfId="3" priority="192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32.0"/>
    <col customWidth="1" min="3" max="4" width="16.0"/>
    <col customWidth="1" min="5" max="5" width="14.0"/>
    <col customWidth="1" min="6" max="6" width="12.0"/>
    <col customWidth="1" min="7" max="7" width="10.29"/>
  </cols>
  <sheetData>
    <row r="1">
      <c r="A1" s="1" t="s">
        <v>0</v>
      </c>
    </row>
    <row r="3" ht="21.7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H3" s="12" t="s">
        <v>10</v>
      </c>
    </row>
    <row r="4">
      <c r="A4" s="6" t="s">
        <v>8</v>
      </c>
      <c r="B4" s="7"/>
      <c r="C4" s="7"/>
      <c r="D4" s="7"/>
      <c r="E4" s="7"/>
      <c r="F4" s="7"/>
      <c r="H4" s="7" t="str">
        <f>IFERROR(__xludf.DUMMYFUNCTION("IMPORTRANGE(""https://docs.google.com/spreadsheets/d/1nt0LFfnpnwWo0th6JXqkovcI76UyWN4MHn4_IXAMeG4/edit?gid=2040034026#gid=2040034026"", ""Overall!F4:F113"")"),"#REF!")</f>
        <v>#REF!</v>
      </c>
    </row>
    <row r="5">
      <c r="A5" s="9"/>
      <c r="B5" s="10" t="s">
        <v>9</v>
      </c>
      <c r="C5" s="18">
        <f>SUMIFS(Raw_Data_Period!D:D, Raw_Data_Period!$A:$A, "Control", Raw_Data_Period!$C:$C, TRUE)</f>
        <v>80181</v>
      </c>
      <c r="D5" s="18">
        <f>SUMIFS(Raw_Data_Period!D:D, Raw_Data_Period!$A:$A, "Variant", Raw_Data_Period!$C:$C, TRUE)</f>
        <v>80056</v>
      </c>
      <c r="E5" s="26">
        <f>IFERROR(D5-C5,"")</f>
        <v>-125</v>
      </c>
      <c r="F5" s="29">
        <f>IFERROR((D5-C5)/ABS(C5),"")</f>
        <v>-0.001558972824</v>
      </c>
      <c r="H5" s="29"/>
    </row>
    <row r="6">
      <c r="A6" s="6" t="s">
        <v>16</v>
      </c>
      <c r="B6" s="7"/>
      <c r="C6" s="7"/>
      <c r="D6" s="7"/>
      <c r="E6" s="7"/>
      <c r="F6" s="7"/>
      <c r="H6" s="7"/>
    </row>
    <row r="7">
      <c r="A7" s="9"/>
      <c r="B7" s="10" t="s">
        <v>17</v>
      </c>
      <c r="C7" s="34">
        <f>SUMIFS(Raw_Data_Period!F:F, Raw_Data_Period!$A:$A, "Control", Raw_Data_Period!$C:$C, TRUE)</f>
        <v>27540.18</v>
      </c>
      <c r="D7" s="34">
        <f>SUMIFS(Raw_Data_Period!F:F, Raw_Data_Period!$A:$A, "Variant", Raw_Data_Period!$C:$C, TRUE)</f>
        <v>26058.39</v>
      </c>
      <c r="E7" s="36">
        <f t="shared" ref="E7:E9" si="1">IFERROR(D7-C7,"")</f>
        <v>-1481.79</v>
      </c>
      <c r="F7" s="37">
        <f t="shared" ref="F7:F9" si="2">IFERROR((D7-C7)/ABS(C7),"")</f>
        <v>-0.05380465923</v>
      </c>
      <c r="H7" s="37"/>
    </row>
    <row r="8">
      <c r="A8" s="9"/>
      <c r="B8" s="10" t="s">
        <v>18</v>
      </c>
      <c r="C8" s="39">
        <f>SUMIFS(Raw_Data_Period!G:G, Raw_Data_Period!$A:$A, "Control", Raw_Data_Period!$C:$C, TRUE)</f>
        <v>0.1498</v>
      </c>
      <c r="D8" s="39">
        <f>SUMIFS(Raw_Data_Period!G:G, Raw_Data_Period!$A:$A, "Variant", Raw_Data_Period!$C:$C, TRUE)</f>
        <v>0.1428</v>
      </c>
      <c r="E8" s="36">
        <f t="shared" si="1"/>
        <v>-0.007</v>
      </c>
      <c r="F8" s="37">
        <f t="shared" si="2"/>
        <v>-0.04672897196</v>
      </c>
      <c r="H8" s="37"/>
    </row>
    <row r="9">
      <c r="A9" s="9"/>
      <c r="B9" s="10" t="s">
        <v>19</v>
      </c>
      <c r="C9" s="39">
        <f>SUMIFS(Raw_Data_Period!I:I, Raw_Data_Period!$A:$A, "Control", Raw_Data_Period!$C:$C, TRUE)</f>
        <v>9.8008</v>
      </c>
      <c r="D9" s="39">
        <f>SUMIFS(Raw_Data_Period!I:I, Raw_Data_Period!$A:$A, "Variant", Raw_Data_Period!$C:$C, TRUE)</f>
        <v>9.2801</v>
      </c>
      <c r="E9" s="36">
        <f t="shared" si="1"/>
        <v>-0.5207</v>
      </c>
      <c r="F9" s="37">
        <f t="shared" si="2"/>
        <v>-0.05312831606</v>
      </c>
      <c r="H9" s="37"/>
    </row>
    <row r="10">
      <c r="A10" s="6" t="s">
        <v>20</v>
      </c>
      <c r="B10" s="7"/>
      <c r="C10" s="7"/>
      <c r="D10" s="7"/>
      <c r="E10" s="7"/>
      <c r="F10" s="7"/>
      <c r="H10" s="7"/>
    </row>
    <row r="11">
      <c r="A11" s="9"/>
      <c r="B11" s="10" t="s">
        <v>21</v>
      </c>
      <c r="C11" s="42">
        <f>SUMIFS(Raw_Data_Period!J:J, Raw_Data_Period!$A:$A, "Control", Raw_Data_Period!$C:$C, TRUE)</f>
        <v>47.631</v>
      </c>
      <c r="D11" s="42">
        <f>SUMIFS(Raw_Data_Period!J:J, Raw_Data_Period!$A:$A, "Variant", Raw_Data_Period!$C:$C, TRUE)</f>
        <v>48.213</v>
      </c>
      <c r="E11" s="43">
        <f t="shared" ref="E11:E13" si="3">IFERROR(D11-C11,"")</f>
        <v>0.582</v>
      </c>
      <c r="F11" s="44">
        <f t="shared" ref="F11:F13" si="4">IFERROR((D11-C11)/ABS(C11),"")</f>
        <v>0.01221893305</v>
      </c>
      <c r="H11" s="44"/>
    </row>
    <row r="12">
      <c r="A12" s="9"/>
      <c r="B12" s="10" t="s">
        <v>22</v>
      </c>
      <c r="C12" s="42">
        <f>SUMIFS(Raw_Data_Period!K:K, Raw_Data_Period!$A:$A, "Control", Raw_Data_Period!$C:$C, TRUE)</f>
        <v>27.0932</v>
      </c>
      <c r="D12" s="42">
        <f>SUMIFS(Raw_Data_Period!K:K, Raw_Data_Period!$A:$A, "Variant", Raw_Data_Period!$C:$C, TRUE)</f>
        <v>27.2685</v>
      </c>
      <c r="E12" s="43">
        <f t="shared" si="3"/>
        <v>0.1753</v>
      </c>
      <c r="F12" s="44">
        <f t="shared" si="4"/>
        <v>0.00647025822</v>
      </c>
      <c r="H12" s="44"/>
    </row>
    <row r="13">
      <c r="A13" s="9"/>
      <c r="B13" s="10" t="s">
        <v>23</v>
      </c>
      <c r="C13" s="42">
        <f>SUMIFS(Raw_Data_Period!L:L, Raw_Data_Period!$A:$A, "Control", Raw_Data_Period!$C:$C, TRUE)</f>
        <v>17.5094</v>
      </c>
      <c r="D13" s="42">
        <f>SUMIFS(Raw_Data_Period!L:L, Raw_Data_Period!$A:$A, "Variant", Raw_Data_Period!$C:$C, TRUE)</f>
        <v>17.3963</v>
      </c>
      <c r="E13" s="43">
        <f t="shared" si="3"/>
        <v>-0.1131</v>
      </c>
      <c r="F13" s="44">
        <f t="shared" si="4"/>
        <v>-0.006459387529</v>
      </c>
      <c r="H13" s="44"/>
    </row>
    <row r="14" ht="15.75" customHeight="1">
      <c r="A14" s="6" t="s">
        <v>24</v>
      </c>
      <c r="B14" s="7"/>
      <c r="C14" s="7"/>
      <c r="D14" s="7"/>
      <c r="E14" s="7"/>
      <c r="F14" s="7"/>
      <c r="H14" s="7"/>
    </row>
    <row r="15" ht="15.75" customHeight="1">
      <c r="A15" s="9"/>
      <c r="B15" s="10" t="s">
        <v>25</v>
      </c>
      <c r="C15" s="42">
        <f>SUMIFS(Raw_Data_Period!AD:AD, Raw_Data_Period!$A:$A, "Control", Raw_Data_Period!$C:$C, TRUE)</f>
        <v>12.6174</v>
      </c>
      <c r="D15" s="42">
        <f>SUMIFS(Raw_Data_Period!AD:AD, Raw_Data_Period!$A:$A, "Variant", Raw_Data_Period!$C:$C, TRUE)</f>
        <v>12.4157</v>
      </c>
      <c r="E15" s="43">
        <f t="shared" ref="E15:E20" si="5">IFERROR(D15-C15,"")</f>
        <v>-0.2017</v>
      </c>
      <c r="F15" s="44">
        <f t="shared" ref="F15:F20" si="6">IFERROR((D15-C15)/ABS(C15),"")</f>
        <v>-0.0159858608</v>
      </c>
      <c r="H15" s="44"/>
    </row>
    <row r="16" ht="15.75" customHeight="1">
      <c r="A16" s="9"/>
      <c r="B16" s="10" t="s">
        <v>26</v>
      </c>
      <c r="C16" s="42">
        <f>SUMIFS(Raw_Data_Period!AE:AE, Raw_Data_Period!$A:$A, "Control", Raw_Data_Period!$C:$C, TRUE)</f>
        <v>3</v>
      </c>
      <c r="D16" s="42">
        <f>SUMIFS(Raw_Data_Period!AE:AE, Raw_Data_Period!$A:$A, "Variant", Raw_Data_Period!$C:$C, TRUE)</f>
        <v>3</v>
      </c>
      <c r="E16" s="43">
        <f t="shared" si="5"/>
        <v>0</v>
      </c>
      <c r="F16" s="44">
        <f t="shared" si="6"/>
        <v>0</v>
      </c>
      <c r="H16" s="44"/>
    </row>
    <row r="17" ht="15.75" customHeight="1">
      <c r="A17" s="9"/>
      <c r="B17" s="10" t="s">
        <v>27</v>
      </c>
      <c r="C17" s="42">
        <f>SUMIFS(Raw_Data_Period!AF:AF, Raw_Data_Period!$A:$A, "Control", Raw_Data_Period!$C:$C, TRUE)</f>
        <v>8</v>
      </c>
      <c r="D17" s="42">
        <f>SUMIFS(Raw_Data_Period!AF:AF, Raw_Data_Period!$A:$A, "Variant", Raw_Data_Period!$C:$C, TRUE)</f>
        <v>7</v>
      </c>
      <c r="E17" s="43">
        <f t="shared" si="5"/>
        <v>-1</v>
      </c>
      <c r="F17" s="44">
        <f t="shared" si="6"/>
        <v>-0.125</v>
      </c>
      <c r="H17" s="44"/>
    </row>
    <row r="18" ht="15.75" customHeight="1">
      <c r="A18" s="9"/>
      <c r="B18" s="10" t="s">
        <v>28</v>
      </c>
      <c r="C18" s="42">
        <f>SUMIFS(Raw_Data_Period!AG:AG, Raw_Data_Period!$A:$A, "Control", Raw_Data_Period!$C:$C, TRUE)</f>
        <v>15</v>
      </c>
      <c r="D18" s="42">
        <f>SUMIFS(Raw_Data_Period!AG:AG, Raw_Data_Period!$A:$A, "Variant", Raw_Data_Period!$C:$C, TRUE)</f>
        <v>15</v>
      </c>
      <c r="E18" s="43">
        <f t="shared" si="5"/>
        <v>0</v>
      </c>
      <c r="F18" s="44">
        <f t="shared" si="6"/>
        <v>0</v>
      </c>
      <c r="H18" s="44"/>
    </row>
    <row r="19" ht="15.75" customHeight="1">
      <c r="A19" s="9"/>
      <c r="B19" s="10" t="s">
        <v>29</v>
      </c>
      <c r="C19" s="42">
        <f>SUMIFS(Raw_Data_Period!AH:AH, Raw_Data_Period!$A:$A, "Control", Raw_Data_Period!$C:$C, TRUE)</f>
        <v>29</v>
      </c>
      <c r="D19" s="42">
        <f>SUMIFS(Raw_Data_Period!AH:AH, Raw_Data_Period!$A:$A, "Variant", Raw_Data_Period!$C:$C, TRUE)</f>
        <v>29</v>
      </c>
      <c r="E19" s="43">
        <f t="shared" si="5"/>
        <v>0</v>
      </c>
      <c r="F19" s="44">
        <f t="shared" si="6"/>
        <v>0</v>
      </c>
      <c r="H19" s="44"/>
    </row>
    <row r="20" ht="15.75" customHeight="1">
      <c r="A20" s="9"/>
      <c r="B20" s="49" t="s">
        <v>30</v>
      </c>
      <c r="C20" s="42">
        <f>SUMIFS(Raw_Data_Period!BC:BC, Raw_Data_Period!$A:$A, "Control", Raw_Data_Period!$C:$C, TRUE)</f>
        <v>83</v>
      </c>
      <c r="D20" s="42">
        <f>SUMIFS(Raw_Data_Period!BC:BC, Raw_Data_Period!$A:$A, "Variant", Raw_Data_Period!$C:$C, TRUE)</f>
        <v>80</v>
      </c>
      <c r="E20" s="43">
        <f t="shared" si="5"/>
        <v>-3</v>
      </c>
      <c r="F20" s="44">
        <f t="shared" si="6"/>
        <v>-0.03614457831</v>
      </c>
      <c r="H20" s="44"/>
    </row>
    <row r="21">
      <c r="A21" s="6" t="s">
        <v>31</v>
      </c>
      <c r="B21" s="7"/>
      <c r="C21" s="7"/>
      <c r="D21" s="7"/>
      <c r="E21" s="7"/>
      <c r="F21" s="7"/>
      <c r="H21" s="7"/>
    </row>
    <row r="22" ht="15.75" customHeight="1">
      <c r="A22" s="9"/>
      <c r="B22" s="10" t="s">
        <v>32</v>
      </c>
      <c r="C22" s="51">
        <f>SUMIFS(Raw_Data_Period!M:M, Raw_Data_Period!$A:$A, "Control", Raw_Data_Period!$C:$C, TRUE)</f>
        <v>0.6462</v>
      </c>
      <c r="D22" s="51">
        <f>SUMIFS(Raw_Data_Period!M:M, Raw_Data_Period!$A:$A, "Variant", Raw_Data_Period!$C:$C, TRUE)</f>
        <v>0.638</v>
      </c>
      <c r="E22" s="52">
        <f t="shared" ref="E22:E25" si="7">IFERROR(D22-C22,"")</f>
        <v>-0.0082</v>
      </c>
      <c r="F22" s="29">
        <f t="shared" ref="F22:F25" si="8">IFERROR((D22-C22)/ABS(C22),"")</f>
        <v>-0.01268956979</v>
      </c>
      <c r="H22" s="29"/>
    </row>
    <row r="23" ht="15.75" customHeight="1">
      <c r="A23" s="9"/>
      <c r="B23" s="10" t="s">
        <v>33</v>
      </c>
      <c r="C23" s="51">
        <f>SUMIFS(Raw_Data_Period!N:N, Raw_Data_Period!$A:$A, "Control", Raw_Data_Period!$C:$C, TRUE)</f>
        <v>0.4791</v>
      </c>
      <c r="D23" s="51">
        <f>SUMIFS(Raw_Data_Period!N:N, Raw_Data_Period!$A:$A, "Variant", Raw_Data_Period!$C:$C, TRUE)</f>
        <v>0.486</v>
      </c>
      <c r="E23" s="52">
        <f t="shared" si="7"/>
        <v>0.0069</v>
      </c>
      <c r="F23" s="29">
        <f t="shared" si="8"/>
        <v>0.01440200376</v>
      </c>
      <c r="H23" s="29"/>
    </row>
    <row r="24" ht="15.75" customHeight="1">
      <c r="A24" s="9"/>
      <c r="B24" s="10" t="s">
        <v>34</v>
      </c>
      <c r="C24" s="51">
        <f>SUMIFS(Raw_Data_Period!O:O, Raw_Data_Period!$A:$A, "Control", Raw_Data_Period!$C:$C, TRUE)</f>
        <v>0.2895</v>
      </c>
      <c r="D24" s="51">
        <f>SUMIFS(Raw_Data_Period!O:O, Raw_Data_Period!$A:$A, "Variant", Raw_Data_Period!$C:$C, TRUE)</f>
        <v>0.2892</v>
      </c>
      <c r="E24" s="52">
        <f t="shared" si="7"/>
        <v>-0.0003</v>
      </c>
      <c r="F24" s="29">
        <f t="shared" si="8"/>
        <v>-0.00103626943</v>
      </c>
      <c r="H24" s="29"/>
    </row>
    <row r="25" ht="15.75" customHeight="1">
      <c r="A25" s="9"/>
      <c r="B25" s="10" t="s">
        <v>35</v>
      </c>
      <c r="C25" s="42">
        <f>SUMIFS(Raw_Data_Period!P:P, Raw_Data_Period!$A:$A, "Control", Raw_Data_Period!$C:$C, TRUE)</f>
        <v>1.5475</v>
      </c>
      <c r="D25" s="42">
        <f>SUMIFS(Raw_Data_Period!P:P, Raw_Data_Period!$A:$A, "Variant", Raw_Data_Period!$C:$C, TRUE)</f>
        <v>1.5675</v>
      </c>
      <c r="E25" s="57">
        <f t="shared" si="7"/>
        <v>0.02</v>
      </c>
      <c r="F25" s="29">
        <f t="shared" si="8"/>
        <v>0.01292407108</v>
      </c>
      <c r="H25" s="29"/>
    </row>
    <row r="26" ht="15.75" customHeight="1">
      <c r="A26" s="6" t="s">
        <v>36</v>
      </c>
      <c r="B26" s="7"/>
      <c r="C26" s="7"/>
      <c r="D26" s="7"/>
      <c r="E26" s="7"/>
      <c r="F26" s="7"/>
      <c r="H26" s="7"/>
    </row>
    <row r="27" ht="15.75" customHeight="1">
      <c r="A27" s="9"/>
      <c r="B27" s="58" t="s">
        <v>37</v>
      </c>
      <c r="C27" s="42">
        <f>SUMIFS(Raw_Data_Period!Q:Q, Raw_Data_Period!$A:$A, "Control", Raw_Data_Period!$C:$C, TRUE)</f>
        <v>114.0782</v>
      </c>
      <c r="D27" s="42">
        <f>SUMIFS(Raw_Data_Period!Q:Q, Raw_Data_Period!$A:$A, "Variant", Raw_Data_Period!$C:$C, TRUE)</f>
        <v>116.3787</v>
      </c>
      <c r="E27" s="59">
        <f t="shared" ref="E27:E35" si="9">IFERROR(D27-C27,"")</f>
        <v>2.3005</v>
      </c>
      <c r="F27" s="37">
        <f t="shared" ref="F27:F35" si="10">IFERROR((D27-C27)/ABS(C27),"")</f>
        <v>0.0201659914</v>
      </c>
      <c r="H27" s="37"/>
    </row>
    <row r="28" ht="15.75" customHeight="1">
      <c r="A28" s="9"/>
      <c r="B28" s="10" t="s">
        <v>38</v>
      </c>
      <c r="C28" s="42">
        <f>SUMIFS(Raw_Data_Period!R:R, Raw_Data_Period!$A:$A, "Control", Raw_Data_Period!$C:$C, TRUE)</f>
        <v>99.6256</v>
      </c>
      <c r="D28" s="42">
        <f>SUMIFS(Raw_Data_Period!R:R, Raw_Data_Period!$A:$A, "Variant", Raw_Data_Period!$C:$C, TRUE)</f>
        <v>104.5396</v>
      </c>
      <c r="E28" s="57">
        <f t="shared" si="9"/>
        <v>4.914</v>
      </c>
      <c r="F28" s="29">
        <f t="shared" si="10"/>
        <v>0.04932467157</v>
      </c>
      <c r="H28" s="29"/>
    </row>
    <row r="29" ht="15.75" customHeight="1">
      <c r="A29" s="9"/>
      <c r="B29" s="10" t="s">
        <v>39</v>
      </c>
      <c r="C29" s="42">
        <f>SUMIFS(Raw_Data_Period!S:S, Raw_Data_Period!$A:$A, "Control", Raw_Data_Period!$C:$C, TRUE)</f>
        <v>14.4551</v>
      </c>
      <c r="D29" s="42">
        <f>SUMIFS(Raw_Data_Period!S:S, Raw_Data_Period!$A:$A, "Variant", Raw_Data_Period!$C:$C, TRUE)</f>
        <v>11.8396</v>
      </c>
      <c r="E29" s="57">
        <f t="shared" si="9"/>
        <v>-2.6155</v>
      </c>
      <c r="F29" s="29">
        <f t="shared" si="10"/>
        <v>-0.1809395992</v>
      </c>
      <c r="H29" s="29"/>
    </row>
    <row r="30" ht="15.75" customHeight="1">
      <c r="A30" s="9"/>
      <c r="B30" s="58" t="s">
        <v>40</v>
      </c>
      <c r="C30" s="42">
        <f>SUMIFS(Raw_Data_Period!T:T, Raw_Data_Period!$A:$A, "Control", Raw_Data_Period!$C:$C, TRUE)</f>
        <v>11.5382</v>
      </c>
      <c r="D30" s="42">
        <f>SUMIFS(Raw_Data_Period!T:T, Raw_Data_Period!$A:$A, "Variant", Raw_Data_Period!$C:$C, TRUE)</f>
        <v>10.8428</v>
      </c>
      <c r="E30" s="43">
        <f t="shared" si="9"/>
        <v>-0.6954</v>
      </c>
      <c r="F30" s="37">
        <f t="shared" si="10"/>
        <v>-0.06026936611</v>
      </c>
      <c r="H30" s="37"/>
    </row>
    <row r="31" ht="15.75" customHeight="1">
      <c r="A31" s="9"/>
      <c r="B31" s="58" t="s">
        <v>41</v>
      </c>
      <c r="C31" s="42">
        <f>SUMIFS(Raw_Data_Period!U:U, Raw_Data_Period!$A:$A, "Control", Raw_Data_Period!$C:$C, TRUE)</f>
        <v>102.5409</v>
      </c>
      <c r="D31" s="42">
        <f>SUMIFS(Raw_Data_Period!U:U, Raw_Data_Period!$A:$A, "Variant", Raw_Data_Period!$C:$C, TRUE)</f>
        <v>105.536</v>
      </c>
      <c r="E31" s="43">
        <f t="shared" si="9"/>
        <v>2.9951</v>
      </c>
      <c r="F31" s="37">
        <f t="shared" si="10"/>
        <v>0.02920883277</v>
      </c>
      <c r="H31" s="37"/>
    </row>
    <row r="32" ht="15.75" customHeight="1">
      <c r="A32" s="9"/>
      <c r="B32" s="58" t="s">
        <v>42</v>
      </c>
      <c r="C32" s="42">
        <f>SUMIFS(Raw_Data_Period!V:V, Raw_Data_Period!$A:$A, "Control", Raw_Data_Period!$C:$C, TRUE)</f>
        <v>114.9355</v>
      </c>
      <c r="D32" s="42">
        <f>SUMIFS(Raw_Data_Period!V:V, Raw_Data_Period!$A:$A, "Variant", Raw_Data_Period!$C:$C, TRUE)</f>
        <v>117.1137</v>
      </c>
      <c r="E32" s="60">
        <f t="shared" si="9"/>
        <v>2.1782</v>
      </c>
      <c r="F32" s="44">
        <f t="shared" si="10"/>
        <v>0.01895149888</v>
      </c>
      <c r="H32" s="44"/>
    </row>
    <row r="33" ht="15.75" customHeight="1">
      <c r="A33" s="9"/>
      <c r="B33" s="58" t="s">
        <v>44</v>
      </c>
      <c r="C33" s="42">
        <f>SUMIFS(Raw_Data_Period!Q:Q, Raw_Data_Period!$A:$A, "Control", Raw_Data_Period!$C:$C, TRUE) - SUMIFS(Raw_Data_Period!V:V, Raw_Data_Period!$A:$A, "Control", Raw_Data_Period!$C:$C, TRUE)</f>
        <v>-0.8573</v>
      </c>
      <c r="D33" s="42">
        <f>SUMIFS(Raw_Data_Period!Q:Q, Raw_Data_Period!$A:$A, "Variant", Raw_Data_Period!$C:$C, TRUE) - SUMIFS(Raw_Data_Period!V:V, Raw_Data_Period!$A:$A, "Variant", Raw_Data_Period!$C:$C, TRUE)</f>
        <v>-0.735</v>
      </c>
      <c r="E33" s="43">
        <f t="shared" si="9"/>
        <v>0.1223</v>
      </c>
      <c r="F33" s="37">
        <f t="shared" si="10"/>
        <v>0.1426571795</v>
      </c>
      <c r="H33" s="37"/>
    </row>
    <row r="34" ht="15.75" customHeight="1">
      <c r="A34" s="9"/>
      <c r="B34" s="10" t="s">
        <v>45</v>
      </c>
      <c r="C34" s="42">
        <f>SUMIFS(Raw_Data_Period!W:W, Raw_Data_Period!$A:$A, "Control", Raw_Data_Period!$C:$C, TRUE)</f>
        <v>4.2421</v>
      </c>
      <c r="D34" s="42">
        <f>SUMIFS(Raw_Data_Period!W:W, Raw_Data_Period!$A:$A, "Variant", Raw_Data_Period!$C:$C, TRUE)</f>
        <v>4.295</v>
      </c>
      <c r="E34" s="60">
        <f t="shared" si="9"/>
        <v>0.0529</v>
      </c>
      <c r="F34" s="44">
        <f t="shared" si="10"/>
        <v>0.0124702388</v>
      </c>
      <c r="H34" s="44"/>
    </row>
    <row r="35" ht="15.75" customHeight="1">
      <c r="A35" s="9"/>
      <c r="B35" s="10" t="s">
        <v>46</v>
      </c>
      <c r="C35" s="51">
        <f>SUMIFS(Raw_Data_Period!X:X, Raw_Data_Period!$A:$A, "Control", Raw_Data_Period!$C:$C, TRUE)</f>
        <v>10.11</v>
      </c>
      <c r="D35" s="51">
        <f>SUMIFS(Raw_Data_Period!X:X, Raw_Data_Period!$A:$A, "Variant", Raw_Data_Period!$C:$C, TRUE)</f>
        <v>9.32</v>
      </c>
      <c r="E35" s="43">
        <f t="shared" si="9"/>
        <v>-0.79</v>
      </c>
      <c r="F35" s="37">
        <f t="shared" si="10"/>
        <v>-0.078140455</v>
      </c>
      <c r="H35" s="37"/>
    </row>
    <row r="36" ht="15.75" customHeight="1">
      <c r="A36" s="6" t="s">
        <v>47</v>
      </c>
      <c r="B36" s="7"/>
      <c r="C36" s="7"/>
      <c r="D36" s="7"/>
      <c r="E36" s="7"/>
      <c r="F36" s="7"/>
      <c r="H36" s="7"/>
    </row>
    <row r="37" ht="15.75" customHeight="1">
      <c r="A37" s="9"/>
      <c r="B37" s="64" t="s">
        <v>48</v>
      </c>
      <c r="C37" s="42">
        <f>SUMIFS(Raw_Data_Period!AX:AX, Raw_Data_Period!$A:$A, "Control", Raw_Data_Period!$C:$C, TRUE)</f>
        <v>44.8207</v>
      </c>
      <c r="D37" s="42">
        <f>SUMIFS(Raw_Data_Period!AX:AX, Raw_Data_Period!$A:$A, "Variant", Raw_Data_Period!$C:$C, TRUE)</f>
        <v>39.6027</v>
      </c>
      <c r="E37" s="52">
        <f t="shared" ref="E37:E41" si="11">IFERROR(D37-C37,"")</f>
        <v>-5.218</v>
      </c>
      <c r="F37" s="29">
        <f t="shared" ref="F37:F41" si="12">IFERROR((D37-C37)/ABS(C37),"")</f>
        <v>-0.1164194223</v>
      </c>
      <c r="H37" s="29"/>
    </row>
    <row r="38" ht="15.75" customHeight="1">
      <c r="A38" s="9"/>
      <c r="B38" s="64" t="s">
        <v>49</v>
      </c>
      <c r="C38" s="42">
        <f>SUMIFS(Raw_Data_Period!AY:AY, Raw_Data_Period!$A:$A, "Control", Raw_Data_Period!$C:$C, TRUE)</f>
        <v>53.2204</v>
      </c>
      <c r="D38" s="42">
        <f>SUMIFS(Raw_Data_Period!AY:AY, Raw_Data_Period!$A:$A, "Variant", Raw_Data_Period!$C:$C, TRUE)</f>
        <v>61.5694</v>
      </c>
      <c r="E38" s="52">
        <f t="shared" si="11"/>
        <v>8.349</v>
      </c>
      <c r="F38" s="29">
        <f t="shared" si="12"/>
        <v>0.1568759348</v>
      </c>
      <c r="H38" s="29"/>
    </row>
    <row r="39" ht="15.75" customHeight="1">
      <c r="A39" s="9"/>
      <c r="B39" s="64" t="s">
        <v>50</v>
      </c>
      <c r="C39" s="42">
        <f>SUMIFS(Raw_Data_Period!AZ:AZ, Raw_Data_Period!$A:$A, "Control", Raw_Data_Period!$C:$C, TRUE)</f>
        <v>2.9281</v>
      </c>
      <c r="D39" s="42">
        <f>SUMIFS(Raw_Data_Period!AZ:AZ, Raw_Data_Period!$A:$A, "Variant", Raw_Data_Period!$C:$C, TRUE)</f>
        <v>2.8709</v>
      </c>
      <c r="E39" s="60">
        <f t="shared" si="11"/>
        <v>-0.0572</v>
      </c>
      <c r="F39" s="44">
        <f t="shared" si="12"/>
        <v>-0.01953485195</v>
      </c>
      <c r="H39" s="44"/>
    </row>
    <row r="40" ht="15.75" customHeight="1">
      <c r="A40" s="9"/>
      <c r="B40" s="64" t="s">
        <v>51</v>
      </c>
      <c r="C40" s="42">
        <f>SUMIFS(Raw_Data_Period!BA:BA, Raw_Data_Period!$A:$A, "Control", Raw_Data_Period!$C:$C, TRUE)</f>
        <v>11.5376</v>
      </c>
      <c r="D40" s="42">
        <f>SUMIFS(Raw_Data_Period!BA:BA, Raw_Data_Period!$A:$A, "Variant", Raw_Data_Period!$C:$C, TRUE)</f>
        <v>10.8396</v>
      </c>
      <c r="E40" s="60">
        <f t="shared" si="11"/>
        <v>-0.698</v>
      </c>
      <c r="F40" s="44">
        <f t="shared" si="12"/>
        <v>-0.06049785051</v>
      </c>
      <c r="H40" s="44"/>
    </row>
    <row r="41" ht="15.75" customHeight="1">
      <c r="A41" s="9"/>
      <c r="B41" s="64" t="s">
        <v>52</v>
      </c>
      <c r="C41" s="42">
        <f>SUMIFS(Raw_Data_Period!BB:BB, Raw_Data_Period!$A:$A, "Control", Raw_Data_Period!$C:$C, TRUE)</f>
        <v>1.5718</v>
      </c>
      <c r="D41" s="42">
        <f>SUMIFS(Raw_Data_Period!BB:BB, Raw_Data_Period!$A:$A, "Variant", Raw_Data_Period!$C:$C, TRUE)</f>
        <v>1.4971</v>
      </c>
      <c r="E41" s="52">
        <f t="shared" si="11"/>
        <v>-0.0747</v>
      </c>
      <c r="F41" s="29">
        <f t="shared" si="12"/>
        <v>-0.04752513042</v>
      </c>
      <c r="H41" s="29"/>
    </row>
    <row r="42" ht="15.75" customHeight="1">
      <c r="A42" s="6" t="s">
        <v>53</v>
      </c>
      <c r="B42" s="7"/>
      <c r="C42" s="7"/>
      <c r="D42" s="7"/>
      <c r="E42" s="7"/>
      <c r="F42" s="7"/>
      <c r="H42" s="7"/>
    </row>
    <row r="43" ht="15.75" customHeight="1">
      <c r="A43" s="9"/>
      <c r="B43" s="10" t="s">
        <v>54</v>
      </c>
      <c r="C43" s="18">
        <f>SUMIFS(Raw_Data_Period!Y:Y, Raw_Data_Period!$A:$A, "Control", Raw_Data_Period!$C:$C, TRUE)</f>
        <v>148</v>
      </c>
      <c r="D43" s="18">
        <f>SUMIFS(Raw_Data_Period!Y:Y, Raw_Data_Period!$A:$A, "Variant", Raw_Data_Period!$C:$C, TRUE)</f>
        <v>152</v>
      </c>
      <c r="E43" s="26">
        <f t="shared" ref="E43:E46" si="13">IFERROR(D43-C43,"")</f>
        <v>4</v>
      </c>
      <c r="F43" s="29">
        <f t="shared" ref="F43:F46" si="14">IFERROR((D43-C43)/ABS(C43),"")</f>
        <v>0.02702702703</v>
      </c>
      <c r="H43" s="29"/>
    </row>
    <row r="44" ht="15.75" customHeight="1">
      <c r="A44" s="9"/>
      <c r="B44" s="10" t="s">
        <v>55</v>
      </c>
      <c r="C44" s="18">
        <f>SUMIFS(Raw_Data_Period!Z:Z, Raw_Data_Period!$A:$A, "Control", Raw_Data_Period!$C:$C, TRUE)</f>
        <v>402</v>
      </c>
      <c r="D44" s="18">
        <f>SUMIFS(Raw_Data_Period!Z:Z, Raw_Data_Period!$A:$A, "Variant", Raw_Data_Period!$C:$C, TRUE)</f>
        <v>371</v>
      </c>
      <c r="E44" s="26">
        <f t="shared" si="13"/>
        <v>-31</v>
      </c>
      <c r="F44" s="29">
        <f t="shared" si="14"/>
        <v>-0.07711442786</v>
      </c>
      <c r="H44" s="29"/>
    </row>
    <row r="45" ht="15.75" customHeight="1">
      <c r="A45" s="9"/>
      <c r="B45" s="10" t="s">
        <v>56</v>
      </c>
      <c r="C45" s="18">
        <f>SUMIFS(Raw_Data_Period!AA:AA, Raw_Data_Period!$A:$A, "Control", Raw_Data_Period!$C:$C, TRUE)</f>
        <v>1779</v>
      </c>
      <c r="D45" s="18">
        <f>SUMIFS(Raw_Data_Period!AA:AA, Raw_Data_Period!$A:$A, "Variant", Raw_Data_Period!$C:$C, TRUE)</f>
        <v>1578</v>
      </c>
      <c r="E45" s="26">
        <f t="shared" si="13"/>
        <v>-201</v>
      </c>
      <c r="F45" s="29">
        <f t="shared" si="14"/>
        <v>-0.1129848229</v>
      </c>
      <c r="H45" s="29"/>
    </row>
    <row r="46" ht="15.75" customHeight="1">
      <c r="A46" s="9"/>
      <c r="B46" s="49" t="s">
        <v>57</v>
      </c>
      <c r="C46" s="18">
        <f>SUMIFS(Raw_Data_Period!BD:BD, Raw_Data_Period!$A:$A, "Control", Raw_Data_Period!$C:$C, TRUE)</f>
        <v>23035</v>
      </c>
      <c r="D46" s="18">
        <f>SUMIFS(Raw_Data_Period!BD:BD, Raw_Data_Period!$A:$A, "Variant", Raw_Data_Period!$C:$C, TRUE)</f>
        <v>21816</v>
      </c>
      <c r="E46" s="26">
        <f t="shared" si="13"/>
        <v>-1219</v>
      </c>
      <c r="F46" s="29">
        <f t="shared" si="14"/>
        <v>-0.05291947037</v>
      </c>
      <c r="H46" s="29"/>
    </row>
    <row r="47" ht="15.75" customHeight="1">
      <c r="A47" s="6" t="s">
        <v>58</v>
      </c>
      <c r="B47" s="7"/>
      <c r="C47" s="7"/>
      <c r="D47" s="7"/>
      <c r="E47" s="7"/>
      <c r="F47" s="7"/>
      <c r="H47" s="7"/>
    </row>
    <row r="48" ht="15.75" customHeight="1">
      <c r="A48" s="9"/>
      <c r="B48" s="10" t="s">
        <v>59</v>
      </c>
      <c r="C48" s="42">
        <f>SUMIFS(Raw_Data_Period!AB:AB, Raw_Data_Period!$A:$A, "Control", Raw_Data_Period!$C:$C, TRUE)</f>
        <v>51.7467</v>
      </c>
      <c r="D48" s="42">
        <f>SUMIFS(Raw_Data_Period!AB:AB, Raw_Data_Period!$A:$A, "Variant", Raw_Data_Period!$C:$C, TRUE)</f>
        <v>51.5752</v>
      </c>
      <c r="E48" s="43">
        <f t="shared" ref="E48:E49" si="15">IFERROR(D48-C48,"")</f>
        <v>-0.1715</v>
      </c>
      <c r="F48" s="44">
        <f t="shared" ref="F48:F49" si="16">IFERROR((D48-C48)/ABS(C48),"")</f>
        <v>-0.003314221003</v>
      </c>
      <c r="H48" s="44"/>
    </row>
    <row r="49" ht="15.75" customHeight="1">
      <c r="A49" s="9"/>
      <c r="B49" s="10" t="s">
        <v>60</v>
      </c>
      <c r="C49" s="42">
        <f>SUMIFS(Raw_Data_Period!AC:AC, Raw_Data_Period!$A:$A, "Control", Raw_Data_Period!$C:$C, TRUE)</f>
        <v>0.6335</v>
      </c>
      <c r="D49" s="42">
        <f>SUMIFS(Raw_Data_Period!AC:AC, Raw_Data_Period!$A:$A, "Variant", Raw_Data_Period!$C:$C, TRUE)</f>
        <v>0.6285</v>
      </c>
      <c r="E49" s="43">
        <f t="shared" si="15"/>
        <v>-0.005</v>
      </c>
      <c r="F49" s="37">
        <f t="shared" si="16"/>
        <v>-0.007892659826</v>
      </c>
      <c r="H49" s="37"/>
    </row>
    <row r="50" ht="15.75" hidden="1" customHeight="1">
      <c r="A50" s="6" t="s">
        <v>61</v>
      </c>
      <c r="B50" s="7"/>
      <c r="C50" s="7"/>
      <c r="D50" s="7"/>
      <c r="E50" s="7"/>
      <c r="F50" s="7"/>
      <c r="H50" s="7"/>
    </row>
    <row r="51" ht="15.75" hidden="1" customHeight="1">
      <c r="A51" s="9"/>
      <c r="B51" s="10" t="s">
        <v>62</v>
      </c>
      <c r="C51" s="62">
        <f>SUMIFS(Raw_Data_Period!AI:AI, Raw_Data_Period!$A:$A, "Control", Raw_Data_Period!$C:$C, TRUE)</f>
        <v>50.6603</v>
      </c>
      <c r="D51" s="62">
        <f>SUMIFS(Raw_Data_Period!AI:AI, Raw_Data_Period!$A:$A, "Variant", Raw_Data_Period!$C:$C, TRUE)</f>
        <v>50.7763</v>
      </c>
      <c r="E51" s="65">
        <f t="shared" ref="E51:E53" si="17">IFERROR(D51-C51,"")</f>
        <v>0.116</v>
      </c>
      <c r="F51" s="37">
        <f t="shared" ref="F51:F53" si="18">IFERROR((D51-C51)/ABS(C51),"")</f>
        <v>0.002289761411</v>
      </c>
      <c r="H51" s="37"/>
    </row>
    <row r="52" ht="15.75" hidden="1" customHeight="1">
      <c r="A52" s="9"/>
      <c r="B52" s="10" t="s">
        <v>63</v>
      </c>
      <c r="C52" s="62">
        <f>SUMIFS(Raw_Data_Period!AJ:AJ, Raw_Data_Period!$A:$A, "Control", Raw_Data_Period!$C:$C, TRUE)</f>
        <v>20.4635</v>
      </c>
      <c r="D52" s="62">
        <f>SUMIFS(Raw_Data_Period!AJ:AJ, Raw_Data_Period!$A:$A, "Variant", Raw_Data_Period!$C:$C, TRUE)</f>
        <v>20.5773</v>
      </c>
      <c r="E52" s="66">
        <f t="shared" si="17"/>
        <v>0.1138</v>
      </c>
      <c r="F52" s="44">
        <f t="shared" si="18"/>
        <v>0.00556112102</v>
      </c>
      <c r="H52" s="44"/>
    </row>
    <row r="53" ht="15.75" hidden="1" customHeight="1">
      <c r="A53" s="9"/>
      <c r="B53" s="10" t="s">
        <v>64</v>
      </c>
      <c r="C53" s="62">
        <f>SUMIFS(Raw_Data_Period!AK:AK, Raw_Data_Period!$A:$A, "Control", Raw_Data_Period!$C:$C, TRUE)</f>
        <v>3.8815</v>
      </c>
      <c r="D53" s="62">
        <f>SUMIFS(Raw_Data_Period!AK:AK, Raw_Data_Period!$A:$A, "Variant", Raw_Data_Period!$C:$C, TRUE)</f>
        <v>3.9917</v>
      </c>
      <c r="E53" s="66">
        <f t="shared" si="17"/>
        <v>0.1102</v>
      </c>
      <c r="F53" s="44">
        <f t="shared" si="18"/>
        <v>0.02839108592</v>
      </c>
      <c r="H53" s="44"/>
    </row>
    <row r="54" ht="15.75" customHeight="1">
      <c r="A54" s="6" t="s">
        <v>65</v>
      </c>
      <c r="B54" s="7"/>
      <c r="C54" s="7"/>
      <c r="D54" s="7"/>
      <c r="E54" s="7"/>
      <c r="F54" s="7"/>
      <c r="H54" s="7"/>
    </row>
    <row r="55" ht="15.75" customHeight="1">
      <c r="A55" s="9"/>
      <c r="B55" s="10" t="s">
        <v>66</v>
      </c>
      <c r="C55" s="51">
        <f>SUMIFS(Raw_Data_Period!AL:AL, Raw_Data_Period!$A:$A, "Control", Raw_Data_Period!$C:$C, TRUE)</f>
        <v>0.3789</v>
      </c>
      <c r="D55" s="51">
        <f>SUMIFS(Raw_Data_Period!AL:AL, Raw_Data_Period!$A:$A, "Variant", Raw_Data_Period!$C:$C, TRUE)</f>
        <v>0.38</v>
      </c>
      <c r="E55" s="67">
        <f>IFERROR(D55-C55,"")</f>
        <v>0.0011</v>
      </c>
      <c r="F55" s="44">
        <f>IFERROR((D55-C55)/ABS(C55),"")</f>
        <v>0.00290314067</v>
      </c>
      <c r="H55" s="44"/>
    </row>
    <row r="56" ht="15.75" hidden="1" customHeight="1">
      <c r="A56" s="6" t="s">
        <v>67</v>
      </c>
      <c r="B56" s="7"/>
      <c r="C56" s="7"/>
      <c r="D56" s="7"/>
      <c r="E56" s="7"/>
      <c r="F56" s="7"/>
      <c r="H56" s="7"/>
    </row>
    <row r="57" ht="15.75" hidden="1" customHeight="1">
      <c r="A57" s="9"/>
      <c r="B57" s="10" t="s">
        <v>68</v>
      </c>
      <c r="C57" s="62"/>
      <c r="D57" s="62">
        <f>SUMIFS(Raw_Data_Period!AI:AI, Raw_Data_Period!$A:$A, "Variant", Raw_Data_Period!$C:$C, TRUE)</f>
        <v>50.7763</v>
      </c>
      <c r="E57" s="65"/>
      <c r="F57" s="37"/>
      <c r="H57" s="37"/>
    </row>
    <row r="58" ht="15.75" hidden="1" customHeight="1">
      <c r="A58" s="9"/>
      <c r="B58" s="69" t="s">
        <v>69</v>
      </c>
      <c r="C58" s="62"/>
      <c r="D58" s="62">
        <f>SUMIFS(Raw_Data_Period!AI:AI, Raw_Data_Period!$A:$A, "Variant", Raw_Data_Period!$C:$C, TRUE)</f>
        <v>50.7763</v>
      </c>
      <c r="E58" s="65"/>
      <c r="F58" s="37"/>
      <c r="H58" s="37"/>
    </row>
    <row r="59" ht="15.75" hidden="1" customHeight="1">
      <c r="A59" s="9"/>
      <c r="B59" s="69" t="s">
        <v>70</v>
      </c>
      <c r="C59" s="62"/>
      <c r="D59" s="62">
        <f>SUMIFS(Raw_Data_Period!AJ:AJ, Raw_Data_Period!$A:$A, "Variant", Raw_Data_Period!$C:$C, TRUE)</f>
        <v>20.5773</v>
      </c>
      <c r="E59" s="65"/>
      <c r="F59" s="37"/>
      <c r="H59" s="37"/>
    </row>
    <row r="60" ht="15.75" hidden="1" customHeight="1">
      <c r="A60" s="9"/>
      <c r="B60" s="69" t="s">
        <v>71</v>
      </c>
      <c r="C60" s="62"/>
      <c r="D60" s="62">
        <f>SUMIFS(Raw_Data_Period!AK:AK, Raw_Data_Period!$A:$A, "Variant", Raw_Data_Period!$C:$C, TRUE)</f>
        <v>3.9917</v>
      </c>
      <c r="E60" s="65"/>
      <c r="F60" s="37"/>
      <c r="H60" s="37"/>
    </row>
    <row r="61" ht="15.75" customHeight="1">
      <c r="A61" s="6" t="s">
        <v>72</v>
      </c>
      <c r="B61" s="7"/>
      <c r="C61" s="7"/>
      <c r="D61" s="7"/>
      <c r="E61" s="7"/>
      <c r="F61" s="7"/>
      <c r="H61" s="7"/>
    </row>
    <row r="62" ht="15.75" customHeight="1">
      <c r="A62" s="9"/>
      <c r="B62" s="58" t="s">
        <v>73</v>
      </c>
      <c r="C62" s="51">
        <f>SUMIFS(Raw_Data_Period!AQ:AQ, Raw_Data_Period!$A:$A, "Control", Raw_Data_Period!$C:$C, TRUE)</f>
        <v>6.669</v>
      </c>
      <c r="D62" s="51">
        <f>SUMIFS(Raw_Data_Period!AQ:AQ, Raw_Data_Period!$A:$A, "Variant", Raw_Data_Period!$C:$C, TRUE)</f>
        <v>6.3097</v>
      </c>
      <c r="E62" s="60">
        <f t="shared" ref="E62:E67" si="19">IFERROR(D62-C62,"")</f>
        <v>-0.3593</v>
      </c>
      <c r="F62" s="37">
        <f t="shared" ref="F62:F67" si="20">IFERROR((D62-C62)/ABS(C62),"")</f>
        <v>-0.05387614335</v>
      </c>
      <c r="H62" s="37"/>
    </row>
    <row r="63" ht="15.75" customHeight="1">
      <c r="A63" s="9"/>
      <c r="B63" s="58" t="s">
        <v>74</v>
      </c>
      <c r="C63" s="51">
        <f>SUMIFS(Raw_Data_Period!AR:AR, Raw_Data_Period!$A:$A, "Control", Raw_Data_Period!$C:$C, TRUE)</f>
        <v>0.1812</v>
      </c>
      <c r="D63" s="51">
        <f>SUMIFS(Raw_Data_Period!AR:AR, Raw_Data_Period!$A:$A, "Variant", Raw_Data_Period!$C:$C, TRUE)</f>
        <v>0.1781</v>
      </c>
      <c r="E63" s="43">
        <f t="shared" si="19"/>
        <v>-0.0031</v>
      </c>
      <c r="F63" s="37">
        <f t="shared" si="20"/>
        <v>-0.01710816777</v>
      </c>
      <c r="H63" s="37"/>
    </row>
    <row r="64" ht="15.75" customHeight="1">
      <c r="A64" s="9"/>
      <c r="B64" s="58" t="s">
        <v>75</v>
      </c>
      <c r="C64" s="51">
        <f>SUMIFS(Raw_Data_Period!AS:AS, Raw_Data_Period!$A:$A, "Control", Raw_Data_Period!$C:$C, TRUE)</f>
        <v>6.4878</v>
      </c>
      <c r="D64" s="51">
        <f>SUMIFS(Raw_Data_Period!AS:AS, Raw_Data_Period!$A:$A, "Variant", Raw_Data_Period!$C:$C, TRUE)</f>
        <v>6.1316</v>
      </c>
      <c r="E64" s="60">
        <f t="shared" si="19"/>
        <v>-0.3562</v>
      </c>
      <c r="F64" s="37">
        <f t="shared" si="20"/>
        <v>-0.0549030488</v>
      </c>
      <c r="H64" s="37"/>
    </row>
    <row r="65" ht="15.75" customHeight="1">
      <c r="A65" s="9"/>
      <c r="B65" s="58" t="s">
        <v>76</v>
      </c>
      <c r="C65" s="51">
        <f>SUMIFS(Raw_Data_Period!AT:AT, Raw_Data_Period!$A:$A, "Control", Raw_Data_Period!$C:$C, TRUE)</f>
        <v>6.047</v>
      </c>
      <c r="D65" s="51">
        <f>SUMIFS(Raw_Data_Period!AT:AT, Raw_Data_Period!$A:$A, "Variant", Raw_Data_Period!$C:$C, TRUE)</f>
        <v>5.4704</v>
      </c>
      <c r="E65" s="43">
        <f t="shared" si="19"/>
        <v>-0.5766</v>
      </c>
      <c r="F65" s="37">
        <f t="shared" si="20"/>
        <v>-0.09535306764</v>
      </c>
      <c r="H65" s="37"/>
    </row>
    <row r="66" ht="15.75" customHeight="1">
      <c r="A66" s="9"/>
      <c r="B66" s="58" t="s">
        <v>77</v>
      </c>
      <c r="C66" s="51">
        <f>SUMIFS(Raw_Data_Period!AQ:AQ, Raw_Data_Period!$A:$A, "Control", Raw_Data_Period!$C:$C, TRUE) - SUMIFS(Raw_Data_Period!AT:AT, Raw_Data_Period!$A:$A, "Control", Raw_Data_Period!$C:$C, TRUE)</f>
        <v>0.622</v>
      </c>
      <c r="D66" s="51">
        <f>SUMIFS(Raw_Data_Period!AQ:AQ, Raw_Data_Period!$A:$A, "Variant", Raw_Data_Period!$C:$C, TRUE) - SUMIFS(Raw_Data_Period!AT:AT, Raw_Data_Period!$A:$A, "Variant", Raw_Data_Period!$C:$C, TRUE)</f>
        <v>0.8393</v>
      </c>
      <c r="E66" s="60">
        <f t="shared" si="19"/>
        <v>0.2173</v>
      </c>
      <c r="F66" s="37">
        <f t="shared" si="20"/>
        <v>0.3493569132</v>
      </c>
      <c r="H66" s="37"/>
    </row>
    <row r="67" ht="15.75" customHeight="1">
      <c r="A67" s="9"/>
      <c r="B67" s="10" t="s">
        <v>78</v>
      </c>
      <c r="C67" s="51">
        <f>SUMIFS(Raw_Data_Period!AU:AU, Raw_Data_Period!$A:$A, "Control", Raw_Data_Period!$C:$C, TRUE)</f>
        <v>0.2232</v>
      </c>
      <c r="D67" s="51">
        <f>SUMIFS(Raw_Data_Period!AU:AU, Raw_Data_Period!$A:$A, "Variant", Raw_Data_Period!$C:$C, TRUE)</f>
        <v>0.2006</v>
      </c>
      <c r="E67" s="71">
        <f t="shared" si="19"/>
        <v>-0.0226</v>
      </c>
      <c r="F67" s="44">
        <f t="shared" si="20"/>
        <v>-0.1012544803</v>
      </c>
      <c r="H67" s="44"/>
    </row>
    <row r="68" ht="15.75" customHeight="1"/>
    <row r="69" ht="15.75" customHeight="1">
      <c r="A69" s="72" t="s">
        <v>79</v>
      </c>
      <c r="B69" s="7"/>
      <c r="C69" s="7"/>
      <c r="D69" s="7"/>
      <c r="E69" s="7"/>
      <c r="F69" s="7"/>
      <c r="H69" s="7"/>
    </row>
    <row r="70" ht="15.75" customHeight="1">
      <c r="A70" s="9"/>
      <c r="B70" s="73" t="s">
        <v>80</v>
      </c>
      <c r="C70" s="51">
        <f>SUMIFS(Raw_Data_Period!BO:BO, Raw_Data_Period!$A:$A, "Control", Raw_Data_Period!$C:$C, TRUE)</f>
        <v>1.4827</v>
      </c>
      <c r="D70" s="51">
        <f>SUMIFS(Raw_Data_Period!BO:BO, Raw_Data_Period!$A:$A, "Variant", Raw_Data_Period!$C:$C, TRUE)</f>
        <v>1.5628</v>
      </c>
      <c r="E70" s="60">
        <f t="shared" ref="E70:E74" si="21">IFERROR(D70-C70,"")</f>
        <v>0.0801</v>
      </c>
      <c r="F70" s="37">
        <f t="shared" ref="F70:F74" si="22">IFERROR((D70-C70)/ABS(C70),"")</f>
        <v>0.05402306603</v>
      </c>
      <c r="H70" s="37"/>
    </row>
    <row r="71" ht="15.75" customHeight="1">
      <c r="A71" s="9"/>
      <c r="B71" s="73" t="s">
        <v>81</v>
      </c>
      <c r="C71" s="51">
        <f>SUMIFS(Raw_Data_Period!BP:BP, Raw_Data_Period!$A:$A, "Control", Raw_Data_Period!$C:$C, TRUE)</f>
        <v>0.0308</v>
      </c>
      <c r="D71" s="51">
        <f>SUMIFS(Raw_Data_Period!BP:BP, Raw_Data_Period!$A:$A, "Variant", Raw_Data_Period!$C:$C, TRUE)</f>
        <v>0.0337</v>
      </c>
      <c r="E71" s="43">
        <f t="shared" si="21"/>
        <v>0.0029</v>
      </c>
      <c r="F71" s="37">
        <f t="shared" si="22"/>
        <v>0.09415584416</v>
      </c>
      <c r="H71" s="37"/>
    </row>
    <row r="72" ht="15.75" customHeight="1">
      <c r="A72" s="9"/>
      <c r="B72" s="73" t="s">
        <v>82</v>
      </c>
      <c r="C72" s="51">
        <f>SUMIFS(Raw_Data_Period!BQ:BQ, Raw_Data_Period!$A:$A, "Control", Raw_Data_Period!$C:$C, TRUE)</f>
        <v>1.4519</v>
      </c>
      <c r="D72" s="51">
        <f>SUMIFS(Raw_Data_Period!BQ:BQ, Raw_Data_Period!$A:$A, "Variant", Raw_Data_Period!$C:$C, TRUE)</f>
        <v>1.5291</v>
      </c>
      <c r="E72" s="60">
        <f t="shared" si="21"/>
        <v>0.0772</v>
      </c>
      <c r="F72" s="37">
        <f t="shared" si="22"/>
        <v>0.05317170604</v>
      </c>
      <c r="H72" s="37"/>
    </row>
    <row r="73" ht="15.75" customHeight="1">
      <c r="A73" s="9"/>
      <c r="B73" s="73" t="s">
        <v>83</v>
      </c>
      <c r="C73" s="51">
        <f>SUMIFS(Raw_Data_Period!BR:BR, Raw_Data_Period!$A:$A, "Control", Raw_Data_Period!$C:$C, TRUE)</f>
        <v>1.228</v>
      </c>
      <c r="D73" s="51">
        <f>SUMIFS(Raw_Data_Period!BR:BR, Raw_Data_Period!$A:$A, "Variant", Raw_Data_Period!$C:$C, TRUE)</f>
        <v>1.1902</v>
      </c>
      <c r="E73" s="43">
        <f t="shared" si="21"/>
        <v>-0.0378</v>
      </c>
      <c r="F73" s="37">
        <f t="shared" si="22"/>
        <v>-0.03078175896</v>
      </c>
      <c r="H73" s="37"/>
    </row>
    <row r="74" ht="15.75" customHeight="1">
      <c r="A74" s="9"/>
      <c r="B74" s="73" t="s">
        <v>84</v>
      </c>
      <c r="C74" s="51">
        <f>SUMIFS(Raw_Data_Period!BO:BO, Raw_Data_Period!$A:$A, "Control", Raw_Data_Period!$C:$C, TRUE) - SUMIFS(Raw_Data_Period!BR:BR, Raw_Data_Period!$A:$A, "Control", Raw_Data_Period!$C:$C, TRUE)</f>
        <v>0.2547</v>
      </c>
      <c r="D74" s="51">
        <f>SUMIFS(Raw_Data_Period!BO:BO, Raw_Data_Period!$A:$A, "Variant", Raw_Data_Period!$C:$C, TRUE) - SUMIFS(Raw_Data_Period!BR:BR, Raw_Data_Period!$A:$A, "Variant", Raw_Data_Period!$C:$C, TRUE)</f>
        <v>0.3726</v>
      </c>
      <c r="E74" s="60">
        <f t="shared" si="21"/>
        <v>0.1179</v>
      </c>
      <c r="F74" s="37">
        <f t="shared" si="22"/>
        <v>0.4628975265</v>
      </c>
      <c r="H74" s="37"/>
    </row>
    <row r="75" ht="15.75" customHeight="1">
      <c r="A75" s="72" t="s">
        <v>85</v>
      </c>
      <c r="B75" s="7"/>
      <c r="C75" s="7"/>
      <c r="D75" s="7"/>
      <c r="E75" s="7"/>
      <c r="F75" s="7"/>
      <c r="H75" s="7"/>
    </row>
    <row r="76" ht="15.75" customHeight="1">
      <c r="A76" s="9"/>
      <c r="B76" s="73" t="s">
        <v>86</v>
      </c>
      <c r="C76" s="51">
        <f>SUMIFS(Raw_Data_Period!BS:BS, Raw_Data_Period!$A:$A, "Control", Raw_Data_Period!$C:$C, TRUE)</f>
        <v>1.5258</v>
      </c>
      <c r="D76" s="51">
        <f>SUMIFS(Raw_Data_Period!BS:BS, Raw_Data_Period!$A:$A, "Variant", Raw_Data_Period!$C:$C, TRUE)</f>
        <v>1.5702</v>
      </c>
      <c r="E76" s="60">
        <f t="shared" ref="E76:E80" si="23">IFERROR(D76-C76,"")</f>
        <v>0.0444</v>
      </c>
      <c r="F76" s="37">
        <f t="shared" ref="F76:F80" si="24">IFERROR((D76-C76)/ABS(C76),"")</f>
        <v>0.02909948879</v>
      </c>
      <c r="H76" s="37"/>
    </row>
    <row r="77" ht="15.75" customHeight="1">
      <c r="A77" s="9"/>
      <c r="B77" s="73" t="s">
        <v>87</v>
      </c>
      <c r="C77" s="51">
        <f>SUMIFS(Raw_Data_Period!BT:BT, Raw_Data_Period!$A:$A, "Control", Raw_Data_Period!$C:$C, TRUE)</f>
        <v>0.029</v>
      </c>
      <c r="D77" s="51">
        <f>SUMIFS(Raw_Data_Period!BT:BT, Raw_Data_Period!$A:$A, "Variant", Raw_Data_Period!$C:$C, TRUE)</f>
        <v>0.0309</v>
      </c>
      <c r="E77" s="43">
        <f t="shared" si="23"/>
        <v>0.0019</v>
      </c>
      <c r="F77" s="37">
        <f t="shared" si="24"/>
        <v>0.06551724138</v>
      </c>
      <c r="H77" s="37"/>
    </row>
    <row r="78" ht="15.75" customHeight="1">
      <c r="A78" s="9"/>
      <c r="B78" s="73" t="s">
        <v>88</v>
      </c>
      <c r="C78" s="51">
        <f>SUMIFS(Raw_Data_Period!BU:BU, Raw_Data_Period!$A:$A, "Control", Raw_Data_Period!$C:$C, TRUE)</f>
        <v>1.4968</v>
      </c>
      <c r="D78" s="51">
        <f>SUMIFS(Raw_Data_Period!BU:BU, Raw_Data_Period!$A:$A, "Variant", Raw_Data_Period!$C:$C, TRUE)</f>
        <v>1.5393</v>
      </c>
      <c r="E78" s="60">
        <f t="shared" si="23"/>
        <v>0.0425</v>
      </c>
      <c r="F78" s="37">
        <f t="shared" si="24"/>
        <v>0.028393907</v>
      </c>
      <c r="H78" s="37"/>
    </row>
    <row r="79" ht="15.75" customHeight="1">
      <c r="A79" s="9"/>
      <c r="B79" s="73" t="s">
        <v>89</v>
      </c>
      <c r="C79" s="51">
        <f>SUMIFS(Raw_Data_Period!BV:BV, Raw_Data_Period!$A:$A, "Control", Raw_Data_Period!$C:$C, TRUE)</f>
        <v>1.2225</v>
      </c>
      <c r="D79" s="51">
        <f>SUMIFS(Raw_Data_Period!BV:BV, Raw_Data_Period!$A:$A, "Variant", Raw_Data_Period!$C:$C, TRUE)</f>
        <v>1.1609</v>
      </c>
      <c r="E79" s="43">
        <f t="shared" si="23"/>
        <v>-0.0616</v>
      </c>
      <c r="F79" s="37">
        <f t="shared" si="24"/>
        <v>-0.05038854806</v>
      </c>
      <c r="H79" s="37"/>
    </row>
    <row r="80" ht="15.75" customHeight="1">
      <c r="A80" s="9"/>
      <c r="B80" s="73" t="s">
        <v>90</v>
      </c>
      <c r="C80" s="51">
        <f>SUMIFS(Raw_Data_Period!BS:BS, Raw_Data_Period!$A:$A, "Control", Raw_Data_Period!$C:$C, TRUE) - SUMIFS(Raw_Data_Period!BV:BV, Raw_Data_Period!$A:$A, "Control", Raw_Data_Period!$C:$C, TRUE)</f>
        <v>0.3033</v>
      </c>
      <c r="D80" s="51">
        <f>SUMIFS(Raw_Data_Period!BS:BS, Raw_Data_Period!$A:$A, "Variant", Raw_Data_Period!$C:$C, TRUE) - SUMIFS(Raw_Data_Period!BV:BV, Raw_Data_Period!$A:$A, "Variant", Raw_Data_Period!$C:$C, TRUE)</f>
        <v>0.4093</v>
      </c>
      <c r="E80" s="60">
        <f t="shared" si="23"/>
        <v>0.106</v>
      </c>
      <c r="F80" s="37">
        <f t="shared" si="24"/>
        <v>0.3494889548</v>
      </c>
      <c r="H80" s="37"/>
    </row>
    <row r="81" ht="15.75" customHeight="1">
      <c r="A81" s="72" t="s">
        <v>91</v>
      </c>
      <c r="B81" s="7"/>
      <c r="C81" s="7"/>
      <c r="D81" s="7"/>
      <c r="E81" s="7"/>
      <c r="F81" s="7"/>
      <c r="H81" s="7"/>
    </row>
    <row r="82" ht="15.75" customHeight="1">
      <c r="A82" s="9"/>
      <c r="B82" s="73" t="s">
        <v>92</v>
      </c>
      <c r="C82" s="51">
        <f>SUMIFS(Raw_Data_Period!BW:BW, Raw_Data_Period!$A:$A, "Control", Raw_Data_Period!$C:$C, TRUE)</f>
        <v>0.9748</v>
      </c>
      <c r="D82" s="51">
        <f>SUMIFS(Raw_Data_Period!BW:BW, Raw_Data_Period!$A:$A, "Variant", Raw_Data_Period!$C:$C, TRUE)</f>
        <v>0.8488</v>
      </c>
      <c r="E82" s="60">
        <f t="shared" ref="E82:E86" si="25">IFERROR(D82-C82,"")</f>
        <v>-0.126</v>
      </c>
      <c r="F82" s="37">
        <f t="shared" ref="F82:F86" si="26">IFERROR((D82-C82)/ABS(C82),"")</f>
        <v>-0.1292572835</v>
      </c>
      <c r="H82" s="37"/>
    </row>
    <row r="83" ht="15.75" customHeight="1">
      <c r="A83" s="9"/>
      <c r="B83" s="73" t="s">
        <v>93</v>
      </c>
      <c r="C83" s="51">
        <f>SUMIFS(Raw_Data_Period!BX:BX, Raw_Data_Period!$A:$A, "Control", Raw_Data_Period!$C:$C, TRUE)</f>
        <v>0.0372</v>
      </c>
      <c r="D83" s="51">
        <f>SUMIFS(Raw_Data_Period!BX:BX, Raw_Data_Period!$A:$A, "Variant", Raw_Data_Period!$C:$C, TRUE)</f>
        <v>0.0369</v>
      </c>
      <c r="E83" s="43">
        <f t="shared" si="25"/>
        <v>-0.0003</v>
      </c>
      <c r="F83" s="37">
        <f t="shared" si="26"/>
        <v>-0.008064516129</v>
      </c>
      <c r="H83" s="37"/>
    </row>
    <row r="84" ht="15.75" customHeight="1">
      <c r="A84" s="9"/>
      <c r="B84" s="73" t="s">
        <v>94</v>
      </c>
      <c r="C84" s="51">
        <f>SUMIFS(Raw_Data_Period!BY:BY, Raw_Data_Period!$A:$A, "Control", Raw_Data_Period!$C:$C, TRUE)</f>
        <v>0.9375</v>
      </c>
      <c r="D84" s="51">
        <f>SUMIFS(Raw_Data_Period!BY:BY, Raw_Data_Period!$A:$A, "Variant", Raw_Data_Period!$C:$C, TRUE)</f>
        <v>0.8119</v>
      </c>
      <c r="E84" s="60">
        <f t="shared" si="25"/>
        <v>-0.1256</v>
      </c>
      <c r="F84" s="37">
        <f t="shared" si="26"/>
        <v>-0.1339733333</v>
      </c>
      <c r="H84" s="37"/>
    </row>
    <row r="85" ht="15.75" customHeight="1">
      <c r="A85" s="9"/>
      <c r="B85" s="73" t="s">
        <v>95</v>
      </c>
      <c r="C85" s="51">
        <f>SUMIFS(Raw_Data_Period!BZ:BZ, Raw_Data_Period!$A:$A, "Control", Raw_Data_Period!$C:$C, TRUE)</f>
        <v>0.8313</v>
      </c>
      <c r="D85" s="51">
        <f>SUMIFS(Raw_Data_Period!BZ:BZ, Raw_Data_Period!$A:$A, "Variant", Raw_Data_Period!$C:$C, TRUE)</f>
        <v>0.7031</v>
      </c>
      <c r="E85" s="43">
        <f t="shared" si="25"/>
        <v>-0.1282</v>
      </c>
      <c r="F85" s="37">
        <f t="shared" si="26"/>
        <v>-0.1542162877</v>
      </c>
      <c r="H85" s="37"/>
    </row>
    <row r="86" ht="15.75" customHeight="1">
      <c r="A86" s="9"/>
      <c r="B86" s="73" t="s">
        <v>96</v>
      </c>
      <c r="C86" s="51">
        <f>SUMIFS(Raw_Data_Period!BW:BW, Raw_Data_Period!$A:$A, "Control", Raw_Data_Period!$C:$C, TRUE) - SUMIFS(Raw_Data_Period!BZ:BZ, Raw_Data_Period!$A:$A, "Control", Raw_Data_Period!$C:$C, TRUE)</f>
        <v>0.1435</v>
      </c>
      <c r="D86" s="51">
        <f>SUMIFS(Raw_Data_Period!BW:BW, Raw_Data_Period!$A:$A, "Variant", Raw_Data_Period!$C:$C, TRUE) - SUMIFS(Raw_Data_Period!BZ:BZ, Raw_Data_Period!$A:$A, "Variant", Raw_Data_Period!$C:$C, TRUE)</f>
        <v>0.1457</v>
      </c>
      <c r="E86" s="60">
        <f t="shared" si="25"/>
        <v>0.0022</v>
      </c>
      <c r="F86" s="37">
        <f t="shared" si="26"/>
        <v>0.01533101045</v>
      </c>
      <c r="H86" s="37"/>
    </row>
    <row r="87" ht="15.75" customHeight="1">
      <c r="A87" s="72" t="s">
        <v>97</v>
      </c>
      <c r="B87" s="7"/>
      <c r="C87" s="7"/>
      <c r="D87" s="7"/>
      <c r="E87" s="7"/>
      <c r="F87" s="7"/>
      <c r="H87" s="7"/>
    </row>
    <row r="88" ht="15.75" customHeight="1">
      <c r="A88" s="9"/>
      <c r="B88" s="73" t="s">
        <v>98</v>
      </c>
      <c r="C88" s="51">
        <f>SUMIFS(Raw_Data_Period!CE:CE, Raw_Data_Period!$A:$A, "Control", Raw_Data_Period!$C:$C, TRUE)</f>
        <v>1.0223</v>
      </c>
      <c r="D88" s="51">
        <f>SUMIFS(Raw_Data_Period!CE:CE, Raw_Data_Period!$A:$A, "Variant", Raw_Data_Period!$C:$C, TRUE)</f>
        <v>0.8639</v>
      </c>
      <c r="E88" s="60">
        <f t="shared" ref="E88:E92" si="27">IFERROR(D88-C88,"")</f>
        <v>-0.1584</v>
      </c>
      <c r="F88" s="37">
        <f t="shared" ref="F88:F92" si="28">IFERROR((D88-C88)/ABS(C88),"")</f>
        <v>-0.1549447325</v>
      </c>
      <c r="H88" s="37"/>
    </row>
    <row r="89" ht="15.75" customHeight="1">
      <c r="A89" s="9"/>
      <c r="B89" s="73" t="s">
        <v>99</v>
      </c>
      <c r="C89" s="51">
        <f>SUMIFS(Raw_Data_Period!CF:CF, Raw_Data_Period!$A:$A, "Control", Raw_Data_Period!$C:$C, TRUE)</f>
        <v>0.033</v>
      </c>
      <c r="D89" s="51">
        <f>SUMIFS(Raw_Data_Period!CF:CF, Raw_Data_Period!$A:$A, "Variant", Raw_Data_Period!$C:$C, TRUE)</f>
        <v>0.031</v>
      </c>
      <c r="E89" s="43">
        <f t="shared" si="27"/>
        <v>-0.002</v>
      </c>
      <c r="F89" s="37">
        <f t="shared" si="28"/>
        <v>-0.06060606061</v>
      </c>
      <c r="H89" s="37"/>
    </row>
    <row r="90" ht="15.75" customHeight="1">
      <c r="A90" s="9"/>
      <c r="B90" s="73" t="s">
        <v>100</v>
      </c>
      <c r="C90" s="51">
        <f>SUMIFS(Raw_Data_Period!CG:CG, Raw_Data_Period!$A:$A, "Control", Raw_Data_Period!$C:$C, TRUE)</f>
        <v>0.9892</v>
      </c>
      <c r="D90" s="51">
        <f>SUMIFS(Raw_Data_Period!CG:CG, Raw_Data_Period!$A:$A, "Variant", Raw_Data_Period!$C:$C, TRUE)</f>
        <v>0.8329</v>
      </c>
      <c r="E90" s="60">
        <f t="shared" si="27"/>
        <v>-0.1563</v>
      </c>
      <c r="F90" s="37">
        <f t="shared" si="28"/>
        <v>-0.1580064699</v>
      </c>
      <c r="H90" s="37"/>
    </row>
    <row r="91" ht="15.75" customHeight="1">
      <c r="A91" s="9"/>
      <c r="B91" s="73" t="s">
        <v>101</v>
      </c>
      <c r="C91" s="51">
        <f>SUMIFS(Raw_Data_Period!CH:CH, Raw_Data_Period!$A:$A, "Control", Raw_Data_Period!$C:$C, TRUE)</f>
        <v>0.9899</v>
      </c>
      <c r="D91" s="51">
        <f>SUMIFS(Raw_Data_Period!CH:CH, Raw_Data_Period!$A:$A, "Variant", Raw_Data_Period!$C:$C, TRUE)</f>
        <v>0.909</v>
      </c>
      <c r="E91" s="43">
        <f t="shared" si="27"/>
        <v>-0.0809</v>
      </c>
      <c r="F91" s="37">
        <f t="shared" si="28"/>
        <v>-0.08172542681</v>
      </c>
      <c r="H91" s="37"/>
    </row>
    <row r="92" ht="15.75" customHeight="1">
      <c r="A92" s="9"/>
      <c r="B92" s="73" t="s">
        <v>102</v>
      </c>
      <c r="C92" s="51">
        <f>SUMIFS(Raw_Data_Period!CE:CE, Raw_Data_Period!$A:$A, "Control", Raw_Data_Period!$C:$C, TRUE) - SUMIFS(Raw_Data_Period!CH:CH, Raw_Data_Period!$A:$A, "Control", Raw_Data_Period!$C:$C, TRUE)</f>
        <v>0.0324</v>
      </c>
      <c r="D92" s="51">
        <f>SUMIFS(Raw_Data_Period!CE:CE, Raw_Data_Period!$A:$A, "Variant", Raw_Data_Period!$C:$C, TRUE) - SUMIFS(Raw_Data_Period!CH:CH, Raw_Data_Period!$A:$A, "Variant", Raw_Data_Period!$C:$C, TRUE)</f>
        <v>-0.0451</v>
      </c>
      <c r="E92" s="60">
        <f t="shared" si="27"/>
        <v>-0.0775</v>
      </c>
      <c r="F92" s="37">
        <f t="shared" si="28"/>
        <v>-2.391975309</v>
      </c>
      <c r="H92" s="37"/>
    </row>
    <row r="93" ht="15.75" customHeight="1">
      <c r="A93" s="72" t="s">
        <v>103</v>
      </c>
      <c r="B93" s="7"/>
      <c r="C93" s="7"/>
      <c r="D93" s="7"/>
      <c r="E93" s="7"/>
      <c r="F93" s="7"/>
      <c r="H93" s="7"/>
    </row>
    <row r="94" ht="15.75" customHeight="1">
      <c r="A94" s="9"/>
      <c r="B94" s="73" t="s">
        <v>104</v>
      </c>
      <c r="C94" s="51">
        <f>SUMIFS(Raw_Data_Period!CI:CI, Raw_Data_Period!$A:$A, "Control", Raw_Data_Period!$C:$C, TRUE)</f>
        <v>1.0413</v>
      </c>
      <c r="D94" s="51">
        <f>SUMIFS(Raw_Data_Period!CI:CI, Raw_Data_Period!$A:$A, "Variant", Raw_Data_Period!$C:$C, TRUE)</f>
        <v>0.9854</v>
      </c>
      <c r="E94" s="60">
        <f t="shared" ref="E94:E98" si="29">IFERROR(D94-C94,"")</f>
        <v>-0.0559</v>
      </c>
      <c r="F94" s="37">
        <f t="shared" ref="F94:F98" si="30">IFERROR((D94-C94)/ABS(C94),"")</f>
        <v>-0.05368289638</v>
      </c>
      <c r="H94" s="37"/>
    </row>
    <row r="95" ht="15.75" customHeight="1">
      <c r="A95" s="9"/>
      <c r="B95" s="73" t="s">
        <v>105</v>
      </c>
      <c r="C95" s="51">
        <f>SUMIFS(Raw_Data_Period!CJ:CJ, Raw_Data_Period!$A:$A, "Control", Raw_Data_Period!$C:$C, TRUE)</f>
        <v>0.0283</v>
      </c>
      <c r="D95" s="51">
        <f>SUMIFS(Raw_Data_Period!CJ:CJ, Raw_Data_Period!$A:$A, "Variant", Raw_Data_Period!$C:$C, TRUE)</f>
        <v>0.0255</v>
      </c>
      <c r="E95" s="43">
        <f t="shared" si="29"/>
        <v>-0.0028</v>
      </c>
      <c r="F95" s="37">
        <f t="shared" si="30"/>
        <v>-0.09893992933</v>
      </c>
      <c r="H95" s="37"/>
    </row>
    <row r="96" ht="15.75" customHeight="1">
      <c r="A96" s="9"/>
      <c r="B96" s="73" t="s">
        <v>106</v>
      </c>
      <c r="C96" s="51">
        <f>SUMIFS(Raw_Data_Period!CK:CK, Raw_Data_Period!$A:$A, "Control", Raw_Data_Period!$C:$C, TRUE)</f>
        <v>1.013</v>
      </c>
      <c r="D96" s="51">
        <f>SUMIFS(Raw_Data_Period!CK:CK, Raw_Data_Period!$A:$A, "Variant", Raw_Data_Period!$C:$C, TRUE)</f>
        <v>0.9598</v>
      </c>
      <c r="E96" s="60">
        <f t="shared" si="29"/>
        <v>-0.0532</v>
      </c>
      <c r="F96" s="37">
        <f t="shared" si="30"/>
        <v>-0.05251727542</v>
      </c>
      <c r="H96" s="37"/>
    </row>
    <row r="97" ht="15.75" customHeight="1">
      <c r="A97" s="9"/>
      <c r="B97" s="73" t="s">
        <v>107</v>
      </c>
      <c r="C97" s="51">
        <f>SUMIFS(Raw_Data_Period!CL:CL, Raw_Data_Period!$A:$A, "Control", Raw_Data_Period!$C:$C, TRUE)</f>
        <v>1.0814</v>
      </c>
      <c r="D97" s="51">
        <f>SUMIFS(Raw_Data_Period!CL:CL, Raw_Data_Period!$A:$A, "Variant", Raw_Data_Period!$C:$C, TRUE)</f>
        <v>0.9798</v>
      </c>
      <c r="E97" s="43">
        <f t="shared" si="29"/>
        <v>-0.1016</v>
      </c>
      <c r="F97" s="37">
        <f t="shared" si="30"/>
        <v>-0.09395228408</v>
      </c>
      <c r="H97" s="37"/>
    </row>
    <row r="98" ht="15.75" customHeight="1">
      <c r="A98" s="9"/>
      <c r="B98" s="73" t="s">
        <v>108</v>
      </c>
      <c r="C98" s="51">
        <f>SUMIFS(Raw_Data_Period!CI:CI, Raw_Data_Period!$A:$A, "Control", Raw_Data_Period!$C:$C, TRUE) - SUMIFS(Raw_Data_Period!CL:CL, Raw_Data_Period!$A:$A, "Control", Raw_Data_Period!$C:$C, TRUE)</f>
        <v>-0.0401</v>
      </c>
      <c r="D98" s="51">
        <f>SUMIFS(Raw_Data_Period!CI:CI, Raw_Data_Period!$A:$A, "Variant", Raw_Data_Period!$C:$C, TRUE) - SUMIFS(Raw_Data_Period!CL:CL, Raw_Data_Period!$A:$A, "Variant", Raw_Data_Period!$C:$C, TRUE)</f>
        <v>0.0056</v>
      </c>
      <c r="E98" s="60">
        <f t="shared" si="29"/>
        <v>0.0457</v>
      </c>
      <c r="F98" s="37">
        <f t="shared" si="30"/>
        <v>1.139650873</v>
      </c>
      <c r="H98" s="37"/>
    </row>
    <row r="99" ht="15.75" customHeight="1">
      <c r="A99" s="72" t="s">
        <v>109</v>
      </c>
      <c r="B99" s="7"/>
      <c r="C99" s="7"/>
      <c r="D99" s="7"/>
      <c r="E99" s="7"/>
      <c r="F99" s="7"/>
      <c r="H99" s="7"/>
    </row>
    <row r="100" ht="15.75" customHeight="1">
      <c r="A100" s="9"/>
      <c r="B100" s="73" t="s">
        <v>110</v>
      </c>
      <c r="C100" s="51">
        <f>SUMIFS(Raw_Data_Period!CA:CA, Raw_Data_Period!$A:$A, "Control", Raw_Data_Period!$C:$C, TRUE)</f>
        <v>0.6222</v>
      </c>
      <c r="D100" s="51">
        <f>SUMIFS(Raw_Data_Period!CA:CA, Raw_Data_Period!$A:$A, "Variant", Raw_Data_Period!$C:$C, TRUE)</f>
        <v>0.4786</v>
      </c>
      <c r="E100" s="60">
        <f t="shared" ref="E100:E104" si="31">IFERROR(D100-C100,"")</f>
        <v>-0.1436</v>
      </c>
      <c r="F100" s="37">
        <f t="shared" ref="F100:F104" si="32">IFERROR((D100-C100)/ABS(C100),"")</f>
        <v>-0.2307939569</v>
      </c>
      <c r="H100" s="37"/>
    </row>
    <row r="101" ht="15.75" customHeight="1">
      <c r="A101" s="9"/>
      <c r="B101" s="73" t="s">
        <v>111</v>
      </c>
      <c r="C101" s="51">
        <f>SUMIFS(Raw_Data_Period!CB:CB, Raw_Data_Period!$A:$A, "Control", Raw_Data_Period!$C:$C, TRUE)</f>
        <v>0.0229</v>
      </c>
      <c r="D101" s="51">
        <f>SUMIFS(Raw_Data_Period!CB:CB, Raw_Data_Period!$A:$A, "Variant", Raw_Data_Period!$C:$C, TRUE)</f>
        <v>0.02</v>
      </c>
      <c r="E101" s="43">
        <f t="shared" si="31"/>
        <v>-0.0029</v>
      </c>
      <c r="F101" s="37">
        <f t="shared" si="32"/>
        <v>-0.1266375546</v>
      </c>
      <c r="H101" s="37"/>
    </row>
    <row r="102" ht="15.75" customHeight="1">
      <c r="A102" s="9"/>
      <c r="B102" s="73" t="s">
        <v>112</v>
      </c>
      <c r="C102" s="51">
        <f>SUMIFS(Raw_Data_Period!CC:CC, Raw_Data_Period!$A:$A, "Control", Raw_Data_Period!$C:$C, TRUE)</f>
        <v>0.5993</v>
      </c>
      <c r="D102" s="51">
        <f>SUMIFS(Raw_Data_Period!CC:CC, Raw_Data_Period!$A:$A, "Variant", Raw_Data_Period!$C:$C, TRUE)</f>
        <v>0.4586</v>
      </c>
      <c r="E102" s="60">
        <f t="shared" si="31"/>
        <v>-0.1407</v>
      </c>
      <c r="F102" s="37">
        <f t="shared" si="32"/>
        <v>-0.2347739029</v>
      </c>
      <c r="H102" s="37"/>
    </row>
    <row r="103" ht="15.75" customHeight="1">
      <c r="A103" s="9"/>
      <c r="B103" s="73" t="s">
        <v>113</v>
      </c>
      <c r="C103" s="51">
        <f>SUMIFS(Raw_Data_Period!CD:CD, Raw_Data_Period!$A:$A, "Control", Raw_Data_Period!$C:$C, TRUE)</f>
        <v>0.6939</v>
      </c>
      <c r="D103" s="51">
        <f>SUMIFS(Raw_Data_Period!CD:CD, Raw_Data_Period!$A:$A, "Variant", Raw_Data_Period!$C:$C, TRUE)</f>
        <v>0.5274</v>
      </c>
      <c r="E103" s="43">
        <f t="shared" si="31"/>
        <v>-0.1665</v>
      </c>
      <c r="F103" s="37">
        <f t="shared" si="32"/>
        <v>-0.2399481193</v>
      </c>
      <c r="H103" s="37"/>
    </row>
    <row r="104" ht="15.75" customHeight="1">
      <c r="A104" s="9"/>
      <c r="B104" s="73" t="s">
        <v>114</v>
      </c>
      <c r="C104" s="51">
        <f>SUMIFS(Raw_Data_Period!CA:CA, Raw_Data_Period!$A:$A, "Control", Raw_Data_Period!$C:$C, TRUE) - SUMIFS(Raw_Data_Period!CD:CD, Raw_Data_Period!$A:$A, "Control", Raw_Data_Period!$C:$C, TRUE)</f>
        <v>-0.0717</v>
      </c>
      <c r="D104" s="51">
        <f>SUMIFS(Raw_Data_Period!CA:CA, Raw_Data_Period!$A:$A, "Variant", Raw_Data_Period!$C:$C, TRUE) - SUMIFS(Raw_Data_Period!CD:CD, Raw_Data_Period!$A:$A, "Variant", Raw_Data_Period!$C:$C, TRUE)</f>
        <v>-0.0488</v>
      </c>
      <c r="E104" s="60">
        <f t="shared" si="31"/>
        <v>0.0229</v>
      </c>
      <c r="F104" s="37">
        <f t="shared" si="32"/>
        <v>0.3193863319</v>
      </c>
      <c r="H104" s="37"/>
    </row>
    <row r="105" ht="15.75" customHeight="1">
      <c r="A105" s="72" t="s">
        <v>115</v>
      </c>
      <c r="B105" s="74" t="s">
        <v>116</v>
      </c>
      <c r="C105" s="7"/>
      <c r="D105" s="7"/>
      <c r="E105" s="7"/>
      <c r="F105" s="7"/>
      <c r="H105" s="7"/>
    </row>
    <row r="106" ht="15.75" customHeight="1">
      <c r="A106" s="75" t="s">
        <v>116</v>
      </c>
      <c r="B106" s="73" t="s">
        <v>117</v>
      </c>
      <c r="C106" s="51">
        <f>SUMIFS(Raw_Data_Period!CM:CM, Raw_Data_Period!$A:$A, "Control", Raw_Data_Period!$C:$C, TRUE)</f>
        <v>327.2759</v>
      </c>
      <c r="D106" s="51">
        <f>SUMIFS(Raw_Data_Period!CM:CM, Raw_Data_Period!$A:$A, "Variant", Raw_Data_Period!$C:$C, TRUE)</f>
        <v>299.9389</v>
      </c>
      <c r="E106" s="60">
        <f t="shared" ref="E106:E113" si="33">IFERROR(D106-C106,"")</f>
        <v>-27.337</v>
      </c>
      <c r="F106" s="37">
        <f t="shared" ref="F106:F113" si="34">IFERROR((D106-C106)/ABS(C106),"")</f>
        <v>-0.08352891246</v>
      </c>
      <c r="H106" s="37"/>
    </row>
    <row r="107" ht="15.75" customHeight="1">
      <c r="A107" s="75" t="s">
        <v>116</v>
      </c>
      <c r="B107" s="73" t="s">
        <v>118</v>
      </c>
      <c r="C107" s="51">
        <f>SUMIFS(Raw_Data_Period!CN:CN, Raw_Data_Period!$A:$A, "Control", Raw_Data_Period!$C:$C, TRUE)</f>
        <v>72.96</v>
      </c>
      <c r="D107" s="51">
        <f>SUMIFS(Raw_Data_Period!CN:CN, Raw_Data_Period!$A:$A, "Variant", Raw_Data_Period!$C:$C, TRUE)</f>
        <v>72.89</v>
      </c>
      <c r="E107" s="60">
        <f t="shared" si="33"/>
        <v>-0.07</v>
      </c>
      <c r="F107" s="37">
        <f t="shared" si="34"/>
        <v>-0.0009594298246</v>
      </c>
      <c r="H107" s="37"/>
    </row>
    <row r="108" ht="15.75" customHeight="1">
      <c r="A108" s="75" t="s">
        <v>116</v>
      </c>
      <c r="B108" s="73" t="s">
        <v>119</v>
      </c>
      <c r="C108" s="51">
        <f>SUMIFS(Raw_Data_Period!CO:CO, Raw_Data_Period!$A:$A, "Control", Raw_Data_Period!$C:$C, TRUE)</f>
        <v>448.59</v>
      </c>
      <c r="D108" s="51">
        <f>SUMIFS(Raw_Data_Period!CO:CO, Raw_Data_Period!$A:$A, "Variant", Raw_Data_Period!$C:$C, TRUE)</f>
        <v>411.49</v>
      </c>
      <c r="E108" s="60">
        <f t="shared" si="33"/>
        <v>-37.1</v>
      </c>
      <c r="F108" s="37">
        <f t="shared" si="34"/>
        <v>-0.08270358234</v>
      </c>
      <c r="H108" s="37"/>
    </row>
    <row r="109" ht="15.75" customHeight="1">
      <c r="A109" s="75" t="s">
        <v>116</v>
      </c>
      <c r="B109" s="73" t="s">
        <v>120</v>
      </c>
      <c r="C109" s="51">
        <f>SUMIFS(Raw_Data_Period!CP:CP, Raw_Data_Period!$A:$A, "Control", Raw_Data_Period!$C:$C, TRUE)</f>
        <v>313.1042</v>
      </c>
      <c r="D109" s="51">
        <f>SUMIFS(Raw_Data_Period!CP:CP, Raw_Data_Period!$A:$A, "Variant", Raw_Data_Period!$C:$C, TRUE)</f>
        <v>262.5941</v>
      </c>
      <c r="E109" s="60">
        <f t="shared" si="33"/>
        <v>-50.5101</v>
      </c>
      <c r="F109" s="37">
        <f t="shared" si="34"/>
        <v>-0.1613204167</v>
      </c>
      <c r="H109" s="37"/>
    </row>
    <row r="110" ht="15.75" customHeight="1">
      <c r="A110" s="75" t="s">
        <v>116</v>
      </c>
      <c r="B110" s="73" t="s">
        <v>121</v>
      </c>
      <c r="C110" s="51">
        <f>SUMIFS(Raw_Data_Period!CQ:CQ, Raw_Data_Period!$A:$A, "Control", Raw_Data_Period!$C:$C, TRUE)</f>
        <v>0.0003</v>
      </c>
      <c r="D110" s="51">
        <f>SUMIFS(Raw_Data_Period!CQ:CQ, Raw_Data_Period!$A:$A, "Variant", Raw_Data_Period!$C:$C, TRUE)</f>
        <v>22.1986</v>
      </c>
      <c r="E110" s="60">
        <f t="shared" si="33"/>
        <v>22.1983</v>
      </c>
      <c r="F110" s="37">
        <f t="shared" si="34"/>
        <v>73994.33333</v>
      </c>
      <c r="H110" s="37"/>
    </row>
    <row r="111" ht="15.75" customHeight="1">
      <c r="A111" s="75" t="s">
        <v>116</v>
      </c>
      <c r="B111" s="73" t="s">
        <v>122</v>
      </c>
      <c r="C111" s="51">
        <f>SUMIFS(Raw_Data_Period!CR:CR, Raw_Data_Period!$A:$A, "Control", Raw_Data_Period!$C:$C, TRUE)</f>
        <v>6.2778</v>
      </c>
      <c r="D111" s="51">
        <f>SUMIFS(Raw_Data_Period!CR:CR, Raw_Data_Period!$A:$A, "Variant", Raw_Data_Period!$C:$C, TRUE)</f>
        <v>5.9762</v>
      </c>
      <c r="E111" s="60">
        <f t="shared" si="33"/>
        <v>-0.3016</v>
      </c>
      <c r="F111" s="37">
        <f t="shared" si="34"/>
        <v>-0.04804230781</v>
      </c>
      <c r="H111" s="37"/>
    </row>
    <row r="112" ht="15.75" customHeight="1">
      <c r="A112" s="75" t="s">
        <v>116</v>
      </c>
      <c r="B112" s="73" t="s">
        <v>123</v>
      </c>
      <c r="C112" s="51">
        <f>SUMIFS(Raw_Data_Period!CS:CS, Raw_Data_Period!$A:$A, "Control", Raw_Data_Period!$C:$C, TRUE)</f>
        <v>7.8938</v>
      </c>
      <c r="D112" s="51">
        <f>SUMIFS(Raw_Data_Period!CS:CS, Raw_Data_Period!$A:$A, "Variant", Raw_Data_Period!$C:$C, TRUE)</f>
        <v>9.1694</v>
      </c>
      <c r="E112" s="60">
        <f t="shared" si="33"/>
        <v>1.2756</v>
      </c>
      <c r="F112" s="37">
        <f t="shared" si="34"/>
        <v>0.161595176</v>
      </c>
      <c r="H112" s="37"/>
    </row>
    <row r="113" ht="15.75" customHeight="1">
      <c r="A113" s="75" t="s">
        <v>116</v>
      </c>
      <c r="B113" s="73" t="s">
        <v>124</v>
      </c>
      <c r="C113" s="51">
        <f>SUMIFS(Raw_Data_Period!CT:CT, Raw_Data_Period!$A:$A, "Control", Raw_Data_Period!$C:$C, TRUE)</f>
        <v>0</v>
      </c>
      <c r="D113" s="51">
        <f>SUMIFS(Raw_Data_Period!CT:CT, Raw_Data_Period!$A:$A, "Variant", Raw_Data_Period!$C:$C, TRUE)</f>
        <v>0</v>
      </c>
      <c r="E113" s="60">
        <f t="shared" si="33"/>
        <v>0</v>
      </c>
      <c r="F113" s="37" t="str">
        <f t="shared" si="34"/>
        <v/>
      </c>
      <c r="H113" s="37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</sheetData>
  <mergeCells count="1">
    <mergeCell ref="A1:F1"/>
  </mergeCells>
  <conditionalFormatting sqref="E23:F25 H23:H25 E27:F29 H27:H29 E31:F31 H31 E33:F33 H33 E37:F38 H37:H38 E41:F41 H41 E43:F46 H43:H46 E55:F55 H55 E62:F62 H62 E64:F64 H64 E66:F66 H66 E70:F70 H70 E72:F72 H72 E74:F74 H74 E76:F76 H76 E78:F78 H78 E80:F80 H80 E82:F82 H82 E84:F84 H84 E86:F86 H86 E88:F88 H88 E90:F90 H90 E92:F92 H92 E94:F94 H94 E96:F96 H96 E98:F98 H98 E100:F100 H100 E102:F102 H102 E104:F104 H104 E106:F113 H106:H113">
    <cfRule type="cellIs" dxfId="0" priority="1" stopIfTrue="1" operator="lessThan">
      <formula>0</formula>
    </cfRule>
  </conditionalFormatting>
  <conditionalFormatting sqref="E23:F25 H23:H25 E27:F29 H27:H29 E31:F31 H31 E33:F33 H33 E37:F38 H37:H38 E41:F41 H41 E43:F46 H43:H46 E55:F55 H55 E62:F62 H62 E64:F64 H64 E66:F66 H66 E70:F70 H70 E72:F72 H72 E74:F74 H74 E76:F76 H76 E78:F78 H78 E80:F80 H80 E82:F82 H82 E84:F84 H84 E86:F86 H86 E88:F88 H88 E90:F90 H90 E92:F92 H92 E94:F94 H94 E96:F96 H96 E98:F98 H98 E100:F100 H100 E102:F102 H102 E104:F104 H104 E106:F113 H106:H113">
    <cfRule type="cellIs" dxfId="1" priority="2" stopIfTrue="1" operator="greaterThan">
      <formula>0</formula>
    </cfRule>
  </conditionalFormatting>
  <conditionalFormatting sqref="E5:F5 H5 E7:F9 H7:H9 E11:F13 H11:H13 E15:F20 H15:H20 E22:F22 H22 E30:F30 H30 E32:F32 H32 E34:F35 H34:H35 E39:F40 H39:H40 E48:F49 H48:H49 E51:F53 H51:H53 E63:F63 H63 E65:F65 H65 E67:F67 H67 E71:F71 H71 E73:F73 H73 E77:F77 H77 E79:F79 H79 E83:F83 H83 E85:F85 H85 E89:F89 H89 E91:F91 H91 E95:F95 H95 E97:F97 H97 E101:F101 H101 E103:F103 H103">
    <cfRule type="cellIs" dxfId="1" priority="3" stopIfTrue="1" operator="lessThan">
      <formula>0</formula>
    </cfRule>
  </conditionalFormatting>
  <conditionalFormatting sqref="E5:F5 H5 E7:F9 H7:H9 E11:F13 H11:H13 E15:F20 H15:H20 E22:F22 H22 E30:F30 H30 E32:F32 H32 E34:F35 H34:H35 E39:F40 H39:H40 E48:F49 H48:H49 E51:F53 H51:H53 E63:F63 H63 E65:F65 H65 E67:F67 H67 E71:F71 H71 E73:F73 H73 E77:F77 H77 E79:F79 H79 E83:F83 H83 E85:F85 H85 E89:F89 H89 E91:F91 H91 E95:F95 H95 E97:F97 H97 E101:F101 H101 E103:F103 H103">
    <cfRule type="cellIs" dxfId="0" priority="4" stopIfTrue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32.0"/>
    <col customWidth="1" min="3" max="4" width="16.0"/>
    <col customWidth="1" min="5" max="5" width="14.0"/>
    <col customWidth="1" min="6" max="6" width="12.0"/>
  </cols>
  <sheetData>
    <row r="1">
      <c r="A1" s="1" t="s">
        <v>0</v>
      </c>
    </row>
    <row r="3" ht="21.7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>
      <c r="A4" s="6" t="s">
        <v>8</v>
      </c>
      <c r="B4" s="7"/>
      <c r="C4" s="7"/>
      <c r="D4" s="7"/>
      <c r="E4" s="7"/>
      <c r="F4" s="7"/>
    </row>
    <row r="5">
      <c r="A5" s="9"/>
      <c r="B5" s="10" t="s">
        <v>9</v>
      </c>
      <c r="C5" s="18">
        <f>SUMIFS(Raw_Data_Period_new_users!D:D, Raw_Data_Period_new_users!$A:$A, "Control", Raw_Data_Period_new_users!$C:$C, TRUE)</f>
        <v>0</v>
      </c>
      <c r="D5" s="18">
        <f>SUMIFS(Raw_Data_Period_new_users!D:D, Raw_Data_Period_new_users!$A:$A, "Variant", Raw_Data_Period_new_users!$C:$C, TRUE)</f>
        <v>0</v>
      </c>
      <c r="E5" s="26">
        <f>IFERROR(D5-C5,"")</f>
        <v>0</v>
      </c>
      <c r="F5" s="29" t="str">
        <f>IFERROR((D5-C5)/ABS(C5),"")</f>
        <v/>
      </c>
    </row>
    <row r="6">
      <c r="A6" s="6" t="s">
        <v>16</v>
      </c>
      <c r="B6" s="7"/>
      <c r="C6" s="7"/>
      <c r="D6" s="7"/>
      <c r="E6" s="7"/>
      <c r="F6" s="7"/>
    </row>
    <row r="7">
      <c r="A7" s="9"/>
      <c r="B7" s="10" t="s">
        <v>17</v>
      </c>
      <c r="C7" s="34">
        <f>SUMIFS(Raw_Data_Period_new_users!F:F, Raw_Data_Period_new_users!$A:$A, "Control", Raw_Data_Period_new_users!$C:$C, TRUE)</f>
        <v>0</v>
      </c>
      <c r="D7" s="34">
        <f>SUMIFS(Raw_Data_Period_new_users!F:F, Raw_Data_Period_new_users!$A:$A, "Variant", Raw_Data_Period_new_users!$C:$C, TRUE)</f>
        <v>0</v>
      </c>
      <c r="E7" s="36">
        <f t="shared" ref="E7:E9" si="1">IFERROR(D7-C7,"")</f>
        <v>0</v>
      </c>
      <c r="F7" s="37" t="str">
        <f t="shared" ref="F7:F9" si="2">IFERROR((D7-C7)/ABS(C7),"")</f>
        <v/>
      </c>
    </row>
    <row r="8">
      <c r="A8" s="9"/>
      <c r="B8" s="10" t="s">
        <v>18</v>
      </c>
      <c r="C8" s="39">
        <f>SUMIFS(Raw_Data_Period_new_users!G:G, Raw_Data_Period_new_users!$A:$A, "Control", Raw_Data_Period_new_users!$C:$C, TRUE)</f>
        <v>0</v>
      </c>
      <c r="D8" s="39">
        <f>SUMIFS(Raw_Data_Period_new_users!G:G, Raw_Data_Period_new_users!$A:$A, "Variant", Raw_Data_Period_new_users!$C:$C, TRUE)</f>
        <v>0</v>
      </c>
      <c r="E8" s="36">
        <f t="shared" si="1"/>
        <v>0</v>
      </c>
      <c r="F8" s="37" t="str">
        <f t="shared" si="2"/>
        <v/>
      </c>
    </row>
    <row r="9">
      <c r="A9" s="9"/>
      <c r="B9" s="10" t="s">
        <v>19</v>
      </c>
      <c r="C9" s="39">
        <f>SUMIFS(Raw_Data_Period_new_users!I:I, Raw_Data_Period_new_users!$A:$A, "Control", Raw_Data_Period_new_users!$C:$C, TRUE)</f>
        <v>0</v>
      </c>
      <c r="D9" s="39">
        <f>SUMIFS(Raw_Data_Period_new_users!I:I, Raw_Data_Period_new_users!$A:$A, "Variant", Raw_Data_Period_new_users!$C:$C, TRUE)</f>
        <v>0</v>
      </c>
      <c r="E9" s="36">
        <f t="shared" si="1"/>
        <v>0</v>
      </c>
      <c r="F9" s="37" t="str">
        <f t="shared" si="2"/>
        <v/>
      </c>
    </row>
    <row r="10">
      <c r="A10" s="6" t="s">
        <v>20</v>
      </c>
      <c r="B10" s="7"/>
      <c r="C10" s="7"/>
      <c r="D10" s="7"/>
      <c r="E10" s="7"/>
      <c r="F10" s="7"/>
    </row>
    <row r="11">
      <c r="A11" s="9"/>
      <c r="B11" s="10" t="s">
        <v>21</v>
      </c>
      <c r="C11" s="42">
        <f>SUMIFS(Raw_Data_Period_new_users!J:J, Raw_Data_Period_new_users!$A:$A, "Control", Raw_Data_Period_new_users!$C:$C, TRUE)</f>
        <v>0</v>
      </c>
      <c r="D11" s="42">
        <f>SUMIFS(Raw_Data_Period_new_users!J:J, Raw_Data_Period_new_users!$A:$A, "Variant", Raw_Data_Period_new_users!$C:$C, TRUE)</f>
        <v>0</v>
      </c>
      <c r="E11" s="43">
        <f t="shared" ref="E11:E13" si="3">IFERROR(D11-C11,"")</f>
        <v>0</v>
      </c>
      <c r="F11" s="44" t="str">
        <f t="shared" ref="F11:F13" si="4">IFERROR((D11-C11)/ABS(C11),"")</f>
        <v/>
      </c>
    </row>
    <row r="12">
      <c r="A12" s="9"/>
      <c r="B12" s="10" t="s">
        <v>22</v>
      </c>
      <c r="C12" s="42">
        <f>SUMIFS(Raw_Data_Period_new_users!K:K, Raw_Data_Period_new_users!$A:$A, "Control", Raw_Data_Period_new_users!$C:$C, TRUE)</f>
        <v>0</v>
      </c>
      <c r="D12" s="42">
        <f>SUMIFS(Raw_Data_Period_new_users!K:K, Raw_Data_Period_new_users!$A:$A, "Variant", Raw_Data_Period_new_users!$C:$C, TRUE)</f>
        <v>0</v>
      </c>
      <c r="E12" s="43">
        <f t="shared" si="3"/>
        <v>0</v>
      </c>
      <c r="F12" s="44" t="str">
        <f t="shared" si="4"/>
        <v/>
      </c>
    </row>
    <row r="13">
      <c r="A13" s="9"/>
      <c r="B13" s="10" t="s">
        <v>23</v>
      </c>
      <c r="C13" s="42">
        <f>SUMIFS(Raw_Data_Period_new_users!L:L, Raw_Data_Period_new_users!$A:$A, "Control", Raw_Data_Period_new_users!$C:$C, TRUE)</f>
        <v>0</v>
      </c>
      <c r="D13" s="42">
        <f>SUMIFS(Raw_Data_Period_new_users!L:L, Raw_Data_Period_new_users!$A:$A, "Variant", Raw_Data_Period_new_users!$C:$C, TRUE)</f>
        <v>0</v>
      </c>
      <c r="E13" s="43">
        <f t="shared" si="3"/>
        <v>0</v>
      </c>
      <c r="F13" s="44" t="str">
        <f t="shared" si="4"/>
        <v/>
      </c>
    </row>
    <row r="14" ht="15.75" customHeight="1">
      <c r="A14" s="6" t="s">
        <v>24</v>
      </c>
      <c r="B14" s="7"/>
      <c r="C14" s="7"/>
      <c r="D14" s="7"/>
      <c r="E14" s="7"/>
      <c r="F14" s="7"/>
    </row>
    <row r="15" ht="15.75" customHeight="1">
      <c r="A15" s="9"/>
      <c r="B15" s="10" t="s">
        <v>25</v>
      </c>
      <c r="C15" s="42">
        <f>SUMIFS(Raw_Data_Period_new_users!AD:AD, Raw_Data_Period_new_users!$A:$A, "Control", Raw_Data_Period_new_users!$C:$C, TRUE)</f>
        <v>0</v>
      </c>
      <c r="D15" s="42">
        <f>SUMIFS(Raw_Data_Period_new_users!AD:AD, Raw_Data_Period_new_users!$A:$A, "Variant", Raw_Data_Period_new_users!$C:$C, TRUE)</f>
        <v>0</v>
      </c>
      <c r="E15" s="43">
        <f t="shared" ref="E15:E20" si="5">IFERROR(D15-C15,"")</f>
        <v>0</v>
      </c>
      <c r="F15" s="44" t="str">
        <f t="shared" ref="F15:F20" si="6">IFERROR((D15-C15)/ABS(C15),"")</f>
        <v/>
      </c>
    </row>
    <row r="16" ht="15.75" customHeight="1">
      <c r="A16" s="9"/>
      <c r="B16" s="10" t="s">
        <v>26</v>
      </c>
      <c r="C16" s="42">
        <f>SUMIFS(Raw_Data_Period_new_users!AE:AE, Raw_Data_Period_new_users!$A:$A, "Control", Raw_Data_Period_new_users!$C:$C, TRUE)</f>
        <v>0</v>
      </c>
      <c r="D16" s="42">
        <f>SUMIFS(Raw_Data_Period_new_users!AE:AE, Raw_Data_Period_new_users!$A:$A, "Variant", Raw_Data_Period_new_users!$C:$C, TRUE)</f>
        <v>0</v>
      </c>
      <c r="E16" s="43">
        <f t="shared" si="5"/>
        <v>0</v>
      </c>
      <c r="F16" s="44" t="str">
        <f t="shared" si="6"/>
        <v/>
      </c>
    </row>
    <row r="17" ht="15.75" customHeight="1">
      <c r="A17" s="9"/>
      <c r="B17" s="10" t="s">
        <v>27</v>
      </c>
      <c r="C17" s="42">
        <f>SUMIFS(Raw_Data_Period_new_users!AF:AF, Raw_Data_Period_new_users!$A:$A, "Control", Raw_Data_Period_new_users!$C:$C, TRUE)</f>
        <v>0</v>
      </c>
      <c r="D17" s="42">
        <f>SUMIFS(Raw_Data_Period_new_users!AF:AF, Raw_Data_Period_new_users!$A:$A, "Variant", Raw_Data_Period_new_users!$C:$C, TRUE)</f>
        <v>0</v>
      </c>
      <c r="E17" s="43">
        <f t="shared" si="5"/>
        <v>0</v>
      </c>
      <c r="F17" s="44" t="str">
        <f t="shared" si="6"/>
        <v/>
      </c>
    </row>
    <row r="18" ht="15.75" customHeight="1">
      <c r="A18" s="9"/>
      <c r="B18" s="10" t="s">
        <v>28</v>
      </c>
      <c r="C18" s="42">
        <f>SUMIFS(Raw_Data_Period_new_users!AG:AG, Raw_Data_Period_new_users!$A:$A, "Control", Raw_Data_Period_new_users!$C:$C, TRUE)</f>
        <v>0</v>
      </c>
      <c r="D18" s="42">
        <f>SUMIFS(Raw_Data_Period_new_users!AG:AG, Raw_Data_Period_new_users!$A:$A, "Variant", Raw_Data_Period_new_users!$C:$C, TRUE)</f>
        <v>0</v>
      </c>
      <c r="E18" s="43">
        <f t="shared" si="5"/>
        <v>0</v>
      </c>
      <c r="F18" s="44" t="str">
        <f t="shared" si="6"/>
        <v/>
      </c>
    </row>
    <row r="19" ht="15.75" customHeight="1">
      <c r="A19" s="9"/>
      <c r="B19" s="10" t="s">
        <v>29</v>
      </c>
      <c r="C19" s="42">
        <f>SUMIFS(Raw_Data_Period_new_users!AH:AH, Raw_Data_Period_new_users!$A:$A, "Control", Raw_Data_Period_new_users!$C:$C, TRUE)</f>
        <v>0</v>
      </c>
      <c r="D19" s="42">
        <f>SUMIFS(Raw_Data_Period_new_users!AH:AH, Raw_Data_Period_new_users!$A:$A, "Variant", Raw_Data_Period_new_users!$C:$C, TRUE)</f>
        <v>0</v>
      </c>
      <c r="E19" s="43">
        <f t="shared" si="5"/>
        <v>0</v>
      </c>
      <c r="F19" s="44" t="str">
        <f t="shared" si="6"/>
        <v/>
      </c>
    </row>
    <row r="20" ht="15.75" customHeight="1">
      <c r="A20" s="9"/>
      <c r="B20" s="49" t="s">
        <v>30</v>
      </c>
      <c r="C20" s="42">
        <f>SUMIFS(Raw_Data_Period_new_users!BC:BC, Raw_Data_Period_new_users!$A:$A, "Control", Raw_Data_Period_new_users!$C:$C, TRUE)</f>
        <v>0</v>
      </c>
      <c r="D20" s="42">
        <f>SUMIFS(Raw_Data_Period_new_users!BC:BC, Raw_Data_Period_new_users!$A:$A, "Variant", Raw_Data_Period_new_users!$C:$C, TRUE)</f>
        <v>0</v>
      </c>
      <c r="E20" s="43">
        <f t="shared" si="5"/>
        <v>0</v>
      </c>
      <c r="F20" s="44" t="str">
        <f t="shared" si="6"/>
        <v/>
      </c>
    </row>
    <row r="21">
      <c r="A21" s="6" t="s">
        <v>31</v>
      </c>
      <c r="B21" s="7"/>
      <c r="C21" s="7"/>
      <c r="D21" s="7"/>
      <c r="E21" s="7"/>
      <c r="F21" s="7"/>
    </row>
    <row r="22" ht="15.75" customHeight="1">
      <c r="A22" s="9"/>
      <c r="B22" s="10" t="s">
        <v>32</v>
      </c>
      <c r="C22" s="51">
        <f>SUMIFS(Raw_Data_Period_new_users!M:M, Raw_Data_Period_new_users!$A:$A, "Control", Raw_Data_Period_new_users!$C:$C, TRUE)</f>
        <v>0</v>
      </c>
      <c r="D22" s="51">
        <f>SUMIFS(Raw_Data_Period_new_users!M:M, Raw_Data_Period_new_users!$A:$A, "Variant", Raw_Data_Period_new_users!$C:$C, TRUE)</f>
        <v>0</v>
      </c>
      <c r="E22" s="52">
        <f t="shared" ref="E22:E25" si="7">IFERROR(D22-C22,"")</f>
        <v>0</v>
      </c>
      <c r="F22" s="29" t="str">
        <f t="shared" ref="F22:F25" si="8">IFERROR((D22-C22)/ABS(C22),"")</f>
        <v/>
      </c>
    </row>
    <row r="23" ht="15.75" customHeight="1">
      <c r="A23" s="9"/>
      <c r="B23" s="10" t="s">
        <v>33</v>
      </c>
      <c r="C23" s="51">
        <f>SUMIFS(Raw_Data_Period_new_users!N:N, Raw_Data_Period_new_users!$A:$A, "Control", Raw_Data_Period_new_users!$C:$C, TRUE)</f>
        <v>0</v>
      </c>
      <c r="D23" s="51">
        <f>SUMIFS(Raw_Data_Period_new_users!N:N, Raw_Data_Period_new_users!$A:$A, "Variant", Raw_Data_Period_new_users!$C:$C, TRUE)</f>
        <v>0</v>
      </c>
      <c r="E23" s="52">
        <f t="shared" si="7"/>
        <v>0</v>
      </c>
      <c r="F23" s="29" t="str">
        <f t="shared" si="8"/>
        <v/>
      </c>
    </row>
    <row r="24" ht="15.75" customHeight="1">
      <c r="A24" s="9"/>
      <c r="B24" s="10" t="s">
        <v>34</v>
      </c>
      <c r="C24" s="51">
        <f>SUMIFS(Raw_Data_Period_new_users!O:O, Raw_Data_Period_new_users!$A:$A, "Control", Raw_Data_Period_new_users!$C:$C, TRUE)</f>
        <v>0</v>
      </c>
      <c r="D24" s="51">
        <f>SUMIFS(Raw_Data_Period_new_users!O:O, Raw_Data_Period_new_users!$A:$A, "Variant", Raw_Data_Period_new_users!$C:$C, TRUE)</f>
        <v>0</v>
      </c>
      <c r="E24" s="52">
        <f t="shared" si="7"/>
        <v>0</v>
      </c>
      <c r="F24" s="29" t="str">
        <f t="shared" si="8"/>
        <v/>
      </c>
    </row>
    <row r="25" ht="15.75" customHeight="1">
      <c r="A25" s="9"/>
      <c r="B25" s="10" t="s">
        <v>35</v>
      </c>
      <c r="C25" s="42">
        <f>SUMIFS(Raw_Data_Period_new_users!P:P, Raw_Data_Period_new_users!$A:$A, "Control", Raw_Data_Period_new_users!$C:$C, TRUE)</f>
        <v>0</v>
      </c>
      <c r="D25" s="42">
        <f>SUMIFS(Raw_Data_Period_new_users!P:P, Raw_Data_Period_new_users!$A:$A, "Variant", Raw_Data_Period_new_users!$C:$C, TRUE)</f>
        <v>0</v>
      </c>
      <c r="E25" s="57">
        <f t="shared" si="7"/>
        <v>0</v>
      </c>
      <c r="F25" s="29" t="str">
        <f t="shared" si="8"/>
        <v/>
      </c>
    </row>
    <row r="26" ht="15.75" customHeight="1">
      <c r="A26" s="6" t="s">
        <v>36</v>
      </c>
      <c r="B26" s="7"/>
      <c r="C26" s="7"/>
      <c r="D26" s="7"/>
      <c r="E26" s="7"/>
      <c r="F26" s="7"/>
    </row>
    <row r="27" ht="15.75" customHeight="1">
      <c r="A27" s="9"/>
      <c r="B27" s="58" t="s">
        <v>37</v>
      </c>
      <c r="C27" s="42">
        <f>SUMIFS(Raw_Data_Period_new_users!Q:Q, Raw_Data_Period_new_users!$A:$A, "Control", Raw_Data_Period_new_users!$C:$C, TRUE)</f>
        <v>0</v>
      </c>
      <c r="D27" s="42">
        <f>SUMIFS(Raw_Data_Period_new_users!Q:Q, Raw_Data_Period_new_users!$A:$A, "Variant", Raw_Data_Period_new_users!$C:$C, TRUE)</f>
        <v>0</v>
      </c>
      <c r="E27" s="59">
        <f t="shared" ref="E27:E35" si="9">IFERROR(D27-C27,"")</f>
        <v>0</v>
      </c>
      <c r="F27" s="37" t="str">
        <f t="shared" ref="F27:F35" si="10">IFERROR((D27-C27)/ABS(C27),"")</f>
        <v/>
      </c>
    </row>
    <row r="28" ht="15.75" customHeight="1">
      <c r="A28" s="9"/>
      <c r="B28" s="10" t="s">
        <v>38</v>
      </c>
      <c r="C28" s="42">
        <f>SUMIFS(Raw_Data_Period_new_users!R:R, Raw_Data_Period_new_users!$A:$A, "Control", Raw_Data_Period_new_users!$C:$C, TRUE)</f>
        <v>0</v>
      </c>
      <c r="D28" s="42">
        <f>SUMIFS(Raw_Data_Period_new_users!R:R, Raw_Data_Period_new_users!$A:$A, "Variant", Raw_Data_Period_new_users!$C:$C, TRUE)</f>
        <v>0</v>
      </c>
      <c r="E28" s="57">
        <f t="shared" si="9"/>
        <v>0</v>
      </c>
      <c r="F28" s="29" t="str">
        <f t="shared" si="10"/>
        <v/>
      </c>
    </row>
    <row r="29" ht="15.75" customHeight="1">
      <c r="A29" s="9"/>
      <c r="B29" s="10" t="s">
        <v>39</v>
      </c>
      <c r="C29" s="42">
        <f>SUMIFS(Raw_Data_Period_new_users!S:S, Raw_Data_Period_new_users!$A:$A, "Control", Raw_Data_Period_new_users!$C:$C, TRUE)</f>
        <v>0</v>
      </c>
      <c r="D29" s="42">
        <f>SUMIFS(Raw_Data_Period_new_users!S:S, Raw_Data_Period_new_users!$A:$A, "Variant", Raw_Data_Period_new_users!$C:$C, TRUE)</f>
        <v>0</v>
      </c>
      <c r="E29" s="57">
        <f t="shared" si="9"/>
        <v>0</v>
      </c>
      <c r="F29" s="29" t="str">
        <f t="shared" si="10"/>
        <v/>
      </c>
    </row>
    <row r="30" ht="15.75" customHeight="1">
      <c r="A30" s="9"/>
      <c r="B30" s="58" t="s">
        <v>40</v>
      </c>
      <c r="C30" s="42">
        <f>SUMIFS(Raw_Data_Period_new_users!T:T, Raw_Data_Period_new_users!$A:$A, "Control", Raw_Data_Period_new_users!$C:$C, TRUE)</f>
        <v>0</v>
      </c>
      <c r="D30" s="42">
        <f>SUMIFS(Raw_Data_Period_new_users!T:T, Raw_Data_Period_new_users!$A:$A, "Variant", Raw_Data_Period_new_users!$C:$C, TRUE)</f>
        <v>0</v>
      </c>
      <c r="E30" s="43">
        <f t="shared" si="9"/>
        <v>0</v>
      </c>
      <c r="F30" s="37" t="str">
        <f t="shared" si="10"/>
        <v/>
      </c>
    </row>
    <row r="31" ht="15.75" customHeight="1">
      <c r="A31" s="9"/>
      <c r="B31" s="58" t="s">
        <v>41</v>
      </c>
      <c r="C31" s="42">
        <f>SUMIFS(Raw_Data_Period_new_users!U:U, Raw_Data_Period_new_users!$A:$A, "Control", Raw_Data_Period_new_users!$C:$C, TRUE)</f>
        <v>0</v>
      </c>
      <c r="D31" s="42">
        <f>SUMIFS(Raw_Data_Period_new_users!U:U, Raw_Data_Period_new_users!$A:$A, "Variant", Raw_Data_Period_new_users!$C:$C, TRUE)</f>
        <v>0</v>
      </c>
      <c r="E31" s="43">
        <f t="shared" si="9"/>
        <v>0</v>
      </c>
      <c r="F31" s="37" t="str">
        <f t="shared" si="10"/>
        <v/>
      </c>
    </row>
    <row r="32" ht="15.75" customHeight="1">
      <c r="A32" s="9"/>
      <c r="B32" s="58" t="s">
        <v>42</v>
      </c>
      <c r="C32" s="42">
        <f>SUMIFS(Raw_Data_Period_new_users!V:V, Raw_Data_Period_new_users!$A:$A, "Control", Raw_Data_Period_new_users!$C:$C, TRUE)</f>
        <v>0</v>
      </c>
      <c r="D32" s="42">
        <f>SUMIFS(Raw_Data_Period_new_users!V:V, Raw_Data_Period_new_users!$A:$A, "Variant", Raw_Data_Period_new_users!$C:$C, TRUE)</f>
        <v>0</v>
      </c>
      <c r="E32" s="60">
        <f t="shared" si="9"/>
        <v>0</v>
      </c>
      <c r="F32" s="44" t="str">
        <f t="shared" si="10"/>
        <v/>
      </c>
    </row>
    <row r="33" ht="15.75" customHeight="1">
      <c r="A33" s="9"/>
      <c r="B33" s="58" t="s">
        <v>44</v>
      </c>
      <c r="C33" s="42">
        <f>SUMIFS(Raw_Data_Period_new_users!Q:Q, Raw_Data_Period_new_users!$A:$A, "Control", Raw_Data_Period_new_users!$C:$C, TRUE) - SUMIFS(Raw_Data_Period_new_users!V:V, Raw_Data_Period_new_users!$A:$A, "Control", Raw_Data_Period_new_users!$C:$C, TRUE)</f>
        <v>0</v>
      </c>
      <c r="D33" s="42">
        <f>SUMIFS(Raw_Data_Period_new_users!Q:Q, Raw_Data_Period_new_users!$A:$A, "Variant", Raw_Data_Period_new_users!$C:$C, TRUE) - SUMIFS(Raw_Data_Period_new_users!V:V, Raw_Data_Period_new_users!$A:$A, "Variant", Raw_Data_Period_new_users!$C:$C, TRUE)</f>
        <v>0</v>
      </c>
      <c r="E33" s="43">
        <f t="shared" si="9"/>
        <v>0</v>
      </c>
      <c r="F33" s="37" t="str">
        <f t="shared" si="10"/>
        <v/>
      </c>
    </row>
    <row r="34" ht="15.75" customHeight="1">
      <c r="A34" s="9"/>
      <c r="B34" s="10" t="s">
        <v>45</v>
      </c>
      <c r="C34" s="42">
        <f>SUMIFS(Raw_Data_Period_new_users!W:W, Raw_Data_Period_new_users!$A:$A, "Control", Raw_Data_Period_new_users!$C:$C, TRUE)</f>
        <v>0</v>
      </c>
      <c r="D34" s="42">
        <f>SUMIFS(Raw_Data_Period_new_users!W:W, Raw_Data_Period_new_users!$A:$A, "Variant", Raw_Data_Period_new_users!$C:$C, TRUE)</f>
        <v>0</v>
      </c>
      <c r="E34" s="60">
        <f t="shared" si="9"/>
        <v>0</v>
      </c>
      <c r="F34" s="44" t="str">
        <f t="shared" si="10"/>
        <v/>
      </c>
    </row>
    <row r="35" ht="15.75" customHeight="1">
      <c r="A35" s="9"/>
      <c r="B35" s="10" t="s">
        <v>46</v>
      </c>
      <c r="C35" s="51">
        <f>SUMIFS(Raw_Data_Period_new_users!X:X, Raw_Data_Period_new_users!$A:$A, "Control", Raw_Data_Period_new_users!$C:$C, TRUE)</f>
        <v>0</v>
      </c>
      <c r="D35" s="51">
        <f>SUMIFS(Raw_Data_Period_new_users!X:X, Raw_Data_Period_new_users!$A:$A, "Variant", Raw_Data_Period_new_users!$C:$C, TRUE)</f>
        <v>0</v>
      </c>
      <c r="E35" s="43">
        <f t="shared" si="9"/>
        <v>0</v>
      </c>
      <c r="F35" s="37" t="str">
        <f t="shared" si="10"/>
        <v/>
      </c>
    </row>
    <row r="36" ht="15.75" customHeight="1">
      <c r="A36" s="6" t="s">
        <v>47</v>
      </c>
      <c r="B36" s="7"/>
      <c r="C36" s="7"/>
      <c r="D36" s="7"/>
      <c r="E36" s="7"/>
      <c r="F36" s="7"/>
    </row>
    <row r="37" ht="15.75" customHeight="1">
      <c r="A37" s="9"/>
      <c r="B37" s="64" t="s">
        <v>48</v>
      </c>
      <c r="C37" s="42">
        <f>SUMIFS(Raw_Data_Period_new_users!AX:AX, Raw_Data_Period_new_users!$A:$A, "Control", Raw_Data_Period_new_users!$C:$C, TRUE)</f>
        <v>0</v>
      </c>
      <c r="D37" s="42">
        <f>SUMIFS(Raw_Data_Period_new_users!AX:AX, Raw_Data_Period_new_users!$A:$A, "Variant", Raw_Data_Period_new_users!$C:$C, TRUE)</f>
        <v>0</v>
      </c>
      <c r="E37" s="52">
        <f t="shared" ref="E37:E41" si="11">IFERROR(D37-C37,"")</f>
        <v>0</v>
      </c>
      <c r="F37" s="29" t="str">
        <f t="shared" ref="F37:F41" si="12">IFERROR((D37-C37)/ABS(C37),"")</f>
        <v/>
      </c>
    </row>
    <row r="38" ht="15.75" customHeight="1">
      <c r="A38" s="9"/>
      <c r="B38" s="64" t="s">
        <v>49</v>
      </c>
      <c r="C38" s="42">
        <f>SUMIFS(Raw_Data_Period_new_users!AY:AY, Raw_Data_Period_new_users!$A:$A, "Control", Raw_Data_Period_new_users!$C:$C, TRUE)</f>
        <v>0</v>
      </c>
      <c r="D38" s="42">
        <f>SUMIFS(Raw_Data_Period_new_users!AY:AY, Raw_Data_Period_new_users!$A:$A, "Variant", Raw_Data_Period_new_users!$C:$C, TRUE)</f>
        <v>0</v>
      </c>
      <c r="E38" s="52">
        <f t="shared" si="11"/>
        <v>0</v>
      </c>
      <c r="F38" s="29" t="str">
        <f t="shared" si="12"/>
        <v/>
      </c>
    </row>
    <row r="39" ht="15.75" customHeight="1">
      <c r="A39" s="9"/>
      <c r="B39" s="64" t="s">
        <v>50</v>
      </c>
      <c r="C39" s="42">
        <f>SUMIFS(Raw_Data_Period_new_users!AZ:AZ, Raw_Data_Period_new_users!$A:$A, "Control", Raw_Data_Period_new_users!$C:$C, TRUE)</f>
        <v>0</v>
      </c>
      <c r="D39" s="42">
        <f>SUMIFS(Raw_Data_Period_new_users!AZ:AZ, Raw_Data_Period_new_users!$A:$A, "Variant", Raw_Data_Period_new_users!$C:$C, TRUE)</f>
        <v>0</v>
      </c>
      <c r="E39" s="60">
        <f t="shared" si="11"/>
        <v>0</v>
      </c>
      <c r="F39" s="44" t="str">
        <f t="shared" si="12"/>
        <v/>
      </c>
    </row>
    <row r="40" ht="15.75" customHeight="1">
      <c r="A40" s="9"/>
      <c r="B40" s="64" t="s">
        <v>51</v>
      </c>
      <c r="C40" s="42">
        <f>SUMIFS(Raw_Data_Period_new_users!BA:BA, Raw_Data_Period_new_users!$A:$A, "Control", Raw_Data_Period_new_users!$C:$C, TRUE)</f>
        <v>0</v>
      </c>
      <c r="D40" s="42">
        <f>SUMIFS(Raw_Data_Period_new_users!BA:BA, Raw_Data_Period_new_users!$A:$A, "Variant", Raw_Data_Period_new_users!$C:$C, TRUE)</f>
        <v>0</v>
      </c>
      <c r="E40" s="60">
        <f t="shared" si="11"/>
        <v>0</v>
      </c>
      <c r="F40" s="44" t="str">
        <f t="shared" si="12"/>
        <v/>
      </c>
    </row>
    <row r="41" ht="15.75" customHeight="1">
      <c r="A41" s="9"/>
      <c r="B41" s="64" t="s">
        <v>52</v>
      </c>
      <c r="C41" s="42">
        <f>SUMIFS(Raw_Data_Period_new_users!BB:BB, Raw_Data_Period_new_users!$A:$A, "Control", Raw_Data_Period_new_users!$C:$C, TRUE)</f>
        <v>0</v>
      </c>
      <c r="D41" s="42">
        <f>SUMIFS(Raw_Data_Period_new_users!BB:BB, Raw_Data_Period_new_users!$A:$A, "Variant", Raw_Data_Period_new_users!$C:$C, TRUE)</f>
        <v>0</v>
      </c>
      <c r="E41" s="52">
        <f t="shared" si="11"/>
        <v>0</v>
      </c>
      <c r="F41" s="29" t="str">
        <f t="shared" si="12"/>
        <v/>
      </c>
    </row>
    <row r="42" ht="15.75" customHeight="1">
      <c r="A42" s="6" t="s">
        <v>53</v>
      </c>
      <c r="B42" s="7"/>
      <c r="C42" s="7"/>
      <c r="D42" s="7"/>
      <c r="E42" s="7"/>
      <c r="F42" s="7"/>
    </row>
    <row r="43" ht="15.75" customHeight="1">
      <c r="A43" s="9"/>
      <c r="B43" s="10" t="s">
        <v>54</v>
      </c>
      <c r="C43" s="18">
        <f>SUMIFS(Raw_Data_Period_new_users!Y:Y, Raw_Data_Period_new_users!$A:$A, "Control", Raw_Data_Period_new_users!$C:$C, TRUE)</f>
        <v>0</v>
      </c>
      <c r="D43" s="18">
        <f>SUMIFS(Raw_Data_Period_new_users!Y:Y, Raw_Data_Period_new_users!$A:$A, "Variant", Raw_Data_Period_new_users!$C:$C, TRUE)</f>
        <v>0</v>
      </c>
      <c r="E43" s="26">
        <f t="shared" ref="E43:E46" si="13">IFERROR(D43-C43,"")</f>
        <v>0</v>
      </c>
      <c r="F43" s="29" t="str">
        <f t="shared" ref="F43:F46" si="14">IFERROR((D43-C43)/ABS(C43),"")</f>
        <v/>
      </c>
    </row>
    <row r="44" ht="15.75" customHeight="1">
      <c r="A44" s="9"/>
      <c r="B44" s="10" t="s">
        <v>55</v>
      </c>
      <c r="C44" s="18">
        <f>SUMIFS(Raw_Data_Period_new_users!Z:Z, Raw_Data_Period_new_users!$A:$A, "Control", Raw_Data_Period_new_users!$C:$C, TRUE)</f>
        <v>0</v>
      </c>
      <c r="D44" s="18">
        <f>SUMIFS(Raw_Data_Period_new_users!Z:Z, Raw_Data_Period_new_users!$A:$A, "Variant", Raw_Data_Period_new_users!$C:$C, TRUE)</f>
        <v>0</v>
      </c>
      <c r="E44" s="26">
        <f t="shared" si="13"/>
        <v>0</v>
      </c>
      <c r="F44" s="29" t="str">
        <f t="shared" si="14"/>
        <v/>
      </c>
    </row>
    <row r="45" ht="15.75" customHeight="1">
      <c r="A45" s="9"/>
      <c r="B45" s="10" t="s">
        <v>56</v>
      </c>
      <c r="C45" s="18">
        <f>SUMIFS(Raw_Data_Period_new_users!AA:AA, Raw_Data_Period_new_users!$A:$A, "Control", Raw_Data_Period_new_users!$C:$C, TRUE)</f>
        <v>0</v>
      </c>
      <c r="D45" s="18">
        <f>SUMIFS(Raw_Data_Period_new_users!AA:AA, Raw_Data_Period_new_users!$A:$A, "Variant", Raw_Data_Period_new_users!$C:$C, TRUE)</f>
        <v>0</v>
      </c>
      <c r="E45" s="26">
        <f t="shared" si="13"/>
        <v>0</v>
      </c>
      <c r="F45" s="29" t="str">
        <f t="shared" si="14"/>
        <v/>
      </c>
    </row>
    <row r="46" ht="15.75" customHeight="1">
      <c r="A46" s="9"/>
      <c r="B46" s="49" t="s">
        <v>57</v>
      </c>
      <c r="C46" s="18">
        <f>SUMIFS(Raw_Data_Period_new_users!BD:BD, Raw_Data_Period_new_users!$A:$A, "Control", Raw_Data_Period_new_users!$C:$C, TRUE)</f>
        <v>0</v>
      </c>
      <c r="D46" s="18">
        <f>SUMIFS(Raw_Data_Period_new_users!BD:BD, Raw_Data_Period_new_users!$A:$A, "Variant", Raw_Data_Period_new_users!$C:$C, TRUE)</f>
        <v>0</v>
      </c>
      <c r="E46" s="26">
        <f t="shared" si="13"/>
        <v>0</v>
      </c>
      <c r="F46" s="29" t="str">
        <f t="shared" si="14"/>
        <v/>
      </c>
    </row>
    <row r="47" ht="15.75" customHeight="1">
      <c r="A47" s="6" t="s">
        <v>58</v>
      </c>
      <c r="B47" s="7"/>
      <c r="C47" s="7"/>
      <c r="D47" s="7"/>
      <c r="E47" s="7"/>
      <c r="F47" s="7"/>
    </row>
    <row r="48" ht="15.75" customHeight="1">
      <c r="A48" s="9"/>
      <c r="B48" s="10" t="s">
        <v>59</v>
      </c>
      <c r="C48" s="42">
        <f>SUMIFS(Raw_Data_Period_new_users!AB:AB, Raw_Data_Period_new_users!$A:$A, "Control", Raw_Data_Period_new_users!$C:$C, TRUE)</f>
        <v>0</v>
      </c>
      <c r="D48" s="42">
        <f>SUMIFS(Raw_Data_Period_new_users!AB:AB, Raw_Data_Period_new_users!$A:$A, "Variant", Raw_Data_Period_new_users!$C:$C, TRUE)</f>
        <v>0</v>
      </c>
      <c r="E48" s="43">
        <f t="shared" ref="E48:E49" si="15">IFERROR(D48-C48,"")</f>
        <v>0</v>
      </c>
      <c r="F48" s="44" t="str">
        <f t="shared" ref="F48:F49" si="16">IFERROR((D48-C48)/ABS(C48),"")</f>
        <v/>
      </c>
    </row>
    <row r="49" ht="15.75" customHeight="1">
      <c r="A49" s="9"/>
      <c r="B49" s="10" t="s">
        <v>60</v>
      </c>
      <c r="C49" s="42">
        <f>SUMIFS(Raw_Data_Period_new_users!AC:AC, Raw_Data_Period_new_users!$A:$A, "Control", Raw_Data_Period_new_users!$C:$C, TRUE)</f>
        <v>0</v>
      </c>
      <c r="D49" s="42">
        <f>SUMIFS(Raw_Data_Period_new_users!AC:AC, Raw_Data_Period_new_users!$A:$A, "Variant", Raw_Data_Period_new_users!$C:$C, TRUE)</f>
        <v>0</v>
      </c>
      <c r="E49" s="43">
        <f t="shared" si="15"/>
        <v>0</v>
      </c>
      <c r="F49" s="37" t="str">
        <f t="shared" si="16"/>
        <v/>
      </c>
    </row>
    <row r="50" ht="15.75" customHeight="1">
      <c r="A50" s="6" t="s">
        <v>61</v>
      </c>
      <c r="B50" s="7"/>
      <c r="C50" s="7"/>
      <c r="D50" s="7"/>
      <c r="E50" s="7"/>
      <c r="F50" s="7"/>
    </row>
    <row r="51" ht="15.75" customHeight="1">
      <c r="A51" s="9"/>
      <c r="B51" s="10" t="s">
        <v>62</v>
      </c>
      <c r="C51" s="62">
        <f>SUMIFS(Raw_Data_Period_new_users!AI:AI, Raw_Data_Period_new_users!$A:$A, "Control", Raw_Data_Period_new_users!$C:$C, TRUE)</f>
        <v>0</v>
      </c>
      <c r="D51" s="62">
        <f>SUMIFS(Raw_Data_Period_new_users!AI:AI, Raw_Data_Period_new_users!$A:$A, "Variant", Raw_Data_Period_new_users!$C:$C, TRUE)</f>
        <v>0</v>
      </c>
      <c r="E51" s="65">
        <f t="shared" ref="E51:E53" si="17">IFERROR(D51-C51,"")</f>
        <v>0</v>
      </c>
      <c r="F51" s="37" t="str">
        <f t="shared" ref="F51:F53" si="18">IFERROR((D51-C51)/ABS(C51),"")</f>
        <v/>
      </c>
    </row>
    <row r="52" ht="15.75" customHeight="1">
      <c r="A52" s="9"/>
      <c r="B52" s="10" t="s">
        <v>63</v>
      </c>
      <c r="C52" s="62">
        <f>SUMIFS(Raw_Data_Period_new_users!AJ:AJ, Raw_Data_Period_new_users!$A:$A, "Control", Raw_Data_Period_new_users!$C:$C, TRUE)</f>
        <v>0</v>
      </c>
      <c r="D52" s="62">
        <f>SUMIFS(Raw_Data_Period_new_users!AJ:AJ, Raw_Data_Period_new_users!$A:$A, "Variant", Raw_Data_Period_new_users!$C:$C, TRUE)</f>
        <v>0</v>
      </c>
      <c r="E52" s="66">
        <f t="shared" si="17"/>
        <v>0</v>
      </c>
      <c r="F52" s="44" t="str">
        <f t="shared" si="18"/>
        <v/>
      </c>
    </row>
    <row r="53" ht="15.75" customHeight="1">
      <c r="A53" s="9"/>
      <c r="B53" s="10" t="s">
        <v>64</v>
      </c>
      <c r="C53" s="62">
        <f>SUMIFS(Raw_Data_Period_new_users!AK:AK, Raw_Data_Period_new_users!$A:$A, "Control", Raw_Data_Period_new_users!$C:$C, TRUE)</f>
        <v>0</v>
      </c>
      <c r="D53" s="62">
        <f>SUMIFS(Raw_Data_Period_new_users!AK:AK, Raw_Data_Period_new_users!$A:$A, "Variant", Raw_Data_Period_new_users!$C:$C, TRUE)</f>
        <v>0</v>
      </c>
      <c r="E53" s="66">
        <f t="shared" si="17"/>
        <v>0</v>
      </c>
      <c r="F53" s="44" t="str">
        <f t="shared" si="18"/>
        <v/>
      </c>
    </row>
    <row r="54" ht="15.75" customHeight="1">
      <c r="A54" s="6" t="s">
        <v>65</v>
      </c>
      <c r="B54" s="7"/>
      <c r="C54" s="7"/>
      <c r="D54" s="7"/>
      <c r="E54" s="7"/>
      <c r="F54" s="7"/>
    </row>
    <row r="55" ht="15.75" customHeight="1">
      <c r="A55" s="9"/>
      <c r="B55" s="10" t="s">
        <v>66</v>
      </c>
      <c r="C55" s="51">
        <f>SUMIFS(Raw_Data_Period_new_users!AL:AL, Raw_Data_Period_new_users!$A:$A, "Control", Raw_Data_Period_new_users!$C:$C, TRUE)</f>
        <v>0</v>
      </c>
      <c r="D55" s="51">
        <f>SUMIFS(Raw_Data_Period_new_users!AL:AL, Raw_Data_Period_new_users!$A:$A, "Variant", Raw_Data_Period_new_users!$C:$C, TRUE)</f>
        <v>0</v>
      </c>
      <c r="E55" s="67">
        <f>IFERROR(D55-C55,"")</f>
        <v>0</v>
      </c>
      <c r="F55" s="44" t="str">
        <f>IFERROR((D55-C55)/ABS(C55),"")</f>
        <v/>
      </c>
    </row>
    <row r="56" ht="15.75" customHeight="1">
      <c r="A56" s="6" t="s">
        <v>67</v>
      </c>
      <c r="B56" s="7"/>
      <c r="C56" s="7"/>
      <c r="D56" s="7"/>
      <c r="E56" s="7"/>
      <c r="F56" s="7"/>
    </row>
    <row r="57" ht="15.75" customHeight="1">
      <c r="A57" s="9"/>
      <c r="B57" s="10" t="s">
        <v>68</v>
      </c>
      <c r="C57" s="62"/>
      <c r="D57" s="62">
        <f>SUMIFS(Raw_Data_Period_new_users!AI:AI, Raw_Data_Period_new_users!$A:$A, "Variant", Raw_Data_Period_new_users!$C:$C, TRUE)</f>
        <v>0</v>
      </c>
      <c r="E57" s="65"/>
      <c r="F57" s="37"/>
    </row>
    <row r="58" ht="15.75" customHeight="1">
      <c r="A58" s="9"/>
      <c r="B58" s="69" t="s">
        <v>69</v>
      </c>
      <c r="C58" s="62"/>
      <c r="D58" s="62">
        <f>SUMIFS(Raw_Data_Period_new_users!AI:AI, Raw_Data_Period_new_users!$A:$A, "Variant", Raw_Data_Period_new_users!$C:$C, TRUE)</f>
        <v>0</v>
      </c>
      <c r="E58" s="65"/>
      <c r="F58" s="37"/>
    </row>
    <row r="59" ht="15.75" customHeight="1">
      <c r="A59" s="9"/>
      <c r="B59" s="69" t="s">
        <v>70</v>
      </c>
      <c r="C59" s="62"/>
      <c r="D59" s="62">
        <f>SUMIFS(Raw_Data_Period_new_users!AJ:AJ, Raw_Data_Period_new_users!$A:$A, "Variant", Raw_Data_Period_new_users!$C:$C, TRUE)</f>
        <v>0</v>
      </c>
      <c r="E59" s="65"/>
      <c r="F59" s="37"/>
    </row>
    <row r="60" ht="15.75" customHeight="1">
      <c r="A60" s="9"/>
      <c r="B60" s="69" t="s">
        <v>71</v>
      </c>
      <c r="C60" s="62"/>
      <c r="D60" s="62">
        <f>SUMIFS(Raw_Data_Period_new_users!AK:AK, Raw_Data_Period_new_users!$A:$A, "Variant", Raw_Data_Period_new_users!$C:$C, TRUE)</f>
        <v>0</v>
      </c>
      <c r="E60" s="65"/>
      <c r="F60" s="37"/>
    </row>
    <row r="61" ht="15.75" customHeight="1">
      <c r="A61" s="6" t="s">
        <v>72</v>
      </c>
      <c r="B61" s="7"/>
      <c r="C61" s="7"/>
      <c r="D61" s="7"/>
      <c r="E61" s="7"/>
      <c r="F61" s="7"/>
    </row>
    <row r="62" ht="15.75" customHeight="1">
      <c r="A62" s="9"/>
      <c r="B62" s="58" t="s">
        <v>73</v>
      </c>
      <c r="C62" s="51">
        <f>SUMIFS(Raw_Data_Period_new_users!AQ:AQ, Raw_Data_Period_new_users!$A:$A, "Control", Raw_Data_Period_new_users!$C:$C, TRUE)</f>
        <v>0</v>
      </c>
      <c r="D62" s="51">
        <f>SUMIFS(Raw_Data_Period_new_users!AQ:AQ, Raw_Data_Period_new_users!$A:$A, "Variant", Raw_Data_Period_new_users!$C:$C, TRUE)</f>
        <v>0</v>
      </c>
      <c r="E62" s="60">
        <f t="shared" ref="E62:E67" si="19">IFERROR(D62-C62,"")</f>
        <v>0</v>
      </c>
      <c r="F62" s="37" t="str">
        <f t="shared" ref="F62:F67" si="20">IFERROR((D62-C62)/ABS(C62),"")</f>
        <v/>
      </c>
    </row>
    <row r="63" ht="15.75" customHeight="1">
      <c r="A63" s="9"/>
      <c r="B63" s="58" t="s">
        <v>74</v>
      </c>
      <c r="C63" s="51">
        <f>SUMIFS(Raw_Data_Period_new_users!AR:AR, Raw_Data_Period_new_users!$A:$A, "Control", Raw_Data_Period_new_users!$C:$C, TRUE)</f>
        <v>0</v>
      </c>
      <c r="D63" s="51">
        <f>SUMIFS(Raw_Data_Period_new_users!AR:AR, Raw_Data_Period_new_users!$A:$A, "Variant", Raw_Data_Period_new_users!$C:$C, TRUE)</f>
        <v>0</v>
      </c>
      <c r="E63" s="43">
        <f t="shared" si="19"/>
        <v>0</v>
      </c>
      <c r="F63" s="37" t="str">
        <f t="shared" si="20"/>
        <v/>
      </c>
    </row>
    <row r="64" ht="15.75" customHeight="1">
      <c r="A64" s="9"/>
      <c r="B64" s="58" t="s">
        <v>75</v>
      </c>
      <c r="C64" s="51">
        <f>SUMIFS(Raw_Data_Period_new_users!AS:AS, Raw_Data_Period_new_users!$A:$A, "Control", Raw_Data_Period_new_users!$C:$C, TRUE)</f>
        <v>0</v>
      </c>
      <c r="D64" s="51">
        <f>SUMIFS(Raw_Data_Period_new_users!AS:AS, Raw_Data_Period_new_users!$A:$A, "Variant", Raw_Data_Period_new_users!$C:$C, TRUE)</f>
        <v>0</v>
      </c>
      <c r="E64" s="60">
        <f t="shared" si="19"/>
        <v>0</v>
      </c>
      <c r="F64" s="37" t="str">
        <f t="shared" si="20"/>
        <v/>
      </c>
    </row>
    <row r="65" ht="15.75" customHeight="1">
      <c r="A65" s="9"/>
      <c r="B65" s="58" t="s">
        <v>76</v>
      </c>
      <c r="C65" s="51">
        <f>SUMIFS(Raw_Data_Period_new_users!AT:AT, Raw_Data_Period_new_users!$A:$A, "Control", Raw_Data_Period_new_users!$C:$C, TRUE)</f>
        <v>0</v>
      </c>
      <c r="D65" s="51">
        <f>SUMIFS(Raw_Data_Period_new_users!AT:AT, Raw_Data_Period_new_users!$A:$A, "Variant", Raw_Data_Period_new_users!$C:$C, TRUE)</f>
        <v>0</v>
      </c>
      <c r="E65" s="43">
        <f t="shared" si="19"/>
        <v>0</v>
      </c>
      <c r="F65" s="37" t="str">
        <f t="shared" si="20"/>
        <v/>
      </c>
    </row>
    <row r="66" ht="15.75" customHeight="1">
      <c r="A66" s="9"/>
      <c r="B66" s="58" t="s">
        <v>77</v>
      </c>
      <c r="C66" s="51">
        <f>SUMIFS(Raw_Data_Period_new_users!AQ:AQ, Raw_Data_Period_new_users!$A:$A, "Control", Raw_Data_Period_new_users!$C:$C, TRUE) - SUMIFS(Raw_Data_Period_new_users!AT:AT, Raw_Data_Period_new_users!$A:$A, "Control", Raw_Data_Period_new_users!$C:$C, TRUE)</f>
        <v>0</v>
      </c>
      <c r="D66" s="51">
        <f>SUMIFS(Raw_Data_Period_new_users!AQ:AQ, Raw_Data_Period_new_users!$A:$A, "Variant", Raw_Data_Period_new_users!$C:$C, TRUE) - SUMIFS(Raw_Data_Period_new_users!AT:AT, Raw_Data_Period_new_users!$A:$A, "Variant", Raw_Data_Period_new_users!$C:$C, TRUE)</f>
        <v>0</v>
      </c>
      <c r="E66" s="60">
        <f t="shared" si="19"/>
        <v>0</v>
      </c>
      <c r="F66" s="37" t="str">
        <f t="shared" si="20"/>
        <v/>
      </c>
    </row>
    <row r="67" ht="15.75" customHeight="1">
      <c r="A67" s="9"/>
      <c r="B67" s="10" t="s">
        <v>78</v>
      </c>
      <c r="C67" s="51">
        <f>SUMIFS(Raw_Data_Period_new_users!AU:AU, Raw_Data_Period_new_users!$A:$A, "Control", Raw_Data_Period_new_users!$C:$C, TRUE)</f>
        <v>0</v>
      </c>
      <c r="D67" s="51">
        <f>SUMIFS(Raw_Data_Period_new_users!AU:AU, Raw_Data_Period_new_users!$A:$A, "Variant", Raw_Data_Period_new_users!$C:$C, TRUE)</f>
        <v>0</v>
      </c>
      <c r="E67" s="71">
        <f t="shared" si="19"/>
        <v>0</v>
      </c>
      <c r="F67" s="44" t="str">
        <f t="shared" si="20"/>
        <v/>
      </c>
    </row>
    <row r="68" ht="15.75" customHeight="1"/>
    <row r="69" ht="15.75" customHeight="1">
      <c r="A69" s="72" t="s">
        <v>79</v>
      </c>
      <c r="B69" s="7"/>
      <c r="C69" s="7"/>
      <c r="D69" s="7"/>
      <c r="E69" s="7"/>
      <c r="F69" s="7"/>
    </row>
    <row r="70" ht="15.75" customHeight="1">
      <c r="A70" s="9"/>
      <c r="B70" s="73" t="s">
        <v>80</v>
      </c>
      <c r="C70" s="51">
        <f>SUMIFS(Raw_Data_Period_new_users!BO:BO, Raw_Data_Period_new_users!$A:$A, "Control", Raw_Data_Period_new_users!$C:$C, TRUE)</f>
        <v>0</v>
      </c>
      <c r="D70" s="51">
        <f>SUMIFS(Raw_Data_Period_new_users!BO:BO, Raw_Data_Period_new_users!$A:$A, "Variant", Raw_Data_Period_new_users!$C:$C, TRUE)</f>
        <v>0</v>
      </c>
      <c r="E70" s="60">
        <f t="shared" ref="E70:E74" si="21">IFERROR(D70-C70,"")</f>
        <v>0</v>
      </c>
      <c r="F70" s="37" t="str">
        <f t="shared" ref="F70:F74" si="22">IFERROR((D70-C70)/ABS(C70),"")</f>
        <v/>
      </c>
    </row>
    <row r="71" ht="15.75" customHeight="1">
      <c r="A71" s="9"/>
      <c r="B71" s="73" t="s">
        <v>81</v>
      </c>
      <c r="C71" s="51">
        <f>SUMIFS(Raw_Data_Period_new_users!BP:BP, Raw_Data_Period_new_users!$A:$A, "Control", Raw_Data_Period_new_users!$C:$C, TRUE)</f>
        <v>0</v>
      </c>
      <c r="D71" s="51">
        <f>SUMIFS(Raw_Data_Period_new_users!BP:BP, Raw_Data_Period_new_users!$A:$A, "Variant", Raw_Data_Period_new_users!$C:$C, TRUE)</f>
        <v>0</v>
      </c>
      <c r="E71" s="43">
        <f t="shared" si="21"/>
        <v>0</v>
      </c>
      <c r="F71" s="37" t="str">
        <f t="shared" si="22"/>
        <v/>
      </c>
    </row>
    <row r="72" ht="15.75" customHeight="1">
      <c r="A72" s="9"/>
      <c r="B72" s="73" t="s">
        <v>82</v>
      </c>
      <c r="C72" s="51">
        <f>SUMIFS(Raw_Data_Period_new_users!BQ:BQ, Raw_Data_Period_new_users!$A:$A, "Control", Raw_Data_Period_new_users!$C:$C, TRUE)</f>
        <v>0</v>
      </c>
      <c r="D72" s="51">
        <f>SUMIFS(Raw_Data_Period_new_users!BQ:BQ, Raw_Data_Period_new_users!$A:$A, "Variant", Raw_Data_Period_new_users!$C:$C, TRUE)</f>
        <v>0</v>
      </c>
      <c r="E72" s="60">
        <f t="shared" si="21"/>
        <v>0</v>
      </c>
      <c r="F72" s="37" t="str">
        <f t="shared" si="22"/>
        <v/>
      </c>
    </row>
    <row r="73" ht="15.75" customHeight="1">
      <c r="A73" s="9"/>
      <c r="B73" s="73" t="s">
        <v>83</v>
      </c>
      <c r="C73" s="51">
        <f>SUMIFS(Raw_Data_Period_new_users!BR:BR, Raw_Data_Period_new_users!$A:$A, "Control", Raw_Data_Period_new_users!$C:$C, TRUE)</f>
        <v>0</v>
      </c>
      <c r="D73" s="51">
        <f>SUMIFS(Raw_Data_Period_new_users!BR:BR, Raw_Data_Period_new_users!$A:$A, "Variant", Raw_Data_Period_new_users!$C:$C, TRUE)</f>
        <v>0</v>
      </c>
      <c r="E73" s="43">
        <f t="shared" si="21"/>
        <v>0</v>
      </c>
      <c r="F73" s="37" t="str">
        <f t="shared" si="22"/>
        <v/>
      </c>
    </row>
    <row r="74" ht="15.75" customHeight="1">
      <c r="A74" s="9"/>
      <c r="B74" s="73" t="s">
        <v>84</v>
      </c>
      <c r="C74" s="51">
        <f>SUMIFS(Raw_Data_Period_new_users!BO:BO, Raw_Data_Period_new_users!$A:$A, "Control", Raw_Data_Period_new_users!$C:$C, TRUE) - SUMIFS(Raw_Data_Period_new_users!BR:BR, Raw_Data_Period_new_users!$A:$A, "Control", Raw_Data_Period_new_users!$C:$C, TRUE)</f>
        <v>0</v>
      </c>
      <c r="D74" s="51">
        <f>SUMIFS(Raw_Data_Period_new_users!BO:BO, Raw_Data_Period_new_users!$A:$A, "Variant", Raw_Data_Period_new_users!$C:$C, TRUE) - SUMIFS(Raw_Data_Period_new_users!BR:BR, Raw_Data_Period_new_users!$A:$A, "Variant", Raw_Data_Period_new_users!$C:$C, TRUE)</f>
        <v>0</v>
      </c>
      <c r="E74" s="60">
        <f t="shared" si="21"/>
        <v>0</v>
      </c>
      <c r="F74" s="37" t="str">
        <f t="shared" si="22"/>
        <v/>
      </c>
    </row>
    <row r="75" ht="15.75" customHeight="1">
      <c r="A75" s="72" t="s">
        <v>85</v>
      </c>
      <c r="B75" s="7"/>
      <c r="C75" s="7"/>
      <c r="D75" s="7"/>
      <c r="E75" s="7"/>
      <c r="F75" s="7"/>
    </row>
    <row r="76" ht="15.75" customHeight="1">
      <c r="A76" s="9"/>
      <c r="B76" s="73" t="s">
        <v>86</v>
      </c>
      <c r="C76" s="51">
        <f>SUMIFS(Raw_Data_Period_new_users!BS:BS, Raw_Data_Period_new_users!$A:$A, "Control", Raw_Data_Period_new_users!$C:$C, TRUE)</f>
        <v>0</v>
      </c>
      <c r="D76" s="51">
        <f>SUMIFS(Raw_Data_Period_new_users!BS:BS, Raw_Data_Period_new_users!$A:$A, "Variant", Raw_Data_Period_new_users!$C:$C, TRUE)</f>
        <v>0</v>
      </c>
      <c r="E76" s="60">
        <f t="shared" ref="E76:E80" si="23">IFERROR(D76-C76,"")</f>
        <v>0</v>
      </c>
      <c r="F76" s="37" t="str">
        <f t="shared" ref="F76:F80" si="24">IFERROR((D76-C76)/ABS(C76),"")</f>
        <v/>
      </c>
    </row>
    <row r="77" ht="15.75" customHeight="1">
      <c r="A77" s="9"/>
      <c r="B77" s="73" t="s">
        <v>87</v>
      </c>
      <c r="C77" s="51">
        <f>SUMIFS(Raw_Data_Period_new_users!BT:BT, Raw_Data_Period_new_users!$A:$A, "Control", Raw_Data_Period_new_users!$C:$C, TRUE)</f>
        <v>0</v>
      </c>
      <c r="D77" s="51">
        <f>SUMIFS(Raw_Data_Period_new_users!BT:BT, Raw_Data_Period_new_users!$A:$A, "Variant", Raw_Data_Period_new_users!$C:$C, TRUE)</f>
        <v>0</v>
      </c>
      <c r="E77" s="43">
        <f t="shared" si="23"/>
        <v>0</v>
      </c>
      <c r="F77" s="37" t="str">
        <f t="shared" si="24"/>
        <v/>
      </c>
    </row>
    <row r="78" ht="15.75" customHeight="1">
      <c r="A78" s="9"/>
      <c r="B78" s="73" t="s">
        <v>88</v>
      </c>
      <c r="C78" s="51">
        <f>SUMIFS(Raw_Data_Period_new_users!BU:BU, Raw_Data_Period_new_users!$A:$A, "Control", Raw_Data_Period_new_users!$C:$C, TRUE)</f>
        <v>0</v>
      </c>
      <c r="D78" s="51">
        <f>SUMIFS(Raw_Data_Period_new_users!BU:BU, Raw_Data_Period_new_users!$A:$A, "Variant", Raw_Data_Period_new_users!$C:$C, TRUE)</f>
        <v>0</v>
      </c>
      <c r="E78" s="60">
        <f t="shared" si="23"/>
        <v>0</v>
      </c>
      <c r="F78" s="37" t="str">
        <f t="shared" si="24"/>
        <v/>
      </c>
    </row>
    <row r="79" ht="15.75" customHeight="1">
      <c r="A79" s="9"/>
      <c r="B79" s="73" t="s">
        <v>89</v>
      </c>
      <c r="C79" s="51">
        <f>SUMIFS(Raw_Data_Period_new_users!BV:BV, Raw_Data_Period_new_users!$A:$A, "Control", Raw_Data_Period_new_users!$C:$C, TRUE)</f>
        <v>0</v>
      </c>
      <c r="D79" s="51">
        <f>SUMIFS(Raw_Data_Period_new_users!BV:BV, Raw_Data_Period_new_users!$A:$A, "Variant", Raw_Data_Period_new_users!$C:$C, TRUE)</f>
        <v>0</v>
      </c>
      <c r="E79" s="43">
        <f t="shared" si="23"/>
        <v>0</v>
      </c>
      <c r="F79" s="37" t="str">
        <f t="shared" si="24"/>
        <v/>
      </c>
    </row>
    <row r="80" ht="15.75" customHeight="1">
      <c r="A80" s="9"/>
      <c r="B80" s="73" t="s">
        <v>90</v>
      </c>
      <c r="C80" s="51">
        <f>SUMIFS(Raw_Data_Period_new_users!BS:BS, Raw_Data_Period_new_users!$A:$A, "Control", Raw_Data_Period_new_users!$C:$C, TRUE) - SUMIFS(Raw_Data_Period_new_users!BV:BV, Raw_Data_Period_new_users!$A:$A, "Control", Raw_Data_Period_new_users!$C:$C, TRUE)</f>
        <v>0</v>
      </c>
      <c r="D80" s="51">
        <f>SUMIFS(Raw_Data_Period_new_users!BS:BS, Raw_Data_Period_new_users!$A:$A, "Variant", Raw_Data_Period_new_users!$C:$C, TRUE) - SUMIFS(Raw_Data_Period_new_users!BV:BV, Raw_Data_Period_new_users!$A:$A, "Variant", Raw_Data_Period_new_users!$C:$C, TRUE)</f>
        <v>0</v>
      </c>
      <c r="E80" s="60">
        <f t="shared" si="23"/>
        <v>0</v>
      </c>
      <c r="F80" s="37" t="str">
        <f t="shared" si="24"/>
        <v/>
      </c>
    </row>
    <row r="81" ht="15.75" customHeight="1">
      <c r="A81" s="72" t="s">
        <v>91</v>
      </c>
      <c r="B81" s="7"/>
      <c r="C81" s="7"/>
      <c r="D81" s="7"/>
      <c r="E81" s="7"/>
      <c r="F81" s="7"/>
    </row>
    <row r="82" ht="15.75" customHeight="1">
      <c r="A82" s="9"/>
      <c r="B82" s="73" t="s">
        <v>92</v>
      </c>
      <c r="C82" s="51">
        <f>SUMIFS(Raw_Data_Period_new_users!BW:BW, Raw_Data_Period_new_users!$A:$A, "Control", Raw_Data_Period_new_users!$C:$C, TRUE)</f>
        <v>0</v>
      </c>
      <c r="D82" s="51">
        <f>SUMIFS(Raw_Data_Period_new_users!BW:BW, Raw_Data_Period_new_users!$A:$A, "Variant", Raw_Data_Period_new_users!$C:$C, TRUE)</f>
        <v>0</v>
      </c>
      <c r="E82" s="60">
        <f t="shared" ref="E82:E86" si="25">IFERROR(D82-C82,"")</f>
        <v>0</v>
      </c>
      <c r="F82" s="37" t="str">
        <f t="shared" ref="F82:F86" si="26">IFERROR((D82-C82)/ABS(C82),"")</f>
        <v/>
      </c>
    </row>
    <row r="83" ht="15.75" customHeight="1">
      <c r="A83" s="9"/>
      <c r="B83" s="73" t="s">
        <v>93</v>
      </c>
      <c r="C83" s="51">
        <f>SUMIFS(Raw_Data_Period_new_users!BX:BX, Raw_Data_Period_new_users!$A:$A, "Control", Raw_Data_Period_new_users!$C:$C, TRUE)</f>
        <v>0</v>
      </c>
      <c r="D83" s="51">
        <f>SUMIFS(Raw_Data_Period_new_users!BX:BX, Raw_Data_Period_new_users!$A:$A, "Variant", Raw_Data_Period_new_users!$C:$C, TRUE)</f>
        <v>0</v>
      </c>
      <c r="E83" s="43">
        <f t="shared" si="25"/>
        <v>0</v>
      </c>
      <c r="F83" s="37" t="str">
        <f t="shared" si="26"/>
        <v/>
      </c>
    </row>
    <row r="84" ht="15.75" customHeight="1">
      <c r="A84" s="9"/>
      <c r="B84" s="73" t="s">
        <v>94</v>
      </c>
      <c r="C84" s="51">
        <f>SUMIFS(Raw_Data_Period_new_users!BY:BY, Raw_Data_Period_new_users!$A:$A, "Control", Raw_Data_Period_new_users!$C:$C, TRUE)</f>
        <v>0</v>
      </c>
      <c r="D84" s="51">
        <f>SUMIFS(Raw_Data_Period_new_users!BY:BY, Raw_Data_Period_new_users!$A:$A, "Variant", Raw_Data_Period_new_users!$C:$C, TRUE)</f>
        <v>0</v>
      </c>
      <c r="E84" s="60">
        <f t="shared" si="25"/>
        <v>0</v>
      </c>
      <c r="F84" s="37" t="str">
        <f t="shared" si="26"/>
        <v/>
      </c>
    </row>
    <row r="85" ht="15.75" customHeight="1">
      <c r="A85" s="9"/>
      <c r="B85" s="73" t="s">
        <v>95</v>
      </c>
      <c r="C85" s="51">
        <f>SUMIFS(Raw_Data_Period_new_users!BZ:BZ, Raw_Data_Period_new_users!$A:$A, "Control", Raw_Data_Period_new_users!$C:$C, TRUE)</f>
        <v>0</v>
      </c>
      <c r="D85" s="51">
        <f>SUMIFS(Raw_Data_Period_new_users!BZ:BZ, Raw_Data_Period_new_users!$A:$A, "Variant", Raw_Data_Period_new_users!$C:$C, TRUE)</f>
        <v>0</v>
      </c>
      <c r="E85" s="43">
        <f t="shared" si="25"/>
        <v>0</v>
      </c>
      <c r="F85" s="37" t="str">
        <f t="shared" si="26"/>
        <v/>
      </c>
    </row>
    <row r="86" ht="15.75" customHeight="1">
      <c r="A86" s="9"/>
      <c r="B86" s="73" t="s">
        <v>96</v>
      </c>
      <c r="C86" s="51">
        <f>SUMIFS(Raw_Data_Period_new_users!BW:BW, Raw_Data_Period_new_users!$A:$A, "Control", Raw_Data_Period_new_users!$C:$C, TRUE) - SUMIFS(Raw_Data_Period_new_users!BZ:BZ, Raw_Data_Period_new_users!$A:$A, "Control", Raw_Data_Period_new_users!$C:$C, TRUE)</f>
        <v>0</v>
      </c>
      <c r="D86" s="51">
        <f>SUMIFS(Raw_Data_Period_new_users!BW:BW, Raw_Data_Period_new_users!$A:$A, "Variant", Raw_Data_Period_new_users!$C:$C, TRUE) - SUMIFS(Raw_Data_Period_new_users!BZ:BZ, Raw_Data_Period_new_users!$A:$A, "Variant", Raw_Data_Period_new_users!$C:$C, TRUE)</f>
        <v>0</v>
      </c>
      <c r="E86" s="60">
        <f t="shared" si="25"/>
        <v>0</v>
      </c>
      <c r="F86" s="37" t="str">
        <f t="shared" si="26"/>
        <v/>
      </c>
    </row>
    <row r="87" ht="15.75" customHeight="1">
      <c r="A87" s="72" t="s">
        <v>97</v>
      </c>
      <c r="B87" s="7"/>
      <c r="C87" s="7"/>
      <c r="D87" s="7"/>
      <c r="E87" s="7"/>
      <c r="F87" s="7"/>
    </row>
    <row r="88" ht="15.75" customHeight="1">
      <c r="A88" s="9"/>
      <c r="B88" s="73" t="s">
        <v>98</v>
      </c>
      <c r="C88" s="51">
        <f>SUMIFS(Raw_Data_Period_new_users!CE:CE, Raw_Data_Period_new_users!$A:$A, "Control", Raw_Data_Period_new_users!$C:$C, TRUE)</f>
        <v>0</v>
      </c>
      <c r="D88" s="51">
        <f>SUMIFS(Raw_Data_Period_new_users!CE:CE, Raw_Data_Period_new_users!$A:$A, "Variant", Raw_Data_Period_new_users!$C:$C, TRUE)</f>
        <v>0</v>
      </c>
      <c r="E88" s="60">
        <f t="shared" ref="E88:E92" si="27">IFERROR(D88-C88,"")</f>
        <v>0</v>
      </c>
      <c r="F88" s="37" t="str">
        <f t="shared" ref="F88:F92" si="28">IFERROR((D88-C88)/ABS(C88),"")</f>
        <v/>
      </c>
    </row>
    <row r="89" ht="15.75" customHeight="1">
      <c r="A89" s="9"/>
      <c r="B89" s="73" t="s">
        <v>99</v>
      </c>
      <c r="C89" s="51">
        <f>SUMIFS(Raw_Data_Period_new_users!CF:CF, Raw_Data_Period_new_users!$A:$A, "Control", Raw_Data_Period_new_users!$C:$C, TRUE)</f>
        <v>0</v>
      </c>
      <c r="D89" s="51">
        <f>SUMIFS(Raw_Data_Period_new_users!CF:CF, Raw_Data_Period_new_users!$A:$A, "Variant", Raw_Data_Period_new_users!$C:$C, TRUE)</f>
        <v>0</v>
      </c>
      <c r="E89" s="43">
        <f t="shared" si="27"/>
        <v>0</v>
      </c>
      <c r="F89" s="37" t="str">
        <f t="shared" si="28"/>
        <v/>
      </c>
    </row>
    <row r="90" ht="15.75" customHeight="1">
      <c r="A90" s="9"/>
      <c r="B90" s="73" t="s">
        <v>100</v>
      </c>
      <c r="C90" s="51">
        <f>SUMIFS(Raw_Data_Period_new_users!CG:CG, Raw_Data_Period_new_users!$A:$A, "Control", Raw_Data_Period_new_users!$C:$C, TRUE)</f>
        <v>0</v>
      </c>
      <c r="D90" s="51">
        <f>SUMIFS(Raw_Data_Period_new_users!CG:CG, Raw_Data_Period_new_users!$A:$A, "Variant", Raw_Data_Period_new_users!$C:$C, TRUE)</f>
        <v>0</v>
      </c>
      <c r="E90" s="60">
        <f t="shared" si="27"/>
        <v>0</v>
      </c>
      <c r="F90" s="37" t="str">
        <f t="shared" si="28"/>
        <v/>
      </c>
    </row>
    <row r="91" ht="15.75" customHeight="1">
      <c r="A91" s="9"/>
      <c r="B91" s="73" t="s">
        <v>101</v>
      </c>
      <c r="C91" s="51">
        <f>SUMIFS(Raw_Data_Period_new_users!CH:CH, Raw_Data_Period_new_users!$A:$A, "Control", Raw_Data_Period_new_users!$C:$C, TRUE)</f>
        <v>0</v>
      </c>
      <c r="D91" s="51">
        <f>SUMIFS(Raw_Data_Period_new_users!CH:CH, Raw_Data_Period_new_users!$A:$A, "Variant", Raw_Data_Period_new_users!$C:$C, TRUE)</f>
        <v>0</v>
      </c>
      <c r="E91" s="43">
        <f t="shared" si="27"/>
        <v>0</v>
      </c>
      <c r="F91" s="37" t="str">
        <f t="shared" si="28"/>
        <v/>
      </c>
    </row>
    <row r="92" ht="15.75" customHeight="1">
      <c r="A92" s="9"/>
      <c r="B92" s="73" t="s">
        <v>102</v>
      </c>
      <c r="C92" s="51">
        <f>SUMIFS(Raw_Data_Period_new_users!CE:CE, Raw_Data_Period_new_users!$A:$A, "Control", Raw_Data_Period_new_users!$C:$C, TRUE) - SUMIFS(Raw_Data_Period_new_users!CH:CH, Raw_Data_Period_new_users!$A:$A, "Control", Raw_Data_Period_new_users!$C:$C, TRUE)</f>
        <v>0</v>
      </c>
      <c r="D92" s="51">
        <f>SUMIFS(Raw_Data_Period_new_users!CE:CE, Raw_Data_Period_new_users!$A:$A, "Variant", Raw_Data_Period_new_users!$C:$C, TRUE) - SUMIFS(Raw_Data_Period_new_users!CH:CH, Raw_Data_Period_new_users!$A:$A, "Variant", Raw_Data_Period_new_users!$C:$C, TRUE)</f>
        <v>0</v>
      </c>
      <c r="E92" s="60">
        <f t="shared" si="27"/>
        <v>0</v>
      </c>
      <c r="F92" s="37" t="str">
        <f t="shared" si="28"/>
        <v/>
      </c>
    </row>
    <row r="93" ht="15.75" customHeight="1">
      <c r="A93" s="72" t="s">
        <v>103</v>
      </c>
      <c r="B93" s="7"/>
      <c r="C93" s="7"/>
      <c r="D93" s="7"/>
      <c r="E93" s="7"/>
      <c r="F93" s="7"/>
    </row>
    <row r="94" ht="15.75" customHeight="1">
      <c r="A94" s="9"/>
      <c r="B94" s="73" t="s">
        <v>104</v>
      </c>
      <c r="C94" s="51">
        <f>SUMIFS(Raw_Data_Period_new_users!CI:CI, Raw_Data_Period_new_users!$A:$A, "Control", Raw_Data_Period_new_users!$C:$C, TRUE)</f>
        <v>0</v>
      </c>
      <c r="D94" s="51">
        <f>SUMIFS(Raw_Data_Period_new_users!CI:CI, Raw_Data_Period_new_users!$A:$A, "Variant", Raw_Data_Period_new_users!$C:$C, TRUE)</f>
        <v>0</v>
      </c>
      <c r="E94" s="60">
        <f t="shared" ref="E94:E98" si="29">IFERROR(D94-C94,"")</f>
        <v>0</v>
      </c>
      <c r="F94" s="37" t="str">
        <f t="shared" ref="F94:F98" si="30">IFERROR((D94-C94)/ABS(C94),"")</f>
        <v/>
      </c>
    </row>
    <row r="95" ht="15.75" customHeight="1">
      <c r="A95" s="9"/>
      <c r="B95" s="73" t="s">
        <v>105</v>
      </c>
      <c r="C95" s="51">
        <f>SUMIFS(Raw_Data_Period_new_users!CJ:CJ, Raw_Data_Period_new_users!$A:$A, "Control", Raw_Data_Period_new_users!$C:$C, TRUE)</f>
        <v>0</v>
      </c>
      <c r="D95" s="51">
        <f>SUMIFS(Raw_Data_Period_new_users!CJ:CJ, Raw_Data_Period_new_users!$A:$A, "Variant", Raw_Data_Period_new_users!$C:$C, TRUE)</f>
        <v>0</v>
      </c>
      <c r="E95" s="43">
        <f t="shared" si="29"/>
        <v>0</v>
      </c>
      <c r="F95" s="37" t="str">
        <f t="shared" si="30"/>
        <v/>
      </c>
    </row>
    <row r="96" ht="15.75" customHeight="1">
      <c r="A96" s="9"/>
      <c r="B96" s="73" t="s">
        <v>106</v>
      </c>
      <c r="C96" s="51">
        <f>SUMIFS(Raw_Data_Period_new_users!CK:CK, Raw_Data_Period_new_users!$A:$A, "Control", Raw_Data_Period_new_users!$C:$C, TRUE)</f>
        <v>0</v>
      </c>
      <c r="D96" s="51">
        <f>SUMIFS(Raw_Data_Period_new_users!CK:CK, Raw_Data_Period_new_users!$A:$A, "Variant", Raw_Data_Period_new_users!$C:$C, TRUE)</f>
        <v>0</v>
      </c>
      <c r="E96" s="60">
        <f t="shared" si="29"/>
        <v>0</v>
      </c>
      <c r="F96" s="37" t="str">
        <f t="shared" si="30"/>
        <v/>
      </c>
    </row>
    <row r="97" ht="15.75" customHeight="1">
      <c r="A97" s="9"/>
      <c r="B97" s="73" t="s">
        <v>107</v>
      </c>
      <c r="C97" s="51">
        <f>SUMIFS(Raw_Data_Period_new_users!CL:CL, Raw_Data_Period_new_users!$A:$A, "Control", Raw_Data_Period_new_users!$C:$C, TRUE)</f>
        <v>0</v>
      </c>
      <c r="D97" s="51">
        <f>SUMIFS(Raw_Data_Period_new_users!CL:CL, Raw_Data_Period_new_users!$A:$A, "Variant", Raw_Data_Period_new_users!$C:$C, TRUE)</f>
        <v>0</v>
      </c>
      <c r="E97" s="43">
        <f t="shared" si="29"/>
        <v>0</v>
      </c>
      <c r="F97" s="37" t="str">
        <f t="shared" si="30"/>
        <v/>
      </c>
    </row>
    <row r="98" ht="15.75" customHeight="1">
      <c r="A98" s="9"/>
      <c r="B98" s="73" t="s">
        <v>108</v>
      </c>
      <c r="C98" s="51">
        <f>SUMIFS(Raw_Data_Period_new_users!CI:CI, Raw_Data_Period_new_users!$A:$A, "Control", Raw_Data_Period_new_users!$C:$C, TRUE) - SUMIFS(Raw_Data_Period_new_users!CL:CL, Raw_Data_Period_new_users!$A:$A, "Control", Raw_Data_Period_new_users!$C:$C, TRUE)</f>
        <v>0</v>
      </c>
      <c r="D98" s="51">
        <f>SUMIFS(Raw_Data_Period_new_users!CI:CI, Raw_Data_Period_new_users!$A:$A, "Variant", Raw_Data_Period_new_users!$C:$C, TRUE) - SUMIFS(Raw_Data_Period_new_users!CL:CL, Raw_Data_Period_new_users!$A:$A, "Variant", Raw_Data_Period_new_users!$C:$C, TRUE)</f>
        <v>0</v>
      </c>
      <c r="E98" s="60">
        <f t="shared" si="29"/>
        <v>0</v>
      </c>
      <c r="F98" s="37" t="str">
        <f t="shared" si="30"/>
        <v/>
      </c>
    </row>
    <row r="99" ht="15.75" customHeight="1">
      <c r="A99" s="72" t="s">
        <v>109</v>
      </c>
      <c r="B99" s="7"/>
      <c r="C99" s="7"/>
      <c r="D99" s="7"/>
      <c r="E99" s="7"/>
      <c r="F99" s="7"/>
    </row>
    <row r="100" ht="15.75" customHeight="1">
      <c r="A100" s="9"/>
      <c r="B100" s="73" t="s">
        <v>110</v>
      </c>
      <c r="C100" s="51">
        <f>SUMIFS(Raw_Data_Period_new_users!CA:CA, Raw_Data_Period_new_users!$A:$A, "Control", Raw_Data_Period_new_users!$C:$C, TRUE)</f>
        <v>0</v>
      </c>
      <c r="D100" s="51">
        <f>SUMIFS(Raw_Data_Period_new_users!CA:CA, Raw_Data_Period_new_users!$A:$A, "Variant", Raw_Data_Period_new_users!$C:$C, TRUE)</f>
        <v>0</v>
      </c>
      <c r="E100" s="60">
        <f t="shared" ref="E100:E104" si="31">IFERROR(D100-C100,"")</f>
        <v>0</v>
      </c>
      <c r="F100" s="37" t="str">
        <f t="shared" ref="F100:F104" si="32">IFERROR((D100-C100)/ABS(C100),"")</f>
        <v/>
      </c>
    </row>
    <row r="101" ht="15.75" customHeight="1">
      <c r="A101" s="9"/>
      <c r="B101" s="73" t="s">
        <v>111</v>
      </c>
      <c r="C101" s="51">
        <f>SUMIFS(Raw_Data_Period_new_users!CB:CB, Raw_Data_Period_new_users!$A:$A, "Control", Raw_Data_Period_new_users!$C:$C, TRUE)</f>
        <v>0</v>
      </c>
      <c r="D101" s="51">
        <f>SUMIFS(Raw_Data_Period_new_users!CB:CB, Raw_Data_Period_new_users!$A:$A, "Variant", Raw_Data_Period_new_users!$C:$C, TRUE)</f>
        <v>0</v>
      </c>
      <c r="E101" s="43">
        <f t="shared" si="31"/>
        <v>0</v>
      </c>
      <c r="F101" s="37" t="str">
        <f t="shared" si="32"/>
        <v/>
      </c>
    </row>
    <row r="102" ht="15.75" customHeight="1">
      <c r="A102" s="9"/>
      <c r="B102" s="73" t="s">
        <v>112</v>
      </c>
      <c r="C102" s="51">
        <f>SUMIFS(Raw_Data_Period_new_users!CC:CC, Raw_Data_Period_new_users!$A:$A, "Control", Raw_Data_Period_new_users!$C:$C, TRUE)</f>
        <v>0</v>
      </c>
      <c r="D102" s="51">
        <f>SUMIFS(Raw_Data_Period_new_users!CC:CC, Raw_Data_Period_new_users!$A:$A, "Variant", Raw_Data_Period_new_users!$C:$C, TRUE)</f>
        <v>0</v>
      </c>
      <c r="E102" s="60">
        <f t="shared" si="31"/>
        <v>0</v>
      </c>
      <c r="F102" s="37" t="str">
        <f t="shared" si="32"/>
        <v/>
      </c>
    </row>
    <row r="103" ht="15.75" customHeight="1">
      <c r="A103" s="9"/>
      <c r="B103" s="73" t="s">
        <v>113</v>
      </c>
      <c r="C103" s="51">
        <f>SUMIFS(Raw_Data_Period_new_users!CD:CD, Raw_Data_Period_new_users!$A:$A, "Control", Raw_Data_Period_new_users!$C:$C, TRUE)</f>
        <v>0</v>
      </c>
      <c r="D103" s="51">
        <f>SUMIFS(Raw_Data_Period_new_users!CD:CD, Raw_Data_Period_new_users!$A:$A, "Variant", Raw_Data_Period_new_users!$C:$C, TRUE)</f>
        <v>0</v>
      </c>
      <c r="E103" s="43">
        <f t="shared" si="31"/>
        <v>0</v>
      </c>
      <c r="F103" s="37" t="str">
        <f t="shared" si="32"/>
        <v/>
      </c>
    </row>
    <row r="104" ht="15.75" customHeight="1">
      <c r="A104" s="9"/>
      <c r="B104" s="73" t="s">
        <v>114</v>
      </c>
      <c r="C104" s="51">
        <f>SUMIFS(Raw_Data_Period_new_users!CA:CA, Raw_Data_Period_new_users!$A:$A, "Control", Raw_Data_Period_new_users!$C:$C, TRUE) - SUMIFS(Raw_Data_Period_new_users!CD:CD, Raw_Data_Period_new_users!$A:$A, "Control", Raw_Data_Period_new_users!$C:$C, TRUE)</f>
        <v>0</v>
      </c>
      <c r="D104" s="51">
        <f>SUMIFS(Raw_Data_Period_new_users!CA:CA, Raw_Data_Period_new_users!$A:$A, "Variant", Raw_Data_Period_new_users!$C:$C, TRUE) - SUMIFS(Raw_Data_Period_new_users!CD:CD, Raw_Data_Period_new_users!$A:$A, "Variant", Raw_Data_Period_new_users!$C:$C, TRUE)</f>
        <v>0</v>
      </c>
      <c r="E104" s="60">
        <f t="shared" si="31"/>
        <v>0</v>
      </c>
      <c r="F104" s="37" t="str">
        <f t="shared" si="32"/>
        <v/>
      </c>
    </row>
    <row r="105" ht="15.75" customHeight="1">
      <c r="A105" s="72" t="s">
        <v>115</v>
      </c>
      <c r="B105" s="74" t="s">
        <v>116</v>
      </c>
      <c r="C105" s="7"/>
      <c r="D105" s="7"/>
      <c r="E105" s="7"/>
      <c r="F105" s="7"/>
    </row>
    <row r="106" ht="15.75" customHeight="1">
      <c r="A106" s="75" t="s">
        <v>116</v>
      </c>
      <c r="B106" s="73" t="s">
        <v>117</v>
      </c>
      <c r="C106" s="51">
        <f>SUMIFS(Raw_Data_Period_new_users!CM:CM, Raw_Data_Period_new_users!$A:$A, "Control", Raw_Data_Period_new_users!$C:$C, TRUE)</f>
        <v>0</v>
      </c>
      <c r="D106" s="51">
        <f>SUMIFS(Raw_Data_Period_new_users!CM:CM, Raw_Data_Period_new_users!$A:$A, "Variant", Raw_Data_Period_new_users!$C:$C, TRUE)</f>
        <v>0</v>
      </c>
      <c r="E106" s="60">
        <f t="shared" ref="E106:E113" si="33">IFERROR(D106-C106,"")</f>
        <v>0</v>
      </c>
      <c r="F106" s="37" t="str">
        <f t="shared" ref="F106:F113" si="34">IFERROR((D106-C106)/ABS(C106),"")</f>
        <v/>
      </c>
    </row>
    <row r="107" ht="15.75" customHeight="1">
      <c r="A107" s="75" t="s">
        <v>116</v>
      </c>
      <c r="B107" s="73" t="s">
        <v>118</v>
      </c>
      <c r="C107" s="51">
        <f>SUMIFS(Raw_Data_Period_new_users!CN:CN, Raw_Data_Period_new_users!$A:$A, "Control", Raw_Data_Period_new_users!$C:$C, TRUE)</f>
        <v>0</v>
      </c>
      <c r="D107" s="51">
        <f>SUMIFS(Raw_Data_Period_new_users!CN:CN, Raw_Data_Period_new_users!$A:$A, "Variant", Raw_Data_Period_new_users!$C:$C, TRUE)</f>
        <v>0</v>
      </c>
      <c r="E107" s="60">
        <f t="shared" si="33"/>
        <v>0</v>
      </c>
      <c r="F107" s="37" t="str">
        <f t="shared" si="34"/>
        <v/>
      </c>
    </row>
    <row r="108" ht="15.75" customHeight="1">
      <c r="A108" s="75" t="s">
        <v>116</v>
      </c>
      <c r="B108" s="73" t="s">
        <v>119</v>
      </c>
      <c r="C108" s="51">
        <f>SUMIFS(Raw_Data_Period_new_users!CO:CO, Raw_Data_Period_new_users!$A:$A, "Control", Raw_Data_Period_new_users!$C:$C, TRUE)</f>
        <v>0</v>
      </c>
      <c r="D108" s="51">
        <f>SUMIFS(Raw_Data_Period_new_users!CO:CO, Raw_Data_Period_new_users!$A:$A, "Variant", Raw_Data_Period_new_users!$C:$C, TRUE)</f>
        <v>0</v>
      </c>
      <c r="E108" s="60">
        <f t="shared" si="33"/>
        <v>0</v>
      </c>
      <c r="F108" s="37" t="str">
        <f t="shared" si="34"/>
        <v/>
      </c>
    </row>
    <row r="109" ht="15.75" customHeight="1">
      <c r="A109" s="75" t="s">
        <v>116</v>
      </c>
      <c r="B109" s="73" t="s">
        <v>120</v>
      </c>
      <c r="C109" s="51">
        <f>SUMIFS(Raw_Data_Period_new_users!CP:CP, Raw_Data_Period_new_users!$A:$A, "Control", Raw_Data_Period_new_users!$C:$C, TRUE)</f>
        <v>0</v>
      </c>
      <c r="D109" s="51">
        <f>SUMIFS(Raw_Data_Period_new_users!CP:CP, Raw_Data_Period_new_users!$A:$A, "Variant", Raw_Data_Period_new_users!$C:$C, TRUE)</f>
        <v>0</v>
      </c>
      <c r="E109" s="60">
        <f t="shared" si="33"/>
        <v>0</v>
      </c>
      <c r="F109" s="37" t="str">
        <f t="shared" si="34"/>
        <v/>
      </c>
    </row>
    <row r="110" ht="15.75" customHeight="1">
      <c r="A110" s="75" t="s">
        <v>116</v>
      </c>
      <c r="B110" s="73" t="s">
        <v>121</v>
      </c>
      <c r="C110" s="51">
        <f>SUMIFS(Raw_Data_Period_new_users!CQ:CQ, Raw_Data_Period_new_users!$A:$A, "Control", Raw_Data_Period_new_users!$C:$C, TRUE)</f>
        <v>0</v>
      </c>
      <c r="D110" s="51">
        <f>SUMIFS(Raw_Data_Period_new_users!CQ:CQ, Raw_Data_Period_new_users!$A:$A, "Variant", Raw_Data_Period_new_users!$C:$C, TRUE)</f>
        <v>0</v>
      </c>
      <c r="E110" s="60">
        <f t="shared" si="33"/>
        <v>0</v>
      </c>
      <c r="F110" s="37" t="str">
        <f t="shared" si="34"/>
        <v/>
      </c>
    </row>
    <row r="111" ht="15.75" customHeight="1">
      <c r="A111" s="75" t="s">
        <v>116</v>
      </c>
      <c r="B111" s="73" t="s">
        <v>122</v>
      </c>
      <c r="C111" s="51">
        <f>SUMIFS(Raw_Data_Period_new_users!CR:CR, Raw_Data_Period_new_users!$A:$A, "Control", Raw_Data_Period_new_users!$C:$C, TRUE)</f>
        <v>0</v>
      </c>
      <c r="D111" s="51">
        <f>SUMIFS(Raw_Data_Period_new_users!CR:CR, Raw_Data_Period_new_users!$A:$A, "Variant", Raw_Data_Period_new_users!$C:$C, TRUE)</f>
        <v>0</v>
      </c>
      <c r="E111" s="60">
        <f t="shared" si="33"/>
        <v>0</v>
      </c>
      <c r="F111" s="37" t="str">
        <f t="shared" si="34"/>
        <v/>
      </c>
    </row>
    <row r="112" ht="15.75" customHeight="1">
      <c r="A112" s="75" t="s">
        <v>116</v>
      </c>
      <c r="B112" s="73" t="s">
        <v>123</v>
      </c>
      <c r="C112" s="51">
        <f>SUMIFS(Raw_Data_Period_new_users!CS:CS, Raw_Data_Period_new_users!$A:$A, "Control", Raw_Data_Period_new_users!$C:$C, TRUE)</f>
        <v>0</v>
      </c>
      <c r="D112" s="51">
        <f>SUMIFS(Raw_Data_Period_new_users!CS:CS, Raw_Data_Period_new_users!$A:$A, "Variant", Raw_Data_Period_new_users!$C:$C, TRUE)</f>
        <v>0</v>
      </c>
      <c r="E112" s="60">
        <f t="shared" si="33"/>
        <v>0</v>
      </c>
      <c r="F112" s="37" t="str">
        <f t="shared" si="34"/>
        <v/>
      </c>
    </row>
    <row r="113" ht="15.75" customHeight="1">
      <c r="A113" s="75" t="s">
        <v>116</v>
      </c>
      <c r="B113" s="73" t="s">
        <v>124</v>
      </c>
      <c r="C113" s="51">
        <f>SUMIFS(Raw_Data_Period_new_users!CT:CT, Raw_Data_Period_new_users!$A:$A, "Control", Raw_Data_Period_new_users!$C:$C, TRUE)</f>
        <v>0</v>
      </c>
      <c r="D113" s="51">
        <f>SUMIFS(Raw_Data_Period_new_users!CT:CT, Raw_Data_Period_new_users!$A:$A, "Variant", Raw_Data_Period_new_users!$C:$C, TRUE)</f>
        <v>0</v>
      </c>
      <c r="E113" s="60">
        <f t="shared" si="33"/>
        <v>0</v>
      </c>
      <c r="F113" s="37" t="str">
        <f t="shared" si="34"/>
        <v/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</sheetData>
  <mergeCells count="1">
    <mergeCell ref="A1:F1"/>
  </mergeCells>
  <conditionalFormatting sqref="E23:F25 E27:F29 E31:F31 E33:F33 E37:F38 E41:F41 E43:F46 E55:F55 E62:F62 E64:F64 E66:F66 E70:F70 E72:F72 E74:F74 E76:F76 E78:F78 E80:F80 E82:F82 E84:F84 E86:F86 E88:F88 E90:F90 E92:F92 E94:F94 E96:F96 E98:F98 E100:F100 E102:F102 E104:F104 E106:F113">
    <cfRule type="cellIs" dxfId="0" priority="1" stopIfTrue="1" operator="lessThan">
      <formula>0</formula>
    </cfRule>
  </conditionalFormatting>
  <conditionalFormatting sqref="E23:F25 E27:F29 E31:F31 E33:F33 E37:F38 E41:F41 E43:F46 E55:F55 E62:F62 E64:F64 E66:F66 E70:F70 E72:F72 E74:F74 E76:F76 E78:F78 E80:F80 E82:F82 E84:F84 E86:F86 E88:F88 E90:F90 E92:F92 E94:F94 E96:F96 E98:F98 E100:F100 E102:F102 E104:F104 E106:F113">
    <cfRule type="cellIs" dxfId="1" priority="2" stopIfTrue="1" operator="greaterThan">
      <formula>0</formula>
    </cfRule>
  </conditionalFormatting>
  <conditionalFormatting sqref="E5:F5 E7:F9 E11:F13 E15:F20 E22:F22 E30:F30 E32:F32 E34:F35 E39:F40 E48:F49 E51:F53 E63:F63 E65:F65 E67:F67 E71:F71 E73:F73 E77:F77 E79:F79 E83:F83 E85:F85 E89:F89 E91:F91 E95:F95 E97:F97 E101:F101 E103:F103">
    <cfRule type="cellIs" dxfId="1" priority="3" stopIfTrue="1" operator="lessThan">
      <formula>0</formula>
    </cfRule>
  </conditionalFormatting>
  <conditionalFormatting sqref="E5:F5 E7:F9 E11:F13 E15:F20 E22:F22 E30:F30 E32:F32 E34:F35 E39:F40 E48:F49 E51:F53 E63:F63 E65:F65 E67:F67 E71:F71 E73:F73 E77:F77 E79:F79 E83:F83 E85:F85 E89:F89 E91:F91 E95:F95 E97:F97 E101:F101 E103:F103">
    <cfRule type="cellIs" dxfId="0" priority="4" stopIfTrue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32.0"/>
    <col customWidth="1" min="3" max="4" width="16.0"/>
    <col customWidth="1" min="5" max="5" width="14.0"/>
    <col customWidth="1" min="6" max="6" width="12.0"/>
  </cols>
  <sheetData>
    <row r="1">
      <c r="A1" s="1" t="s">
        <v>0</v>
      </c>
    </row>
    <row r="3" ht="21.7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>
      <c r="A4" s="6" t="s">
        <v>8</v>
      </c>
      <c r="B4" s="7"/>
      <c r="C4" s="7"/>
      <c r="D4" s="7"/>
      <c r="E4" s="7"/>
      <c r="F4" s="7"/>
    </row>
    <row r="5">
      <c r="A5" s="9"/>
      <c r="B5" s="10" t="s">
        <v>9</v>
      </c>
      <c r="C5" s="18">
        <f>SUMIFS(Raw_Data_Period_old_users!D:D, Raw_Data_Period_old_users!$A:$A, "Control", Raw_Data_Period_old_users!$C:$C, TRUE)</f>
        <v>0</v>
      </c>
      <c r="D5" s="18">
        <f>SUMIFS(Raw_Data_Period_old_users!D:D, Raw_Data_Period_old_users!$A:$A, "Variant", Raw_Data_Period_old_users!$C:$C, TRUE)</f>
        <v>0</v>
      </c>
      <c r="E5" s="26">
        <f>IFERROR(D5-C5,"")</f>
        <v>0</v>
      </c>
      <c r="F5" s="29" t="str">
        <f>IFERROR((D5-C5)/ABS(C5),"")</f>
        <v/>
      </c>
    </row>
    <row r="6">
      <c r="A6" s="6" t="s">
        <v>16</v>
      </c>
      <c r="B6" s="7"/>
      <c r="C6" s="7"/>
      <c r="D6" s="7"/>
      <c r="E6" s="7"/>
      <c r="F6" s="7"/>
    </row>
    <row r="7">
      <c r="A7" s="9"/>
      <c r="B7" s="10" t="s">
        <v>17</v>
      </c>
      <c r="C7" s="34">
        <f>SUMIFS(Raw_Data_Period_old_users!F:F, Raw_Data_Period_old_users!$A:$A, "Control", Raw_Data_Period_old_users!$C:$C, TRUE)</f>
        <v>0</v>
      </c>
      <c r="D7" s="34">
        <f>SUMIFS(Raw_Data_Period_old_users!F:F, Raw_Data_Period_old_users!$A:$A, "Variant", Raw_Data_Period_old_users!$C:$C, TRUE)</f>
        <v>0</v>
      </c>
      <c r="E7" s="36">
        <f t="shared" ref="E7:E9" si="1">IFERROR(D7-C7,"")</f>
        <v>0</v>
      </c>
      <c r="F7" s="37" t="str">
        <f t="shared" ref="F7:F9" si="2">IFERROR((D7-C7)/ABS(C7),"")</f>
        <v/>
      </c>
    </row>
    <row r="8">
      <c r="A8" s="9"/>
      <c r="B8" s="10" t="s">
        <v>18</v>
      </c>
      <c r="C8" s="39">
        <f>SUMIFS(Raw_Data_Period_old_users!G:G, Raw_Data_Period_old_users!$A:$A, "Control", Raw_Data_Period_old_users!$C:$C, TRUE)</f>
        <v>0</v>
      </c>
      <c r="D8" s="39">
        <f>SUMIFS(Raw_Data_Period_old_users!G:G, Raw_Data_Period_old_users!$A:$A, "Variant", Raw_Data_Period_old_users!$C:$C, TRUE)</f>
        <v>0</v>
      </c>
      <c r="E8" s="36">
        <f t="shared" si="1"/>
        <v>0</v>
      </c>
      <c r="F8" s="37" t="str">
        <f t="shared" si="2"/>
        <v/>
      </c>
    </row>
    <row r="9">
      <c r="A9" s="9"/>
      <c r="B9" s="10" t="s">
        <v>19</v>
      </c>
      <c r="C9" s="39">
        <f>SUMIFS(Raw_Data_Period_old_users!I:I, Raw_Data_Period_old_users!$A:$A, "Control", Raw_Data_Period_old_users!$C:$C, TRUE)</f>
        <v>0</v>
      </c>
      <c r="D9" s="39">
        <f>SUMIFS(Raw_Data_Period_old_users!I:I, Raw_Data_Period_old_users!$A:$A, "Variant", Raw_Data_Period_old_users!$C:$C, TRUE)</f>
        <v>0</v>
      </c>
      <c r="E9" s="36">
        <f t="shared" si="1"/>
        <v>0</v>
      </c>
      <c r="F9" s="37" t="str">
        <f t="shared" si="2"/>
        <v/>
      </c>
    </row>
    <row r="10">
      <c r="A10" s="6" t="s">
        <v>20</v>
      </c>
      <c r="B10" s="7"/>
      <c r="C10" s="7"/>
      <c r="D10" s="7"/>
      <c r="E10" s="7"/>
      <c r="F10" s="7"/>
    </row>
    <row r="11">
      <c r="A11" s="9"/>
      <c r="B11" s="10" t="s">
        <v>21</v>
      </c>
      <c r="C11" s="42">
        <f>SUMIFS(Raw_Data_Period_old_users!J:J, Raw_Data_Period_old_users!$A:$A, "Control", Raw_Data_Period_old_users!$C:$C, TRUE)</f>
        <v>0</v>
      </c>
      <c r="D11" s="42">
        <f>SUMIFS(Raw_Data_Period_old_users!J:J, Raw_Data_Period_old_users!$A:$A, "Variant", Raw_Data_Period_old_users!$C:$C, TRUE)</f>
        <v>0</v>
      </c>
      <c r="E11" s="43">
        <f t="shared" ref="E11:E13" si="3">IFERROR(D11-C11,"")</f>
        <v>0</v>
      </c>
      <c r="F11" s="44" t="str">
        <f t="shared" ref="F11:F13" si="4">IFERROR((D11-C11)/ABS(C11),"")</f>
        <v/>
      </c>
    </row>
    <row r="12">
      <c r="A12" s="9"/>
      <c r="B12" s="10" t="s">
        <v>22</v>
      </c>
      <c r="C12" s="42">
        <f>SUMIFS(Raw_Data_Period_old_users!K:K, Raw_Data_Period_old_users!$A:$A, "Control", Raw_Data_Period_old_users!$C:$C, TRUE)</f>
        <v>0</v>
      </c>
      <c r="D12" s="42">
        <f>SUMIFS(Raw_Data_Period_old_users!K:K, Raw_Data_Period_old_users!$A:$A, "Variant", Raw_Data_Period_old_users!$C:$C, TRUE)</f>
        <v>0</v>
      </c>
      <c r="E12" s="43">
        <f t="shared" si="3"/>
        <v>0</v>
      </c>
      <c r="F12" s="44" t="str">
        <f t="shared" si="4"/>
        <v/>
      </c>
    </row>
    <row r="13">
      <c r="A13" s="9"/>
      <c r="B13" s="10" t="s">
        <v>23</v>
      </c>
      <c r="C13" s="42">
        <f>SUMIFS(Raw_Data_Period_old_users!L:L, Raw_Data_Period_old_users!$A:$A, "Control", Raw_Data_Period_old_users!$C:$C, TRUE)</f>
        <v>0</v>
      </c>
      <c r="D13" s="42">
        <f>SUMIFS(Raw_Data_Period_old_users!L:L, Raw_Data_Period_old_users!$A:$A, "Variant", Raw_Data_Period_old_users!$C:$C, TRUE)</f>
        <v>0</v>
      </c>
      <c r="E13" s="43">
        <f t="shared" si="3"/>
        <v>0</v>
      </c>
      <c r="F13" s="44" t="str">
        <f t="shared" si="4"/>
        <v/>
      </c>
    </row>
    <row r="14" ht="15.75" customHeight="1">
      <c r="A14" s="6" t="s">
        <v>24</v>
      </c>
      <c r="B14" s="7"/>
      <c r="C14" s="7"/>
      <c r="D14" s="7"/>
      <c r="E14" s="7"/>
      <c r="F14" s="7"/>
    </row>
    <row r="15" ht="15.75" customHeight="1">
      <c r="A15" s="9"/>
      <c r="B15" s="10" t="s">
        <v>25</v>
      </c>
      <c r="C15" s="42">
        <f>SUMIFS(Raw_Data_Period_old_users!AD:AD, Raw_Data_Period_old_users!$A:$A, "Control", Raw_Data_Period_old_users!$C:$C, TRUE)</f>
        <v>0</v>
      </c>
      <c r="D15" s="42">
        <f>SUMIFS(Raw_Data_Period_old_users!AD:AD, Raw_Data_Period_old_users!$A:$A, "Variant", Raw_Data_Period_old_users!$C:$C, TRUE)</f>
        <v>0</v>
      </c>
      <c r="E15" s="43">
        <f t="shared" ref="E15:E20" si="5">IFERROR(D15-C15,"")</f>
        <v>0</v>
      </c>
      <c r="F15" s="44" t="str">
        <f t="shared" ref="F15:F20" si="6">IFERROR((D15-C15)/ABS(C15),"")</f>
        <v/>
      </c>
    </row>
    <row r="16" ht="15.75" customHeight="1">
      <c r="A16" s="9"/>
      <c r="B16" s="10" t="s">
        <v>26</v>
      </c>
      <c r="C16" s="42">
        <f>SUMIFS(Raw_Data_Period_old_users!AE:AE, Raw_Data_Period_old_users!$A:$A, "Control", Raw_Data_Period_old_users!$C:$C, TRUE)</f>
        <v>0</v>
      </c>
      <c r="D16" s="42">
        <f>SUMIFS(Raw_Data_Period_old_users!AE:AE, Raw_Data_Period_old_users!$A:$A, "Variant", Raw_Data_Period_old_users!$C:$C, TRUE)</f>
        <v>0</v>
      </c>
      <c r="E16" s="43">
        <f t="shared" si="5"/>
        <v>0</v>
      </c>
      <c r="F16" s="44" t="str">
        <f t="shared" si="6"/>
        <v/>
      </c>
    </row>
    <row r="17" ht="15.75" customHeight="1">
      <c r="A17" s="9"/>
      <c r="B17" s="10" t="s">
        <v>27</v>
      </c>
      <c r="C17" s="42">
        <f>SUMIFS(Raw_Data_Period_old_users!AF:AF, Raw_Data_Period_old_users!$A:$A, "Control", Raw_Data_Period_old_users!$C:$C, TRUE)</f>
        <v>0</v>
      </c>
      <c r="D17" s="42">
        <f>SUMIFS(Raw_Data_Period_old_users!AF:AF, Raw_Data_Period_old_users!$A:$A, "Variant", Raw_Data_Period_old_users!$C:$C, TRUE)</f>
        <v>0</v>
      </c>
      <c r="E17" s="43">
        <f t="shared" si="5"/>
        <v>0</v>
      </c>
      <c r="F17" s="44" t="str">
        <f t="shared" si="6"/>
        <v/>
      </c>
    </row>
    <row r="18" ht="15.75" customHeight="1">
      <c r="A18" s="9"/>
      <c r="B18" s="10" t="s">
        <v>28</v>
      </c>
      <c r="C18" s="42">
        <f>SUMIFS(Raw_Data_Period_old_users!AG:AG, Raw_Data_Period_old_users!$A:$A, "Control", Raw_Data_Period_old_users!$C:$C, TRUE)</f>
        <v>0</v>
      </c>
      <c r="D18" s="42">
        <f>SUMIFS(Raw_Data_Period_old_users!AG:AG, Raw_Data_Period_old_users!$A:$A, "Variant", Raw_Data_Period_old_users!$C:$C, TRUE)</f>
        <v>0</v>
      </c>
      <c r="E18" s="43">
        <f t="shared" si="5"/>
        <v>0</v>
      </c>
      <c r="F18" s="44" t="str">
        <f t="shared" si="6"/>
        <v/>
      </c>
    </row>
    <row r="19" ht="15.75" customHeight="1">
      <c r="A19" s="9"/>
      <c r="B19" s="10" t="s">
        <v>29</v>
      </c>
      <c r="C19" s="42">
        <f>SUMIFS(Raw_Data_Period_old_users!AH:AH, Raw_Data_Period_old_users!$A:$A, "Control", Raw_Data_Period_old_users!$C:$C, TRUE)</f>
        <v>0</v>
      </c>
      <c r="D19" s="42">
        <f>SUMIFS(Raw_Data_Period_old_users!AH:AH, Raw_Data_Period_old_users!$A:$A, "Variant", Raw_Data_Period_old_users!$C:$C, TRUE)</f>
        <v>0</v>
      </c>
      <c r="E19" s="43">
        <f t="shared" si="5"/>
        <v>0</v>
      </c>
      <c r="F19" s="44" t="str">
        <f t="shared" si="6"/>
        <v/>
      </c>
    </row>
    <row r="20" ht="15.75" customHeight="1">
      <c r="A20" s="9"/>
      <c r="B20" s="49" t="s">
        <v>30</v>
      </c>
      <c r="C20" s="42">
        <f>SUMIFS(Raw_Data_Period_old_users!BC:BC, Raw_Data_Period_old_users!$A:$A, "Control", Raw_Data_Period_old_users!$C:$C, TRUE)</f>
        <v>0</v>
      </c>
      <c r="D20" s="42">
        <f>SUMIFS(Raw_Data_Period_old_users!BC:BC, Raw_Data_Period_old_users!$A:$A, "Variant", Raw_Data_Period_old_users!$C:$C, TRUE)</f>
        <v>0</v>
      </c>
      <c r="E20" s="43">
        <f t="shared" si="5"/>
        <v>0</v>
      </c>
      <c r="F20" s="44" t="str">
        <f t="shared" si="6"/>
        <v/>
      </c>
    </row>
    <row r="21">
      <c r="A21" s="6" t="s">
        <v>31</v>
      </c>
      <c r="B21" s="7"/>
      <c r="C21" s="7"/>
      <c r="D21" s="7"/>
      <c r="E21" s="7"/>
      <c r="F21" s="7"/>
    </row>
    <row r="22" ht="15.75" customHeight="1">
      <c r="A22" s="9"/>
      <c r="B22" s="10" t="s">
        <v>32</v>
      </c>
      <c r="C22" s="51">
        <f>SUMIFS(Raw_Data_Period_old_users!M:M, Raw_Data_Period_old_users!$A:$A, "Control", Raw_Data_Period_old_users!$C:$C, TRUE)</f>
        <v>0</v>
      </c>
      <c r="D22" s="51">
        <f>SUMIFS(Raw_Data_Period_old_users!M:M, Raw_Data_Period_old_users!$A:$A, "Variant", Raw_Data_Period_old_users!$C:$C, TRUE)</f>
        <v>0</v>
      </c>
      <c r="E22" s="52">
        <f t="shared" ref="E22:E25" si="7">IFERROR(D22-C22,"")</f>
        <v>0</v>
      </c>
      <c r="F22" s="29" t="str">
        <f t="shared" ref="F22:F25" si="8">IFERROR((D22-C22)/ABS(C22),"")</f>
        <v/>
      </c>
    </row>
    <row r="23" ht="15.75" customHeight="1">
      <c r="A23" s="9"/>
      <c r="B23" s="10" t="s">
        <v>33</v>
      </c>
      <c r="C23" s="51">
        <f>SUMIFS(Raw_Data_Period_old_users!N:N, Raw_Data_Period_old_users!$A:$A, "Control", Raw_Data_Period_old_users!$C:$C, TRUE)</f>
        <v>0</v>
      </c>
      <c r="D23" s="51">
        <f>SUMIFS(Raw_Data_Period_old_users!N:N, Raw_Data_Period_old_users!$A:$A, "Variant", Raw_Data_Period_old_users!$C:$C, TRUE)</f>
        <v>0</v>
      </c>
      <c r="E23" s="52">
        <f t="shared" si="7"/>
        <v>0</v>
      </c>
      <c r="F23" s="29" t="str">
        <f t="shared" si="8"/>
        <v/>
      </c>
    </row>
    <row r="24" ht="15.75" customHeight="1">
      <c r="A24" s="9"/>
      <c r="B24" s="10" t="s">
        <v>34</v>
      </c>
      <c r="C24" s="51">
        <f>SUMIFS(Raw_Data_Period_old_users!O:O, Raw_Data_Period_old_users!$A:$A, "Control", Raw_Data_Period_old_users!$C:$C, TRUE)</f>
        <v>0</v>
      </c>
      <c r="D24" s="51">
        <f>SUMIFS(Raw_Data_Period_old_users!O:O, Raw_Data_Period_old_users!$A:$A, "Variant", Raw_Data_Period_old_users!$C:$C, TRUE)</f>
        <v>0</v>
      </c>
      <c r="E24" s="52">
        <f t="shared" si="7"/>
        <v>0</v>
      </c>
      <c r="F24" s="29" t="str">
        <f t="shared" si="8"/>
        <v/>
      </c>
    </row>
    <row r="25" ht="15.75" customHeight="1">
      <c r="A25" s="9"/>
      <c r="B25" s="10" t="s">
        <v>35</v>
      </c>
      <c r="C25" s="42">
        <f>SUMIFS(Raw_Data_Period_old_users!P:P, Raw_Data_Period_old_users!$A:$A, "Control", Raw_Data_Period_old_users!$C:$C, TRUE)</f>
        <v>0</v>
      </c>
      <c r="D25" s="42">
        <f>SUMIFS(Raw_Data_Period_old_users!P:P, Raw_Data_Period_old_users!$A:$A, "Variant", Raw_Data_Period_old_users!$C:$C, TRUE)</f>
        <v>0</v>
      </c>
      <c r="E25" s="57">
        <f t="shared" si="7"/>
        <v>0</v>
      </c>
      <c r="F25" s="29" t="str">
        <f t="shared" si="8"/>
        <v/>
      </c>
    </row>
    <row r="26" ht="15.75" customHeight="1">
      <c r="A26" s="6" t="s">
        <v>36</v>
      </c>
      <c r="B26" s="7"/>
      <c r="C26" s="7"/>
      <c r="D26" s="7"/>
      <c r="E26" s="7"/>
      <c r="F26" s="7"/>
    </row>
    <row r="27" ht="15.75" customHeight="1">
      <c r="A27" s="9"/>
      <c r="B27" s="58" t="s">
        <v>37</v>
      </c>
      <c r="C27" s="42">
        <f>SUMIFS(Raw_Data_Period_old_users!Q:Q, Raw_Data_Period_old_users!$A:$A, "Control", Raw_Data_Period_old_users!$C:$C, TRUE)</f>
        <v>0</v>
      </c>
      <c r="D27" s="42">
        <f>SUMIFS(Raw_Data_Period_old_users!Q:Q, Raw_Data_Period_old_users!$A:$A, "Variant", Raw_Data_Period_old_users!$C:$C, TRUE)</f>
        <v>0</v>
      </c>
      <c r="E27" s="59">
        <f t="shared" ref="E27:E35" si="9">IFERROR(D27-C27,"")</f>
        <v>0</v>
      </c>
      <c r="F27" s="37" t="str">
        <f t="shared" ref="F27:F35" si="10">IFERROR((D27-C27)/ABS(C27),"")</f>
        <v/>
      </c>
    </row>
    <row r="28" ht="15.75" customHeight="1">
      <c r="A28" s="9"/>
      <c r="B28" s="10" t="s">
        <v>38</v>
      </c>
      <c r="C28" s="42">
        <f>SUMIFS(Raw_Data_Period_old_users!R:R, Raw_Data_Period_old_users!$A:$A, "Control", Raw_Data_Period_old_users!$C:$C, TRUE)</f>
        <v>0</v>
      </c>
      <c r="D28" s="42">
        <f>SUMIFS(Raw_Data_Period_old_users!R:R, Raw_Data_Period_old_users!$A:$A, "Variant", Raw_Data_Period_old_users!$C:$C, TRUE)</f>
        <v>0</v>
      </c>
      <c r="E28" s="57">
        <f t="shared" si="9"/>
        <v>0</v>
      </c>
      <c r="F28" s="29" t="str">
        <f t="shared" si="10"/>
        <v/>
      </c>
    </row>
    <row r="29" ht="15.75" customHeight="1">
      <c r="A29" s="9"/>
      <c r="B29" s="10" t="s">
        <v>39</v>
      </c>
      <c r="C29" s="42">
        <f>SUMIFS(Raw_Data_Period_old_users!S:S, Raw_Data_Period_old_users!$A:$A, "Control", Raw_Data_Period_old_users!$C:$C, TRUE)</f>
        <v>0</v>
      </c>
      <c r="D29" s="42">
        <f>SUMIFS(Raw_Data_Period_old_users!S:S, Raw_Data_Period_old_users!$A:$A, "Variant", Raw_Data_Period_old_users!$C:$C, TRUE)</f>
        <v>0</v>
      </c>
      <c r="E29" s="57">
        <f t="shared" si="9"/>
        <v>0</v>
      </c>
      <c r="F29" s="29" t="str">
        <f t="shared" si="10"/>
        <v/>
      </c>
    </row>
    <row r="30" ht="15.75" customHeight="1">
      <c r="A30" s="9"/>
      <c r="B30" s="58" t="s">
        <v>40</v>
      </c>
      <c r="C30" s="42">
        <f>SUMIFS(Raw_Data_Period_old_users!T:T, Raw_Data_Period_old_users!$A:$A, "Control", Raw_Data_Period_old_users!$C:$C, TRUE)</f>
        <v>0</v>
      </c>
      <c r="D30" s="42">
        <f>SUMIFS(Raw_Data_Period_old_users!T:T, Raw_Data_Period_old_users!$A:$A, "Variant", Raw_Data_Period_old_users!$C:$C, TRUE)</f>
        <v>0</v>
      </c>
      <c r="E30" s="43">
        <f t="shared" si="9"/>
        <v>0</v>
      </c>
      <c r="F30" s="37" t="str">
        <f t="shared" si="10"/>
        <v/>
      </c>
    </row>
    <row r="31" ht="15.75" customHeight="1">
      <c r="A31" s="9"/>
      <c r="B31" s="58" t="s">
        <v>41</v>
      </c>
      <c r="C31" s="42">
        <f>SUMIFS(Raw_Data_Period_old_users!U:U, Raw_Data_Period_old_users!$A:$A, "Control", Raw_Data_Period_old_users!$C:$C, TRUE)</f>
        <v>0</v>
      </c>
      <c r="D31" s="42">
        <f>SUMIFS(Raw_Data_Period_old_users!U:U, Raw_Data_Period_old_users!$A:$A, "Variant", Raw_Data_Period_old_users!$C:$C, TRUE)</f>
        <v>0</v>
      </c>
      <c r="E31" s="43">
        <f t="shared" si="9"/>
        <v>0</v>
      </c>
      <c r="F31" s="37" t="str">
        <f t="shared" si="10"/>
        <v/>
      </c>
    </row>
    <row r="32" ht="15.75" customHeight="1">
      <c r="A32" s="9"/>
      <c r="B32" s="58" t="s">
        <v>42</v>
      </c>
      <c r="C32" s="42">
        <f>SUMIFS(Raw_Data_Period_old_users!V:V, Raw_Data_Period_old_users!$A:$A, "Control", Raw_Data_Period_old_users!$C:$C, TRUE)</f>
        <v>0</v>
      </c>
      <c r="D32" s="42">
        <f>SUMIFS(Raw_Data_Period_old_users!V:V, Raw_Data_Period_old_users!$A:$A, "Variant", Raw_Data_Period_old_users!$C:$C, TRUE)</f>
        <v>0</v>
      </c>
      <c r="E32" s="60">
        <f t="shared" si="9"/>
        <v>0</v>
      </c>
      <c r="F32" s="44" t="str">
        <f t="shared" si="10"/>
        <v/>
      </c>
    </row>
    <row r="33" ht="15.75" customHeight="1">
      <c r="A33" s="9"/>
      <c r="B33" s="58" t="s">
        <v>44</v>
      </c>
      <c r="C33" s="42">
        <f>SUMIFS(Raw_Data_Period_old_users!Q:Q, Raw_Data_Period_old_users!$A:$A, "Control", Raw_Data_Period_old_users!$C:$C, TRUE) - SUMIFS(Raw_Data_Period_old_users!V:V, Raw_Data_Period_old_users!$A:$A, "Control", Raw_Data_Period_old_users!$C:$C, TRUE)</f>
        <v>0</v>
      </c>
      <c r="D33" s="42">
        <f>SUMIFS(Raw_Data_Period_old_users!Q:Q, Raw_Data_Period_old_users!$A:$A, "Variant", Raw_Data_Period_old_users!$C:$C, TRUE) - SUMIFS(Raw_Data_Period_old_users!V:V, Raw_Data_Period_old_users!$A:$A, "Variant", Raw_Data_Period_old_users!$C:$C, TRUE)</f>
        <v>0</v>
      </c>
      <c r="E33" s="43">
        <f t="shared" si="9"/>
        <v>0</v>
      </c>
      <c r="F33" s="37" t="str">
        <f t="shared" si="10"/>
        <v/>
      </c>
    </row>
    <row r="34" ht="15.75" customHeight="1">
      <c r="A34" s="9"/>
      <c r="B34" s="10" t="s">
        <v>45</v>
      </c>
      <c r="C34" s="42">
        <f>SUMIFS(Raw_Data_Period_old_users!W:W, Raw_Data_Period_old_users!$A:$A, "Control", Raw_Data_Period_old_users!$C:$C, TRUE)</f>
        <v>0</v>
      </c>
      <c r="D34" s="42">
        <f>SUMIFS(Raw_Data_Period_old_users!W:W, Raw_Data_Period_old_users!$A:$A, "Variant", Raw_Data_Period_old_users!$C:$C, TRUE)</f>
        <v>0</v>
      </c>
      <c r="E34" s="60">
        <f t="shared" si="9"/>
        <v>0</v>
      </c>
      <c r="F34" s="44" t="str">
        <f t="shared" si="10"/>
        <v/>
      </c>
    </row>
    <row r="35" ht="15.75" customHeight="1">
      <c r="A35" s="9"/>
      <c r="B35" s="10" t="s">
        <v>46</v>
      </c>
      <c r="C35" s="51">
        <f>SUMIFS(Raw_Data_Period_old_users!X:X, Raw_Data_Period_old_users!$A:$A, "Control", Raw_Data_Period_old_users!$C:$C, TRUE)</f>
        <v>0</v>
      </c>
      <c r="D35" s="51">
        <f>SUMIFS(Raw_Data_Period_old_users!X:X, Raw_Data_Period_old_users!$A:$A, "Variant", Raw_Data_Period_old_users!$C:$C, TRUE)</f>
        <v>0</v>
      </c>
      <c r="E35" s="43">
        <f t="shared" si="9"/>
        <v>0</v>
      </c>
      <c r="F35" s="37" t="str">
        <f t="shared" si="10"/>
        <v/>
      </c>
    </row>
    <row r="36" ht="15.75" customHeight="1">
      <c r="A36" s="6" t="s">
        <v>47</v>
      </c>
      <c r="B36" s="7"/>
      <c r="C36" s="7"/>
      <c r="D36" s="7"/>
      <c r="E36" s="7"/>
      <c r="F36" s="7"/>
    </row>
    <row r="37" ht="15.75" customHeight="1">
      <c r="A37" s="9"/>
      <c r="B37" s="64" t="s">
        <v>48</v>
      </c>
      <c r="C37" s="42">
        <f>SUMIFS(Raw_Data_Period_old_users!AX:AX, Raw_Data_Period_old_users!$A:$A, "Control", Raw_Data_Period_old_users!$C:$C, TRUE)</f>
        <v>0</v>
      </c>
      <c r="D37" s="42">
        <f>SUMIFS(Raw_Data_Period_old_users!AX:AX, Raw_Data_Period_old_users!$A:$A, "Variant", Raw_Data_Period_old_users!$C:$C, TRUE)</f>
        <v>0</v>
      </c>
      <c r="E37" s="52">
        <f t="shared" ref="E37:E41" si="11">IFERROR(D37-C37,"")</f>
        <v>0</v>
      </c>
      <c r="F37" s="29" t="str">
        <f t="shared" ref="F37:F41" si="12">IFERROR((D37-C37)/ABS(C37),"")</f>
        <v/>
      </c>
    </row>
    <row r="38" ht="15.75" customHeight="1">
      <c r="A38" s="9"/>
      <c r="B38" s="64" t="s">
        <v>49</v>
      </c>
      <c r="C38" s="42">
        <f>SUMIFS(Raw_Data_Period_old_users!AY:AY, Raw_Data_Period_old_users!$A:$A, "Control", Raw_Data_Period_old_users!$C:$C, TRUE)</f>
        <v>0</v>
      </c>
      <c r="D38" s="42">
        <f>SUMIFS(Raw_Data_Period_old_users!AY:AY, Raw_Data_Period_old_users!$A:$A, "Variant", Raw_Data_Period_old_users!$C:$C, TRUE)</f>
        <v>0</v>
      </c>
      <c r="E38" s="52">
        <f t="shared" si="11"/>
        <v>0</v>
      </c>
      <c r="F38" s="29" t="str">
        <f t="shared" si="12"/>
        <v/>
      </c>
    </row>
    <row r="39" ht="15.75" customHeight="1">
      <c r="A39" s="9"/>
      <c r="B39" s="64" t="s">
        <v>50</v>
      </c>
      <c r="C39" s="42">
        <f>SUMIFS(Raw_Data_Period_old_users!AZ:AZ, Raw_Data_Period_old_users!$A:$A, "Control", Raw_Data_Period_old_users!$C:$C, TRUE)</f>
        <v>0</v>
      </c>
      <c r="D39" s="42">
        <f>SUMIFS(Raw_Data_Period_old_users!AZ:AZ, Raw_Data_Period_old_users!$A:$A, "Variant", Raw_Data_Period_old_users!$C:$C, TRUE)</f>
        <v>0</v>
      </c>
      <c r="E39" s="60">
        <f t="shared" si="11"/>
        <v>0</v>
      </c>
      <c r="F39" s="44" t="str">
        <f t="shared" si="12"/>
        <v/>
      </c>
    </row>
    <row r="40" ht="15.75" customHeight="1">
      <c r="A40" s="9"/>
      <c r="B40" s="64" t="s">
        <v>51</v>
      </c>
      <c r="C40" s="42">
        <f>SUMIFS(Raw_Data_Period_old_users!BA:BA, Raw_Data_Period_old_users!$A:$A, "Control", Raw_Data_Period_old_users!$C:$C, TRUE)</f>
        <v>0</v>
      </c>
      <c r="D40" s="42">
        <f>SUMIFS(Raw_Data_Period_old_users!BA:BA, Raw_Data_Period_old_users!$A:$A, "Variant", Raw_Data_Period_old_users!$C:$C, TRUE)</f>
        <v>0</v>
      </c>
      <c r="E40" s="60">
        <f t="shared" si="11"/>
        <v>0</v>
      </c>
      <c r="F40" s="44" t="str">
        <f t="shared" si="12"/>
        <v/>
      </c>
    </row>
    <row r="41" ht="15.75" customHeight="1">
      <c r="A41" s="9"/>
      <c r="B41" s="64" t="s">
        <v>52</v>
      </c>
      <c r="C41" s="42">
        <f>SUMIFS(Raw_Data_Period_old_users!BB:BB, Raw_Data_Period_old_users!$A:$A, "Control", Raw_Data_Period_old_users!$C:$C, TRUE)</f>
        <v>0</v>
      </c>
      <c r="D41" s="42">
        <f>SUMIFS(Raw_Data_Period_old_users!BB:BB, Raw_Data_Period_old_users!$A:$A, "Variant", Raw_Data_Period_old_users!$C:$C, TRUE)</f>
        <v>0</v>
      </c>
      <c r="E41" s="52">
        <f t="shared" si="11"/>
        <v>0</v>
      </c>
      <c r="F41" s="29" t="str">
        <f t="shared" si="12"/>
        <v/>
      </c>
    </row>
    <row r="42" ht="15.75" customHeight="1">
      <c r="A42" s="6" t="s">
        <v>53</v>
      </c>
      <c r="B42" s="7"/>
      <c r="C42" s="7"/>
      <c r="D42" s="7"/>
      <c r="E42" s="7"/>
      <c r="F42" s="7"/>
    </row>
    <row r="43" ht="15.75" customHeight="1">
      <c r="A43" s="9"/>
      <c r="B43" s="10" t="s">
        <v>54</v>
      </c>
      <c r="C43" s="18">
        <f>SUMIFS(Raw_Data_Period_old_users!Y:Y, Raw_Data_Period_old_users!$A:$A, "Control", Raw_Data_Period_old_users!$C:$C, TRUE)</f>
        <v>0</v>
      </c>
      <c r="D43" s="18">
        <f>SUMIFS(Raw_Data_Period_old_users!Y:Y, Raw_Data_Period_old_users!$A:$A, "Variant", Raw_Data_Period_old_users!$C:$C, TRUE)</f>
        <v>0</v>
      </c>
      <c r="E43" s="26">
        <f t="shared" ref="E43:E46" si="13">IFERROR(D43-C43,"")</f>
        <v>0</v>
      </c>
      <c r="F43" s="29" t="str">
        <f t="shared" ref="F43:F46" si="14">IFERROR((D43-C43)/ABS(C43),"")</f>
        <v/>
      </c>
    </row>
    <row r="44" ht="15.75" customHeight="1">
      <c r="A44" s="9"/>
      <c r="B44" s="10" t="s">
        <v>55</v>
      </c>
      <c r="C44" s="18">
        <f>SUMIFS(Raw_Data_Period_old_users!Z:Z, Raw_Data_Period_old_users!$A:$A, "Control", Raw_Data_Period_old_users!$C:$C, TRUE)</f>
        <v>0</v>
      </c>
      <c r="D44" s="18">
        <f>SUMIFS(Raw_Data_Period_old_users!Z:Z, Raw_Data_Period_old_users!$A:$A, "Variant", Raw_Data_Period_old_users!$C:$C, TRUE)</f>
        <v>0</v>
      </c>
      <c r="E44" s="26">
        <f t="shared" si="13"/>
        <v>0</v>
      </c>
      <c r="F44" s="29" t="str">
        <f t="shared" si="14"/>
        <v/>
      </c>
    </row>
    <row r="45" ht="15.75" customHeight="1">
      <c r="A45" s="9"/>
      <c r="B45" s="10" t="s">
        <v>56</v>
      </c>
      <c r="C45" s="18">
        <f>SUMIFS(Raw_Data_Period_old_users!AA:AA, Raw_Data_Period_old_users!$A:$A, "Control", Raw_Data_Period_old_users!$C:$C, TRUE)</f>
        <v>0</v>
      </c>
      <c r="D45" s="18">
        <f>SUMIFS(Raw_Data_Period_old_users!AA:AA, Raw_Data_Period_old_users!$A:$A, "Variant", Raw_Data_Period_old_users!$C:$C, TRUE)</f>
        <v>0</v>
      </c>
      <c r="E45" s="26">
        <f t="shared" si="13"/>
        <v>0</v>
      </c>
      <c r="F45" s="29" t="str">
        <f t="shared" si="14"/>
        <v/>
      </c>
    </row>
    <row r="46" ht="15.75" customHeight="1">
      <c r="A46" s="9"/>
      <c r="B46" s="49" t="s">
        <v>57</v>
      </c>
      <c r="C46" s="18">
        <f>SUMIFS(Raw_Data_Period_old_users!BD:BD, Raw_Data_Period_old_users!$A:$A, "Control", Raw_Data_Period_old_users!$C:$C, TRUE)</f>
        <v>0</v>
      </c>
      <c r="D46" s="18">
        <f>SUMIFS(Raw_Data_Period_old_users!BD:BD, Raw_Data_Period_old_users!$A:$A, "Variant", Raw_Data_Period_old_users!$C:$C, TRUE)</f>
        <v>0</v>
      </c>
      <c r="E46" s="26">
        <f t="shared" si="13"/>
        <v>0</v>
      </c>
      <c r="F46" s="29" t="str">
        <f t="shared" si="14"/>
        <v/>
      </c>
    </row>
    <row r="47" ht="15.75" customHeight="1">
      <c r="A47" s="6" t="s">
        <v>58</v>
      </c>
      <c r="B47" s="7"/>
      <c r="C47" s="7"/>
      <c r="D47" s="7"/>
      <c r="E47" s="7"/>
      <c r="F47" s="7"/>
    </row>
    <row r="48" ht="15.75" customHeight="1">
      <c r="A48" s="9"/>
      <c r="B48" s="10" t="s">
        <v>59</v>
      </c>
      <c r="C48" s="42">
        <f>SUMIFS(Raw_Data_Period_old_users!AB:AB, Raw_Data_Period_old_users!$A:$A, "Control", Raw_Data_Period_old_users!$C:$C, TRUE)</f>
        <v>0</v>
      </c>
      <c r="D48" s="42">
        <f>SUMIFS(Raw_Data_Period_old_users!AB:AB, Raw_Data_Period_old_users!$A:$A, "Variant", Raw_Data_Period_old_users!$C:$C, TRUE)</f>
        <v>0</v>
      </c>
      <c r="E48" s="43">
        <f t="shared" ref="E48:E49" si="15">IFERROR(D48-C48,"")</f>
        <v>0</v>
      </c>
      <c r="F48" s="44" t="str">
        <f t="shared" ref="F48:F49" si="16">IFERROR((D48-C48)/ABS(C48),"")</f>
        <v/>
      </c>
    </row>
    <row r="49" ht="15.75" customHeight="1">
      <c r="A49" s="9"/>
      <c r="B49" s="10" t="s">
        <v>60</v>
      </c>
      <c r="C49" s="42">
        <f>SUMIFS(Raw_Data_Period_old_users!AC:AC, Raw_Data_Period_old_users!$A:$A, "Control", Raw_Data_Period_old_users!$C:$C, TRUE)</f>
        <v>0</v>
      </c>
      <c r="D49" s="42">
        <f>SUMIFS(Raw_Data_Period_old_users!AC:AC, Raw_Data_Period_old_users!$A:$A, "Variant", Raw_Data_Period_old_users!$C:$C, TRUE)</f>
        <v>0</v>
      </c>
      <c r="E49" s="43">
        <f t="shared" si="15"/>
        <v>0</v>
      </c>
      <c r="F49" s="37" t="str">
        <f t="shared" si="16"/>
        <v/>
      </c>
    </row>
    <row r="50" ht="15.75" customHeight="1">
      <c r="A50" s="6" t="s">
        <v>61</v>
      </c>
      <c r="B50" s="7"/>
      <c r="C50" s="7"/>
      <c r="D50" s="7"/>
      <c r="E50" s="7"/>
      <c r="F50" s="7"/>
    </row>
    <row r="51" ht="15.75" customHeight="1">
      <c r="A51" s="9"/>
      <c r="B51" s="10" t="s">
        <v>62</v>
      </c>
      <c r="C51" s="62">
        <f>SUMIFS(Raw_Data_Period_old_users!AI:AI, Raw_Data_Period_old_users!$A:$A, "Control", Raw_Data_Period_old_users!$C:$C, TRUE)</f>
        <v>0</v>
      </c>
      <c r="D51" s="62">
        <f>SUMIFS(Raw_Data_Period_old_users!AI:AI, Raw_Data_Period_old_users!$A:$A, "Variant", Raw_Data_Period_old_users!$C:$C, TRUE)</f>
        <v>0</v>
      </c>
      <c r="E51" s="65">
        <f t="shared" ref="E51:E53" si="17">IFERROR(D51-C51,"")</f>
        <v>0</v>
      </c>
      <c r="F51" s="37" t="str">
        <f t="shared" ref="F51:F53" si="18">IFERROR((D51-C51)/ABS(C51),"")</f>
        <v/>
      </c>
    </row>
    <row r="52" ht="15.75" customHeight="1">
      <c r="A52" s="9"/>
      <c r="B52" s="10" t="s">
        <v>63</v>
      </c>
      <c r="C52" s="62">
        <f>SUMIFS(Raw_Data_Period_old_users!AJ:AJ, Raw_Data_Period_old_users!$A:$A, "Control", Raw_Data_Period_old_users!$C:$C, TRUE)</f>
        <v>0</v>
      </c>
      <c r="D52" s="62">
        <f>SUMIFS(Raw_Data_Period_old_users!AJ:AJ, Raw_Data_Period_old_users!$A:$A, "Variant", Raw_Data_Period_old_users!$C:$C, TRUE)</f>
        <v>0</v>
      </c>
      <c r="E52" s="66">
        <f t="shared" si="17"/>
        <v>0</v>
      </c>
      <c r="F52" s="44" t="str">
        <f t="shared" si="18"/>
        <v/>
      </c>
    </row>
    <row r="53" ht="15.75" customHeight="1">
      <c r="A53" s="9"/>
      <c r="B53" s="10" t="s">
        <v>64</v>
      </c>
      <c r="C53" s="62">
        <f>SUMIFS(Raw_Data_Period_old_users!AK:AK, Raw_Data_Period_old_users!$A:$A, "Control", Raw_Data_Period_old_users!$C:$C, TRUE)</f>
        <v>0</v>
      </c>
      <c r="D53" s="62">
        <f>SUMIFS(Raw_Data_Period_old_users!AK:AK, Raw_Data_Period_old_users!$A:$A, "Variant", Raw_Data_Period_old_users!$C:$C, TRUE)</f>
        <v>0</v>
      </c>
      <c r="E53" s="66">
        <f t="shared" si="17"/>
        <v>0</v>
      </c>
      <c r="F53" s="44" t="str">
        <f t="shared" si="18"/>
        <v/>
      </c>
    </row>
    <row r="54" ht="15.75" customHeight="1">
      <c r="A54" s="6" t="s">
        <v>65</v>
      </c>
      <c r="B54" s="7"/>
      <c r="C54" s="7"/>
      <c r="D54" s="7"/>
      <c r="E54" s="7"/>
      <c r="F54" s="7"/>
    </row>
    <row r="55" ht="15.75" customHeight="1">
      <c r="A55" s="9"/>
      <c r="B55" s="10" t="s">
        <v>66</v>
      </c>
      <c r="C55" s="51">
        <f>SUMIFS(Raw_Data_Period_old_users!AL:AL, Raw_Data_Period_old_users!$A:$A, "Control", Raw_Data_Period_old_users!$C:$C, TRUE)</f>
        <v>0</v>
      </c>
      <c r="D55" s="51">
        <f>SUMIFS(Raw_Data_Period_old_users!AL:AL, Raw_Data_Period_old_users!$A:$A, "Variant", Raw_Data_Period_old_users!$C:$C, TRUE)</f>
        <v>0</v>
      </c>
      <c r="E55" s="67">
        <f>IFERROR(D55-C55,"")</f>
        <v>0</v>
      </c>
      <c r="F55" s="44" t="str">
        <f>IFERROR((D55-C55)/ABS(C55),"")</f>
        <v/>
      </c>
    </row>
    <row r="56" ht="15.75" customHeight="1">
      <c r="A56" s="6" t="s">
        <v>67</v>
      </c>
      <c r="B56" s="7"/>
      <c r="C56" s="7"/>
      <c r="D56" s="7"/>
      <c r="E56" s="7"/>
      <c r="F56" s="7"/>
    </row>
    <row r="57" ht="15.75" customHeight="1">
      <c r="A57" s="9"/>
      <c r="B57" s="10" t="s">
        <v>68</v>
      </c>
      <c r="C57" s="62"/>
      <c r="D57" s="62">
        <f>SUMIFS(Raw_Data_Period_old_users!AI:AI, Raw_Data_Period_old_users!$A:$A, "Variant", Raw_Data_Period_old_users!$C:$C, TRUE)</f>
        <v>0</v>
      </c>
      <c r="E57" s="65"/>
      <c r="F57" s="37"/>
    </row>
    <row r="58" ht="15.75" customHeight="1">
      <c r="A58" s="9"/>
      <c r="B58" s="69" t="s">
        <v>69</v>
      </c>
      <c r="C58" s="62"/>
      <c r="D58" s="62">
        <f>SUMIFS(Raw_Data_Period_old_users!AI:AI, Raw_Data_Period_old_users!$A:$A, "Variant", Raw_Data_Period_old_users!$C:$C, TRUE)</f>
        <v>0</v>
      </c>
      <c r="E58" s="65"/>
      <c r="F58" s="37"/>
    </row>
    <row r="59" ht="15.75" customHeight="1">
      <c r="A59" s="9"/>
      <c r="B59" s="69" t="s">
        <v>70</v>
      </c>
      <c r="C59" s="62"/>
      <c r="D59" s="62">
        <f>SUMIFS(Raw_Data_Period_old_users!AJ:AJ, Raw_Data_Period_old_users!$A:$A, "Variant", Raw_Data_Period_old_users!$C:$C, TRUE)</f>
        <v>0</v>
      </c>
      <c r="E59" s="65"/>
      <c r="F59" s="37"/>
    </row>
    <row r="60" ht="15.75" customHeight="1">
      <c r="A60" s="9"/>
      <c r="B60" s="69" t="s">
        <v>71</v>
      </c>
      <c r="C60" s="62"/>
      <c r="D60" s="62">
        <f>SUMIFS(Raw_Data_Period_old_users!AK:AK, Raw_Data_Period_old_users!$A:$A, "Variant", Raw_Data_Period_old_users!$C:$C, TRUE)</f>
        <v>0</v>
      </c>
      <c r="E60" s="65"/>
      <c r="F60" s="37"/>
    </row>
    <row r="61" ht="15.75" customHeight="1">
      <c r="A61" s="6" t="s">
        <v>72</v>
      </c>
      <c r="B61" s="7"/>
      <c r="C61" s="7"/>
      <c r="D61" s="7"/>
      <c r="E61" s="7"/>
      <c r="F61" s="7"/>
    </row>
    <row r="62" ht="15.75" customHeight="1">
      <c r="A62" s="9"/>
      <c r="B62" s="58" t="s">
        <v>73</v>
      </c>
      <c r="C62" s="51">
        <f>SUMIFS(Raw_Data_Period_old_users!AQ:AQ, Raw_Data_Period_old_users!$A:$A, "Control", Raw_Data_Period_old_users!$C:$C, TRUE)</f>
        <v>0</v>
      </c>
      <c r="D62" s="51">
        <f>SUMIFS(Raw_Data_Period_old_users!AQ:AQ, Raw_Data_Period_old_users!$A:$A, "Variant", Raw_Data_Period_old_users!$C:$C, TRUE)</f>
        <v>0</v>
      </c>
      <c r="E62" s="60">
        <f t="shared" ref="E62:E67" si="19">IFERROR(D62-C62,"")</f>
        <v>0</v>
      </c>
      <c r="F62" s="37" t="str">
        <f t="shared" ref="F62:F67" si="20">IFERROR((D62-C62)/ABS(C62),"")</f>
        <v/>
      </c>
    </row>
    <row r="63" ht="15.75" customHeight="1">
      <c r="A63" s="9"/>
      <c r="B63" s="58" t="s">
        <v>74</v>
      </c>
      <c r="C63" s="51">
        <f>SUMIFS(Raw_Data_Period_old_users!AR:AR, Raw_Data_Period_old_users!$A:$A, "Control", Raw_Data_Period_old_users!$C:$C, TRUE)</f>
        <v>0</v>
      </c>
      <c r="D63" s="51">
        <f>SUMIFS(Raw_Data_Period_old_users!AR:AR, Raw_Data_Period_old_users!$A:$A, "Variant", Raw_Data_Period_old_users!$C:$C, TRUE)</f>
        <v>0</v>
      </c>
      <c r="E63" s="43">
        <f t="shared" si="19"/>
        <v>0</v>
      </c>
      <c r="F63" s="37" t="str">
        <f t="shared" si="20"/>
        <v/>
      </c>
    </row>
    <row r="64" ht="15.75" customHeight="1">
      <c r="A64" s="9"/>
      <c r="B64" s="58" t="s">
        <v>75</v>
      </c>
      <c r="C64" s="51">
        <f>SUMIFS(Raw_Data_Period_old_users!AS:AS, Raw_Data_Period_old_users!$A:$A, "Control", Raw_Data_Period_old_users!$C:$C, TRUE)</f>
        <v>0</v>
      </c>
      <c r="D64" s="51">
        <f>SUMIFS(Raw_Data_Period_old_users!AS:AS, Raw_Data_Period_old_users!$A:$A, "Variant", Raw_Data_Period_old_users!$C:$C, TRUE)</f>
        <v>0</v>
      </c>
      <c r="E64" s="60">
        <f t="shared" si="19"/>
        <v>0</v>
      </c>
      <c r="F64" s="37" t="str">
        <f t="shared" si="20"/>
        <v/>
      </c>
    </row>
    <row r="65" ht="15.75" customHeight="1">
      <c r="A65" s="9"/>
      <c r="B65" s="58" t="s">
        <v>76</v>
      </c>
      <c r="C65" s="51">
        <f>SUMIFS(Raw_Data_Period_old_users!AT:AT, Raw_Data_Period_old_users!$A:$A, "Control", Raw_Data_Period_old_users!$C:$C, TRUE)</f>
        <v>0</v>
      </c>
      <c r="D65" s="51">
        <f>SUMIFS(Raw_Data_Period_old_users!AT:AT, Raw_Data_Period_old_users!$A:$A, "Variant", Raw_Data_Period_old_users!$C:$C, TRUE)</f>
        <v>0</v>
      </c>
      <c r="E65" s="43">
        <f t="shared" si="19"/>
        <v>0</v>
      </c>
      <c r="F65" s="37" t="str">
        <f t="shared" si="20"/>
        <v/>
      </c>
    </row>
    <row r="66" ht="15.75" customHeight="1">
      <c r="A66" s="9"/>
      <c r="B66" s="58" t="s">
        <v>77</v>
      </c>
      <c r="C66" s="51">
        <f>SUMIFS(Raw_Data_Period_old_users!AQ:AQ, Raw_Data_Period_old_users!$A:$A, "Control", Raw_Data_Period_old_users!$C:$C, TRUE) - SUMIFS(Raw_Data_Period_old_users!AT:AT, Raw_Data_Period_old_users!$A:$A, "Control", Raw_Data_Period_old_users!$C:$C, TRUE)</f>
        <v>0</v>
      </c>
      <c r="D66" s="51">
        <f>SUMIFS(Raw_Data_Period_old_users!AQ:AQ, Raw_Data_Period_old_users!$A:$A, "Variant", Raw_Data_Period_old_users!$C:$C, TRUE) - SUMIFS(Raw_Data_Period_old_users!AT:AT, Raw_Data_Period_old_users!$A:$A, "Variant", Raw_Data_Period_old_users!$C:$C, TRUE)</f>
        <v>0</v>
      </c>
      <c r="E66" s="60">
        <f t="shared" si="19"/>
        <v>0</v>
      </c>
      <c r="F66" s="37" t="str">
        <f t="shared" si="20"/>
        <v/>
      </c>
    </row>
    <row r="67" ht="15.75" customHeight="1">
      <c r="A67" s="9"/>
      <c r="B67" s="10" t="s">
        <v>78</v>
      </c>
      <c r="C67" s="51">
        <f>SUMIFS(Raw_Data_Period_old_users!AU:AU, Raw_Data_Period_old_users!$A:$A, "Control", Raw_Data_Period_old_users!$C:$C, TRUE)</f>
        <v>0</v>
      </c>
      <c r="D67" s="51">
        <f>SUMIFS(Raw_Data_Period_old_users!AU:AU, Raw_Data_Period_old_users!$A:$A, "Variant", Raw_Data_Period_old_users!$C:$C, TRUE)</f>
        <v>0</v>
      </c>
      <c r="E67" s="71">
        <f t="shared" si="19"/>
        <v>0</v>
      </c>
      <c r="F67" s="44" t="str">
        <f t="shared" si="20"/>
        <v/>
      </c>
    </row>
    <row r="68" ht="15.75" customHeight="1"/>
    <row r="69" ht="15.75" customHeight="1">
      <c r="A69" s="72" t="s">
        <v>79</v>
      </c>
      <c r="B69" s="7"/>
      <c r="C69" s="7"/>
      <c r="D69" s="7"/>
      <c r="E69" s="7"/>
      <c r="F69" s="7"/>
    </row>
    <row r="70" ht="15.75" customHeight="1">
      <c r="A70" s="9"/>
      <c r="B70" s="73" t="s">
        <v>80</v>
      </c>
      <c r="C70" s="51">
        <f>SUMIFS(Raw_Data_Period_old_users!BO:BO, Raw_Data_Period_old_users!$A:$A, "Control", Raw_Data_Period_old_users!$C:$C, TRUE)</f>
        <v>0</v>
      </c>
      <c r="D70" s="51">
        <f>SUMIFS(Raw_Data_Period_old_users!BO:BO, Raw_Data_Period_old_users!$A:$A, "Variant", Raw_Data_Period_old_users!$C:$C, TRUE)</f>
        <v>0</v>
      </c>
      <c r="E70" s="60">
        <f t="shared" ref="E70:E74" si="21">IFERROR(D70-C70,"")</f>
        <v>0</v>
      </c>
      <c r="F70" s="37" t="str">
        <f t="shared" ref="F70:F74" si="22">IFERROR((D70-C70)/ABS(C70),"")</f>
        <v/>
      </c>
    </row>
    <row r="71" ht="15.75" customHeight="1">
      <c r="A71" s="9"/>
      <c r="B71" s="73" t="s">
        <v>81</v>
      </c>
      <c r="C71" s="51">
        <f>SUMIFS(Raw_Data_Period_old_users!BP:BP, Raw_Data_Period_old_users!$A:$A, "Control", Raw_Data_Period_old_users!$C:$C, TRUE)</f>
        <v>0</v>
      </c>
      <c r="D71" s="51">
        <f>SUMIFS(Raw_Data_Period_old_users!BP:BP, Raw_Data_Period_old_users!$A:$A, "Variant", Raw_Data_Period_old_users!$C:$C, TRUE)</f>
        <v>0</v>
      </c>
      <c r="E71" s="43">
        <f t="shared" si="21"/>
        <v>0</v>
      </c>
      <c r="F71" s="37" t="str">
        <f t="shared" si="22"/>
        <v/>
      </c>
    </row>
    <row r="72" ht="15.75" customHeight="1">
      <c r="A72" s="9"/>
      <c r="B72" s="73" t="s">
        <v>82</v>
      </c>
      <c r="C72" s="51">
        <f>SUMIFS(Raw_Data_Period_old_users!BQ:BQ, Raw_Data_Period_old_users!$A:$A, "Control", Raw_Data_Period_old_users!$C:$C, TRUE)</f>
        <v>0</v>
      </c>
      <c r="D72" s="51">
        <f>SUMIFS(Raw_Data_Period_old_users!BQ:BQ, Raw_Data_Period_old_users!$A:$A, "Variant", Raw_Data_Period_old_users!$C:$C, TRUE)</f>
        <v>0</v>
      </c>
      <c r="E72" s="60">
        <f t="shared" si="21"/>
        <v>0</v>
      </c>
      <c r="F72" s="37" t="str">
        <f t="shared" si="22"/>
        <v/>
      </c>
    </row>
    <row r="73" ht="15.75" customHeight="1">
      <c r="A73" s="9"/>
      <c r="B73" s="73" t="s">
        <v>83</v>
      </c>
      <c r="C73" s="51">
        <f>SUMIFS(Raw_Data_Period_old_users!BR:BR, Raw_Data_Period_old_users!$A:$A, "Control", Raw_Data_Period_old_users!$C:$C, TRUE)</f>
        <v>0</v>
      </c>
      <c r="D73" s="51">
        <f>SUMIFS(Raw_Data_Period_old_users!BR:BR, Raw_Data_Period_old_users!$A:$A, "Variant", Raw_Data_Period_old_users!$C:$C, TRUE)</f>
        <v>0</v>
      </c>
      <c r="E73" s="43">
        <f t="shared" si="21"/>
        <v>0</v>
      </c>
      <c r="F73" s="37" t="str">
        <f t="shared" si="22"/>
        <v/>
      </c>
    </row>
    <row r="74" ht="15.75" customHeight="1">
      <c r="A74" s="9"/>
      <c r="B74" s="73" t="s">
        <v>84</v>
      </c>
      <c r="C74" s="51">
        <f>SUMIFS(Raw_Data_Period_old_users!BO:BO, Raw_Data_Period_old_users!$A:$A, "Control", Raw_Data_Period_old_users!$C:$C, TRUE) - SUMIFS(Raw_Data_Period_old_users!BR:BR, Raw_Data_Period_old_users!$A:$A, "Control", Raw_Data_Period_old_users!$C:$C, TRUE)</f>
        <v>0</v>
      </c>
      <c r="D74" s="51">
        <f>SUMIFS(Raw_Data_Period_old_users!BO:BO, Raw_Data_Period_old_users!$A:$A, "Variant", Raw_Data_Period_old_users!$C:$C, TRUE) - SUMIFS(Raw_Data_Period_old_users!BR:BR, Raw_Data_Period_old_users!$A:$A, "Variant", Raw_Data_Period_old_users!$C:$C, TRUE)</f>
        <v>0</v>
      </c>
      <c r="E74" s="60">
        <f t="shared" si="21"/>
        <v>0</v>
      </c>
      <c r="F74" s="37" t="str">
        <f t="shared" si="22"/>
        <v/>
      </c>
    </row>
    <row r="75" ht="15.75" customHeight="1">
      <c r="A75" s="72" t="s">
        <v>85</v>
      </c>
      <c r="B75" s="7"/>
      <c r="C75" s="7"/>
      <c r="D75" s="7"/>
      <c r="E75" s="7"/>
      <c r="F75" s="7"/>
    </row>
    <row r="76" ht="15.75" customHeight="1">
      <c r="A76" s="9"/>
      <c r="B76" s="73" t="s">
        <v>86</v>
      </c>
      <c r="C76" s="51">
        <f>SUMIFS(Raw_Data_Period_old_users!BS:BS, Raw_Data_Period_old_users!$A:$A, "Control", Raw_Data_Period_old_users!$C:$C, TRUE)</f>
        <v>0</v>
      </c>
      <c r="D76" s="51">
        <f>SUMIFS(Raw_Data_Period_old_users!BS:BS, Raw_Data_Period_old_users!$A:$A, "Variant", Raw_Data_Period_old_users!$C:$C, TRUE)</f>
        <v>0</v>
      </c>
      <c r="E76" s="60">
        <f t="shared" ref="E76:E80" si="23">IFERROR(D76-C76,"")</f>
        <v>0</v>
      </c>
      <c r="F76" s="37" t="str">
        <f t="shared" ref="F76:F80" si="24">IFERROR((D76-C76)/ABS(C76),"")</f>
        <v/>
      </c>
    </row>
    <row r="77" ht="15.75" customHeight="1">
      <c r="A77" s="9"/>
      <c r="B77" s="73" t="s">
        <v>87</v>
      </c>
      <c r="C77" s="51">
        <f>SUMIFS(Raw_Data_Period_old_users!BT:BT, Raw_Data_Period_old_users!$A:$A, "Control", Raw_Data_Period_old_users!$C:$C, TRUE)</f>
        <v>0</v>
      </c>
      <c r="D77" s="51">
        <f>SUMIFS(Raw_Data_Period_old_users!BT:BT, Raw_Data_Period_old_users!$A:$A, "Variant", Raw_Data_Period_old_users!$C:$C, TRUE)</f>
        <v>0</v>
      </c>
      <c r="E77" s="43">
        <f t="shared" si="23"/>
        <v>0</v>
      </c>
      <c r="F77" s="37" t="str">
        <f t="shared" si="24"/>
        <v/>
      </c>
    </row>
    <row r="78" ht="15.75" customHeight="1">
      <c r="A78" s="9"/>
      <c r="B78" s="73" t="s">
        <v>88</v>
      </c>
      <c r="C78" s="51">
        <f>SUMIFS(Raw_Data_Period_old_users!BU:BU, Raw_Data_Period_old_users!$A:$A, "Control", Raw_Data_Period_old_users!$C:$C, TRUE)</f>
        <v>0</v>
      </c>
      <c r="D78" s="51">
        <f>SUMIFS(Raw_Data_Period_old_users!BU:BU, Raw_Data_Period_old_users!$A:$A, "Variant", Raw_Data_Period_old_users!$C:$C, TRUE)</f>
        <v>0</v>
      </c>
      <c r="E78" s="60">
        <f t="shared" si="23"/>
        <v>0</v>
      </c>
      <c r="F78" s="37" t="str">
        <f t="shared" si="24"/>
        <v/>
      </c>
    </row>
    <row r="79" ht="15.75" customHeight="1">
      <c r="A79" s="9"/>
      <c r="B79" s="73" t="s">
        <v>89</v>
      </c>
      <c r="C79" s="51">
        <f>SUMIFS(Raw_Data_Period_old_users!BV:BV, Raw_Data_Period_old_users!$A:$A, "Control", Raw_Data_Period_old_users!$C:$C, TRUE)</f>
        <v>0</v>
      </c>
      <c r="D79" s="51">
        <f>SUMIFS(Raw_Data_Period_old_users!BV:BV, Raw_Data_Period_old_users!$A:$A, "Variant", Raw_Data_Period_old_users!$C:$C, TRUE)</f>
        <v>0</v>
      </c>
      <c r="E79" s="43">
        <f t="shared" si="23"/>
        <v>0</v>
      </c>
      <c r="F79" s="37" t="str">
        <f t="shared" si="24"/>
        <v/>
      </c>
    </row>
    <row r="80" ht="15.75" customHeight="1">
      <c r="A80" s="9"/>
      <c r="B80" s="73" t="s">
        <v>90</v>
      </c>
      <c r="C80" s="51">
        <f>SUMIFS(Raw_Data_Period_old_users!BS:BS, Raw_Data_Period_old_users!$A:$A, "Control", Raw_Data_Period_old_users!$C:$C, TRUE) - SUMIFS(Raw_Data_Period_old_users!BV:BV, Raw_Data_Period_old_users!$A:$A, "Control", Raw_Data_Period_old_users!$C:$C, TRUE)</f>
        <v>0</v>
      </c>
      <c r="D80" s="51">
        <f>SUMIFS(Raw_Data_Period_old_users!BS:BS, Raw_Data_Period_old_users!$A:$A, "Variant", Raw_Data_Period_old_users!$C:$C, TRUE) - SUMIFS(Raw_Data_Period_old_users!BV:BV, Raw_Data_Period_old_users!$A:$A, "Variant", Raw_Data_Period_old_users!$C:$C, TRUE)</f>
        <v>0</v>
      </c>
      <c r="E80" s="60">
        <f t="shared" si="23"/>
        <v>0</v>
      </c>
      <c r="F80" s="37" t="str">
        <f t="shared" si="24"/>
        <v/>
      </c>
    </row>
    <row r="81" ht="15.75" customHeight="1">
      <c r="A81" s="72" t="s">
        <v>91</v>
      </c>
      <c r="B81" s="7"/>
      <c r="C81" s="7"/>
      <c r="D81" s="7"/>
      <c r="E81" s="7"/>
      <c r="F81" s="7"/>
    </row>
    <row r="82" ht="15.75" customHeight="1">
      <c r="A82" s="9"/>
      <c r="B82" s="73" t="s">
        <v>92</v>
      </c>
      <c r="C82" s="51">
        <f>SUMIFS(Raw_Data_Period_old_users!BW:BW, Raw_Data_Period_old_users!$A:$A, "Control", Raw_Data_Period_old_users!$C:$C, TRUE)</f>
        <v>0</v>
      </c>
      <c r="D82" s="51">
        <f>SUMIFS(Raw_Data_Period_old_users!BW:BW, Raw_Data_Period_old_users!$A:$A, "Variant", Raw_Data_Period_old_users!$C:$C, TRUE)</f>
        <v>0</v>
      </c>
      <c r="E82" s="60">
        <f t="shared" ref="E82:E86" si="25">IFERROR(D82-C82,"")</f>
        <v>0</v>
      </c>
      <c r="F82" s="37" t="str">
        <f t="shared" ref="F82:F86" si="26">IFERROR((D82-C82)/ABS(C82),"")</f>
        <v/>
      </c>
    </row>
    <row r="83" ht="15.75" customHeight="1">
      <c r="A83" s="9"/>
      <c r="B83" s="73" t="s">
        <v>93</v>
      </c>
      <c r="C83" s="51">
        <f>SUMIFS(Raw_Data_Period_old_users!BX:BX, Raw_Data_Period_old_users!$A:$A, "Control", Raw_Data_Period_old_users!$C:$C, TRUE)</f>
        <v>0</v>
      </c>
      <c r="D83" s="51">
        <f>SUMIFS(Raw_Data_Period_old_users!BX:BX, Raw_Data_Period_old_users!$A:$A, "Variant", Raw_Data_Period_old_users!$C:$C, TRUE)</f>
        <v>0</v>
      </c>
      <c r="E83" s="43">
        <f t="shared" si="25"/>
        <v>0</v>
      </c>
      <c r="F83" s="37" t="str">
        <f t="shared" si="26"/>
        <v/>
      </c>
    </row>
    <row r="84" ht="15.75" customHeight="1">
      <c r="A84" s="9"/>
      <c r="B84" s="73" t="s">
        <v>94</v>
      </c>
      <c r="C84" s="51">
        <f>SUMIFS(Raw_Data_Period_old_users!BY:BY, Raw_Data_Period_old_users!$A:$A, "Control", Raw_Data_Period_old_users!$C:$C, TRUE)</f>
        <v>0</v>
      </c>
      <c r="D84" s="51">
        <f>SUMIFS(Raw_Data_Period_old_users!BY:BY, Raw_Data_Period_old_users!$A:$A, "Variant", Raw_Data_Period_old_users!$C:$C, TRUE)</f>
        <v>0</v>
      </c>
      <c r="E84" s="60">
        <f t="shared" si="25"/>
        <v>0</v>
      </c>
      <c r="F84" s="37" t="str">
        <f t="shared" si="26"/>
        <v/>
      </c>
    </row>
    <row r="85" ht="15.75" customHeight="1">
      <c r="A85" s="9"/>
      <c r="B85" s="73" t="s">
        <v>95</v>
      </c>
      <c r="C85" s="51">
        <f>SUMIFS(Raw_Data_Period_old_users!BZ:BZ, Raw_Data_Period_old_users!$A:$A, "Control", Raw_Data_Period_old_users!$C:$C, TRUE)</f>
        <v>0</v>
      </c>
      <c r="D85" s="51">
        <f>SUMIFS(Raw_Data_Period_old_users!BZ:BZ, Raw_Data_Period_old_users!$A:$A, "Variant", Raw_Data_Period_old_users!$C:$C, TRUE)</f>
        <v>0</v>
      </c>
      <c r="E85" s="43">
        <f t="shared" si="25"/>
        <v>0</v>
      </c>
      <c r="F85" s="37" t="str">
        <f t="shared" si="26"/>
        <v/>
      </c>
    </row>
    <row r="86" ht="15.75" customHeight="1">
      <c r="A86" s="9"/>
      <c r="B86" s="73" t="s">
        <v>96</v>
      </c>
      <c r="C86" s="51">
        <f>SUMIFS(Raw_Data_Period_old_users!BW:BW, Raw_Data_Period_old_users!$A:$A, "Control", Raw_Data_Period_old_users!$C:$C, TRUE) - SUMIFS(Raw_Data_Period_old_users!BZ:BZ, Raw_Data_Period_old_users!$A:$A, "Control", Raw_Data_Period_old_users!$C:$C, TRUE)</f>
        <v>0</v>
      </c>
      <c r="D86" s="51">
        <f>SUMIFS(Raw_Data_Period_old_users!BW:BW, Raw_Data_Period_old_users!$A:$A, "Variant", Raw_Data_Period_old_users!$C:$C, TRUE) - SUMIFS(Raw_Data_Period_old_users!BZ:BZ, Raw_Data_Period_old_users!$A:$A, "Variant", Raw_Data_Period_old_users!$C:$C, TRUE)</f>
        <v>0</v>
      </c>
      <c r="E86" s="60">
        <f t="shared" si="25"/>
        <v>0</v>
      </c>
      <c r="F86" s="37" t="str">
        <f t="shared" si="26"/>
        <v/>
      </c>
    </row>
    <row r="87" ht="15.75" customHeight="1">
      <c r="A87" s="72" t="s">
        <v>97</v>
      </c>
      <c r="B87" s="7"/>
      <c r="C87" s="7"/>
      <c r="D87" s="7"/>
      <c r="E87" s="7"/>
      <c r="F87" s="7"/>
    </row>
    <row r="88" ht="15.75" customHeight="1">
      <c r="A88" s="9"/>
      <c r="B88" s="73" t="s">
        <v>98</v>
      </c>
      <c r="C88" s="51">
        <f>SUMIFS(Raw_Data_Period_old_users!CE:CE, Raw_Data_Period_old_users!$A:$A, "Control", Raw_Data_Period_old_users!$C:$C, TRUE)</f>
        <v>0</v>
      </c>
      <c r="D88" s="51">
        <f>SUMIFS(Raw_Data_Period_old_users!CE:CE, Raw_Data_Period_old_users!$A:$A, "Variant", Raw_Data_Period_old_users!$C:$C, TRUE)</f>
        <v>0</v>
      </c>
      <c r="E88" s="60">
        <f t="shared" ref="E88:E92" si="27">IFERROR(D88-C88,"")</f>
        <v>0</v>
      </c>
      <c r="F88" s="37" t="str">
        <f t="shared" ref="F88:F92" si="28">IFERROR((D88-C88)/ABS(C88),"")</f>
        <v/>
      </c>
    </row>
    <row r="89" ht="15.75" customHeight="1">
      <c r="A89" s="9"/>
      <c r="B89" s="73" t="s">
        <v>99</v>
      </c>
      <c r="C89" s="51">
        <f>SUMIFS(Raw_Data_Period_old_users!CF:CF, Raw_Data_Period_old_users!$A:$A, "Control", Raw_Data_Period_old_users!$C:$C, TRUE)</f>
        <v>0</v>
      </c>
      <c r="D89" s="51">
        <f>SUMIFS(Raw_Data_Period_old_users!CF:CF, Raw_Data_Period_old_users!$A:$A, "Variant", Raw_Data_Period_old_users!$C:$C, TRUE)</f>
        <v>0</v>
      </c>
      <c r="E89" s="43">
        <f t="shared" si="27"/>
        <v>0</v>
      </c>
      <c r="F89" s="37" t="str">
        <f t="shared" si="28"/>
        <v/>
      </c>
    </row>
    <row r="90" ht="15.75" customHeight="1">
      <c r="A90" s="9"/>
      <c r="B90" s="73" t="s">
        <v>100</v>
      </c>
      <c r="C90" s="51">
        <f>SUMIFS(Raw_Data_Period_old_users!CG:CG, Raw_Data_Period_old_users!$A:$A, "Control", Raw_Data_Period_old_users!$C:$C, TRUE)</f>
        <v>0</v>
      </c>
      <c r="D90" s="51">
        <f>SUMIFS(Raw_Data_Period_old_users!CG:CG, Raw_Data_Period_old_users!$A:$A, "Variant", Raw_Data_Period_old_users!$C:$C, TRUE)</f>
        <v>0</v>
      </c>
      <c r="E90" s="60">
        <f t="shared" si="27"/>
        <v>0</v>
      </c>
      <c r="F90" s="37" t="str">
        <f t="shared" si="28"/>
        <v/>
      </c>
    </row>
    <row r="91" ht="15.75" customHeight="1">
      <c r="A91" s="9"/>
      <c r="B91" s="73" t="s">
        <v>101</v>
      </c>
      <c r="C91" s="51">
        <f>SUMIFS(Raw_Data_Period_old_users!CH:CH, Raw_Data_Period_old_users!$A:$A, "Control", Raw_Data_Period_old_users!$C:$C, TRUE)</f>
        <v>0</v>
      </c>
      <c r="D91" s="51">
        <f>SUMIFS(Raw_Data_Period_old_users!CH:CH, Raw_Data_Period_old_users!$A:$A, "Variant", Raw_Data_Period_old_users!$C:$C, TRUE)</f>
        <v>0</v>
      </c>
      <c r="E91" s="43">
        <f t="shared" si="27"/>
        <v>0</v>
      </c>
      <c r="F91" s="37" t="str">
        <f t="shared" si="28"/>
        <v/>
      </c>
    </row>
    <row r="92" ht="15.75" customHeight="1">
      <c r="A92" s="9"/>
      <c r="B92" s="73" t="s">
        <v>102</v>
      </c>
      <c r="C92" s="51">
        <f>SUMIFS(Raw_Data_Period_old_users!CE:CE, Raw_Data_Period_old_users!$A:$A, "Control", Raw_Data_Period_old_users!$C:$C, TRUE) - SUMIFS(Raw_Data_Period_old_users!CH:CH, Raw_Data_Period_old_users!$A:$A, "Control", Raw_Data_Period_old_users!$C:$C, TRUE)</f>
        <v>0</v>
      </c>
      <c r="D92" s="51">
        <f>SUMIFS(Raw_Data_Period_old_users!CE:CE, Raw_Data_Period_old_users!$A:$A, "Variant", Raw_Data_Period_old_users!$C:$C, TRUE) - SUMIFS(Raw_Data_Period_old_users!CH:CH, Raw_Data_Period_old_users!$A:$A, "Variant", Raw_Data_Period_old_users!$C:$C, TRUE)</f>
        <v>0</v>
      </c>
      <c r="E92" s="60">
        <f t="shared" si="27"/>
        <v>0</v>
      </c>
      <c r="F92" s="37" t="str">
        <f t="shared" si="28"/>
        <v/>
      </c>
    </row>
    <row r="93" ht="15.75" customHeight="1">
      <c r="A93" s="72" t="s">
        <v>103</v>
      </c>
      <c r="B93" s="7"/>
      <c r="C93" s="7"/>
      <c r="D93" s="7"/>
      <c r="E93" s="7"/>
      <c r="F93" s="7"/>
    </row>
    <row r="94" ht="15.75" customHeight="1">
      <c r="A94" s="9"/>
      <c r="B94" s="73" t="s">
        <v>104</v>
      </c>
      <c r="C94" s="51">
        <f>SUMIFS(Raw_Data_Period_old_users!CI:CI, Raw_Data_Period_old_users!$A:$A, "Control", Raw_Data_Period_old_users!$C:$C, TRUE)</f>
        <v>0</v>
      </c>
      <c r="D94" s="51">
        <f>SUMIFS(Raw_Data_Period_old_users!CI:CI, Raw_Data_Period_old_users!$A:$A, "Variant", Raw_Data_Period_old_users!$C:$C, TRUE)</f>
        <v>0</v>
      </c>
      <c r="E94" s="60">
        <f t="shared" ref="E94:E98" si="29">IFERROR(D94-C94,"")</f>
        <v>0</v>
      </c>
      <c r="F94" s="37" t="str">
        <f t="shared" ref="F94:F98" si="30">IFERROR((D94-C94)/ABS(C94),"")</f>
        <v/>
      </c>
    </row>
    <row r="95" ht="15.75" customHeight="1">
      <c r="A95" s="9"/>
      <c r="B95" s="73" t="s">
        <v>105</v>
      </c>
      <c r="C95" s="51">
        <f>SUMIFS(Raw_Data_Period_old_users!CJ:CJ, Raw_Data_Period_old_users!$A:$A, "Control", Raw_Data_Period_old_users!$C:$C, TRUE)</f>
        <v>0</v>
      </c>
      <c r="D95" s="51">
        <f>SUMIFS(Raw_Data_Period_old_users!CJ:CJ, Raw_Data_Period_old_users!$A:$A, "Variant", Raw_Data_Period_old_users!$C:$C, TRUE)</f>
        <v>0</v>
      </c>
      <c r="E95" s="43">
        <f t="shared" si="29"/>
        <v>0</v>
      </c>
      <c r="F95" s="37" t="str">
        <f t="shared" si="30"/>
        <v/>
      </c>
    </row>
    <row r="96" ht="15.75" customHeight="1">
      <c r="A96" s="9"/>
      <c r="B96" s="73" t="s">
        <v>106</v>
      </c>
      <c r="C96" s="51">
        <f>SUMIFS(Raw_Data_Period_old_users!CK:CK, Raw_Data_Period_old_users!$A:$A, "Control", Raw_Data_Period_old_users!$C:$C, TRUE)</f>
        <v>0</v>
      </c>
      <c r="D96" s="51">
        <f>SUMIFS(Raw_Data_Period_old_users!CK:CK, Raw_Data_Period_old_users!$A:$A, "Variant", Raw_Data_Period_old_users!$C:$C, TRUE)</f>
        <v>0</v>
      </c>
      <c r="E96" s="60">
        <f t="shared" si="29"/>
        <v>0</v>
      </c>
      <c r="F96" s="37" t="str">
        <f t="shared" si="30"/>
        <v/>
      </c>
    </row>
    <row r="97" ht="15.75" customHeight="1">
      <c r="A97" s="9"/>
      <c r="B97" s="73" t="s">
        <v>107</v>
      </c>
      <c r="C97" s="51">
        <f>SUMIFS(Raw_Data_Period_old_users!CL:CL, Raw_Data_Period_old_users!$A:$A, "Control", Raw_Data_Period_old_users!$C:$C, TRUE)</f>
        <v>0</v>
      </c>
      <c r="D97" s="51">
        <f>SUMIFS(Raw_Data_Period_old_users!CL:CL, Raw_Data_Period_old_users!$A:$A, "Variant", Raw_Data_Period_old_users!$C:$C, TRUE)</f>
        <v>0</v>
      </c>
      <c r="E97" s="43">
        <f t="shared" si="29"/>
        <v>0</v>
      </c>
      <c r="F97" s="37" t="str">
        <f t="shared" si="30"/>
        <v/>
      </c>
    </row>
    <row r="98" ht="15.75" customHeight="1">
      <c r="A98" s="9"/>
      <c r="B98" s="73" t="s">
        <v>108</v>
      </c>
      <c r="C98" s="51">
        <f>SUMIFS(Raw_Data_Period_old_users!CI:CI, Raw_Data_Period_old_users!$A:$A, "Control", Raw_Data_Period_old_users!$C:$C, TRUE) - SUMIFS(Raw_Data_Period_old_users!CL:CL, Raw_Data_Period_old_users!$A:$A, "Control", Raw_Data_Period_old_users!$C:$C, TRUE)</f>
        <v>0</v>
      </c>
      <c r="D98" s="51">
        <f>SUMIFS(Raw_Data_Period_old_users!CI:CI, Raw_Data_Period_old_users!$A:$A, "Variant", Raw_Data_Period_old_users!$C:$C, TRUE) - SUMIFS(Raw_Data_Period_old_users!CL:CL, Raw_Data_Period_old_users!$A:$A, "Variant", Raw_Data_Period_old_users!$C:$C, TRUE)</f>
        <v>0</v>
      </c>
      <c r="E98" s="60">
        <f t="shared" si="29"/>
        <v>0</v>
      </c>
      <c r="F98" s="37" t="str">
        <f t="shared" si="30"/>
        <v/>
      </c>
    </row>
    <row r="99" ht="15.75" customHeight="1">
      <c r="A99" s="72" t="s">
        <v>109</v>
      </c>
      <c r="B99" s="7"/>
      <c r="C99" s="7"/>
      <c r="D99" s="7"/>
      <c r="E99" s="7"/>
      <c r="F99" s="7"/>
    </row>
    <row r="100" ht="15.75" customHeight="1">
      <c r="A100" s="9"/>
      <c r="B100" s="73" t="s">
        <v>110</v>
      </c>
      <c r="C100" s="51">
        <f>SUMIFS(Raw_Data_Period_old_users!CA:CA, Raw_Data_Period_old_users!$A:$A, "Control", Raw_Data_Period_old_users!$C:$C, TRUE)</f>
        <v>0</v>
      </c>
      <c r="D100" s="51">
        <f>SUMIFS(Raw_Data_Period_old_users!CA:CA, Raw_Data_Period_old_users!$A:$A, "Variant", Raw_Data_Period_old_users!$C:$C, TRUE)</f>
        <v>0</v>
      </c>
      <c r="E100" s="60">
        <f t="shared" ref="E100:E104" si="31">IFERROR(D100-C100,"")</f>
        <v>0</v>
      </c>
      <c r="F100" s="37" t="str">
        <f t="shared" ref="F100:F104" si="32">IFERROR((D100-C100)/ABS(C100),"")</f>
        <v/>
      </c>
    </row>
    <row r="101" ht="15.75" customHeight="1">
      <c r="A101" s="9"/>
      <c r="B101" s="73" t="s">
        <v>111</v>
      </c>
      <c r="C101" s="51">
        <f>SUMIFS(Raw_Data_Period_old_users!CB:CB, Raw_Data_Period_old_users!$A:$A, "Control", Raw_Data_Period_old_users!$C:$C, TRUE)</f>
        <v>0</v>
      </c>
      <c r="D101" s="51">
        <f>SUMIFS(Raw_Data_Period_old_users!CB:CB, Raw_Data_Period_old_users!$A:$A, "Variant", Raw_Data_Period_old_users!$C:$C, TRUE)</f>
        <v>0</v>
      </c>
      <c r="E101" s="43">
        <f t="shared" si="31"/>
        <v>0</v>
      </c>
      <c r="F101" s="37" t="str">
        <f t="shared" si="32"/>
        <v/>
      </c>
    </row>
    <row r="102" ht="15.75" customHeight="1">
      <c r="A102" s="9"/>
      <c r="B102" s="73" t="s">
        <v>112</v>
      </c>
      <c r="C102" s="51">
        <f>SUMIFS(Raw_Data_Period_old_users!CC:CC, Raw_Data_Period_old_users!$A:$A, "Control", Raw_Data_Period_old_users!$C:$C, TRUE)</f>
        <v>0</v>
      </c>
      <c r="D102" s="51">
        <f>SUMIFS(Raw_Data_Period_old_users!CC:CC, Raw_Data_Period_old_users!$A:$A, "Variant", Raw_Data_Period_old_users!$C:$C, TRUE)</f>
        <v>0</v>
      </c>
      <c r="E102" s="60">
        <f t="shared" si="31"/>
        <v>0</v>
      </c>
      <c r="F102" s="37" t="str">
        <f t="shared" si="32"/>
        <v/>
      </c>
    </row>
    <row r="103" ht="15.75" customHeight="1">
      <c r="A103" s="9"/>
      <c r="B103" s="73" t="s">
        <v>113</v>
      </c>
      <c r="C103" s="51">
        <f>SUMIFS(Raw_Data_Period_old_users!CD:CD, Raw_Data_Period_old_users!$A:$A, "Control", Raw_Data_Period_old_users!$C:$C, TRUE)</f>
        <v>0</v>
      </c>
      <c r="D103" s="51">
        <f>SUMIFS(Raw_Data_Period_old_users!CD:CD, Raw_Data_Period_old_users!$A:$A, "Variant", Raw_Data_Period_old_users!$C:$C, TRUE)</f>
        <v>0</v>
      </c>
      <c r="E103" s="43">
        <f t="shared" si="31"/>
        <v>0</v>
      </c>
      <c r="F103" s="37" t="str">
        <f t="shared" si="32"/>
        <v/>
      </c>
    </row>
    <row r="104" ht="15.75" customHeight="1">
      <c r="A104" s="9"/>
      <c r="B104" s="73" t="s">
        <v>114</v>
      </c>
      <c r="C104" s="51">
        <f>SUMIFS(Raw_Data_Period_old_users!CA:CA, Raw_Data_Period_old_users!$A:$A, "Control", Raw_Data_Period_old_users!$C:$C, TRUE) - SUMIFS(Raw_Data_Period_old_users!CD:CD, Raw_Data_Period_old_users!$A:$A, "Control", Raw_Data_Period_old_users!$C:$C, TRUE)</f>
        <v>0</v>
      </c>
      <c r="D104" s="51">
        <f>SUMIFS(Raw_Data_Period_old_users!CA:CA, Raw_Data_Period_old_users!$A:$A, "Variant", Raw_Data_Period_old_users!$C:$C, TRUE) - SUMIFS(Raw_Data_Period_old_users!CD:CD, Raw_Data_Period_old_users!$A:$A, "Variant", Raw_Data_Period_old_users!$C:$C, TRUE)</f>
        <v>0</v>
      </c>
      <c r="E104" s="60">
        <f t="shared" si="31"/>
        <v>0</v>
      </c>
      <c r="F104" s="37" t="str">
        <f t="shared" si="32"/>
        <v/>
      </c>
    </row>
    <row r="105" ht="15.75" customHeight="1">
      <c r="A105" s="72" t="s">
        <v>115</v>
      </c>
      <c r="B105" s="74" t="s">
        <v>116</v>
      </c>
      <c r="C105" s="7"/>
      <c r="D105" s="7"/>
      <c r="E105" s="7"/>
      <c r="F105" s="7"/>
    </row>
    <row r="106" ht="15.75" customHeight="1">
      <c r="A106" s="75" t="s">
        <v>116</v>
      </c>
      <c r="B106" s="73" t="s">
        <v>117</v>
      </c>
      <c r="C106" s="51">
        <f>SUMIFS(Raw_Data_Period_old_users!CM:CM, Raw_Data_Period_old_users!$A:$A, "Control", Raw_Data_Period_old_users!$C:$C, TRUE)</f>
        <v>0</v>
      </c>
      <c r="D106" s="51">
        <f>SUMIFS(Raw_Data_Period_old_users!CM:CM, Raw_Data_Period_old_users!$A:$A, "Variant", Raw_Data_Period_old_users!$C:$C, TRUE)</f>
        <v>0</v>
      </c>
      <c r="E106" s="60">
        <f t="shared" ref="E106:E113" si="33">IFERROR(D106-C106,"")</f>
        <v>0</v>
      </c>
      <c r="F106" s="37" t="str">
        <f t="shared" ref="F106:F113" si="34">IFERROR((D106-C106)/ABS(C106),"")</f>
        <v/>
      </c>
    </row>
    <row r="107" ht="15.75" customHeight="1">
      <c r="A107" s="75" t="s">
        <v>116</v>
      </c>
      <c r="B107" s="73" t="s">
        <v>118</v>
      </c>
      <c r="C107" s="51">
        <f>SUMIFS(Raw_Data_Period_old_users!CN:CN, Raw_Data_Period_old_users!$A:$A, "Control", Raw_Data_Period_old_users!$C:$C, TRUE)</f>
        <v>0</v>
      </c>
      <c r="D107" s="51">
        <f>SUMIFS(Raw_Data_Period_old_users!CN:CN, Raw_Data_Period_old_users!$A:$A, "Variant", Raw_Data_Period_old_users!$C:$C, TRUE)</f>
        <v>0</v>
      </c>
      <c r="E107" s="60">
        <f t="shared" si="33"/>
        <v>0</v>
      </c>
      <c r="F107" s="37" t="str">
        <f t="shared" si="34"/>
        <v/>
      </c>
    </row>
    <row r="108" ht="15.75" customHeight="1">
      <c r="A108" s="75" t="s">
        <v>116</v>
      </c>
      <c r="B108" s="73" t="s">
        <v>119</v>
      </c>
      <c r="C108" s="51">
        <f>SUMIFS(Raw_Data_Period_old_users!CO:CO, Raw_Data_Period_old_users!$A:$A, "Control", Raw_Data_Period_old_users!$C:$C, TRUE)</f>
        <v>0</v>
      </c>
      <c r="D108" s="51">
        <f>SUMIFS(Raw_Data_Period_old_users!CO:CO, Raw_Data_Period_old_users!$A:$A, "Variant", Raw_Data_Period_old_users!$C:$C, TRUE)</f>
        <v>0</v>
      </c>
      <c r="E108" s="60">
        <f t="shared" si="33"/>
        <v>0</v>
      </c>
      <c r="F108" s="37" t="str">
        <f t="shared" si="34"/>
        <v/>
      </c>
    </row>
    <row r="109" ht="15.75" customHeight="1">
      <c r="A109" s="75" t="s">
        <v>116</v>
      </c>
      <c r="B109" s="73" t="s">
        <v>120</v>
      </c>
      <c r="C109" s="51">
        <f>SUMIFS(Raw_Data_Period_old_users!CP:CP, Raw_Data_Period_old_users!$A:$A, "Control", Raw_Data_Period_old_users!$C:$C, TRUE)</f>
        <v>0</v>
      </c>
      <c r="D109" s="51">
        <f>SUMIFS(Raw_Data_Period_old_users!CP:CP, Raw_Data_Period_old_users!$A:$A, "Variant", Raw_Data_Period_old_users!$C:$C, TRUE)</f>
        <v>0</v>
      </c>
      <c r="E109" s="60">
        <f t="shared" si="33"/>
        <v>0</v>
      </c>
      <c r="F109" s="37" t="str">
        <f t="shared" si="34"/>
        <v/>
      </c>
    </row>
    <row r="110" ht="15.75" customHeight="1">
      <c r="A110" s="75" t="s">
        <v>116</v>
      </c>
      <c r="B110" s="73" t="s">
        <v>121</v>
      </c>
      <c r="C110" s="51">
        <f>SUMIFS(Raw_Data_Period_old_users!CQ:CQ, Raw_Data_Period_old_users!$A:$A, "Control", Raw_Data_Period_old_users!$C:$C, TRUE)</f>
        <v>0</v>
      </c>
      <c r="D110" s="51">
        <f>SUMIFS(Raw_Data_Period_old_users!CQ:CQ, Raw_Data_Period_old_users!$A:$A, "Variant", Raw_Data_Period_old_users!$C:$C, TRUE)</f>
        <v>0</v>
      </c>
      <c r="E110" s="60">
        <f t="shared" si="33"/>
        <v>0</v>
      </c>
      <c r="F110" s="37" t="str">
        <f t="shared" si="34"/>
        <v/>
      </c>
    </row>
    <row r="111" ht="15.75" customHeight="1">
      <c r="A111" s="75" t="s">
        <v>116</v>
      </c>
      <c r="B111" s="73" t="s">
        <v>122</v>
      </c>
      <c r="C111" s="51">
        <f>SUMIFS(Raw_Data_Period_old_users!CR:CR, Raw_Data_Period_old_users!$A:$A, "Control", Raw_Data_Period_old_users!$C:$C, TRUE)</f>
        <v>0</v>
      </c>
      <c r="D111" s="51">
        <f>SUMIFS(Raw_Data_Period_old_users!CR:CR, Raw_Data_Period_old_users!$A:$A, "Variant", Raw_Data_Period_old_users!$C:$C, TRUE)</f>
        <v>0</v>
      </c>
      <c r="E111" s="60">
        <f t="shared" si="33"/>
        <v>0</v>
      </c>
      <c r="F111" s="37" t="str">
        <f t="shared" si="34"/>
        <v/>
      </c>
    </row>
    <row r="112" ht="15.75" customHeight="1">
      <c r="A112" s="75" t="s">
        <v>116</v>
      </c>
      <c r="B112" s="73" t="s">
        <v>123</v>
      </c>
      <c r="C112" s="51">
        <f>SUMIFS(Raw_Data_Period_old_users!CS:CS, Raw_Data_Period_old_users!$A:$A, "Control", Raw_Data_Period_old_users!$C:$C, TRUE)</f>
        <v>0</v>
      </c>
      <c r="D112" s="51">
        <f>SUMIFS(Raw_Data_Period_old_users!CS:CS, Raw_Data_Period_old_users!$A:$A, "Variant", Raw_Data_Period_old_users!$C:$C, TRUE)</f>
        <v>0</v>
      </c>
      <c r="E112" s="60">
        <f t="shared" si="33"/>
        <v>0</v>
      </c>
      <c r="F112" s="37" t="str">
        <f t="shared" si="34"/>
        <v/>
      </c>
    </row>
    <row r="113" ht="15.75" customHeight="1">
      <c r="A113" s="75" t="s">
        <v>116</v>
      </c>
      <c r="B113" s="73" t="s">
        <v>124</v>
      </c>
      <c r="C113" s="51">
        <f>SUMIFS(Raw_Data_Period_old_users!CT:CT, Raw_Data_Period_old_users!$A:$A, "Control", Raw_Data_Period_old_users!$C:$C, TRUE)</f>
        <v>0</v>
      </c>
      <c r="D113" s="51">
        <f>SUMIFS(Raw_Data_Period_old_users!CT:CT, Raw_Data_Period_old_users!$A:$A, "Variant", Raw_Data_Period_old_users!$C:$C, TRUE)</f>
        <v>0</v>
      </c>
      <c r="E113" s="60">
        <f t="shared" si="33"/>
        <v>0</v>
      </c>
      <c r="F113" s="37" t="str">
        <f t="shared" si="34"/>
        <v/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</sheetData>
  <mergeCells count="1">
    <mergeCell ref="A1:F1"/>
  </mergeCells>
  <conditionalFormatting sqref="E23:F25 E27:F29 E31:F31 E33:F33 E37:F38 E41:F41 E43:F46 E55:F55 E62:F62 E64:F64 E66:F66 E70:F70 E72:F72 E74:F74 E76:F76 E78:F78 E80:F80 E82:F82 E84:F84 E86:F86 E88:F88 E90:F90 E92:F92 E94:F94 E96:F96 E98:F98 E100:F100 E102:F102 E104:F104 E106:F113">
    <cfRule type="cellIs" dxfId="0" priority="1" stopIfTrue="1" operator="lessThan">
      <formula>0</formula>
    </cfRule>
  </conditionalFormatting>
  <conditionalFormatting sqref="E23:F25 E27:F29 E31:F31 E33:F33 E37:F38 E41:F41 E43:F46 E55:F55 E62:F62 E64:F64 E66:F66 E70:F70 E72:F72 E74:F74 E76:F76 E78:F78 E80:F80 E82:F82 E84:F84 E86:F86 E88:F88 E90:F90 E92:F92 E94:F94 E96:F96 E98:F98 E100:F100 E102:F102 E104:F104 E106:F113">
    <cfRule type="cellIs" dxfId="1" priority="2" stopIfTrue="1" operator="greaterThan">
      <formula>0</formula>
    </cfRule>
  </conditionalFormatting>
  <conditionalFormatting sqref="E5:F5 E7:F9 E11:F13 E15:F20 E22:F22 E30:F30 E32:F32 E34:F35 E39:F40 E48:F49 E51:F53 E63:F63 E65:F65 E67:F67 E71:F71 E73:F73 E77:F77 E79:F79 E83:F83 E85:F85 E89:F89 E91:F91 E95:F95 E97:F97 E101:F101 E103:F103">
    <cfRule type="cellIs" dxfId="1" priority="3" stopIfTrue="1" operator="lessThan">
      <formula>0</formula>
    </cfRule>
  </conditionalFormatting>
  <conditionalFormatting sqref="E5:F5 E7:F9 E11:F13 E15:F20 E22:F22 E30:F30 E32:F32 E34:F35 E39:F40 E48:F49 E51:F53 E63:F63 E65:F65 E67:F67 E71:F71 E73:F73 E77:F77 E79:F79 E83:F83 E85:F85 E89:F89 E91:F91 E95:F95 E97:F97 E101:F101 E103:F103">
    <cfRule type="cellIs" dxfId="0" priority="4" stopIfTrue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3.0"/>
    <col customWidth="1" min="2" max="3" width="10.0"/>
    <col customWidth="1" min="4" max="4" width="9.0"/>
    <col customWidth="1" min="5" max="6" width="10.0"/>
    <col customWidth="1" min="7" max="7" width="9.0"/>
    <col customWidth="1" min="8" max="9" width="10.0"/>
    <col customWidth="1" min="10" max="10" width="9.0"/>
    <col customWidth="1" min="11" max="12" width="10.0"/>
    <col customWidth="1" min="13" max="13" width="9.0"/>
    <col customWidth="1" min="14" max="15" width="10.0"/>
    <col customWidth="1" min="16" max="16" width="9.0"/>
    <col customWidth="1" min="17" max="18" width="10.0"/>
    <col customWidth="1" min="19" max="19" width="9.0"/>
    <col customWidth="1" min="20" max="21" width="10.0"/>
    <col customWidth="1" min="22" max="22" width="9.0"/>
    <col customWidth="1" min="23" max="24" width="10.0"/>
    <col customWidth="1" min="25" max="25" width="9.0"/>
    <col customWidth="1" min="26" max="27" width="10.0"/>
    <col customWidth="1" min="28" max="28" width="9.0"/>
    <col customWidth="1" min="29" max="30" width="10.0"/>
    <col customWidth="1" min="31" max="31" width="9.0"/>
    <col customWidth="1" min="32" max="33" width="10.0"/>
    <col customWidth="1" min="34" max="34" width="9.0"/>
    <col customWidth="1" min="35" max="36" width="10.0"/>
    <col customWidth="1" min="37" max="37" width="9.0"/>
    <col customWidth="1" min="38" max="39" width="10.0"/>
    <col customWidth="1" min="40" max="40" width="9.0"/>
    <col customWidth="1" min="41" max="42" width="10.0"/>
    <col customWidth="1" min="43" max="43" width="9.0"/>
    <col customWidth="1" min="44" max="45" width="10.0"/>
    <col customWidth="1" min="46" max="46" width="9.0"/>
    <col customWidth="1" min="47" max="48" width="10.0"/>
    <col customWidth="1" min="49" max="49" width="9.0"/>
    <col customWidth="1" min="50" max="51" width="10.0"/>
    <col customWidth="1" min="52" max="52" width="9.0"/>
    <col customWidth="1" min="53" max="54" width="10.0"/>
    <col customWidth="1" min="55" max="55" width="9.0"/>
    <col customWidth="1" min="56" max="57" width="10.0"/>
    <col customWidth="1" min="58" max="58" width="9.0"/>
    <col customWidth="1" min="59" max="60" width="10.0"/>
    <col customWidth="1" min="61" max="61" width="9.0"/>
    <col customWidth="1" min="62" max="63" width="10.0"/>
    <col customWidth="1" min="64" max="64" width="9.0"/>
    <col customWidth="1" min="65" max="66" width="10.0"/>
    <col customWidth="1" min="67" max="67" width="9.0"/>
    <col customWidth="1" min="68" max="69" width="10.0"/>
    <col customWidth="1" min="70" max="70" width="9.0"/>
    <col customWidth="1" min="71" max="72" width="10.0"/>
    <col customWidth="1" min="73" max="73" width="9.0"/>
    <col customWidth="1" min="74" max="75" width="10.0"/>
    <col customWidth="1" min="76" max="76" width="9.0"/>
    <col customWidth="1" min="77" max="78" width="10.0"/>
    <col customWidth="1" min="79" max="79" width="9.0"/>
    <col customWidth="1" min="80" max="81" width="10.0"/>
    <col customWidth="1" min="82" max="82" width="9.0"/>
    <col customWidth="1" min="83" max="84" width="10.0"/>
    <col customWidth="1" min="85" max="85" width="9.0"/>
    <col customWidth="1" min="86" max="87" width="10.0"/>
    <col customWidth="1" min="88" max="88" width="9.0"/>
    <col customWidth="1" min="89" max="90" width="10.0"/>
    <col customWidth="1" min="91" max="91" width="9.0"/>
    <col customWidth="1" min="92" max="93" width="10.0"/>
    <col customWidth="1" min="94" max="94" width="9.0"/>
    <col customWidth="1" min="95" max="96" width="10.0"/>
    <col customWidth="1" min="97" max="97" width="9.0"/>
    <col customWidth="1" min="98" max="99" width="10.0"/>
    <col customWidth="1" min="100" max="100" width="9.0"/>
    <col customWidth="1" min="101" max="102" width="10.0"/>
    <col customWidth="1" min="103" max="103" width="9.0"/>
    <col customWidth="1" min="104" max="105" width="10.0"/>
    <col customWidth="1" min="106" max="106" width="9.0"/>
    <col customWidth="1" min="107" max="108" width="10.0"/>
    <col customWidth="1" min="109" max="109" width="9.0"/>
    <col customWidth="1" min="110" max="110" width="10.0"/>
    <col customWidth="1" min="111" max="111" width="13.0"/>
    <col customWidth="1" min="112" max="112" width="9.0"/>
    <col customWidth="1" hidden="1" min="113" max="113" width="10.0"/>
    <col customWidth="1" hidden="1" min="114" max="114" width="13.0"/>
    <col customWidth="1" hidden="1" min="115" max="115" width="9.0"/>
    <col customWidth="1" hidden="1" min="116" max="116" width="10.0"/>
    <col customWidth="1" hidden="1" min="117" max="117" width="13.0"/>
    <col customWidth="1" hidden="1" min="118" max="118" width="9.0"/>
    <col customWidth="1" hidden="1" min="119" max="119" width="10.0"/>
    <col customWidth="1" hidden="1" min="120" max="120" width="13.0"/>
    <col customWidth="1" hidden="1" min="121" max="121" width="9.0"/>
    <col customWidth="1" min="122" max="122" width="10.0"/>
    <col customWidth="1" min="123" max="123" width="13.0"/>
    <col customWidth="1" min="124" max="124" width="9.0"/>
    <col customWidth="1" min="125" max="125" width="10.0"/>
    <col customWidth="1" min="126" max="126" width="13.0"/>
    <col customWidth="1" min="127" max="127" width="9.0"/>
    <col customWidth="1" min="128" max="128" width="10.0"/>
    <col customWidth="1" min="129" max="129" width="13.0"/>
    <col customWidth="1" min="130" max="130" width="9.0"/>
    <col customWidth="1" min="131" max="131" width="10.0"/>
    <col customWidth="1" min="132" max="132" width="13.0"/>
    <col customWidth="1" min="133" max="133" width="9.0"/>
    <col customWidth="1" min="134" max="134" width="10.0"/>
    <col customWidth="1" min="135" max="135" width="13.0"/>
    <col customWidth="1" min="136" max="136" width="9.0"/>
    <col customWidth="1" min="137" max="137" width="10.0"/>
    <col customWidth="1" min="138" max="138" width="13.0"/>
    <col customWidth="1" min="139" max="139" width="9.0"/>
  </cols>
  <sheetData>
    <row r="1">
      <c r="A1" s="76" t="s">
        <v>125</v>
      </c>
      <c r="B1" s="77"/>
      <c r="C1" s="77"/>
      <c r="D1" s="77"/>
      <c r="E1" s="77"/>
      <c r="F1" s="77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9"/>
      <c r="BH1" s="78"/>
      <c r="BI1" s="80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  <c r="CV1" s="78"/>
      <c r="CW1" s="78"/>
      <c r="CX1" s="78"/>
      <c r="CY1" s="78"/>
      <c r="CZ1" s="78"/>
      <c r="DA1" s="78"/>
      <c r="DB1" s="78"/>
      <c r="DC1" s="78"/>
      <c r="DD1" s="78"/>
      <c r="DE1" s="78"/>
      <c r="DF1" s="78"/>
      <c r="DG1" s="78"/>
      <c r="DH1" s="78"/>
      <c r="DI1" s="78"/>
      <c r="DJ1" s="78"/>
      <c r="DK1" s="78"/>
      <c r="DL1" s="78"/>
      <c r="DM1" s="78"/>
      <c r="DN1" s="78"/>
      <c r="DO1" s="78"/>
      <c r="DP1" s="78"/>
      <c r="DQ1" s="78"/>
      <c r="DR1" s="78"/>
      <c r="DS1" s="78"/>
      <c r="DT1" s="78"/>
      <c r="DU1" s="78"/>
      <c r="DV1" s="78"/>
      <c r="DW1" s="78"/>
      <c r="DX1" s="78"/>
      <c r="DY1" s="78"/>
      <c r="DZ1" s="78"/>
      <c r="EA1" s="78"/>
      <c r="EB1" s="78"/>
      <c r="EC1" s="78"/>
      <c r="ED1" s="78"/>
      <c r="EE1" s="78"/>
      <c r="EF1" s="78"/>
      <c r="EG1" s="78"/>
      <c r="EH1" s="78"/>
      <c r="EI1" s="78"/>
    </row>
    <row r="2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9"/>
      <c r="BH2" s="78"/>
      <c r="BI2" s="80"/>
      <c r="BJ2" s="78"/>
      <c r="BK2" s="78"/>
      <c r="BL2" s="78"/>
      <c r="BM2" s="78"/>
      <c r="BN2" s="78"/>
      <c r="BO2" s="78"/>
      <c r="BP2" s="78"/>
      <c r="BQ2" s="78"/>
      <c r="BR2" s="78"/>
      <c r="BS2" s="78"/>
      <c r="BT2" s="78"/>
      <c r="BU2" s="78"/>
      <c r="BV2" s="78"/>
      <c r="BW2" s="78"/>
      <c r="BX2" s="78"/>
      <c r="BY2" s="78"/>
      <c r="BZ2" s="78"/>
      <c r="CA2" s="78"/>
      <c r="CB2" s="78"/>
      <c r="CC2" s="78"/>
      <c r="CD2" s="78"/>
      <c r="CE2" s="78"/>
      <c r="CF2" s="78"/>
      <c r="CG2" s="78"/>
      <c r="CH2" s="78"/>
      <c r="CI2" s="78"/>
      <c r="CJ2" s="78"/>
      <c r="CK2" s="78"/>
      <c r="CL2" s="78"/>
      <c r="CM2" s="78"/>
      <c r="CN2" s="78"/>
      <c r="CO2" s="78"/>
      <c r="CP2" s="78"/>
      <c r="CQ2" s="78"/>
      <c r="CR2" s="78"/>
      <c r="CS2" s="78"/>
      <c r="CT2" s="78"/>
      <c r="CU2" s="78"/>
      <c r="CV2" s="78"/>
      <c r="CW2" s="78"/>
      <c r="CX2" s="78"/>
      <c r="CY2" s="78"/>
      <c r="CZ2" s="78"/>
      <c r="DA2" s="78"/>
      <c r="DB2" s="78"/>
      <c r="DC2" s="78"/>
      <c r="DD2" s="78"/>
      <c r="DE2" s="78"/>
      <c r="DF2" s="78"/>
      <c r="DG2" s="78"/>
      <c r="DH2" s="78"/>
      <c r="DI2" s="78"/>
      <c r="DJ2" s="78"/>
      <c r="DK2" s="78"/>
      <c r="DL2" s="78"/>
      <c r="DM2" s="78"/>
      <c r="DN2" s="78"/>
      <c r="DO2" s="78"/>
      <c r="DP2" s="78"/>
      <c r="DQ2" s="78"/>
      <c r="DR2" s="78"/>
      <c r="DS2" s="78"/>
      <c r="DT2" s="78"/>
      <c r="DU2" s="78"/>
      <c r="DV2" s="78"/>
      <c r="DW2" s="78"/>
      <c r="DX2" s="78"/>
      <c r="DY2" s="78"/>
      <c r="DZ2" s="78"/>
      <c r="EA2" s="78"/>
      <c r="EB2" s="78"/>
      <c r="EC2" s="78"/>
      <c r="ED2" s="78"/>
      <c r="EE2" s="78"/>
      <c r="EF2" s="78"/>
      <c r="EG2" s="78"/>
      <c r="EH2" s="78"/>
      <c r="EI2" s="78"/>
    </row>
    <row r="3">
      <c r="A3" s="88" t="s">
        <v>139</v>
      </c>
      <c r="B3" s="91" t="s">
        <v>132</v>
      </c>
      <c r="C3" s="95" t="str">
        <f>IF($B$3="1-9","B. 1-9",IF($B$3="10-19","C. 10-19",IF($B$3="20-39","D. 20-39",IF($B$3="40-99","E. 40-99",IF($B$3="100+","F. 100+","")))))</f>
        <v>F. 100+</v>
      </c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9"/>
      <c r="BH3" s="78"/>
      <c r="BI3" s="80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8"/>
      <c r="CZ3" s="78"/>
      <c r="DA3" s="78"/>
      <c r="DB3" s="78"/>
      <c r="DC3" s="78"/>
      <c r="DD3" s="78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  <c r="DR3" s="78"/>
      <c r="DS3" s="78"/>
      <c r="DT3" s="78"/>
      <c r="DU3" s="78"/>
      <c r="DV3" s="78"/>
      <c r="DW3" s="78"/>
      <c r="DX3" s="78"/>
      <c r="DY3" s="78"/>
      <c r="DZ3" s="78"/>
      <c r="EA3" s="78"/>
      <c r="EB3" s="78"/>
      <c r="EC3" s="78"/>
      <c r="ED3" s="78"/>
      <c r="EE3" s="78"/>
      <c r="EF3" s="78"/>
      <c r="EG3" s="78"/>
      <c r="EH3" s="78"/>
      <c r="EI3" s="78"/>
    </row>
    <row r="4" ht="15.75" customHeight="1">
      <c r="A4" s="78"/>
      <c r="B4" s="78"/>
      <c r="C4" s="78"/>
      <c r="D4" s="78"/>
      <c r="E4" s="78"/>
      <c r="F4" s="78"/>
      <c r="G4" s="102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9"/>
      <c r="BH4" s="78"/>
      <c r="BI4" s="80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</row>
    <row r="5" ht="30.0" customHeight="1">
      <c r="A5" s="107" t="s">
        <v>151</v>
      </c>
      <c r="B5" s="108" t="s">
        <v>9</v>
      </c>
      <c r="C5" s="109"/>
      <c r="D5" s="110"/>
      <c r="E5" s="108" t="s">
        <v>153</v>
      </c>
      <c r="F5" s="109"/>
      <c r="G5" s="110"/>
      <c r="H5" s="108" t="s">
        <v>17</v>
      </c>
      <c r="I5" s="109"/>
      <c r="J5" s="110"/>
      <c r="K5" s="108" t="s">
        <v>18</v>
      </c>
      <c r="L5" s="109"/>
      <c r="M5" s="110"/>
      <c r="N5" s="108" t="s">
        <v>154</v>
      </c>
      <c r="O5" s="109"/>
      <c r="P5" s="110"/>
      <c r="Q5" s="108" t="s">
        <v>19</v>
      </c>
      <c r="R5" s="109"/>
      <c r="S5" s="110"/>
      <c r="T5" s="108" t="s">
        <v>21</v>
      </c>
      <c r="U5" s="109"/>
      <c r="V5" s="110"/>
      <c r="W5" s="108" t="s">
        <v>22</v>
      </c>
      <c r="X5" s="109"/>
      <c r="Y5" s="110"/>
      <c r="Z5" s="108" t="s">
        <v>23</v>
      </c>
      <c r="AA5" s="109"/>
      <c r="AB5" s="110"/>
      <c r="AC5" s="108" t="s">
        <v>32</v>
      </c>
      <c r="AD5" s="109"/>
      <c r="AE5" s="110"/>
      <c r="AF5" s="108" t="s">
        <v>33</v>
      </c>
      <c r="AG5" s="109"/>
      <c r="AH5" s="110"/>
      <c r="AI5" s="108" t="s">
        <v>34</v>
      </c>
      <c r="AJ5" s="109"/>
      <c r="AK5" s="110"/>
      <c r="AL5" s="108" t="s">
        <v>35</v>
      </c>
      <c r="AM5" s="109"/>
      <c r="AN5" s="110"/>
      <c r="AO5" s="108" t="s">
        <v>37</v>
      </c>
      <c r="AP5" s="109"/>
      <c r="AQ5" s="110"/>
      <c r="AR5" s="108" t="s">
        <v>38</v>
      </c>
      <c r="AS5" s="109"/>
      <c r="AT5" s="110"/>
      <c r="AU5" s="108" t="s">
        <v>39</v>
      </c>
      <c r="AV5" s="109"/>
      <c r="AW5" s="110"/>
      <c r="AX5" s="108" t="s">
        <v>40</v>
      </c>
      <c r="AY5" s="109"/>
      <c r="AZ5" s="110"/>
      <c r="BA5" s="108" t="s">
        <v>41</v>
      </c>
      <c r="BB5" s="109"/>
      <c r="BC5" s="110"/>
      <c r="BD5" s="108" t="s">
        <v>42</v>
      </c>
      <c r="BE5" s="109"/>
      <c r="BF5" s="110"/>
      <c r="BG5" s="114" t="s">
        <v>161</v>
      </c>
      <c r="BH5" s="109"/>
      <c r="BI5" s="115"/>
      <c r="BJ5" s="117" t="s">
        <v>45</v>
      </c>
      <c r="BK5" s="109"/>
      <c r="BL5" s="110"/>
      <c r="BM5" s="108" t="s">
        <v>46</v>
      </c>
      <c r="BN5" s="109"/>
      <c r="BO5" s="110"/>
      <c r="BP5" s="108" t="s">
        <v>54</v>
      </c>
      <c r="BQ5" s="109"/>
      <c r="BR5" s="110"/>
      <c r="BS5" s="108" t="s">
        <v>55</v>
      </c>
      <c r="BT5" s="109"/>
      <c r="BU5" s="110"/>
      <c r="BV5" s="108" t="s">
        <v>56</v>
      </c>
      <c r="BW5" s="109"/>
      <c r="BX5" s="110"/>
      <c r="BY5" s="108" t="s">
        <v>59</v>
      </c>
      <c r="BZ5" s="109"/>
      <c r="CA5" s="110"/>
      <c r="CB5" s="108" t="s">
        <v>60</v>
      </c>
      <c r="CC5" s="109"/>
      <c r="CD5" s="110"/>
      <c r="CE5" s="108" t="s">
        <v>25</v>
      </c>
      <c r="CF5" s="109"/>
      <c r="CG5" s="110"/>
      <c r="CH5" s="108" t="s">
        <v>26</v>
      </c>
      <c r="CI5" s="109"/>
      <c r="CJ5" s="110"/>
      <c r="CK5" s="108" t="s">
        <v>27</v>
      </c>
      <c r="CL5" s="109"/>
      <c r="CM5" s="110"/>
      <c r="CN5" s="108" t="s">
        <v>28</v>
      </c>
      <c r="CO5" s="109"/>
      <c r="CP5" s="110"/>
      <c r="CQ5" s="108" t="s">
        <v>29</v>
      </c>
      <c r="CR5" s="109"/>
      <c r="CS5" s="110"/>
      <c r="CT5" s="108" t="s">
        <v>62</v>
      </c>
      <c r="CU5" s="109"/>
      <c r="CV5" s="110"/>
      <c r="CW5" s="108" t="s">
        <v>63</v>
      </c>
      <c r="CX5" s="109"/>
      <c r="CY5" s="110"/>
      <c r="CZ5" s="108" t="s">
        <v>64</v>
      </c>
      <c r="DA5" s="109"/>
      <c r="DB5" s="110"/>
      <c r="DC5" s="108" t="s">
        <v>66</v>
      </c>
      <c r="DD5" s="109"/>
      <c r="DE5" s="110"/>
      <c r="DF5" s="108" t="s">
        <v>68</v>
      </c>
      <c r="DG5" s="109"/>
      <c r="DH5" s="110"/>
      <c r="DI5" s="108" t="s">
        <v>177</v>
      </c>
      <c r="DJ5" s="109"/>
      <c r="DK5" s="110"/>
      <c r="DL5" s="108" t="s">
        <v>178</v>
      </c>
      <c r="DM5" s="109"/>
      <c r="DN5" s="110"/>
      <c r="DO5" s="108" t="s">
        <v>179</v>
      </c>
      <c r="DP5" s="109"/>
      <c r="DQ5" s="110"/>
      <c r="DR5" s="108" t="s">
        <v>73</v>
      </c>
      <c r="DS5" s="109"/>
      <c r="DT5" s="110"/>
      <c r="DU5" s="108" t="s">
        <v>74</v>
      </c>
      <c r="DV5" s="109"/>
      <c r="DW5" s="110"/>
      <c r="DX5" s="108" t="s">
        <v>75</v>
      </c>
      <c r="DY5" s="109"/>
      <c r="DZ5" s="110"/>
      <c r="EA5" s="108" t="s">
        <v>76</v>
      </c>
      <c r="EB5" s="109"/>
      <c r="EC5" s="110"/>
      <c r="ED5" s="108" t="s">
        <v>77</v>
      </c>
      <c r="EE5" s="109"/>
      <c r="EF5" s="110"/>
      <c r="EG5" s="108" t="s">
        <v>78</v>
      </c>
      <c r="EH5" s="109"/>
      <c r="EI5" s="110"/>
    </row>
    <row r="6" ht="18.0" customHeight="1">
      <c r="A6" s="19"/>
      <c r="B6" s="121" t="s">
        <v>4</v>
      </c>
      <c r="C6" s="121" t="s">
        <v>5</v>
      </c>
      <c r="D6" s="121" t="s">
        <v>183</v>
      </c>
      <c r="E6" s="121" t="s">
        <v>4</v>
      </c>
      <c r="F6" s="121" t="s">
        <v>5</v>
      </c>
      <c r="G6" s="121" t="s">
        <v>183</v>
      </c>
      <c r="H6" s="121" t="s">
        <v>4</v>
      </c>
      <c r="I6" s="121" t="s">
        <v>5</v>
      </c>
      <c r="J6" s="121" t="s">
        <v>183</v>
      </c>
      <c r="K6" s="121" t="s">
        <v>4</v>
      </c>
      <c r="L6" s="121" t="s">
        <v>5</v>
      </c>
      <c r="M6" s="121" t="s">
        <v>183</v>
      </c>
      <c r="N6" s="121" t="s">
        <v>4</v>
      </c>
      <c r="O6" s="121" t="s">
        <v>5</v>
      </c>
      <c r="P6" s="121" t="s">
        <v>183</v>
      </c>
      <c r="Q6" s="121" t="s">
        <v>4</v>
      </c>
      <c r="R6" s="121" t="s">
        <v>5</v>
      </c>
      <c r="S6" s="121" t="s">
        <v>183</v>
      </c>
      <c r="T6" s="121" t="s">
        <v>4</v>
      </c>
      <c r="U6" s="121" t="s">
        <v>5</v>
      </c>
      <c r="V6" s="121" t="s">
        <v>183</v>
      </c>
      <c r="W6" s="121" t="s">
        <v>4</v>
      </c>
      <c r="X6" s="121" t="s">
        <v>5</v>
      </c>
      <c r="Y6" s="121" t="s">
        <v>183</v>
      </c>
      <c r="Z6" s="121" t="s">
        <v>4</v>
      </c>
      <c r="AA6" s="121" t="s">
        <v>5</v>
      </c>
      <c r="AB6" s="121" t="s">
        <v>183</v>
      </c>
      <c r="AC6" s="121" t="s">
        <v>4</v>
      </c>
      <c r="AD6" s="121" t="s">
        <v>5</v>
      </c>
      <c r="AE6" s="121" t="s">
        <v>183</v>
      </c>
      <c r="AF6" s="121" t="s">
        <v>4</v>
      </c>
      <c r="AG6" s="121" t="s">
        <v>5</v>
      </c>
      <c r="AH6" s="121" t="s">
        <v>183</v>
      </c>
      <c r="AI6" s="121" t="s">
        <v>4</v>
      </c>
      <c r="AJ6" s="121" t="s">
        <v>5</v>
      </c>
      <c r="AK6" s="121" t="s">
        <v>183</v>
      </c>
      <c r="AL6" s="121" t="s">
        <v>4</v>
      </c>
      <c r="AM6" s="121" t="s">
        <v>5</v>
      </c>
      <c r="AN6" s="121" t="s">
        <v>183</v>
      </c>
      <c r="AO6" s="121" t="s">
        <v>4</v>
      </c>
      <c r="AP6" s="121" t="s">
        <v>5</v>
      </c>
      <c r="AQ6" s="121" t="s">
        <v>183</v>
      </c>
      <c r="AR6" s="121" t="s">
        <v>4</v>
      </c>
      <c r="AS6" s="121" t="s">
        <v>5</v>
      </c>
      <c r="AT6" s="121" t="s">
        <v>183</v>
      </c>
      <c r="AU6" s="121" t="s">
        <v>4</v>
      </c>
      <c r="AV6" s="121" t="s">
        <v>5</v>
      </c>
      <c r="AW6" s="121" t="s">
        <v>183</v>
      </c>
      <c r="AX6" s="121" t="s">
        <v>4</v>
      </c>
      <c r="AY6" s="121" t="s">
        <v>5</v>
      </c>
      <c r="AZ6" s="121" t="s">
        <v>183</v>
      </c>
      <c r="BA6" s="121" t="s">
        <v>4</v>
      </c>
      <c r="BB6" s="121" t="s">
        <v>5</v>
      </c>
      <c r="BC6" s="121" t="s">
        <v>183</v>
      </c>
      <c r="BD6" s="121" t="s">
        <v>4</v>
      </c>
      <c r="BE6" s="121" t="s">
        <v>5</v>
      </c>
      <c r="BF6" s="122" t="s">
        <v>183</v>
      </c>
      <c r="BG6" s="123" t="s">
        <v>4</v>
      </c>
      <c r="BH6" s="121" t="s">
        <v>5</v>
      </c>
      <c r="BI6" s="124" t="s">
        <v>183</v>
      </c>
      <c r="BJ6" s="125" t="s">
        <v>4</v>
      </c>
      <c r="BK6" s="121" t="s">
        <v>5</v>
      </c>
      <c r="BL6" s="121" t="s">
        <v>183</v>
      </c>
      <c r="BM6" s="121" t="s">
        <v>4</v>
      </c>
      <c r="BN6" s="121" t="s">
        <v>5</v>
      </c>
      <c r="BO6" s="121" t="s">
        <v>183</v>
      </c>
      <c r="BP6" s="121" t="s">
        <v>4</v>
      </c>
      <c r="BQ6" s="121" t="s">
        <v>5</v>
      </c>
      <c r="BR6" s="121" t="s">
        <v>183</v>
      </c>
      <c r="BS6" s="121" t="s">
        <v>4</v>
      </c>
      <c r="BT6" s="121" t="s">
        <v>5</v>
      </c>
      <c r="BU6" s="121" t="s">
        <v>183</v>
      </c>
      <c r="BV6" s="121" t="s">
        <v>4</v>
      </c>
      <c r="BW6" s="121" t="s">
        <v>5</v>
      </c>
      <c r="BX6" s="121" t="s">
        <v>183</v>
      </c>
      <c r="BY6" s="121" t="s">
        <v>4</v>
      </c>
      <c r="BZ6" s="121" t="s">
        <v>5</v>
      </c>
      <c r="CA6" s="121" t="s">
        <v>183</v>
      </c>
      <c r="CB6" s="121" t="s">
        <v>4</v>
      </c>
      <c r="CC6" s="121" t="s">
        <v>5</v>
      </c>
      <c r="CD6" s="121" t="s">
        <v>183</v>
      </c>
      <c r="CE6" s="121" t="s">
        <v>4</v>
      </c>
      <c r="CF6" s="121" t="s">
        <v>5</v>
      </c>
      <c r="CG6" s="121" t="s">
        <v>183</v>
      </c>
      <c r="CH6" s="121" t="s">
        <v>4</v>
      </c>
      <c r="CI6" s="121" t="s">
        <v>5</v>
      </c>
      <c r="CJ6" s="121" t="s">
        <v>183</v>
      </c>
      <c r="CK6" s="121" t="s">
        <v>4</v>
      </c>
      <c r="CL6" s="121" t="s">
        <v>5</v>
      </c>
      <c r="CM6" s="121" t="s">
        <v>183</v>
      </c>
      <c r="CN6" s="121" t="s">
        <v>4</v>
      </c>
      <c r="CO6" s="121" t="s">
        <v>5</v>
      </c>
      <c r="CP6" s="121" t="s">
        <v>183</v>
      </c>
      <c r="CQ6" s="121" t="s">
        <v>4</v>
      </c>
      <c r="CR6" s="121" t="s">
        <v>5</v>
      </c>
      <c r="CS6" s="121" t="s">
        <v>183</v>
      </c>
      <c r="CT6" s="121" t="s">
        <v>4</v>
      </c>
      <c r="CU6" s="121" t="s">
        <v>5</v>
      </c>
      <c r="CV6" s="121" t="s">
        <v>183</v>
      </c>
      <c r="CW6" s="121" t="s">
        <v>4</v>
      </c>
      <c r="CX6" s="121" t="s">
        <v>5</v>
      </c>
      <c r="CY6" s="121" t="s">
        <v>183</v>
      </c>
      <c r="CZ6" s="121" t="s">
        <v>4</v>
      </c>
      <c r="DA6" s="121" t="s">
        <v>5</v>
      </c>
      <c r="DB6" s="121" t="s">
        <v>183</v>
      </c>
      <c r="DC6" s="121" t="s">
        <v>4</v>
      </c>
      <c r="DD6" s="121" t="s">
        <v>5</v>
      </c>
      <c r="DE6" s="121" t="s">
        <v>183</v>
      </c>
      <c r="DF6" s="121" t="s">
        <v>4</v>
      </c>
      <c r="DG6" s="121" t="s">
        <v>5</v>
      </c>
      <c r="DH6" s="121" t="s">
        <v>183</v>
      </c>
      <c r="DI6" s="121" t="s">
        <v>4</v>
      </c>
      <c r="DJ6" s="121" t="s">
        <v>5</v>
      </c>
      <c r="DK6" s="121" t="s">
        <v>183</v>
      </c>
      <c r="DL6" s="121" t="s">
        <v>4</v>
      </c>
      <c r="DM6" s="121" t="s">
        <v>5</v>
      </c>
      <c r="DN6" s="121" t="s">
        <v>183</v>
      </c>
      <c r="DO6" s="121" t="s">
        <v>4</v>
      </c>
      <c r="DP6" s="121" t="s">
        <v>5</v>
      </c>
      <c r="DQ6" s="121" t="s">
        <v>183</v>
      </c>
      <c r="DR6" s="121" t="s">
        <v>4</v>
      </c>
      <c r="DS6" s="121" t="s">
        <v>5</v>
      </c>
      <c r="DT6" s="121" t="s">
        <v>183</v>
      </c>
      <c r="DU6" s="121" t="s">
        <v>4</v>
      </c>
      <c r="DV6" s="121" t="s">
        <v>5</v>
      </c>
      <c r="DW6" s="121" t="s">
        <v>183</v>
      </c>
      <c r="DX6" s="121" t="s">
        <v>4</v>
      </c>
      <c r="DY6" s="121" t="s">
        <v>5</v>
      </c>
      <c r="DZ6" s="121" t="s">
        <v>183</v>
      </c>
      <c r="EA6" s="121" t="s">
        <v>4</v>
      </c>
      <c r="EB6" s="121" t="s">
        <v>5</v>
      </c>
      <c r="EC6" s="121" t="s">
        <v>183</v>
      </c>
      <c r="ED6" s="121" t="s">
        <v>4</v>
      </c>
      <c r="EE6" s="121" t="s">
        <v>5</v>
      </c>
      <c r="EF6" s="121" t="s">
        <v>183</v>
      </c>
      <c r="EG6" s="121" t="s">
        <v>4</v>
      </c>
      <c r="EH6" s="121" t="s">
        <v>5</v>
      </c>
      <c r="EI6" s="121" t="s">
        <v>183</v>
      </c>
    </row>
    <row r="7" ht="15.75" customHeight="1">
      <c r="A7" s="126">
        <v>46230.0</v>
      </c>
      <c r="B7" s="128">
        <f>IF($A7="","",SUMIFS(Raw_Data_Daily!$D:$D, Raw_Data_Daily!$B:$B, "Control", Raw_Data_Daily!$A:$A, $A7, Raw_Data_Daily!$C:$C, $C$3))</f>
        <v>0</v>
      </c>
      <c r="C7" s="128">
        <f>IF($A7="","",SUMIFS(Raw_Data_Daily!$D:$D, Raw_Data_Daily!$B:$B, "Variant", Raw_Data_Daily!$A:$A, $A7, Raw_Data_Daily!$C:$C, $C$3))</f>
        <v>0</v>
      </c>
      <c r="D7" s="129" t="str">
        <f t="shared" ref="D7:D41" si="1">IF($A7="","",IFERROR((C7-B7)/ABS(B7),""))</f>
        <v/>
      </c>
      <c r="E7" s="130" t="str">
        <f>IF($A7="","",IFERROR(SUMPRODUCT((Raw_Data_Daily!$B$2:$B$9999="Control")*(Raw_Data_Daily!$A$2:$A$9999=$A7)*(Raw_Data_Daily!$C$2:$C$9999=$C$3)*Raw_Data_Daily!$D$2:$D$9999*Raw_Data_Daily!$E$2:$E$9999)/SUMIFS(Raw_Data_Daily!$D:$D, Raw_Data_Daily!$B:$B, "Control", Raw_Data_Daily!$A:$A, $A7, Raw_Data_Daily!$C:$C, $C$3),""))</f>
        <v/>
      </c>
      <c r="F7" s="130" t="str">
        <f>IF($A7="","",IFERROR(SUMPRODUCT((Raw_Data_Daily!$B$2:$B$9999="Variant")*(Raw_Data_Daily!$A$2:$A$9999=$A7)*(Raw_Data_Daily!$C$2:$C$9999=$C$3)*Raw_Data_Daily!$D$2:$D$9999*Raw_Data_Daily!$E$2:$E$9999)/SUMIFS(Raw_Data_Daily!$D:$D, Raw_Data_Daily!$B:$B, "Variant", Raw_Data_Daily!$A:$A, $A7, Raw_Data_Daily!$C:$C, $C$3),""))</f>
        <v/>
      </c>
      <c r="G7" s="129" t="str">
        <f t="shared" ref="G7:G41" si="2">IF($A7="","",IFERROR((F7-E7)/ABS(E7),""))</f>
        <v/>
      </c>
      <c r="H7" s="131">
        <f>IF($A7="","",SUMIFS(Raw_Data_Daily!$F:$F, Raw_Data_Daily!$B:$B, "Control", Raw_Data_Daily!$A:$A, $A7, Raw_Data_Daily!$C:$C, $C$3))</f>
        <v>0</v>
      </c>
      <c r="I7" s="131">
        <f>IF($A7="","",SUMIFS(Raw_Data_Daily!$F:$F, Raw_Data_Daily!$B:$B, "Variant", Raw_Data_Daily!$A:$A, $A7, Raw_Data_Daily!$C:$C, $C$3))</f>
        <v>0</v>
      </c>
      <c r="J7" s="132" t="str">
        <f t="shared" ref="J7:J41" si="3">IF($A7="","",IFERROR((I7-H7)/ABS(H7),""))</f>
        <v/>
      </c>
      <c r="K7" s="134" t="str">
        <f>IF($A7="","",IFERROR(SUMIFS(Raw_Data_Daily!$F:$F, Raw_Data_Daily!$B:$B, "Control", Raw_Data_Daily!$A:$A, $A7, Raw_Data_Daily!$C:$C, $C$3)/SUMIFS(Raw_Data_Daily!$D:$D, Raw_Data_Daily!$B:$B, "Control", Raw_Data_Daily!$A:$A, $A7, Raw_Data_Daily!$C:$C, $C$3),""))</f>
        <v/>
      </c>
      <c r="L7" s="134" t="str">
        <f>IF($A7="","",IFERROR(SUMIFS(Raw_Data_Daily!$F:$F, Raw_Data_Daily!$B:$B, "Variant", Raw_Data_Daily!$A:$A, $A7, Raw_Data_Daily!$C:$C, $C$3)/SUMIFS(Raw_Data_Daily!$D:$D, Raw_Data_Daily!$B:$B, "Variant", Raw_Data_Daily!$A:$A, $A7, Raw_Data_Daily!$C:$C, $C$3),""))</f>
        <v/>
      </c>
      <c r="M7" s="132" t="str">
        <f t="shared" ref="M7:M41" si="4">IF($A7="","",IFERROR((L7-K7)/ABS(K7),""))</f>
        <v/>
      </c>
      <c r="N7" s="130" t="str">
        <f>IF($A7="","",IFERROR(SUMPRODUCT((Raw_Data_Daily!$B$2:$B$9999="Control")*(Raw_Data_Daily!$A$2:$A$9999=$A7)*(Raw_Data_Daily!$C$2:$C$9999=$C$3)*Raw_Data_Daily!$D$2:$D$9999*Raw_Data_Daily!$H$2:$H$9999/100)/SUMIFS(Raw_Data_Daily!$D:$D, Raw_Data_Daily!$B:$B, "Control", Raw_Data_Daily!$A:$A, $A7, Raw_Data_Daily!$C:$C, $C$3)*100,""))</f>
        <v/>
      </c>
      <c r="O7" s="130" t="str">
        <f>IF($A7="","",IFERROR(SUMPRODUCT((Raw_Data_Daily!$B$2:$B$9999="Variant")*(Raw_Data_Daily!$A$2:$A$9999=$A7)*(Raw_Data_Daily!$C$2:$C$9999=$C$3)*Raw_Data_Daily!$D$2:$D$9999*Raw_Data_Daily!$H$2:$H$9999/100)/SUMIFS(Raw_Data_Daily!$D:$D, Raw_Data_Daily!$B:$B, "Variant", Raw_Data_Daily!$A:$A, $A7, Raw_Data_Daily!$C:$C, $C$3)*100,""))</f>
        <v/>
      </c>
      <c r="P7" s="132" t="str">
        <f t="shared" ref="P7:P41" si="5">IF($A7="","",IFERROR((O7-N7)/ABS(N7),""))</f>
        <v/>
      </c>
      <c r="Q7" s="134" t="str">
        <f>IF($A7="","",IFERROR(SUMIFS(Raw_Data_Daily!$F:$F, Raw_Data_Daily!$B:$B, "Control", Raw_Data_Daily!$A:$A, $A7, Raw_Data_Daily!$C:$C, $C$3)/SUMPRODUCT((Raw_Data_Daily!$B$2:$B$9999="Control")*(Raw_Data_Daily!$A$2:$A$9999=$A7)*(Raw_Data_Daily!$C$2:$C$9999=$C$3)*Raw_Data_Daily!$D$2:$D$9999*Raw_Data_Daily!$H$2:$H$9999/100),""))</f>
        <v/>
      </c>
      <c r="R7" s="134" t="str">
        <f>IF($A7="","",IFERROR(SUMIFS(Raw_Data_Daily!$F:$F, Raw_Data_Daily!$B:$B, "Variant", Raw_Data_Daily!$A:$A, $A7, Raw_Data_Daily!$C:$C, $C$3)/SUMPRODUCT((Raw_Data_Daily!$B$2:$B$9999="Variant")*(Raw_Data_Daily!$A$2:$A$9999=$A7)*(Raw_Data_Daily!$C$2:$C$9999=$C$3)*Raw_Data_Daily!$D$2:$D$9999*Raw_Data_Daily!$H$2:$H$9999/100),""))</f>
        <v/>
      </c>
      <c r="S7" s="132" t="str">
        <f t="shared" ref="S7:S41" si="6">IF($A7="","",IFERROR((R7-Q7)/ABS(Q7),""))</f>
        <v/>
      </c>
      <c r="T7" s="137" t="str">
        <f>IF($A7="","",IFERROR(SUMPRODUCT((Raw_Data_Daily!$B$2:$B$9999="Control")*(Raw_Data_Daily!$A$2:$A$9999=$A7)*(Raw_Data_Daily!$C$2:$C$9999=$C$3)*Raw_Data_Daily!$D$2:$D$9999*Raw_Data_Daily!$J$2:$J$9999)/SUMIFS(Raw_Data_Daily!$D:$D, Raw_Data_Daily!$B:$B, "Control", Raw_Data_Daily!$A:$A, $A7, Raw_Data_Daily!$C:$C, $C$3),""))</f>
        <v/>
      </c>
      <c r="U7" s="137" t="str">
        <f>IF($A7="","",IFERROR(SUMPRODUCT((Raw_Data_Daily!$B$2:$B$9999="Variant")*(Raw_Data_Daily!$A$2:$A$9999=$A7)*(Raw_Data_Daily!$C$2:$C$9999=$C$3)*Raw_Data_Daily!$D$2:$D$9999*Raw_Data_Daily!$J$2:$J$9999)/SUMIFS(Raw_Data_Daily!$D:$D, Raw_Data_Daily!$B:$B, "Variant", Raw_Data_Daily!$A:$A, $A7, Raw_Data_Daily!$C:$C, $C$3),""))</f>
        <v/>
      </c>
      <c r="V7" s="132" t="str">
        <f t="shared" ref="V7:V41" si="7">IF($A7="","",IFERROR((U7-T7)/ABS(T7),""))</f>
        <v/>
      </c>
      <c r="W7" s="137" t="str">
        <f>IF($A7="","",IFERROR(SUMPRODUCT((Raw_Data_Daily!$B$2:$B$9999="Control")*(Raw_Data_Daily!$A$2:$A$9999=$A7)*(Raw_Data_Daily!$C$2:$C$9999=$C$3)*Raw_Data_Daily!$D$2:$D$9999*Raw_Data_Daily!$K$2:$K$9999)/SUMIFS(Raw_Data_Daily!$D:$D, Raw_Data_Daily!$B:$B, "Control", Raw_Data_Daily!$A:$A, $A7, Raw_Data_Daily!$C:$C, $C$3),""))</f>
        <v/>
      </c>
      <c r="X7" s="137" t="str">
        <f>IF($A7="","",IFERROR(SUMPRODUCT((Raw_Data_Daily!$B$2:$B$9999="Variant")*(Raw_Data_Daily!$A$2:$A$9999=$A7)*(Raw_Data_Daily!$C$2:$C$9999=$C$3)*Raw_Data_Daily!$D$2:$D$9999*Raw_Data_Daily!$K$2:$K$9999)/SUMIFS(Raw_Data_Daily!$D:$D, Raw_Data_Daily!$B:$B, "Variant", Raw_Data_Daily!$A:$A, $A7, Raw_Data_Daily!$C:$C, $C$3),""))</f>
        <v/>
      </c>
      <c r="Y7" s="132" t="str">
        <f t="shared" ref="Y7:Y41" si="8">IF($A7="","",IFERROR((X7-W7)/ABS(W7),""))</f>
        <v/>
      </c>
      <c r="Z7" s="137" t="str">
        <f>IF($A7="","",IFERROR(SUMPRODUCT((Raw_Data_Daily!$B$2:$B$9999="Control")*(Raw_Data_Daily!$A$2:$A$9999=$A7)*(Raw_Data_Daily!$C$2:$C$9999=$C$3)*Raw_Data_Daily!$D$2:$D$9999*Raw_Data_Daily!$L$2:$L$9999)/SUMIFS(Raw_Data_Daily!$D:$D, Raw_Data_Daily!$B:$B, "Control", Raw_Data_Daily!$A:$A, $A7, Raw_Data_Daily!$C:$C, $C$3),""))</f>
        <v/>
      </c>
      <c r="AA7" s="137" t="str">
        <f>IF($A7="","",IFERROR(SUMPRODUCT((Raw_Data_Daily!$B$2:$B$9999="Variant")*(Raw_Data_Daily!$A$2:$A$9999=$A7)*(Raw_Data_Daily!$C$2:$C$9999=$C$3)*Raw_Data_Daily!$D$2:$D$9999*Raw_Data_Daily!$L$2:$L$9999)/SUMIFS(Raw_Data_Daily!$D:$D, Raw_Data_Daily!$B:$B, "Variant", Raw_Data_Daily!$A:$A, $A7, Raw_Data_Daily!$C:$C, $C$3),""))</f>
        <v/>
      </c>
      <c r="AB7" s="132" t="str">
        <f t="shared" ref="AB7:AB41" si="9">IF($A7="","",IFERROR((AA7-Z7)/ABS(Z7),""))</f>
        <v/>
      </c>
      <c r="AC7" s="139" t="str">
        <f>IF($A7="","",IFERROR(SUMPRODUCT((Raw_Data_Daily!$B$2:$B$9999="Control")*(Raw_Data_Daily!$A$2:$A$9999=$A7)*(Raw_Data_Daily!$C$2:$C$9999=$C$3)*Raw_Data_Daily!$D$2:$D$9999*Raw_Data_Daily!$M$2:$M$9999)/SUMIFS(Raw_Data_Daily!$D:$D, Raw_Data_Daily!$B:$B, "Control", Raw_Data_Daily!$A:$A, $A7, Raw_Data_Daily!$C:$C, $C$3),""))</f>
        <v/>
      </c>
      <c r="AD7" s="139" t="str">
        <f>IF($A7="","",IFERROR(SUMPRODUCT((Raw_Data_Daily!$B$2:$B$9999="Variant")*(Raw_Data_Daily!$A$2:$A$9999=$A7)*(Raw_Data_Daily!$C$2:$C$9999=$C$3)*Raw_Data_Daily!$D$2:$D$9999*Raw_Data_Daily!$M$2:$M$9999)/SUMIFS(Raw_Data_Daily!$D:$D, Raw_Data_Daily!$B:$B, "Variant", Raw_Data_Daily!$A:$A, $A7, Raw_Data_Daily!$C:$C, $C$3),""))</f>
        <v/>
      </c>
      <c r="AE7" s="140" t="str">
        <f t="shared" ref="AE7:AE41" si="10">IF($A7="","",IFERROR((AD7-AC7)/ABS(AC7),""))</f>
        <v/>
      </c>
      <c r="AF7" s="139" t="str">
        <f>IF($A7="","",IFERROR(SUMPRODUCT((Raw_Data_Daily!$B$2:$B$9999="Control")*(Raw_Data_Daily!$A$2:$A$9999=$A7)*(Raw_Data_Daily!$C$2:$C$9999=$C$3)*Raw_Data_Daily!$D$2:$D$9999*Raw_Data_Daily!$N$2:$N$9999)/SUMIFS(Raw_Data_Daily!$D:$D, Raw_Data_Daily!$B:$B, "Control", Raw_Data_Daily!$A:$A, $A7, Raw_Data_Daily!$C:$C, $C$3),""))</f>
        <v/>
      </c>
      <c r="AG7" s="139" t="str">
        <f>IF($A7="","",IFERROR(SUMPRODUCT((Raw_Data_Daily!$B$2:$B$9999="Variant")*(Raw_Data_Daily!$A$2:$A$9999=$A7)*(Raw_Data_Daily!$C$2:$C$9999=$C$3)*Raw_Data_Daily!$D$2:$D$9999*Raw_Data_Daily!$N$2:$N$9999)/SUMIFS(Raw_Data_Daily!$D:$D, Raw_Data_Daily!$B:$B, "Variant", Raw_Data_Daily!$A:$A, $A7, Raw_Data_Daily!$C:$C, $C$3),""))</f>
        <v/>
      </c>
      <c r="AH7" s="140" t="str">
        <f t="shared" ref="AH7:AH41" si="11">IF($A7="","",IFERROR((AG7-AF7)/ABS(AF7),""))</f>
        <v/>
      </c>
      <c r="AI7" s="139" t="str">
        <f>IF($A7="","",IFERROR(SUMPRODUCT((Raw_Data_Daily!$B$2:$B$9999="Control")*(Raw_Data_Daily!$A$2:$A$9999=$A7)*(Raw_Data_Daily!$C$2:$C$9999=$C$3)*Raw_Data_Daily!$D$2:$D$9999*Raw_Data_Daily!$O$2:$O$9999)/SUMIFS(Raw_Data_Daily!$D:$D, Raw_Data_Daily!$B:$B, "Control", Raw_Data_Daily!$A:$A, $A7, Raw_Data_Daily!$C:$C, $C$3),""))</f>
        <v/>
      </c>
      <c r="AJ7" s="139" t="str">
        <f>IF($A7="","",IFERROR(SUMPRODUCT((Raw_Data_Daily!$B$2:$B$9999="Variant")*(Raw_Data_Daily!$A$2:$A$9999=$A7)*(Raw_Data_Daily!$C$2:$C$9999=$C$3)*Raw_Data_Daily!$D$2:$D$9999*Raw_Data_Daily!$O$2:$O$9999)/SUMIFS(Raw_Data_Daily!$D:$D, Raw_Data_Daily!$B:$B, "Variant", Raw_Data_Daily!$A:$A, $A7, Raw_Data_Daily!$C:$C, $C$3),""))</f>
        <v/>
      </c>
      <c r="AK7" s="132" t="str">
        <f t="shared" ref="AK7:AK41" si="12">IF($A7="","",IFERROR((AJ7-AI7)/ABS(AI7),""))</f>
        <v/>
      </c>
      <c r="AL7" s="137" t="str">
        <f>IF($A7="","",IFERROR(SUMPRODUCT((Raw_Data_Daily!$B$2:$B$9999="Control")*(Raw_Data_Daily!$A$2:$A$9999=$A7)*(Raw_Data_Daily!$C$2:$C$9999=$C$3)*Raw_Data_Daily!$D$2:$D$9999*Raw_Data_Daily!$P$2:$P$9999)/SUMIFS(Raw_Data_Daily!$D:$D, Raw_Data_Daily!$B:$B, "Control", Raw_Data_Daily!$A:$A, $A7, Raw_Data_Daily!$C:$C, $C$3),""))</f>
        <v/>
      </c>
      <c r="AM7" s="137" t="str">
        <f>IF($A7="","",IFERROR(SUMPRODUCT((Raw_Data_Daily!$B$2:$B$9999="Variant")*(Raw_Data_Daily!$A$2:$A$9999=$A7)*(Raw_Data_Daily!$C$2:$C$9999=$C$3)*Raw_Data_Daily!$D$2:$D$9999*Raw_Data_Daily!$P$2:$P$9999)/SUMIFS(Raw_Data_Daily!$D:$D, Raw_Data_Daily!$B:$B, "Variant", Raw_Data_Daily!$A:$A, $A7, Raw_Data_Daily!$C:$C, $C$3),""))</f>
        <v/>
      </c>
      <c r="AN7" s="132" t="str">
        <f t="shared" ref="AN7:AN41" si="13">IF($A7="","",IFERROR((AM7-AL7)/ABS(AL7),""))</f>
        <v/>
      </c>
      <c r="AO7" s="137" t="str">
        <f>IF($A7="","",IFERROR(SUMPRODUCT((Raw_Data_Daily!$B$2:$B$9999="Control")*(Raw_Data_Daily!$A$2:$A$9999=$A7)*(Raw_Data_Daily!$C$2:$C$9999=$C$3)*Raw_Data_Daily!$D$2:$D$9999*Raw_Data_Daily!$Q$2:$Q$9999)/SUMIFS(Raw_Data_Daily!$D:$D, Raw_Data_Daily!$B:$B, "Control", Raw_Data_Daily!$A:$A, $A7, Raw_Data_Daily!$C:$C, $C$3),""))</f>
        <v/>
      </c>
      <c r="AP7" s="137" t="str">
        <f>IF($A7="","",IFERROR(SUMPRODUCT((Raw_Data_Daily!$B$2:$B$9999="Variant")*(Raw_Data_Daily!$A$2:$A$9999=$A7)*(Raw_Data_Daily!$C$2:$C$9999=$C$3)*Raw_Data_Daily!$D$2:$D$9999*Raw_Data_Daily!$Q$2:$Q$9999)/SUMIFS(Raw_Data_Daily!$D:$D, Raw_Data_Daily!$B:$B, "Variant", Raw_Data_Daily!$A:$A, $A7, Raw_Data_Daily!$C:$C, $C$3),""))</f>
        <v/>
      </c>
      <c r="AQ7" s="129" t="str">
        <f t="shared" ref="AQ7:AQ41" si="14">IF($A7="","",IFERROR((AP7-AO7)/ABS(AO7),""))</f>
        <v/>
      </c>
      <c r="AR7" s="137" t="str">
        <f>IF($A7="","",IFERROR(SUMPRODUCT((Raw_Data_Daily!$B$2:$B$9999="Control")*(Raw_Data_Daily!$A$2:$A$9999=$A7)*(Raw_Data_Daily!$C$2:$C$9999=$C$3)*Raw_Data_Daily!$D$2:$D$9999*Raw_Data_Daily!$R$2:$R$9999)/SUMIFS(Raw_Data_Daily!$D:$D, Raw_Data_Daily!$B:$B, "Control", Raw_Data_Daily!$A:$A, $A7, Raw_Data_Daily!$C:$C, $C$3),""))</f>
        <v/>
      </c>
      <c r="AS7" s="137" t="str">
        <f>IF($A7="","",IFERROR(SUMPRODUCT((Raw_Data_Daily!$B$2:$B$9999="Variant")*(Raw_Data_Daily!$A$2:$A$9999=$A7)*(Raw_Data_Daily!$C$2:$C$9999=$C$3)*Raw_Data_Daily!$D$2:$D$9999*Raw_Data_Daily!$R$2:$R$9999)/SUMIFS(Raw_Data_Daily!$D:$D, Raw_Data_Daily!$B:$B, "Variant", Raw_Data_Daily!$A:$A, $A7, Raw_Data_Daily!$C:$C, $C$3),""))</f>
        <v/>
      </c>
      <c r="AT7" s="129" t="str">
        <f t="shared" ref="AT7:AT41" si="15">IF($A7="","",IFERROR((AS7-AR7)/ABS(AR7),""))</f>
        <v/>
      </c>
      <c r="AU7" s="137" t="str">
        <f>IF($A7="","",IFERROR(SUMPRODUCT((Raw_Data_Daily!$B$2:$B$9999="Control")*(Raw_Data_Daily!$A$2:$A$9999=$A7)*(Raw_Data_Daily!$C$2:$C$9999=$C$3)*Raw_Data_Daily!$D$2:$D$9999*Raw_Data_Daily!$S$2:$S$9999)/SUMIFS(Raw_Data_Daily!$D:$D, Raw_Data_Daily!$B:$B, "Control", Raw_Data_Daily!$A:$A, $A7, Raw_Data_Daily!$C:$C, $C$3),""))</f>
        <v/>
      </c>
      <c r="AV7" s="137" t="str">
        <f>IF($A7="","",IFERROR(SUMPRODUCT((Raw_Data_Daily!$B$2:$B$9999="Variant")*(Raw_Data_Daily!$A$2:$A$9999=$A7)*(Raw_Data_Daily!$C$2:$C$9999=$C$3)*Raw_Data_Daily!$D$2:$D$9999*Raw_Data_Daily!$S$2:$S$9999)/SUMIFS(Raw_Data_Daily!$D:$D, Raw_Data_Daily!$B:$B, "Variant", Raw_Data_Daily!$A:$A, $A7, Raw_Data_Daily!$C:$C, $C$3),""))</f>
        <v/>
      </c>
      <c r="AW7" s="129" t="str">
        <f t="shared" ref="AW7:AW41" si="16">IF($A7="","",IFERROR((AV7-AU7)/ABS(AU7),""))</f>
        <v/>
      </c>
      <c r="AX7" s="137" t="str">
        <f>IF($A7="","",IFERROR(SUMPRODUCT((Raw_Data_Daily!$B$2:$B$9999="Control")*(Raw_Data_Daily!$A$2:$A$9999=$A7)*(Raw_Data_Daily!$C$2:$C$9999=$C$3)*Raw_Data_Daily!$D$2:$D$9999*Raw_Data_Daily!$T$2:$T$9999)/SUMIFS(Raw_Data_Daily!$D:$D, Raw_Data_Daily!$B:$B, "Control", Raw_Data_Daily!$A:$A, $A7, Raw_Data_Daily!$C:$C, $C$3),""))</f>
        <v/>
      </c>
      <c r="AY7" s="137" t="str">
        <f>IF($A7="","",IFERROR(SUMPRODUCT((Raw_Data_Daily!$B$2:$B$9999="Variant")*(Raw_Data_Daily!$A$2:$A$9999=$A7)*(Raw_Data_Daily!$C$2:$C$9999=$C$3)*Raw_Data_Daily!$D$2:$D$9999*Raw_Data_Daily!$T$2:$T$9999)/SUMIFS(Raw_Data_Daily!$D:$D, Raw_Data_Daily!$B:$B, "Variant", Raw_Data_Daily!$A:$A, $A7, Raw_Data_Daily!$C:$C, $C$3),""))</f>
        <v/>
      </c>
      <c r="AZ7" s="132" t="str">
        <f t="shared" ref="AZ7:AZ41" si="17">IF($A7="","",IFERROR((AY7-AX7)/ABS(AX7),""))</f>
        <v/>
      </c>
      <c r="BA7" s="137" t="str">
        <f>IF($A7="","",IFERROR(SUMPRODUCT((Raw_Data_Daily!$B$2:$B$9999="Control")*(Raw_Data_Daily!$A$2:$A$9999=$A7)*(Raw_Data_Daily!$C$2:$C$9999=$C$3)*Raw_Data_Daily!$D$2:$D$9999*Raw_Data_Daily!$U$2:$U$9999)/SUMIFS(Raw_Data_Daily!$D:$D, Raw_Data_Daily!$B:$B, "Control", Raw_Data_Daily!$A:$A, $A7, Raw_Data_Daily!$C:$C, $C$3),""))</f>
        <v/>
      </c>
      <c r="BB7" s="137" t="str">
        <f>IF($A7="","",IFERROR(SUMPRODUCT((Raw_Data_Daily!$B$2:$B$9999="Variant")*(Raw_Data_Daily!$A$2:$A$9999=$A7)*(Raw_Data_Daily!$C$2:$C$9999=$C$3)*Raw_Data_Daily!$D$2:$D$9999*Raw_Data_Daily!$U$2:$U$9999)/SUMIFS(Raw_Data_Daily!$D:$D, Raw_Data_Daily!$B:$B, "Variant", Raw_Data_Daily!$A:$A, $A7, Raw_Data_Daily!$C:$C, $C$3),""))</f>
        <v/>
      </c>
      <c r="BC7" s="129" t="str">
        <f t="shared" ref="BC7:BC41" si="18">IF($A7="","",IFERROR((BB7-BA7)/ABS(BA7),""))</f>
        <v/>
      </c>
      <c r="BD7" s="137" t="str">
        <f>IF($A7="","",IFERROR(SUMPRODUCT((Raw_Data_Daily!$B$2:$B$9999="Control")*(Raw_Data_Daily!$A$2:$A$9999=$A7)*(Raw_Data_Daily!$C$2:$C$9999=$C$3)*Raw_Data_Daily!$D$2:$D$9999*Raw_Data_Daily!$V$2:$V$9999)/SUMIFS(Raw_Data_Daily!$D:$D, Raw_Data_Daily!$B:$B, "Control", Raw_Data_Daily!$A:$A, $A7, Raw_Data_Daily!$C:$C, $C$3),""))</f>
        <v/>
      </c>
      <c r="BE7" s="137" t="str">
        <f>IF($A7="","",IFERROR(SUMPRODUCT((Raw_Data_Daily!$B$2:$B$9999="Variant")*(Raw_Data_Daily!$A$2:$A$9999=$A7)*(Raw_Data_Daily!$C$2:$C$9999=$C$3)*Raw_Data_Daily!$D$2:$D$9999*Raw_Data_Daily!$V$2:$V$9999)/SUMIFS(Raw_Data_Daily!$D:$D, Raw_Data_Daily!$B:$B, "Variant", Raw_Data_Daily!$A:$A, $A7, Raw_Data_Daily!$C:$C, $C$3),""))</f>
        <v/>
      </c>
      <c r="BF7" s="148" t="str">
        <f t="shared" ref="BF7:BF41" si="19">IF($A7="","",IFERROR((BE7-BD7)/ABS(BD7),""))</f>
        <v/>
      </c>
      <c r="BG7" s="149" t="str">
        <f>IF($A7="","",IFERROR(SUMPRODUCT((Raw_Data_Daily!$B$2:$B$9999="Control")*(Raw_Data_Daily!$A$2:$A$9999=$A7)*(Raw_Data_Daily!$C$2:$C$9999=$C$3)*Raw_Data_Daily!$D$2:$D$9999*(Raw_Data_Daily!$Q$2:$Q$9999-Raw_Data_Daily!$V$2:$V$9999))/SUMIFS(Raw_Data_Daily!$D:$D, Raw_Data_Daily!$B:$B, "Control", Raw_Data_Daily!$A:$A, $A7, Raw_Data_Daily!$C:$C, $C$3),""))</f>
        <v/>
      </c>
      <c r="BH7" s="137" t="str">
        <f>IF($A7="","",IFERROR(SUMPRODUCT((Raw_Data_Daily!$B$2:$B$9999="Variant")*(Raw_Data_Daily!$A$2:$A$9999=$A7)*(Raw_Data_Daily!$C$2:$C$9999=$C$3)*Raw_Data_Daily!$D$2:$D$9999*(Raw_Data_Daily!$Q$2:$Q$9999-Raw_Data_Daily!$V$2:$V$9999))/SUMIFS(Raw_Data_Daily!$D:$D, Raw_Data_Daily!$B:$B, "Variant", Raw_Data_Daily!$A:$A, $A7, Raw_Data_Daily!$C:$C, $C$3),""))</f>
        <v/>
      </c>
      <c r="BI7" s="155" t="str">
        <f t="shared" ref="BI7:BI41" si="20">IF($A7="","",IFERROR((BH7-BG7)/ABS(BG7),""))</f>
        <v/>
      </c>
      <c r="BJ7" s="156" t="str">
        <f>IF($A7="","",IFERROR(SUMPRODUCT((Raw_Data_Daily!$B$2:$B$9999="Control")*(Raw_Data_Daily!$A$2:$A$9999=$A7)*(Raw_Data_Daily!$C$2:$C$9999=$C$3)*Raw_Data_Daily!$D$2:$D$9999*Raw_Data_Daily!$W$2:$W$9999)/SUMIFS(Raw_Data_Daily!$D:$D, Raw_Data_Daily!$B:$B, "Control", Raw_Data_Daily!$A:$A, $A7, Raw_Data_Daily!$C:$C, $C$3),""))</f>
        <v/>
      </c>
      <c r="BK7" s="137" t="str">
        <f>IF($A7="","",IFERROR(SUMPRODUCT((Raw_Data_Daily!$B$2:$B$9999="Variant")*(Raw_Data_Daily!$A$2:$A$9999=$A7)*(Raw_Data_Daily!$C$2:$C$9999=$C$3)*Raw_Data_Daily!$D$2:$D$9999*Raw_Data_Daily!$W$2:$W$9999)/SUMIFS(Raw_Data_Daily!$D:$D, Raw_Data_Daily!$B:$B, "Variant", Raw_Data_Daily!$A:$A, $A7, Raw_Data_Daily!$C:$C, $C$3),""))</f>
        <v/>
      </c>
      <c r="BL7" s="129" t="str">
        <f t="shared" ref="BL7:BL41" si="21">IF($A7="","",IFERROR((BK7-BJ7)/ABS(BJ7),""))</f>
        <v/>
      </c>
      <c r="BM7" s="139" t="str">
        <f>IF($A7="","",IFERROR(SUMPRODUCT((Raw_Data_Daily!$B$2:$B$9999="Control")*(Raw_Data_Daily!$A$2:$A$9999=$A7)*(Raw_Data_Daily!$C$2:$C$9999=$C$3)*Raw_Data_Daily!$D$2:$D$9999*Raw_Data_Daily!$X$2:$X$9999)/SUMIFS(Raw_Data_Daily!$D:$D, Raw_Data_Daily!$B:$B, "Control", Raw_Data_Daily!$A:$A, $A7, Raw_Data_Daily!$C:$C, $C$3),""))</f>
        <v/>
      </c>
      <c r="BN7" s="139" t="str">
        <f>IF($A7="","",IFERROR(SUMPRODUCT((Raw_Data_Daily!$B$2:$B$9999="Variant")*(Raw_Data_Daily!$A$2:$A$9999=$A7)*(Raw_Data_Daily!$C$2:$C$9999=$C$3)*Raw_Data_Daily!$D$2:$D$9999*Raw_Data_Daily!$X$2:$X$9999)/SUMIFS(Raw_Data_Daily!$D:$D, Raw_Data_Daily!$B:$B, "Variant", Raw_Data_Daily!$A:$A, $A7, Raw_Data_Daily!$C:$C, $C$3),""))</f>
        <v/>
      </c>
      <c r="BO7" s="132" t="str">
        <f t="shared" ref="BO7:BO41" si="22">IF($A7="","",IFERROR((BN7-BM7)/ABS(BM7),""))</f>
        <v/>
      </c>
      <c r="BP7" s="128" t="str">
        <f>IF($A7="","",IFERROR(SUMPRODUCT((Raw_Data_Daily!$B$2:$B$9999="Control")*(Raw_Data_Daily!$A$2:$A$9999=$A7)*(Raw_Data_Daily!$C$2:$C$9999=$C$3)*Raw_Data_Daily!$D$2:$D$9999*Raw_Data_Daily!$Y$2:$Y$9999)/SUMIFS(Raw_Data_Daily!$D:$D, Raw_Data_Daily!$B:$B, "Control", Raw_Data_Daily!$A:$A, $A7, Raw_Data_Daily!$C:$C, $C$3),""))</f>
        <v/>
      </c>
      <c r="BQ7" s="128" t="str">
        <f>IF($A7="","",IFERROR(SUMPRODUCT((Raw_Data_Daily!$B$2:$B$9999="Variant")*(Raw_Data_Daily!$A$2:$A$9999=$A7)*(Raw_Data_Daily!$C$2:$C$9999=$C$3)*Raw_Data_Daily!$D$2:$D$9999*Raw_Data_Daily!$Y$2:$Y$9999)/SUMIFS(Raw_Data_Daily!$D:$D, Raw_Data_Daily!$B:$B, "Variant", Raw_Data_Daily!$A:$A, $A7, Raw_Data_Daily!$C:$C, $C$3),""))</f>
        <v/>
      </c>
      <c r="BR7" s="129" t="str">
        <f t="shared" ref="BR7:BR41" si="23">IF($A7="","",IFERROR((BQ7-BP7)/ABS(BP7),""))</f>
        <v/>
      </c>
      <c r="BS7" s="128" t="str">
        <f>IF($A7="","",IFERROR(SUMPRODUCT((Raw_Data_Daily!$B$2:$B$9999="Control")*(Raw_Data_Daily!$A$2:$A$9999=$A7)*(Raw_Data_Daily!$C$2:$C$9999=$C$3)*Raw_Data_Daily!$D$2:$D$9999*Raw_Data_Daily!$Z$2:$Z$9999)/SUMIFS(Raw_Data_Daily!$D:$D, Raw_Data_Daily!$B:$B, "Control", Raw_Data_Daily!$A:$A, $A7, Raw_Data_Daily!$C:$C, $C$3),""))</f>
        <v/>
      </c>
      <c r="BT7" s="128" t="str">
        <f>IF($A7="","",IFERROR(SUMPRODUCT((Raw_Data_Daily!$B$2:$B$9999="Variant")*(Raw_Data_Daily!$A$2:$A$9999=$A7)*(Raw_Data_Daily!$C$2:$C$9999=$C$3)*Raw_Data_Daily!$D$2:$D$9999*Raw_Data_Daily!$Z$2:$Z$9999)/SUMIFS(Raw_Data_Daily!$D:$D, Raw_Data_Daily!$B:$B, "Variant", Raw_Data_Daily!$A:$A, $A7, Raw_Data_Daily!$C:$C, $C$3),""))</f>
        <v/>
      </c>
      <c r="BU7" s="129" t="str">
        <f t="shared" ref="BU7:BU41" si="24">IF($A7="","",IFERROR((BT7-BS7)/ABS(BS7),""))</f>
        <v/>
      </c>
      <c r="BV7" s="128" t="str">
        <f>IF($A7="","",IFERROR(SUMPRODUCT((Raw_Data_Daily!$B$2:$B$9999="Control")*(Raw_Data_Daily!$A$2:$A$9999=$A7)*(Raw_Data_Daily!$C$2:$C$9999=$C$3)*Raw_Data_Daily!$D$2:$D$9999*Raw_Data_Daily!$AA$2:$AA$9999)/SUMIFS(Raw_Data_Daily!$D:$D, Raw_Data_Daily!$B:$B, "Control", Raw_Data_Daily!$A:$A, $A7, Raw_Data_Daily!$C:$C, $C$3),""))</f>
        <v/>
      </c>
      <c r="BW7" s="128" t="str">
        <f>IF($A7="","",IFERROR(SUMPRODUCT((Raw_Data_Daily!$B$2:$B$9999="Variant")*(Raw_Data_Daily!$A$2:$A$9999=$A7)*(Raw_Data_Daily!$C$2:$C$9999=$C$3)*Raw_Data_Daily!$D$2:$D$9999*Raw_Data_Daily!$AA$2:$AA$9999)/SUMIFS(Raw_Data_Daily!$D:$D, Raw_Data_Daily!$B:$B, "Variant", Raw_Data_Daily!$A:$A, $A7, Raw_Data_Daily!$C:$C, $C$3),""))</f>
        <v/>
      </c>
      <c r="BX7" s="129" t="str">
        <f t="shared" ref="BX7:BX41" si="25">IF($A7="","",IFERROR((BW7-BV7)/ABS(BV7),""))</f>
        <v/>
      </c>
      <c r="BY7" s="137" t="str">
        <f>IF($A7="","",IFERROR(SUMPRODUCT((Raw_Data_Daily!$B$2:$B$9999="Control")*(Raw_Data_Daily!$A$2:$A$9999=$A7)*(Raw_Data_Daily!$C$2:$C$9999=$C$3)*Raw_Data_Daily!$D$2:$D$9999*Raw_Data_Daily!$AB$2:$AB$9999)/SUMIFS(Raw_Data_Daily!$D:$D, Raw_Data_Daily!$B:$B, "Control", Raw_Data_Daily!$A:$A, $A7, Raw_Data_Daily!$C:$C, $C$3),""))</f>
        <v/>
      </c>
      <c r="BZ7" s="137" t="str">
        <f>IF($A7="","",IFERROR(SUMPRODUCT((Raw_Data_Daily!$B$2:$B$9999="Variant")*(Raw_Data_Daily!$A$2:$A$9999=$A7)*(Raw_Data_Daily!$C$2:$C$9999=$C$3)*Raw_Data_Daily!$D$2:$D$9999*Raw_Data_Daily!$AB$2:$AB$9999)/SUMIFS(Raw_Data_Daily!$D:$D, Raw_Data_Daily!$B:$B, "Variant", Raw_Data_Daily!$A:$A, $A7, Raw_Data_Daily!$C:$C, $C$3),""))</f>
        <v/>
      </c>
      <c r="CA7" s="132" t="str">
        <f t="shared" ref="CA7:CA41" si="26">IF($A7="","",IFERROR((BZ7-BY7)/ABS(BY7),""))</f>
        <v/>
      </c>
      <c r="CB7" s="137" t="str">
        <f>IF($A7="","",IFERROR(SUMPRODUCT((Raw_Data_Daily!$B$2:$B$9999="Control")*(Raw_Data_Daily!$A$2:$A$9999=$A7)*(Raw_Data_Daily!$C$2:$C$9999=$C$3)*Raw_Data_Daily!$D$2:$D$9999*Raw_Data_Daily!$AC$2:$AC$9999)/SUMIFS(Raw_Data_Daily!$D:$D, Raw_Data_Daily!$B:$B, "Control", Raw_Data_Daily!$A:$A, $A7, Raw_Data_Daily!$C:$C, $C$3),""))</f>
        <v/>
      </c>
      <c r="CC7" s="137" t="str">
        <f>IF($A7="","",IFERROR(SUMPRODUCT((Raw_Data_Daily!$B$2:$B$9999="Variant")*(Raw_Data_Daily!$A$2:$A$9999=$A7)*(Raw_Data_Daily!$C$2:$C$9999=$C$3)*Raw_Data_Daily!$D$2:$D$9999*Raw_Data_Daily!$AC$2:$AC$9999)/SUMIFS(Raw_Data_Daily!$D:$D, Raw_Data_Daily!$B:$B, "Variant", Raw_Data_Daily!$A:$A, $A7, Raw_Data_Daily!$C:$C, $C$3),""))</f>
        <v/>
      </c>
      <c r="CD7" s="132" t="str">
        <f t="shared" ref="CD7:CD41" si="27">IF($A7="","",IFERROR((CC7-CB7)/ABS(CB7),""))</f>
        <v/>
      </c>
      <c r="CE7" s="137" t="str">
        <f>IF($A7="","",IFERROR(SUMPRODUCT((Raw_Data_Daily!$B$2:$B$9999="Control")*(Raw_Data_Daily!$A$2:$A$9999=$A7)*(Raw_Data_Daily!$C$2:$C$9999=$C$3)*Raw_Data_Daily!$D$2:$D$9999*Raw_Data_Daily!$AD$2:$AD$9999)/SUMIFS(Raw_Data_Daily!$D:$D, Raw_Data_Daily!$B:$B, "Control", Raw_Data_Daily!$A:$A, $A7, Raw_Data_Daily!$C:$C, $C$3),""))</f>
        <v/>
      </c>
      <c r="CF7" s="137" t="str">
        <f>IF($A7="","",IFERROR(SUMPRODUCT((Raw_Data_Daily!$B$2:$B$9999="Variant")*(Raw_Data_Daily!$A$2:$A$9999=$A7)*(Raw_Data_Daily!$C$2:$C$9999=$C$3)*Raw_Data_Daily!$D$2:$D$9999*Raw_Data_Daily!$AD$2:$AD$9999)/SUMIFS(Raw_Data_Daily!$D:$D, Raw_Data_Daily!$B:$B, "Variant", Raw_Data_Daily!$A:$A, $A7, Raw_Data_Daily!$C:$C, $C$3),""))</f>
        <v/>
      </c>
      <c r="CG7" s="132" t="str">
        <f t="shared" ref="CG7:CG41" si="28">IF($A7="","",IFERROR((CF7-CE7)/ABS(CE7),""))</f>
        <v/>
      </c>
      <c r="CH7" s="137" t="str">
        <f>IF($A7="","",IFERROR(SUMPRODUCT((Raw_Data_Daily!$B$2:$B$9999="Control")*(Raw_Data_Daily!$A$2:$A$9999=$A7)*(Raw_Data_Daily!$C$2:$C$9999=$C$3)*Raw_Data_Daily!$D$2:$D$9999*Raw_Data_Daily!$AE$2:$AE$9999)/SUMIFS(Raw_Data_Daily!$D:$D, Raw_Data_Daily!$B:$B, "Control", Raw_Data_Daily!$A:$A, $A7, Raw_Data_Daily!$C:$C, $C$3),""))</f>
        <v/>
      </c>
      <c r="CI7" s="137" t="str">
        <f>IF($A7="","",IFERROR(SUMPRODUCT((Raw_Data_Daily!$B$2:$B$9999="Variant")*(Raw_Data_Daily!$A$2:$A$9999=$A7)*(Raw_Data_Daily!$C$2:$C$9999=$C$3)*Raw_Data_Daily!$D$2:$D$9999*Raw_Data_Daily!$AE$2:$AE$9999)/SUMIFS(Raw_Data_Daily!$D:$D, Raw_Data_Daily!$B:$B, "Variant", Raw_Data_Daily!$A:$A, $A7, Raw_Data_Daily!$C:$C, $C$3),""))</f>
        <v/>
      </c>
      <c r="CJ7" s="132" t="str">
        <f t="shared" ref="CJ7:CJ41" si="29">IF($A7="","",IFERROR((CI7-CH7)/ABS(CH7),""))</f>
        <v/>
      </c>
      <c r="CK7" s="137" t="str">
        <f>IF($A7="","",IFERROR(SUMPRODUCT((Raw_Data_Daily!$B$2:$B$9999="Control")*(Raw_Data_Daily!$A$2:$A$9999=$A7)*(Raw_Data_Daily!$C$2:$C$9999=$C$3)*Raw_Data_Daily!$D$2:$D$9999*Raw_Data_Daily!$AF$2:$AF$9999)/SUMIFS(Raw_Data_Daily!$D:$D, Raw_Data_Daily!$B:$B, "Control", Raw_Data_Daily!$A:$A, $A7, Raw_Data_Daily!$C:$C, $C$3),""))</f>
        <v/>
      </c>
      <c r="CL7" s="137" t="str">
        <f>IF($A7="","",IFERROR(SUMPRODUCT((Raw_Data_Daily!$B$2:$B$9999="Variant")*(Raw_Data_Daily!$A$2:$A$9999=$A7)*(Raw_Data_Daily!$C$2:$C$9999=$C$3)*Raw_Data_Daily!$D$2:$D$9999*Raw_Data_Daily!$AF$2:$AF$9999)/SUMIFS(Raw_Data_Daily!$D:$D, Raw_Data_Daily!$B:$B, "Variant", Raw_Data_Daily!$A:$A, $A7, Raw_Data_Daily!$C:$C, $C$3),""))</f>
        <v/>
      </c>
      <c r="CM7" s="132" t="str">
        <f t="shared" ref="CM7:CM41" si="30">IF($A7="","",IFERROR((CL7-CK7)/ABS(CK7),""))</f>
        <v/>
      </c>
      <c r="CN7" s="137" t="str">
        <f>IF($A7="","",IFERROR(SUMPRODUCT((Raw_Data_Daily!$B$2:$B$9999="Control")*(Raw_Data_Daily!$A$2:$A$9999=$A7)*(Raw_Data_Daily!$C$2:$C$9999=$C$3)*Raw_Data_Daily!$D$2:$D$9999*Raw_Data_Daily!$AG$2:$AG$9999)/SUMIFS(Raw_Data_Daily!$D:$D, Raw_Data_Daily!$B:$B, "Control", Raw_Data_Daily!$A:$A, $A7, Raw_Data_Daily!$C:$C, $C$3),""))</f>
        <v/>
      </c>
      <c r="CO7" s="137" t="str">
        <f>IF($A7="","",IFERROR(SUMPRODUCT((Raw_Data_Daily!$B$2:$B$9999="Variant")*(Raw_Data_Daily!$A$2:$A$9999=$A7)*(Raw_Data_Daily!$C$2:$C$9999=$C$3)*Raw_Data_Daily!$D$2:$D$9999*Raw_Data_Daily!$AG$2:$AG$9999)/SUMIFS(Raw_Data_Daily!$D:$D, Raw_Data_Daily!$B:$B, "Variant", Raw_Data_Daily!$A:$A, $A7, Raw_Data_Daily!$C:$C, $C$3),""))</f>
        <v/>
      </c>
      <c r="CP7" s="132" t="str">
        <f t="shared" ref="CP7:CP41" si="31">IF($A7="","",IFERROR((CO7-CN7)/ABS(CN7),""))</f>
        <v/>
      </c>
      <c r="CQ7" s="137" t="str">
        <f>IF($A7="","",IFERROR(SUMPRODUCT((Raw_Data_Daily!$B$2:$B$9999="Control")*(Raw_Data_Daily!$A$2:$A$9999=$A7)*(Raw_Data_Daily!$C$2:$C$9999=$C$3)*Raw_Data_Daily!$D$2:$D$9999*Raw_Data_Daily!$AH$2:$AH$9999)/SUMIFS(Raw_Data_Daily!$D:$D, Raw_Data_Daily!$B:$B, "Control", Raw_Data_Daily!$A:$A, $A7, Raw_Data_Daily!$C:$C, $C$3),""))</f>
        <v/>
      </c>
      <c r="CR7" s="137" t="str">
        <f>IF($A7="","",IFERROR(SUMPRODUCT((Raw_Data_Daily!$B$2:$B$9999="Variant")*(Raw_Data_Daily!$A$2:$A$9999=$A7)*(Raw_Data_Daily!$C$2:$C$9999=$C$3)*Raw_Data_Daily!$D$2:$D$9999*Raw_Data_Daily!$AH$2:$AH$9999)/SUMIFS(Raw_Data_Daily!$D:$D, Raw_Data_Daily!$B:$B, "Variant", Raw_Data_Daily!$A:$A, $A7, Raw_Data_Daily!$C:$C, $C$3),""))</f>
        <v/>
      </c>
      <c r="CS7" s="132" t="str">
        <f t="shared" ref="CS7:CS41" si="32">IF($A7="","",IFERROR((CR7-CQ7)/ABS(CQ7),""))</f>
        <v/>
      </c>
      <c r="CT7" s="130" t="str">
        <f>IF($A7="","",IFERROR(SUMPRODUCT((Raw_Data_Daily!$B$2:$B$9999="Control")*(Raw_Data_Daily!$A$2:$A$9999=$A7)*(Raw_Data_Daily!$C$2:$C$9999=$C$3)*Raw_Data_Daily!$D$2:$D$9999*Raw_Data_Daily!$AI$2:$AI$9999)/SUMIFS(Raw_Data_Daily!$D:$D, Raw_Data_Daily!$B:$B, "Control", Raw_Data_Daily!$A:$A, $A7, Raw_Data_Daily!$C:$C, $C$3),""))</f>
        <v/>
      </c>
      <c r="CU7" s="130" t="str">
        <f>IF($A7="","",IFERROR(SUMPRODUCT((Raw_Data_Daily!$B$2:$B$9999="Variant")*(Raw_Data_Daily!$A$2:$A$9999=$A7)*(Raw_Data_Daily!$C$2:$C$9999=$C$3)*Raw_Data_Daily!$D$2:$D$9999*Raw_Data_Daily!$AI$2:$AI$9999)/SUMIFS(Raw_Data_Daily!$D:$D, Raw_Data_Daily!$B:$B, "Variant", Raw_Data_Daily!$A:$A, $A7, Raw_Data_Daily!$C:$C, $C$3),""))</f>
        <v/>
      </c>
      <c r="CV7" s="140" t="str">
        <f t="shared" ref="CV7:CV41" si="33">IF($A7="","",IFERROR((CU7-CT7)/ABS(CT7),""))</f>
        <v/>
      </c>
      <c r="CW7" s="130" t="str">
        <f>IF($A7="","",IFERROR(SUMPRODUCT((Raw_Data_Daily!$B$2:$B$9999="Control")*(Raw_Data_Daily!$A$2:$A$9999=$A7)*(Raw_Data_Daily!$C$2:$C$9999=$C$3)*Raw_Data_Daily!$D$2:$D$9999*Raw_Data_Daily!$AJ$2:$AJ$9999)/SUMIFS(Raw_Data_Daily!$D:$D, Raw_Data_Daily!$B:$B, "Control", Raw_Data_Daily!$A:$A, $A7, Raw_Data_Daily!$C:$C, $C$3),""))</f>
        <v/>
      </c>
      <c r="CX7" s="130" t="str">
        <f>IF($A7="","",IFERROR(SUMPRODUCT((Raw_Data_Daily!$B$2:$B$9999="Variant")*(Raw_Data_Daily!$A$2:$A$9999=$A7)*(Raw_Data_Daily!$C$2:$C$9999=$C$3)*Raw_Data_Daily!$D$2:$D$9999*Raw_Data_Daily!$AJ$2:$AJ$9999)/SUMIFS(Raw_Data_Daily!$D:$D, Raw_Data_Daily!$B:$B, "Variant", Raw_Data_Daily!$A:$A, $A7, Raw_Data_Daily!$C:$C, $C$3),""))</f>
        <v/>
      </c>
      <c r="CY7" s="140" t="str">
        <f t="shared" ref="CY7:CY41" si="34">IF($A7="","",IFERROR((CX7-CW7)/ABS(CW7),""))</f>
        <v/>
      </c>
      <c r="CZ7" s="130" t="str">
        <f>IF($A7="","",IFERROR(SUMPRODUCT((Raw_Data_Daily!$B$2:$B$9999="Control")*(Raw_Data_Daily!$A$2:$A$9999=$A7)*(Raw_Data_Daily!$C$2:$C$9999=$C$3)*Raw_Data_Daily!$D$2:$D$9999*Raw_Data_Daily!$AK$2:$AK$9999)/SUMIFS(Raw_Data_Daily!$D:$D, Raw_Data_Daily!$B:$B, "Control", Raw_Data_Daily!$A:$A, $A7, Raw_Data_Daily!$C:$C, $C$3),""))</f>
        <v/>
      </c>
      <c r="DA7" s="130" t="str">
        <f>IF($A7="","",IFERROR(SUMPRODUCT((Raw_Data_Daily!$B$2:$B$9999="Variant")*(Raw_Data_Daily!$A$2:$A$9999=$A7)*(Raw_Data_Daily!$C$2:$C$9999=$C$3)*Raw_Data_Daily!$D$2:$D$9999*Raw_Data_Daily!$AK$2:$AK$9999)/SUMIFS(Raw_Data_Daily!$D:$D, Raw_Data_Daily!$B:$B, "Variant", Raw_Data_Daily!$A:$A, $A7, Raw_Data_Daily!$C:$C, $C$3),""))</f>
        <v/>
      </c>
      <c r="DB7" s="132" t="str">
        <f t="shared" ref="DB7:DB41" si="35">IF($A7="","",IFERROR((DA7-CZ7)/ABS(CZ7),""))</f>
        <v/>
      </c>
      <c r="DC7" s="139" t="str">
        <f>IF($A7="","",IFERROR(SUMPRODUCT((Raw_Data_Daily!$B$2:$B$9999="Control")*(Raw_Data_Daily!$A$2:$A$9999=$A7)*(Raw_Data_Daily!$C$2:$C$9999=$C$3)*Raw_Data_Daily!$D$2:$D$9999*Raw_Data_Daily!$AL$2:$AL$9999)/SUMIFS(Raw_Data_Daily!$D:$D, Raw_Data_Daily!$B:$B, "Control", Raw_Data_Daily!$A:$A, $A7, Raw_Data_Daily!$C:$C, $C$3),""))</f>
        <v/>
      </c>
      <c r="DD7" s="139" t="str">
        <f>IF($A7="","",IFERROR(SUMPRODUCT((Raw_Data_Daily!$B$2:$B$9999="Variant")*(Raw_Data_Daily!$A$2:$A$9999=$A7)*(Raw_Data_Daily!$C$2:$C$9999=$C$3)*Raw_Data_Daily!$D$2:$D$9999*Raw_Data_Daily!$AL$2:$AL$9999)/SUMIFS(Raw_Data_Daily!$D:$D, Raw_Data_Daily!$B:$B, "Variant", Raw_Data_Daily!$A:$A, $A7, Raw_Data_Daily!$C:$C, $C$3),""))</f>
        <v/>
      </c>
      <c r="DE7" s="140" t="str">
        <f t="shared" ref="DE7:DE41" si="36">IF($A7="","",IFERROR((DD7-DC7)/ABS(DC7),""))</f>
        <v/>
      </c>
      <c r="DF7" s="165"/>
      <c r="DG7" s="130" t="str">
        <f>IF($A7="","",IFERROR(SUMPRODUCT((Raw_Data_Daily!$B$2:$B$9999="Variant")*(Raw_Data_Daily!$A$2:$A$9999=$A7)*(Raw_Data_Daily!$C$2:$C$9999=$C$3)*Raw_Data_Daily!$D$2:$D$9999*Raw_Data_Daily!$AM$2:$AM$9999)/SUMIFS(Raw_Data_Daily!$D:$D, Raw_Data_Daily!$B:$B, "Variant", Raw_Data_Daily!$A:$A, $A7, Raw_Data_Daily!$C:$C, $C$3),""))</f>
        <v/>
      </c>
      <c r="DH7" s="166"/>
      <c r="DI7" s="165"/>
      <c r="DJ7" s="130" t="str">
        <f>IF($A7="","",IFERROR(SUMPRODUCT((Raw_Data_Daily!$B$2:$B$9999="Variant")*(Raw_Data_Daily!$A$2:$A$9999=$A7)*(Raw_Data_Daily!$C$2:$C$9999=$C$3)*Raw_Data_Daily!$D$2:$D$9999*Raw_Data_Daily!$AN$2:$AN$9999)/SUMIFS(Raw_Data_Daily!$D:$D, Raw_Data_Daily!$B:$B, "Variant", Raw_Data_Daily!$A:$A, $A7, Raw_Data_Daily!$C:$C, $C$3),""))</f>
        <v/>
      </c>
      <c r="DK7" s="166"/>
      <c r="DL7" s="165"/>
      <c r="DM7" s="130" t="str">
        <f>IF($A7="","",IFERROR(SUMPRODUCT((Raw_Data_Daily!$B$2:$B$9999="Variant")*(Raw_Data_Daily!$A$2:$A$9999=$A7)*(Raw_Data_Daily!$C$2:$C$9999=$C$3)*Raw_Data_Daily!$D$2:$D$9999*Raw_Data_Daily!$AO$2:$AO$9999)/SUMIFS(Raw_Data_Daily!$D:$D, Raw_Data_Daily!$B:$B, "Variant", Raw_Data_Daily!$A:$A, $A7, Raw_Data_Daily!$C:$C, $C$3),""))</f>
        <v/>
      </c>
      <c r="DN7" s="166"/>
      <c r="DO7" s="165"/>
      <c r="DP7" s="130" t="str">
        <f>IF($A7="","",IFERROR(SUMPRODUCT((Raw_Data_Daily!$B$2:$B$9999="Variant")*(Raw_Data_Daily!$A$2:$A$9999=$A7)*(Raw_Data_Daily!$C$2:$C$9999=$C$3)*Raw_Data_Daily!$D$2:$D$9999*Raw_Data_Daily!$AP$2:$AP$9999)/SUMIFS(Raw_Data_Daily!$D:$D, Raw_Data_Daily!$B:$B, "Variant", Raw_Data_Daily!$A:$A, $A7, Raw_Data_Daily!$C:$C, $C$3),""))</f>
        <v/>
      </c>
      <c r="DQ7" s="166"/>
      <c r="DR7" s="139" t="str">
        <f>IF($A7="","",IFERROR(SUMPRODUCT((Raw_Data_Daily!$B$2:$B$9999="Control")*(Raw_Data_Daily!$A$2:$A$9999=$A7)*(Raw_Data_Daily!$C$2:$C$9999=$C$3)*Raw_Data_Daily!$D$2:$D$9999*Raw_Data_Daily!$AQ$2:$AQ$9999)/SUMIFS(Raw_Data_Daily!$D:$D, Raw_Data_Daily!$B:$B, "Control", Raw_Data_Daily!$A:$A, $A7, Raw_Data_Daily!$C:$C, $C$3),""))</f>
        <v/>
      </c>
      <c r="DS7" s="139" t="str">
        <f>IF($A7="","",IFERROR(SUMPRODUCT((Raw_Data_Daily!$B$2:$B$9999="Variant")*(Raw_Data_Daily!$A$2:$A$9999=$A7)*(Raw_Data_Daily!$C$2:$C$9999=$C$3)*Raw_Data_Daily!$D$2:$D$9999*Raw_Data_Daily!$AQ$2:$AQ$9999)/SUMIFS(Raw_Data_Daily!$D:$D, Raw_Data_Daily!$B:$B, "Variant", Raw_Data_Daily!$A:$A, $A7, Raw_Data_Daily!$C:$C, $C$3),""))</f>
        <v/>
      </c>
      <c r="DT7" s="167" t="str">
        <f t="shared" ref="DT7:DT41" si="37">IF($A7="","",IFERROR((DS7-DR7)/ABS(DR7),""))</f>
        <v/>
      </c>
      <c r="DU7" s="139" t="str">
        <f>IF($A7="","",IFERROR(SUMPRODUCT((Raw_Data_Daily!$B$2:$B$9999="Control")*(Raw_Data_Daily!$A$2:$A$9999=$A7)*(Raw_Data_Daily!$C$2:$C$9999=$C$3)*Raw_Data_Daily!$D$2:$D$9999*Raw_Data_Daily!$AR$2:$AR$9999)/SUMIFS(Raw_Data_Daily!$D:$D, Raw_Data_Daily!$B:$B, "Control", Raw_Data_Daily!$A:$A, $A7, Raw_Data_Daily!$C:$C, $C$3),""))</f>
        <v/>
      </c>
      <c r="DV7" s="139" t="str">
        <f>IF($A7="","",IFERROR(SUMPRODUCT((Raw_Data_Daily!$B$2:$B$9999="Variant")*(Raw_Data_Daily!$A$2:$A$9999=$A7)*(Raw_Data_Daily!$C$2:$C$9999=$C$3)*Raw_Data_Daily!$D$2:$D$9999*Raw_Data_Daily!$AR$2:$AR$9999)/SUMIFS(Raw_Data_Daily!$D:$D, Raw_Data_Daily!$B:$B, "Variant", Raw_Data_Daily!$A:$A, $A7, Raw_Data_Daily!$C:$C, $C$3),""))</f>
        <v/>
      </c>
      <c r="DW7" s="167" t="str">
        <f t="shared" ref="DW7:DW41" si="38">IF($A7="","",IFERROR((DV7-DU7)/ABS(DU7),""))</f>
        <v/>
      </c>
      <c r="DX7" s="139" t="str">
        <f>IF($A7="","",IFERROR(SUMPRODUCT((Raw_Data_Daily!$B$2:$B$9999="Control")*(Raw_Data_Daily!$A$2:$A$9999=$A7)*(Raw_Data_Daily!$C$2:$C$9999=$C$3)*Raw_Data_Daily!$D$2:$D$9999*Raw_Data_Daily!$AS$2:$AS$9999)/SUMIFS(Raw_Data_Daily!$D:$D, Raw_Data_Daily!$B:$B, "Control", Raw_Data_Daily!$A:$A, $A7, Raw_Data_Daily!$C:$C, $C$3),""))</f>
        <v/>
      </c>
      <c r="DY7" s="139" t="str">
        <f>IF($A7="","",IFERROR(SUMPRODUCT((Raw_Data_Daily!$B$2:$B$9999="Variant")*(Raw_Data_Daily!$A$2:$A$9999=$A7)*(Raw_Data_Daily!$C$2:$C$9999=$C$3)*Raw_Data_Daily!$D$2:$D$9999*Raw_Data_Daily!$AS$2:$AS$9999)/SUMIFS(Raw_Data_Daily!$D:$D, Raw_Data_Daily!$B:$B, "Variant", Raw_Data_Daily!$A:$A, $A7, Raw_Data_Daily!$C:$C, $C$3),""))</f>
        <v/>
      </c>
      <c r="DZ7" s="168" t="str">
        <f t="shared" ref="DZ7:DZ41" si="39">IF($A7="","",IFERROR((DY7-DX7)/ABS(DX7),""))</f>
        <v/>
      </c>
      <c r="EA7" s="139" t="str">
        <f>IF($A7="","",IFERROR(SUMPRODUCT((Raw_Data_Daily!$B$2:$B$9999="Control")*(Raw_Data_Daily!$A$2:$A$9999=$A7)*(Raw_Data_Daily!$C$2:$C$9999=$C$3)*Raw_Data_Daily!$D$2:$D$9999*Raw_Data_Daily!$AT$2:$AT$9999)/SUMIFS(Raw_Data_Daily!$D:$D, Raw_Data_Daily!$B:$B, "Control", Raw_Data_Daily!$A:$A, $A7, Raw_Data_Daily!$C:$C, $C$3),""))</f>
        <v/>
      </c>
      <c r="EB7" s="139" t="str">
        <f>IF($A7="","",IFERROR(SUMPRODUCT((Raw_Data_Daily!$B$2:$B$9999="Variant")*(Raw_Data_Daily!$A$2:$A$9999=$A7)*(Raw_Data_Daily!$C$2:$C$9999=$C$3)*Raw_Data_Daily!$D$2:$D$9999*Raw_Data_Daily!$AT$2:$AT$9999)/SUMIFS(Raw_Data_Daily!$D:$D, Raw_Data_Daily!$B:$B, "Variant", Raw_Data_Daily!$A:$A, $A7, Raw_Data_Daily!$C:$C, $C$3),""))</f>
        <v/>
      </c>
      <c r="EC7" s="167" t="str">
        <f t="shared" ref="EC7:EC41" si="40">IF($A7="","",IFERROR((EB7-EA7)/ABS(EA7),""))</f>
        <v/>
      </c>
      <c r="ED7" s="139" t="str">
        <f>IF($A7="","",IFERROR(SUMPRODUCT((Raw_Data_Daily!$B$2:$B$9999="Control")*(Raw_Data_Daily!$A$2:$A$9999=$A7)*(Raw_Data_Daily!$C$2:$C$9999=$C$3)*Raw_Data_Daily!$D$2:$D$9999*(Raw_Data_Daily!$AQ$2:$AQ$9999-Raw_Data_Daily!$AT$2:$AT$9999))/SUMIFS(Raw_Data_Daily!$D:$D, Raw_Data_Daily!$B:$B, "Control", Raw_Data_Daily!$A:$A, $A7, Raw_Data_Daily!$C:$C, $C$3),""))</f>
        <v/>
      </c>
      <c r="EE7" s="139" t="str">
        <f>IF($A7="","",IFERROR(SUMPRODUCT((Raw_Data_Daily!$B$2:$B$9999="Variant")*(Raw_Data_Daily!$A$2:$A$9999=$A7)*(Raw_Data_Daily!$C$2:$C$9999=$C$3)*Raw_Data_Daily!$D$2:$D$9999*(Raw_Data_Daily!$AQ$2:$AQ$9999-Raw_Data_Daily!$AT$2:$AT$9999))/SUMIFS(Raw_Data_Daily!$D:$D, Raw_Data_Daily!$B:$B, "Variant", Raw_Data_Daily!$A:$A, $A7, Raw_Data_Daily!$C:$C, $C$3),""))</f>
        <v/>
      </c>
      <c r="EF7" s="168" t="str">
        <f t="shared" ref="EF7:EF41" si="41">IF($A7="","",IFERROR((EE7-ED7)/ABS(ED7),""))</f>
        <v/>
      </c>
      <c r="EG7" s="139" t="str">
        <f>IF($A7="","",IFERROR(SUMPRODUCT((Raw_Data_Daily!$B$2:$B$9999="Control")*(Raw_Data_Daily!$A$2:$A$9999=$A7)*(Raw_Data_Daily!$C$2:$C$9999=$C$3)*Raw_Data_Daily!$D$2:$D$9999*Raw_Data_Daily!$AU$2:$AU$9999)/SUMIFS(Raw_Data_Daily!$D:$D, Raw_Data_Daily!$B:$B, "Control", Raw_Data_Daily!$A:$A, $A7, Raw_Data_Daily!$C:$C, $C$3),""))</f>
        <v/>
      </c>
      <c r="EH7" s="139" t="str">
        <f>IF($A7="","",IFERROR(SUMPRODUCT((Raw_Data_Daily!$B$2:$B$9999="Variant")*(Raw_Data_Daily!$A$2:$A$9999=$A7)*(Raw_Data_Daily!$C$2:$C$9999=$C$3)*Raw_Data_Daily!$D$2:$D$9999*Raw_Data_Daily!$AU$2:$AU$9999)/SUMIFS(Raw_Data_Daily!$D:$D, Raw_Data_Daily!$B:$B, "Variant", Raw_Data_Daily!$A:$A, $A7, Raw_Data_Daily!$C:$C, $C$3),""))</f>
        <v/>
      </c>
      <c r="EI7" s="167" t="str">
        <f t="shared" ref="EI7:EI41" si="42">IF($A7="","",IFERROR((EH7-EG7)/ABS(EG7),""))</f>
        <v/>
      </c>
    </row>
    <row r="8" ht="15.75" customHeight="1">
      <c r="A8" s="126">
        <v>46231.0</v>
      </c>
      <c r="B8" s="128">
        <f>IF($A8="","",SUMIFS(Raw_Data_Daily!$D:$D, Raw_Data_Daily!$B:$B, "Control", Raw_Data_Daily!$A:$A, $A8, Raw_Data_Daily!$C:$C, $C$3))</f>
        <v>0</v>
      </c>
      <c r="C8" s="128">
        <f>IF($A8="","",SUMIFS(Raw_Data_Daily!$D:$D, Raw_Data_Daily!$B:$B, "Variant", Raw_Data_Daily!$A:$A, $A8, Raw_Data_Daily!$C:$C, $C$3))</f>
        <v>0</v>
      </c>
      <c r="D8" s="129" t="str">
        <f t="shared" si="1"/>
        <v/>
      </c>
      <c r="E8" s="130" t="str">
        <f>IF($A8="","",IFERROR(SUMPRODUCT((Raw_Data_Daily!$B$2:$B$9999="Control")*(Raw_Data_Daily!$A$2:$A$9999=$A8)*(Raw_Data_Daily!$C$2:$C$9999=$C$3)*Raw_Data_Daily!$D$2:$D$9999*Raw_Data_Daily!$E$2:$E$9999)/SUMIFS(Raw_Data_Daily!$D:$D, Raw_Data_Daily!$B:$B, "Control", Raw_Data_Daily!$A:$A, $A8, Raw_Data_Daily!$C:$C, $C$3),""))</f>
        <v/>
      </c>
      <c r="F8" s="130" t="str">
        <f>IF($A8="","",IFERROR(SUMPRODUCT((Raw_Data_Daily!$B$2:$B$9999="Variant")*(Raw_Data_Daily!$A$2:$A$9999=$A8)*(Raw_Data_Daily!$C$2:$C$9999=$C$3)*Raw_Data_Daily!$D$2:$D$9999*Raw_Data_Daily!$E$2:$E$9999)/SUMIFS(Raw_Data_Daily!$D:$D, Raw_Data_Daily!$B:$B, "Variant", Raw_Data_Daily!$A:$A, $A8, Raw_Data_Daily!$C:$C, $C$3),""))</f>
        <v/>
      </c>
      <c r="G8" s="129" t="str">
        <f t="shared" si="2"/>
        <v/>
      </c>
      <c r="H8" s="131">
        <f>IF($A8="","",SUMIFS(Raw_Data_Daily!$F:$F, Raw_Data_Daily!$B:$B, "Control", Raw_Data_Daily!$A:$A, $A8, Raw_Data_Daily!$C:$C, $C$3))</f>
        <v>0</v>
      </c>
      <c r="I8" s="131">
        <f>IF($A8="","",SUMIFS(Raw_Data_Daily!$F:$F, Raw_Data_Daily!$B:$B, "Variant", Raw_Data_Daily!$A:$A, $A8, Raw_Data_Daily!$C:$C, $C$3))</f>
        <v>0</v>
      </c>
      <c r="J8" s="132" t="str">
        <f t="shared" si="3"/>
        <v/>
      </c>
      <c r="K8" s="134" t="str">
        <f>IF($A8="","",IFERROR(SUMIFS(Raw_Data_Daily!$F:$F, Raw_Data_Daily!$B:$B, "Control", Raw_Data_Daily!$A:$A, $A8, Raw_Data_Daily!$C:$C, $C$3)/SUMIFS(Raw_Data_Daily!$D:$D, Raw_Data_Daily!$B:$B, "Control", Raw_Data_Daily!$A:$A, $A8, Raw_Data_Daily!$C:$C, $C$3),""))</f>
        <v/>
      </c>
      <c r="L8" s="134" t="str">
        <f>IF($A8="","",IFERROR(SUMIFS(Raw_Data_Daily!$F:$F, Raw_Data_Daily!$B:$B, "Variant", Raw_Data_Daily!$A:$A, $A8, Raw_Data_Daily!$C:$C, $C$3)/SUMIFS(Raw_Data_Daily!$D:$D, Raw_Data_Daily!$B:$B, "Variant", Raw_Data_Daily!$A:$A, $A8, Raw_Data_Daily!$C:$C, $C$3),""))</f>
        <v/>
      </c>
      <c r="M8" s="132" t="str">
        <f t="shared" si="4"/>
        <v/>
      </c>
      <c r="N8" s="130" t="str">
        <f>IF($A8="","",IFERROR(SUMPRODUCT((Raw_Data_Daily!$B$2:$B$9999="Control")*(Raw_Data_Daily!$A$2:$A$9999=$A8)*(Raw_Data_Daily!$C$2:$C$9999=$C$3)*Raw_Data_Daily!$D$2:$D$9999*Raw_Data_Daily!$H$2:$H$9999/100)/SUMIFS(Raw_Data_Daily!$D:$D, Raw_Data_Daily!$B:$B, "Control", Raw_Data_Daily!$A:$A, $A8, Raw_Data_Daily!$C:$C, $C$3)*100,""))</f>
        <v/>
      </c>
      <c r="O8" s="130" t="str">
        <f>IF($A8="","",IFERROR(SUMPRODUCT((Raw_Data_Daily!$B$2:$B$9999="Variant")*(Raw_Data_Daily!$A$2:$A$9999=$A8)*(Raw_Data_Daily!$C$2:$C$9999=$C$3)*Raw_Data_Daily!$D$2:$D$9999*Raw_Data_Daily!$H$2:$H$9999/100)/SUMIFS(Raw_Data_Daily!$D:$D, Raw_Data_Daily!$B:$B, "Variant", Raw_Data_Daily!$A:$A, $A8, Raw_Data_Daily!$C:$C, $C$3)*100,""))</f>
        <v/>
      </c>
      <c r="P8" s="132" t="str">
        <f t="shared" si="5"/>
        <v/>
      </c>
      <c r="Q8" s="134" t="str">
        <f>IF($A8="","",IFERROR(SUMIFS(Raw_Data_Daily!$F:$F, Raw_Data_Daily!$B:$B, "Control", Raw_Data_Daily!$A:$A, $A8, Raw_Data_Daily!$C:$C, $C$3)/SUMPRODUCT((Raw_Data_Daily!$B$2:$B$9999="Control")*(Raw_Data_Daily!$A$2:$A$9999=$A8)*(Raw_Data_Daily!$C$2:$C$9999=$C$3)*Raw_Data_Daily!$D$2:$D$9999*Raw_Data_Daily!$H$2:$H$9999/100),""))</f>
        <v/>
      </c>
      <c r="R8" s="134" t="str">
        <f>IF($A8="","",IFERROR(SUMIFS(Raw_Data_Daily!$F:$F, Raw_Data_Daily!$B:$B, "Variant", Raw_Data_Daily!$A:$A, $A8, Raw_Data_Daily!$C:$C, $C$3)/SUMPRODUCT((Raw_Data_Daily!$B$2:$B$9999="Variant")*(Raw_Data_Daily!$A$2:$A$9999=$A8)*(Raw_Data_Daily!$C$2:$C$9999=$C$3)*Raw_Data_Daily!$D$2:$D$9999*Raw_Data_Daily!$H$2:$H$9999/100),""))</f>
        <v/>
      </c>
      <c r="S8" s="132" t="str">
        <f t="shared" si="6"/>
        <v/>
      </c>
      <c r="T8" s="137" t="str">
        <f>IF($A8="","",IFERROR(SUMPRODUCT((Raw_Data_Daily!$B$2:$B$9999="Control")*(Raw_Data_Daily!$A$2:$A$9999=$A8)*(Raw_Data_Daily!$C$2:$C$9999=$C$3)*Raw_Data_Daily!$D$2:$D$9999*Raw_Data_Daily!$J$2:$J$9999)/SUMIFS(Raw_Data_Daily!$D:$D, Raw_Data_Daily!$B:$B, "Control", Raw_Data_Daily!$A:$A, $A8, Raw_Data_Daily!$C:$C, $C$3),""))</f>
        <v/>
      </c>
      <c r="U8" s="137" t="str">
        <f>IF($A8="","",IFERROR(SUMPRODUCT((Raw_Data_Daily!$B$2:$B$9999="Variant")*(Raw_Data_Daily!$A$2:$A$9999=$A8)*(Raw_Data_Daily!$C$2:$C$9999=$C$3)*Raw_Data_Daily!$D$2:$D$9999*Raw_Data_Daily!$J$2:$J$9999)/SUMIFS(Raw_Data_Daily!$D:$D, Raw_Data_Daily!$B:$B, "Variant", Raw_Data_Daily!$A:$A, $A8, Raw_Data_Daily!$C:$C, $C$3),""))</f>
        <v/>
      </c>
      <c r="V8" s="132" t="str">
        <f t="shared" si="7"/>
        <v/>
      </c>
      <c r="W8" s="137" t="str">
        <f>IF($A8="","",IFERROR(SUMPRODUCT((Raw_Data_Daily!$B$2:$B$9999="Control")*(Raw_Data_Daily!$A$2:$A$9999=$A8)*(Raw_Data_Daily!$C$2:$C$9999=$C$3)*Raw_Data_Daily!$D$2:$D$9999*Raw_Data_Daily!$K$2:$K$9999)/SUMIFS(Raw_Data_Daily!$D:$D, Raw_Data_Daily!$B:$B, "Control", Raw_Data_Daily!$A:$A, $A8, Raw_Data_Daily!$C:$C, $C$3),""))</f>
        <v/>
      </c>
      <c r="X8" s="137" t="str">
        <f>IF($A8="","",IFERROR(SUMPRODUCT((Raw_Data_Daily!$B$2:$B$9999="Variant")*(Raw_Data_Daily!$A$2:$A$9999=$A8)*(Raw_Data_Daily!$C$2:$C$9999=$C$3)*Raw_Data_Daily!$D$2:$D$9999*Raw_Data_Daily!$K$2:$K$9999)/SUMIFS(Raw_Data_Daily!$D:$D, Raw_Data_Daily!$B:$B, "Variant", Raw_Data_Daily!$A:$A, $A8, Raw_Data_Daily!$C:$C, $C$3),""))</f>
        <v/>
      </c>
      <c r="Y8" s="132" t="str">
        <f t="shared" si="8"/>
        <v/>
      </c>
      <c r="Z8" s="137" t="str">
        <f>IF($A8="","",IFERROR(SUMPRODUCT((Raw_Data_Daily!$B$2:$B$9999="Control")*(Raw_Data_Daily!$A$2:$A$9999=$A8)*(Raw_Data_Daily!$C$2:$C$9999=$C$3)*Raw_Data_Daily!$D$2:$D$9999*Raw_Data_Daily!$L$2:$L$9999)/SUMIFS(Raw_Data_Daily!$D:$D, Raw_Data_Daily!$B:$B, "Control", Raw_Data_Daily!$A:$A, $A8, Raw_Data_Daily!$C:$C, $C$3),""))</f>
        <v/>
      </c>
      <c r="AA8" s="137" t="str">
        <f>IF($A8="","",IFERROR(SUMPRODUCT((Raw_Data_Daily!$B$2:$B$9999="Variant")*(Raw_Data_Daily!$A$2:$A$9999=$A8)*(Raw_Data_Daily!$C$2:$C$9999=$C$3)*Raw_Data_Daily!$D$2:$D$9999*Raw_Data_Daily!$L$2:$L$9999)/SUMIFS(Raw_Data_Daily!$D:$D, Raw_Data_Daily!$B:$B, "Variant", Raw_Data_Daily!$A:$A, $A8, Raw_Data_Daily!$C:$C, $C$3),""))</f>
        <v/>
      </c>
      <c r="AB8" s="132" t="str">
        <f t="shared" si="9"/>
        <v/>
      </c>
      <c r="AC8" s="139" t="str">
        <f>IF($A8="","",IFERROR(SUMPRODUCT((Raw_Data_Daily!$B$2:$B$9999="Control")*(Raw_Data_Daily!$A$2:$A$9999=$A8)*(Raw_Data_Daily!$C$2:$C$9999=$C$3)*Raw_Data_Daily!$D$2:$D$9999*Raw_Data_Daily!$M$2:$M$9999)/SUMIFS(Raw_Data_Daily!$D:$D, Raw_Data_Daily!$B:$B, "Control", Raw_Data_Daily!$A:$A, $A8, Raw_Data_Daily!$C:$C, $C$3),""))</f>
        <v/>
      </c>
      <c r="AD8" s="139" t="str">
        <f>IF($A8="","",IFERROR(SUMPRODUCT((Raw_Data_Daily!$B$2:$B$9999="Variant")*(Raw_Data_Daily!$A$2:$A$9999=$A8)*(Raw_Data_Daily!$C$2:$C$9999=$C$3)*Raw_Data_Daily!$D$2:$D$9999*Raw_Data_Daily!$M$2:$M$9999)/SUMIFS(Raw_Data_Daily!$D:$D, Raw_Data_Daily!$B:$B, "Variant", Raw_Data_Daily!$A:$A, $A8, Raw_Data_Daily!$C:$C, $C$3),""))</f>
        <v/>
      </c>
      <c r="AE8" s="140" t="str">
        <f t="shared" si="10"/>
        <v/>
      </c>
      <c r="AF8" s="139" t="str">
        <f>IF($A8="","",IFERROR(SUMPRODUCT((Raw_Data_Daily!$B$2:$B$9999="Control")*(Raw_Data_Daily!$A$2:$A$9999=$A8)*(Raw_Data_Daily!$C$2:$C$9999=$C$3)*Raw_Data_Daily!$D$2:$D$9999*Raw_Data_Daily!$N$2:$N$9999)/SUMIFS(Raw_Data_Daily!$D:$D, Raw_Data_Daily!$B:$B, "Control", Raw_Data_Daily!$A:$A, $A8, Raw_Data_Daily!$C:$C, $C$3),""))</f>
        <v/>
      </c>
      <c r="AG8" s="139" t="str">
        <f>IF($A8="","",IFERROR(SUMPRODUCT((Raw_Data_Daily!$B$2:$B$9999="Variant")*(Raw_Data_Daily!$A$2:$A$9999=$A8)*(Raw_Data_Daily!$C$2:$C$9999=$C$3)*Raw_Data_Daily!$D$2:$D$9999*Raw_Data_Daily!$N$2:$N$9999)/SUMIFS(Raw_Data_Daily!$D:$D, Raw_Data_Daily!$B:$B, "Variant", Raw_Data_Daily!$A:$A, $A8, Raw_Data_Daily!$C:$C, $C$3),""))</f>
        <v/>
      </c>
      <c r="AH8" s="140" t="str">
        <f t="shared" si="11"/>
        <v/>
      </c>
      <c r="AI8" s="139" t="str">
        <f>IF($A8="","",IFERROR(SUMPRODUCT((Raw_Data_Daily!$B$2:$B$9999="Control")*(Raw_Data_Daily!$A$2:$A$9999=$A8)*(Raw_Data_Daily!$C$2:$C$9999=$C$3)*Raw_Data_Daily!$D$2:$D$9999*Raw_Data_Daily!$O$2:$O$9999)/SUMIFS(Raw_Data_Daily!$D:$D, Raw_Data_Daily!$B:$B, "Control", Raw_Data_Daily!$A:$A, $A8, Raw_Data_Daily!$C:$C, $C$3),""))</f>
        <v/>
      </c>
      <c r="AJ8" s="139" t="str">
        <f>IF($A8="","",IFERROR(SUMPRODUCT((Raw_Data_Daily!$B$2:$B$9999="Variant")*(Raw_Data_Daily!$A$2:$A$9999=$A8)*(Raw_Data_Daily!$C$2:$C$9999=$C$3)*Raw_Data_Daily!$D$2:$D$9999*Raw_Data_Daily!$O$2:$O$9999)/SUMIFS(Raw_Data_Daily!$D:$D, Raw_Data_Daily!$B:$B, "Variant", Raw_Data_Daily!$A:$A, $A8, Raw_Data_Daily!$C:$C, $C$3),""))</f>
        <v/>
      </c>
      <c r="AK8" s="132" t="str">
        <f t="shared" si="12"/>
        <v/>
      </c>
      <c r="AL8" s="137" t="str">
        <f>IF($A8="","",IFERROR(SUMPRODUCT((Raw_Data_Daily!$B$2:$B$9999="Control")*(Raw_Data_Daily!$A$2:$A$9999=$A8)*(Raw_Data_Daily!$C$2:$C$9999=$C$3)*Raw_Data_Daily!$D$2:$D$9999*Raw_Data_Daily!$P$2:$P$9999)/SUMIFS(Raw_Data_Daily!$D:$D, Raw_Data_Daily!$B:$B, "Control", Raw_Data_Daily!$A:$A, $A8, Raw_Data_Daily!$C:$C, $C$3),""))</f>
        <v/>
      </c>
      <c r="AM8" s="137" t="str">
        <f>IF($A8="","",IFERROR(SUMPRODUCT((Raw_Data_Daily!$B$2:$B$9999="Variant")*(Raw_Data_Daily!$A$2:$A$9999=$A8)*(Raw_Data_Daily!$C$2:$C$9999=$C$3)*Raw_Data_Daily!$D$2:$D$9999*Raw_Data_Daily!$P$2:$P$9999)/SUMIFS(Raw_Data_Daily!$D:$D, Raw_Data_Daily!$B:$B, "Variant", Raw_Data_Daily!$A:$A, $A8, Raw_Data_Daily!$C:$C, $C$3),""))</f>
        <v/>
      </c>
      <c r="AN8" s="132" t="str">
        <f t="shared" si="13"/>
        <v/>
      </c>
      <c r="AO8" s="137" t="str">
        <f>IF($A8="","",IFERROR(SUMPRODUCT((Raw_Data_Daily!$B$2:$B$9999="Control")*(Raw_Data_Daily!$A$2:$A$9999=$A8)*(Raw_Data_Daily!$C$2:$C$9999=$C$3)*Raw_Data_Daily!$D$2:$D$9999*Raw_Data_Daily!$Q$2:$Q$9999)/SUMIFS(Raw_Data_Daily!$D:$D, Raw_Data_Daily!$B:$B, "Control", Raw_Data_Daily!$A:$A, $A8, Raw_Data_Daily!$C:$C, $C$3),""))</f>
        <v/>
      </c>
      <c r="AP8" s="137" t="str">
        <f>IF($A8="","",IFERROR(SUMPRODUCT((Raw_Data_Daily!$B$2:$B$9999="Variant")*(Raw_Data_Daily!$A$2:$A$9999=$A8)*(Raw_Data_Daily!$C$2:$C$9999=$C$3)*Raw_Data_Daily!$D$2:$D$9999*Raw_Data_Daily!$Q$2:$Q$9999)/SUMIFS(Raw_Data_Daily!$D:$D, Raw_Data_Daily!$B:$B, "Variant", Raw_Data_Daily!$A:$A, $A8, Raw_Data_Daily!$C:$C, $C$3),""))</f>
        <v/>
      </c>
      <c r="AQ8" s="129" t="str">
        <f t="shared" si="14"/>
        <v/>
      </c>
      <c r="AR8" s="137" t="str">
        <f>IF($A8="","",IFERROR(SUMPRODUCT((Raw_Data_Daily!$B$2:$B$9999="Control")*(Raw_Data_Daily!$A$2:$A$9999=$A8)*(Raw_Data_Daily!$C$2:$C$9999=$C$3)*Raw_Data_Daily!$D$2:$D$9999*Raw_Data_Daily!$R$2:$R$9999)/SUMIFS(Raw_Data_Daily!$D:$D, Raw_Data_Daily!$B:$B, "Control", Raw_Data_Daily!$A:$A, $A8, Raw_Data_Daily!$C:$C, $C$3),""))</f>
        <v/>
      </c>
      <c r="AS8" s="137" t="str">
        <f>IF($A8="","",IFERROR(SUMPRODUCT((Raw_Data_Daily!$B$2:$B$9999="Variant")*(Raw_Data_Daily!$A$2:$A$9999=$A8)*(Raw_Data_Daily!$C$2:$C$9999=$C$3)*Raw_Data_Daily!$D$2:$D$9999*Raw_Data_Daily!$R$2:$R$9999)/SUMIFS(Raw_Data_Daily!$D:$D, Raw_Data_Daily!$B:$B, "Variant", Raw_Data_Daily!$A:$A, $A8, Raw_Data_Daily!$C:$C, $C$3),""))</f>
        <v/>
      </c>
      <c r="AT8" s="129" t="str">
        <f t="shared" si="15"/>
        <v/>
      </c>
      <c r="AU8" s="137" t="str">
        <f>IF($A8="","",IFERROR(SUMPRODUCT((Raw_Data_Daily!$B$2:$B$9999="Control")*(Raw_Data_Daily!$A$2:$A$9999=$A8)*(Raw_Data_Daily!$C$2:$C$9999=$C$3)*Raw_Data_Daily!$D$2:$D$9999*Raw_Data_Daily!$S$2:$S$9999)/SUMIFS(Raw_Data_Daily!$D:$D, Raw_Data_Daily!$B:$B, "Control", Raw_Data_Daily!$A:$A, $A8, Raw_Data_Daily!$C:$C, $C$3),""))</f>
        <v/>
      </c>
      <c r="AV8" s="137" t="str">
        <f>IF($A8="","",IFERROR(SUMPRODUCT((Raw_Data_Daily!$B$2:$B$9999="Variant")*(Raw_Data_Daily!$A$2:$A$9999=$A8)*(Raw_Data_Daily!$C$2:$C$9999=$C$3)*Raw_Data_Daily!$D$2:$D$9999*Raw_Data_Daily!$S$2:$S$9999)/SUMIFS(Raw_Data_Daily!$D:$D, Raw_Data_Daily!$B:$B, "Variant", Raw_Data_Daily!$A:$A, $A8, Raw_Data_Daily!$C:$C, $C$3),""))</f>
        <v/>
      </c>
      <c r="AW8" s="129" t="str">
        <f t="shared" si="16"/>
        <v/>
      </c>
      <c r="AX8" s="137" t="str">
        <f>IF($A8="","",IFERROR(SUMPRODUCT((Raw_Data_Daily!$B$2:$B$9999="Control")*(Raw_Data_Daily!$A$2:$A$9999=$A8)*(Raw_Data_Daily!$C$2:$C$9999=$C$3)*Raw_Data_Daily!$D$2:$D$9999*Raw_Data_Daily!$T$2:$T$9999)/SUMIFS(Raw_Data_Daily!$D:$D, Raw_Data_Daily!$B:$B, "Control", Raw_Data_Daily!$A:$A, $A8, Raw_Data_Daily!$C:$C, $C$3),""))</f>
        <v/>
      </c>
      <c r="AY8" s="137" t="str">
        <f>IF($A8="","",IFERROR(SUMPRODUCT((Raw_Data_Daily!$B$2:$B$9999="Variant")*(Raw_Data_Daily!$A$2:$A$9999=$A8)*(Raw_Data_Daily!$C$2:$C$9999=$C$3)*Raw_Data_Daily!$D$2:$D$9999*Raw_Data_Daily!$T$2:$T$9999)/SUMIFS(Raw_Data_Daily!$D:$D, Raw_Data_Daily!$B:$B, "Variant", Raw_Data_Daily!$A:$A, $A8, Raw_Data_Daily!$C:$C, $C$3),""))</f>
        <v/>
      </c>
      <c r="AZ8" s="132" t="str">
        <f t="shared" si="17"/>
        <v/>
      </c>
      <c r="BA8" s="137" t="str">
        <f>IF($A8="","",IFERROR(SUMPRODUCT((Raw_Data_Daily!$B$2:$B$9999="Control")*(Raw_Data_Daily!$A$2:$A$9999=$A8)*(Raw_Data_Daily!$C$2:$C$9999=$C$3)*Raw_Data_Daily!$D$2:$D$9999*Raw_Data_Daily!$U$2:$U$9999)/SUMIFS(Raw_Data_Daily!$D:$D, Raw_Data_Daily!$B:$B, "Control", Raw_Data_Daily!$A:$A, $A8, Raw_Data_Daily!$C:$C, $C$3),""))</f>
        <v/>
      </c>
      <c r="BB8" s="137" t="str">
        <f>IF($A8="","",IFERROR(SUMPRODUCT((Raw_Data_Daily!$B$2:$B$9999="Variant")*(Raw_Data_Daily!$A$2:$A$9999=$A8)*(Raw_Data_Daily!$C$2:$C$9999=$C$3)*Raw_Data_Daily!$D$2:$D$9999*Raw_Data_Daily!$U$2:$U$9999)/SUMIFS(Raw_Data_Daily!$D:$D, Raw_Data_Daily!$B:$B, "Variant", Raw_Data_Daily!$A:$A, $A8, Raw_Data_Daily!$C:$C, $C$3),""))</f>
        <v/>
      </c>
      <c r="BC8" s="129" t="str">
        <f t="shared" si="18"/>
        <v/>
      </c>
      <c r="BD8" s="137" t="str">
        <f>IF($A8="","",IFERROR(SUMPRODUCT((Raw_Data_Daily!$B$2:$B$9999="Control")*(Raw_Data_Daily!$A$2:$A$9999=$A8)*(Raw_Data_Daily!$C$2:$C$9999=$C$3)*Raw_Data_Daily!$D$2:$D$9999*Raw_Data_Daily!$V$2:$V$9999)/SUMIFS(Raw_Data_Daily!$D:$D, Raw_Data_Daily!$B:$B, "Control", Raw_Data_Daily!$A:$A, $A8, Raw_Data_Daily!$C:$C, $C$3),""))</f>
        <v/>
      </c>
      <c r="BE8" s="137" t="str">
        <f>IF($A8="","",IFERROR(SUMPRODUCT((Raw_Data_Daily!$B$2:$B$9999="Variant")*(Raw_Data_Daily!$A$2:$A$9999=$A8)*(Raw_Data_Daily!$C$2:$C$9999=$C$3)*Raw_Data_Daily!$D$2:$D$9999*Raw_Data_Daily!$V$2:$V$9999)/SUMIFS(Raw_Data_Daily!$D:$D, Raw_Data_Daily!$B:$B, "Variant", Raw_Data_Daily!$A:$A, $A8, Raw_Data_Daily!$C:$C, $C$3),""))</f>
        <v/>
      </c>
      <c r="BF8" s="148" t="str">
        <f t="shared" si="19"/>
        <v/>
      </c>
      <c r="BG8" s="149" t="str">
        <f>IF($A8="","",IFERROR(SUMPRODUCT((Raw_Data_Daily!$B$2:$B$9999="Control")*(Raw_Data_Daily!$A$2:$A$9999=$A8)*(Raw_Data_Daily!$C$2:$C$9999=$C$3)*Raw_Data_Daily!$D$2:$D$9999*(Raw_Data_Daily!$Q$2:$Q$9999-Raw_Data_Daily!$V$2:$V$9999))/SUMIFS(Raw_Data_Daily!$D:$D, Raw_Data_Daily!$B:$B, "Control", Raw_Data_Daily!$A:$A, $A8, Raw_Data_Daily!$C:$C, $C$3),""))</f>
        <v/>
      </c>
      <c r="BH8" s="137" t="str">
        <f>IF($A8="","",IFERROR(SUMPRODUCT((Raw_Data_Daily!$B$2:$B$9999="Variant")*(Raw_Data_Daily!$A$2:$A$9999=$A8)*(Raw_Data_Daily!$C$2:$C$9999=$C$3)*Raw_Data_Daily!$D$2:$D$9999*(Raw_Data_Daily!$Q$2:$Q$9999-Raw_Data_Daily!$V$2:$V$9999))/SUMIFS(Raw_Data_Daily!$D:$D, Raw_Data_Daily!$B:$B, "Variant", Raw_Data_Daily!$A:$A, $A8, Raw_Data_Daily!$C:$C, $C$3),""))</f>
        <v/>
      </c>
      <c r="BI8" s="155" t="str">
        <f t="shared" si="20"/>
        <v/>
      </c>
      <c r="BJ8" s="156" t="str">
        <f>IF($A8="","",IFERROR(SUMPRODUCT((Raw_Data_Daily!$B$2:$B$9999="Control")*(Raw_Data_Daily!$A$2:$A$9999=$A8)*(Raw_Data_Daily!$C$2:$C$9999=$C$3)*Raw_Data_Daily!$D$2:$D$9999*Raw_Data_Daily!$W$2:$W$9999)/SUMIFS(Raw_Data_Daily!$D:$D, Raw_Data_Daily!$B:$B, "Control", Raw_Data_Daily!$A:$A, $A8, Raw_Data_Daily!$C:$C, $C$3),""))</f>
        <v/>
      </c>
      <c r="BK8" s="137" t="str">
        <f>IF($A8="","",IFERROR(SUMPRODUCT((Raw_Data_Daily!$B$2:$B$9999="Variant")*(Raw_Data_Daily!$A$2:$A$9999=$A8)*(Raw_Data_Daily!$C$2:$C$9999=$C$3)*Raw_Data_Daily!$D$2:$D$9999*Raw_Data_Daily!$W$2:$W$9999)/SUMIFS(Raw_Data_Daily!$D:$D, Raw_Data_Daily!$B:$B, "Variant", Raw_Data_Daily!$A:$A, $A8, Raw_Data_Daily!$C:$C, $C$3),""))</f>
        <v/>
      </c>
      <c r="BL8" s="129" t="str">
        <f t="shared" si="21"/>
        <v/>
      </c>
      <c r="BM8" s="139" t="str">
        <f>IF($A8="","",IFERROR(SUMPRODUCT((Raw_Data_Daily!$B$2:$B$9999="Control")*(Raw_Data_Daily!$A$2:$A$9999=$A8)*(Raw_Data_Daily!$C$2:$C$9999=$C$3)*Raw_Data_Daily!$D$2:$D$9999*Raw_Data_Daily!$X$2:$X$9999)/SUMIFS(Raw_Data_Daily!$D:$D, Raw_Data_Daily!$B:$B, "Control", Raw_Data_Daily!$A:$A, $A8, Raw_Data_Daily!$C:$C, $C$3),""))</f>
        <v/>
      </c>
      <c r="BN8" s="139" t="str">
        <f>IF($A8="","",IFERROR(SUMPRODUCT((Raw_Data_Daily!$B$2:$B$9999="Variant")*(Raw_Data_Daily!$A$2:$A$9999=$A8)*(Raw_Data_Daily!$C$2:$C$9999=$C$3)*Raw_Data_Daily!$D$2:$D$9999*Raw_Data_Daily!$X$2:$X$9999)/SUMIFS(Raw_Data_Daily!$D:$D, Raw_Data_Daily!$B:$B, "Variant", Raw_Data_Daily!$A:$A, $A8, Raw_Data_Daily!$C:$C, $C$3),""))</f>
        <v/>
      </c>
      <c r="BO8" s="132" t="str">
        <f t="shared" si="22"/>
        <v/>
      </c>
      <c r="BP8" s="128" t="str">
        <f>IF($A8="","",IFERROR(SUMPRODUCT((Raw_Data_Daily!$B$2:$B$9999="Control")*(Raw_Data_Daily!$A$2:$A$9999=$A8)*(Raw_Data_Daily!$C$2:$C$9999=$C$3)*Raw_Data_Daily!$D$2:$D$9999*Raw_Data_Daily!$Y$2:$Y$9999)/SUMIFS(Raw_Data_Daily!$D:$D, Raw_Data_Daily!$B:$B, "Control", Raw_Data_Daily!$A:$A, $A8, Raw_Data_Daily!$C:$C, $C$3),""))</f>
        <v/>
      </c>
      <c r="BQ8" s="128" t="str">
        <f>IF($A8="","",IFERROR(SUMPRODUCT((Raw_Data_Daily!$B$2:$B$9999="Variant")*(Raw_Data_Daily!$A$2:$A$9999=$A8)*(Raw_Data_Daily!$C$2:$C$9999=$C$3)*Raw_Data_Daily!$D$2:$D$9999*Raw_Data_Daily!$Y$2:$Y$9999)/SUMIFS(Raw_Data_Daily!$D:$D, Raw_Data_Daily!$B:$B, "Variant", Raw_Data_Daily!$A:$A, $A8, Raw_Data_Daily!$C:$C, $C$3),""))</f>
        <v/>
      </c>
      <c r="BR8" s="129" t="str">
        <f t="shared" si="23"/>
        <v/>
      </c>
      <c r="BS8" s="128" t="str">
        <f>IF($A8="","",IFERROR(SUMPRODUCT((Raw_Data_Daily!$B$2:$B$9999="Control")*(Raw_Data_Daily!$A$2:$A$9999=$A8)*(Raw_Data_Daily!$C$2:$C$9999=$C$3)*Raw_Data_Daily!$D$2:$D$9999*Raw_Data_Daily!$Z$2:$Z$9999)/SUMIFS(Raw_Data_Daily!$D:$D, Raw_Data_Daily!$B:$B, "Control", Raw_Data_Daily!$A:$A, $A8, Raw_Data_Daily!$C:$C, $C$3),""))</f>
        <v/>
      </c>
      <c r="BT8" s="128" t="str">
        <f>IF($A8="","",IFERROR(SUMPRODUCT((Raw_Data_Daily!$B$2:$B$9999="Variant")*(Raw_Data_Daily!$A$2:$A$9999=$A8)*(Raw_Data_Daily!$C$2:$C$9999=$C$3)*Raw_Data_Daily!$D$2:$D$9999*Raw_Data_Daily!$Z$2:$Z$9999)/SUMIFS(Raw_Data_Daily!$D:$D, Raw_Data_Daily!$B:$B, "Variant", Raw_Data_Daily!$A:$A, $A8, Raw_Data_Daily!$C:$C, $C$3),""))</f>
        <v/>
      </c>
      <c r="BU8" s="129" t="str">
        <f t="shared" si="24"/>
        <v/>
      </c>
      <c r="BV8" s="128" t="str">
        <f>IF($A8="","",IFERROR(SUMPRODUCT((Raw_Data_Daily!$B$2:$B$9999="Control")*(Raw_Data_Daily!$A$2:$A$9999=$A8)*(Raw_Data_Daily!$C$2:$C$9999=$C$3)*Raw_Data_Daily!$D$2:$D$9999*Raw_Data_Daily!$AA$2:$AA$9999)/SUMIFS(Raw_Data_Daily!$D:$D, Raw_Data_Daily!$B:$B, "Control", Raw_Data_Daily!$A:$A, $A8, Raw_Data_Daily!$C:$C, $C$3),""))</f>
        <v/>
      </c>
      <c r="BW8" s="128" t="str">
        <f>IF($A8="","",IFERROR(SUMPRODUCT((Raw_Data_Daily!$B$2:$B$9999="Variant")*(Raw_Data_Daily!$A$2:$A$9999=$A8)*(Raw_Data_Daily!$C$2:$C$9999=$C$3)*Raw_Data_Daily!$D$2:$D$9999*Raw_Data_Daily!$AA$2:$AA$9999)/SUMIFS(Raw_Data_Daily!$D:$D, Raw_Data_Daily!$B:$B, "Variant", Raw_Data_Daily!$A:$A, $A8, Raw_Data_Daily!$C:$C, $C$3),""))</f>
        <v/>
      </c>
      <c r="BX8" s="129" t="str">
        <f t="shared" si="25"/>
        <v/>
      </c>
      <c r="BY8" s="137" t="str">
        <f>IF($A8="","",IFERROR(SUMPRODUCT((Raw_Data_Daily!$B$2:$B$9999="Control")*(Raw_Data_Daily!$A$2:$A$9999=$A8)*(Raw_Data_Daily!$C$2:$C$9999=$C$3)*Raw_Data_Daily!$D$2:$D$9999*Raw_Data_Daily!$AB$2:$AB$9999)/SUMIFS(Raw_Data_Daily!$D:$D, Raw_Data_Daily!$B:$B, "Control", Raw_Data_Daily!$A:$A, $A8, Raw_Data_Daily!$C:$C, $C$3),""))</f>
        <v/>
      </c>
      <c r="BZ8" s="137" t="str">
        <f>IF($A8="","",IFERROR(SUMPRODUCT((Raw_Data_Daily!$B$2:$B$9999="Variant")*(Raw_Data_Daily!$A$2:$A$9999=$A8)*(Raw_Data_Daily!$C$2:$C$9999=$C$3)*Raw_Data_Daily!$D$2:$D$9999*Raw_Data_Daily!$AB$2:$AB$9999)/SUMIFS(Raw_Data_Daily!$D:$D, Raw_Data_Daily!$B:$B, "Variant", Raw_Data_Daily!$A:$A, $A8, Raw_Data_Daily!$C:$C, $C$3),""))</f>
        <v/>
      </c>
      <c r="CA8" s="132" t="str">
        <f t="shared" si="26"/>
        <v/>
      </c>
      <c r="CB8" s="137" t="str">
        <f>IF($A8="","",IFERROR(SUMPRODUCT((Raw_Data_Daily!$B$2:$B$9999="Control")*(Raw_Data_Daily!$A$2:$A$9999=$A8)*(Raw_Data_Daily!$C$2:$C$9999=$C$3)*Raw_Data_Daily!$D$2:$D$9999*Raw_Data_Daily!$AC$2:$AC$9999)/SUMIFS(Raw_Data_Daily!$D:$D, Raw_Data_Daily!$B:$B, "Control", Raw_Data_Daily!$A:$A, $A8, Raw_Data_Daily!$C:$C, $C$3),""))</f>
        <v/>
      </c>
      <c r="CC8" s="137" t="str">
        <f>IF($A8="","",IFERROR(SUMPRODUCT((Raw_Data_Daily!$B$2:$B$9999="Variant")*(Raw_Data_Daily!$A$2:$A$9999=$A8)*(Raw_Data_Daily!$C$2:$C$9999=$C$3)*Raw_Data_Daily!$D$2:$D$9999*Raw_Data_Daily!$AC$2:$AC$9999)/SUMIFS(Raw_Data_Daily!$D:$D, Raw_Data_Daily!$B:$B, "Variant", Raw_Data_Daily!$A:$A, $A8, Raw_Data_Daily!$C:$C, $C$3),""))</f>
        <v/>
      </c>
      <c r="CD8" s="132" t="str">
        <f t="shared" si="27"/>
        <v/>
      </c>
      <c r="CE8" s="137" t="str">
        <f>IF($A8="","",IFERROR(SUMPRODUCT((Raw_Data_Daily!$B$2:$B$9999="Control")*(Raw_Data_Daily!$A$2:$A$9999=$A8)*(Raw_Data_Daily!$C$2:$C$9999=$C$3)*Raw_Data_Daily!$D$2:$D$9999*Raw_Data_Daily!$AD$2:$AD$9999)/SUMIFS(Raw_Data_Daily!$D:$D, Raw_Data_Daily!$B:$B, "Control", Raw_Data_Daily!$A:$A, $A8, Raw_Data_Daily!$C:$C, $C$3),""))</f>
        <v/>
      </c>
      <c r="CF8" s="137" t="str">
        <f>IF($A8="","",IFERROR(SUMPRODUCT((Raw_Data_Daily!$B$2:$B$9999="Variant")*(Raw_Data_Daily!$A$2:$A$9999=$A8)*(Raw_Data_Daily!$C$2:$C$9999=$C$3)*Raw_Data_Daily!$D$2:$D$9999*Raw_Data_Daily!$AD$2:$AD$9999)/SUMIFS(Raw_Data_Daily!$D:$D, Raw_Data_Daily!$B:$B, "Variant", Raw_Data_Daily!$A:$A, $A8, Raw_Data_Daily!$C:$C, $C$3),""))</f>
        <v/>
      </c>
      <c r="CG8" s="132" t="str">
        <f t="shared" si="28"/>
        <v/>
      </c>
      <c r="CH8" s="137" t="str">
        <f>IF($A8="","",IFERROR(SUMPRODUCT((Raw_Data_Daily!$B$2:$B$9999="Control")*(Raw_Data_Daily!$A$2:$A$9999=$A8)*(Raw_Data_Daily!$C$2:$C$9999=$C$3)*Raw_Data_Daily!$D$2:$D$9999*Raw_Data_Daily!$AE$2:$AE$9999)/SUMIFS(Raw_Data_Daily!$D:$D, Raw_Data_Daily!$B:$B, "Control", Raw_Data_Daily!$A:$A, $A8, Raw_Data_Daily!$C:$C, $C$3),""))</f>
        <v/>
      </c>
      <c r="CI8" s="137" t="str">
        <f>IF($A8="","",IFERROR(SUMPRODUCT((Raw_Data_Daily!$B$2:$B$9999="Variant")*(Raw_Data_Daily!$A$2:$A$9999=$A8)*(Raw_Data_Daily!$C$2:$C$9999=$C$3)*Raw_Data_Daily!$D$2:$D$9999*Raw_Data_Daily!$AE$2:$AE$9999)/SUMIFS(Raw_Data_Daily!$D:$D, Raw_Data_Daily!$B:$B, "Variant", Raw_Data_Daily!$A:$A, $A8, Raw_Data_Daily!$C:$C, $C$3),""))</f>
        <v/>
      </c>
      <c r="CJ8" s="132" t="str">
        <f t="shared" si="29"/>
        <v/>
      </c>
      <c r="CK8" s="137" t="str">
        <f>IF($A8="","",IFERROR(SUMPRODUCT((Raw_Data_Daily!$B$2:$B$9999="Control")*(Raw_Data_Daily!$A$2:$A$9999=$A8)*(Raw_Data_Daily!$C$2:$C$9999=$C$3)*Raw_Data_Daily!$D$2:$D$9999*Raw_Data_Daily!$AF$2:$AF$9999)/SUMIFS(Raw_Data_Daily!$D:$D, Raw_Data_Daily!$B:$B, "Control", Raw_Data_Daily!$A:$A, $A8, Raw_Data_Daily!$C:$C, $C$3),""))</f>
        <v/>
      </c>
      <c r="CL8" s="137" t="str">
        <f>IF($A8="","",IFERROR(SUMPRODUCT((Raw_Data_Daily!$B$2:$B$9999="Variant")*(Raw_Data_Daily!$A$2:$A$9999=$A8)*(Raw_Data_Daily!$C$2:$C$9999=$C$3)*Raw_Data_Daily!$D$2:$D$9999*Raw_Data_Daily!$AF$2:$AF$9999)/SUMIFS(Raw_Data_Daily!$D:$D, Raw_Data_Daily!$B:$B, "Variant", Raw_Data_Daily!$A:$A, $A8, Raw_Data_Daily!$C:$C, $C$3),""))</f>
        <v/>
      </c>
      <c r="CM8" s="132" t="str">
        <f t="shared" si="30"/>
        <v/>
      </c>
      <c r="CN8" s="137" t="str">
        <f>IF($A8="","",IFERROR(SUMPRODUCT((Raw_Data_Daily!$B$2:$B$9999="Control")*(Raw_Data_Daily!$A$2:$A$9999=$A8)*(Raw_Data_Daily!$C$2:$C$9999=$C$3)*Raw_Data_Daily!$D$2:$D$9999*Raw_Data_Daily!$AG$2:$AG$9999)/SUMIFS(Raw_Data_Daily!$D:$D, Raw_Data_Daily!$B:$B, "Control", Raw_Data_Daily!$A:$A, $A8, Raw_Data_Daily!$C:$C, $C$3),""))</f>
        <v/>
      </c>
      <c r="CO8" s="137" t="str">
        <f>IF($A8="","",IFERROR(SUMPRODUCT((Raw_Data_Daily!$B$2:$B$9999="Variant")*(Raw_Data_Daily!$A$2:$A$9999=$A8)*(Raw_Data_Daily!$C$2:$C$9999=$C$3)*Raw_Data_Daily!$D$2:$D$9999*Raw_Data_Daily!$AG$2:$AG$9999)/SUMIFS(Raw_Data_Daily!$D:$D, Raw_Data_Daily!$B:$B, "Variant", Raw_Data_Daily!$A:$A, $A8, Raw_Data_Daily!$C:$C, $C$3),""))</f>
        <v/>
      </c>
      <c r="CP8" s="132" t="str">
        <f t="shared" si="31"/>
        <v/>
      </c>
      <c r="CQ8" s="137" t="str">
        <f>IF($A8="","",IFERROR(SUMPRODUCT((Raw_Data_Daily!$B$2:$B$9999="Control")*(Raw_Data_Daily!$A$2:$A$9999=$A8)*(Raw_Data_Daily!$C$2:$C$9999=$C$3)*Raw_Data_Daily!$D$2:$D$9999*Raw_Data_Daily!$AH$2:$AH$9999)/SUMIFS(Raw_Data_Daily!$D:$D, Raw_Data_Daily!$B:$B, "Control", Raw_Data_Daily!$A:$A, $A8, Raw_Data_Daily!$C:$C, $C$3),""))</f>
        <v/>
      </c>
      <c r="CR8" s="137" t="str">
        <f>IF($A8="","",IFERROR(SUMPRODUCT((Raw_Data_Daily!$B$2:$B$9999="Variant")*(Raw_Data_Daily!$A$2:$A$9999=$A8)*(Raw_Data_Daily!$C$2:$C$9999=$C$3)*Raw_Data_Daily!$D$2:$D$9999*Raw_Data_Daily!$AH$2:$AH$9999)/SUMIFS(Raw_Data_Daily!$D:$D, Raw_Data_Daily!$B:$B, "Variant", Raw_Data_Daily!$A:$A, $A8, Raw_Data_Daily!$C:$C, $C$3),""))</f>
        <v/>
      </c>
      <c r="CS8" s="132" t="str">
        <f t="shared" si="32"/>
        <v/>
      </c>
      <c r="CT8" s="130" t="str">
        <f>IF($A8="","",IFERROR(SUMPRODUCT((Raw_Data_Daily!$B$2:$B$9999="Control")*(Raw_Data_Daily!$A$2:$A$9999=$A8)*(Raw_Data_Daily!$C$2:$C$9999=$C$3)*Raw_Data_Daily!$D$2:$D$9999*Raw_Data_Daily!$AI$2:$AI$9999)/SUMIFS(Raw_Data_Daily!$D:$D, Raw_Data_Daily!$B:$B, "Control", Raw_Data_Daily!$A:$A, $A8, Raw_Data_Daily!$C:$C, $C$3),""))</f>
        <v/>
      </c>
      <c r="CU8" s="130" t="str">
        <f>IF($A8="","",IFERROR(SUMPRODUCT((Raw_Data_Daily!$B$2:$B$9999="Variant")*(Raw_Data_Daily!$A$2:$A$9999=$A8)*(Raw_Data_Daily!$C$2:$C$9999=$C$3)*Raw_Data_Daily!$D$2:$D$9999*Raw_Data_Daily!$AI$2:$AI$9999)/SUMIFS(Raw_Data_Daily!$D:$D, Raw_Data_Daily!$B:$B, "Variant", Raw_Data_Daily!$A:$A, $A8, Raw_Data_Daily!$C:$C, $C$3),""))</f>
        <v/>
      </c>
      <c r="CV8" s="140" t="str">
        <f t="shared" si="33"/>
        <v/>
      </c>
      <c r="CW8" s="130" t="str">
        <f>IF($A8="","",IFERROR(SUMPRODUCT((Raw_Data_Daily!$B$2:$B$9999="Control")*(Raw_Data_Daily!$A$2:$A$9999=$A8)*(Raw_Data_Daily!$C$2:$C$9999=$C$3)*Raw_Data_Daily!$D$2:$D$9999*Raw_Data_Daily!$AJ$2:$AJ$9999)/SUMIFS(Raw_Data_Daily!$D:$D, Raw_Data_Daily!$B:$B, "Control", Raw_Data_Daily!$A:$A, $A8, Raw_Data_Daily!$C:$C, $C$3),""))</f>
        <v/>
      </c>
      <c r="CX8" s="130" t="str">
        <f>IF($A8="","",IFERROR(SUMPRODUCT((Raw_Data_Daily!$B$2:$B$9999="Variant")*(Raw_Data_Daily!$A$2:$A$9999=$A8)*(Raw_Data_Daily!$C$2:$C$9999=$C$3)*Raw_Data_Daily!$D$2:$D$9999*Raw_Data_Daily!$AJ$2:$AJ$9999)/SUMIFS(Raw_Data_Daily!$D:$D, Raw_Data_Daily!$B:$B, "Variant", Raw_Data_Daily!$A:$A, $A8, Raw_Data_Daily!$C:$C, $C$3),""))</f>
        <v/>
      </c>
      <c r="CY8" s="140" t="str">
        <f t="shared" si="34"/>
        <v/>
      </c>
      <c r="CZ8" s="130" t="str">
        <f>IF($A8="","",IFERROR(SUMPRODUCT((Raw_Data_Daily!$B$2:$B$9999="Control")*(Raw_Data_Daily!$A$2:$A$9999=$A8)*(Raw_Data_Daily!$C$2:$C$9999=$C$3)*Raw_Data_Daily!$D$2:$D$9999*Raw_Data_Daily!$AK$2:$AK$9999)/SUMIFS(Raw_Data_Daily!$D:$D, Raw_Data_Daily!$B:$B, "Control", Raw_Data_Daily!$A:$A, $A8, Raw_Data_Daily!$C:$C, $C$3),""))</f>
        <v/>
      </c>
      <c r="DA8" s="130" t="str">
        <f>IF($A8="","",IFERROR(SUMPRODUCT((Raw_Data_Daily!$B$2:$B$9999="Variant")*(Raw_Data_Daily!$A$2:$A$9999=$A8)*(Raw_Data_Daily!$C$2:$C$9999=$C$3)*Raw_Data_Daily!$D$2:$D$9999*Raw_Data_Daily!$AK$2:$AK$9999)/SUMIFS(Raw_Data_Daily!$D:$D, Raw_Data_Daily!$B:$B, "Variant", Raw_Data_Daily!$A:$A, $A8, Raw_Data_Daily!$C:$C, $C$3),""))</f>
        <v/>
      </c>
      <c r="DB8" s="132" t="str">
        <f t="shared" si="35"/>
        <v/>
      </c>
      <c r="DC8" s="139" t="str">
        <f>IF($A8="","",IFERROR(SUMPRODUCT((Raw_Data_Daily!$B$2:$B$9999="Control")*(Raw_Data_Daily!$A$2:$A$9999=$A8)*(Raw_Data_Daily!$C$2:$C$9999=$C$3)*Raw_Data_Daily!$D$2:$D$9999*Raw_Data_Daily!$AL$2:$AL$9999)/SUMIFS(Raw_Data_Daily!$D:$D, Raw_Data_Daily!$B:$B, "Control", Raw_Data_Daily!$A:$A, $A8, Raw_Data_Daily!$C:$C, $C$3),""))</f>
        <v/>
      </c>
      <c r="DD8" s="139" t="str">
        <f>IF($A8="","",IFERROR(SUMPRODUCT((Raw_Data_Daily!$B$2:$B$9999="Variant")*(Raw_Data_Daily!$A$2:$A$9999=$A8)*(Raw_Data_Daily!$C$2:$C$9999=$C$3)*Raw_Data_Daily!$D$2:$D$9999*Raw_Data_Daily!$AL$2:$AL$9999)/SUMIFS(Raw_Data_Daily!$D:$D, Raw_Data_Daily!$B:$B, "Variant", Raw_Data_Daily!$A:$A, $A8, Raw_Data_Daily!$C:$C, $C$3),""))</f>
        <v/>
      </c>
      <c r="DE8" s="140" t="str">
        <f t="shared" si="36"/>
        <v/>
      </c>
      <c r="DF8" s="165"/>
      <c r="DG8" s="130" t="str">
        <f>IF($A8="","",IFERROR(SUMPRODUCT((Raw_Data_Daily!$B$2:$B$9999="Variant")*(Raw_Data_Daily!$A$2:$A$9999=$A8)*(Raw_Data_Daily!$C$2:$C$9999=$C$3)*Raw_Data_Daily!$D$2:$D$9999*Raw_Data_Daily!$AM$2:$AM$9999)/SUMIFS(Raw_Data_Daily!$D:$D, Raw_Data_Daily!$B:$B, "Variant", Raw_Data_Daily!$A:$A, $A8, Raw_Data_Daily!$C:$C, $C$3),""))</f>
        <v/>
      </c>
      <c r="DH8" s="166"/>
      <c r="DI8" s="165"/>
      <c r="DJ8" s="130" t="str">
        <f>IF($A8="","",IFERROR(SUMPRODUCT((Raw_Data_Daily!$B$2:$B$9999="Variant")*(Raw_Data_Daily!$A$2:$A$9999=$A8)*(Raw_Data_Daily!$C$2:$C$9999=$C$3)*Raw_Data_Daily!$D$2:$D$9999*Raw_Data_Daily!$AN$2:$AN$9999)/SUMIFS(Raw_Data_Daily!$D:$D, Raw_Data_Daily!$B:$B, "Variant", Raw_Data_Daily!$A:$A, $A8, Raw_Data_Daily!$C:$C, $C$3),""))</f>
        <v/>
      </c>
      <c r="DK8" s="166"/>
      <c r="DL8" s="165"/>
      <c r="DM8" s="130" t="str">
        <f>IF($A8="","",IFERROR(SUMPRODUCT((Raw_Data_Daily!$B$2:$B$9999="Variant")*(Raw_Data_Daily!$A$2:$A$9999=$A8)*(Raw_Data_Daily!$C$2:$C$9999=$C$3)*Raw_Data_Daily!$D$2:$D$9999*Raw_Data_Daily!$AO$2:$AO$9999)/SUMIFS(Raw_Data_Daily!$D:$D, Raw_Data_Daily!$B:$B, "Variant", Raw_Data_Daily!$A:$A, $A8, Raw_Data_Daily!$C:$C, $C$3),""))</f>
        <v/>
      </c>
      <c r="DN8" s="166"/>
      <c r="DO8" s="165"/>
      <c r="DP8" s="130" t="str">
        <f>IF($A8="","",IFERROR(SUMPRODUCT((Raw_Data_Daily!$B$2:$B$9999="Variant")*(Raw_Data_Daily!$A$2:$A$9999=$A8)*(Raw_Data_Daily!$C$2:$C$9999=$C$3)*Raw_Data_Daily!$D$2:$D$9999*Raw_Data_Daily!$AP$2:$AP$9999)/SUMIFS(Raw_Data_Daily!$D:$D, Raw_Data_Daily!$B:$B, "Variant", Raw_Data_Daily!$A:$A, $A8, Raw_Data_Daily!$C:$C, $C$3),""))</f>
        <v/>
      </c>
      <c r="DQ8" s="166"/>
      <c r="DR8" s="139" t="str">
        <f>IF($A8="","",IFERROR(SUMPRODUCT((Raw_Data_Daily!$B$2:$B$9999="Control")*(Raw_Data_Daily!$A$2:$A$9999=$A8)*(Raw_Data_Daily!$C$2:$C$9999=$C$3)*Raw_Data_Daily!$D$2:$D$9999*Raw_Data_Daily!$AQ$2:$AQ$9999)/SUMIFS(Raw_Data_Daily!$D:$D, Raw_Data_Daily!$B:$B, "Control", Raw_Data_Daily!$A:$A, $A8, Raw_Data_Daily!$C:$C, $C$3),""))</f>
        <v/>
      </c>
      <c r="DS8" s="139" t="str">
        <f>IF($A8="","",IFERROR(SUMPRODUCT((Raw_Data_Daily!$B$2:$B$9999="Variant")*(Raw_Data_Daily!$A$2:$A$9999=$A8)*(Raw_Data_Daily!$C$2:$C$9999=$C$3)*Raw_Data_Daily!$D$2:$D$9999*Raw_Data_Daily!$AQ$2:$AQ$9999)/SUMIFS(Raw_Data_Daily!$D:$D, Raw_Data_Daily!$B:$B, "Variant", Raw_Data_Daily!$A:$A, $A8, Raw_Data_Daily!$C:$C, $C$3),""))</f>
        <v/>
      </c>
      <c r="DT8" s="167" t="str">
        <f t="shared" si="37"/>
        <v/>
      </c>
      <c r="DU8" s="139" t="str">
        <f>IF($A8="","",IFERROR(SUMPRODUCT((Raw_Data_Daily!$B$2:$B$9999="Control")*(Raw_Data_Daily!$A$2:$A$9999=$A8)*(Raw_Data_Daily!$C$2:$C$9999=$C$3)*Raw_Data_Daily!$D$2:$D$9999*Raw_Data_Daily!$AR$2:$AR$9999)/SUMIFS(Raw_Data_Daily!$D:$D, Raw_Data_Daily!$B:$B, "Control", Raw_Data_Daily!$A:$A, $A8, Raw_Data_Daily!$C:$C, $C$3),""))</f>
        <v/>
      </c>
      <c r="DV8" s="139" t="str">
        <f>IF($A8="","",IFERROR(SUMPRODUCT((Raw_Data_Daily!$B$2:$B$9999="Variant")*(Raw_Data_Daily!$A$2:$A$9999=$A8)*(Raw_Data_Daily!$C$2:$C$9999=$C$3)*Raw_Data_Daily!$D$2:$D$9999*Raw_Data_Daily!$AR$2:$AR$9999)/SUMIFS(Raw_Data_Daily!$D:$D, Raw_Data_Daily!$B:$B, "Variant", Raw_Data_Daily!$A:$A, $A8, Raw_Data_Daily!$C:$C, $C$3),""))</f>
        <v/>
      </c>
      <c r="DW8" s="167" t="str">
        <f t="shared" si="38"/>
        <v/>
      </c>
      <c r="DX8" s="139" t="str">
        <f>IF($A8="","",IFERROR(SUMPRODUCT((Raw_Data_Daily!$B$2:$B$9999="Control")*(Raw_Data_Daily!$A$2:$A$9999=$A8)*(Raw_Data_Daily!$C$2:$C$9999=$C$3)*Raw_Data_Daily!$D$2:$D$9999*Raw_Data_Daily!$AS$2:$AS$9999)/SUMIFS(Raw_Data_Daily!$D:$D, Raw_Data_Daily!$B:$B, "Control", Raw_Data_Daily!$A:$A, $A8, Raw_Data_Daily!$C:$C, $C$3),""))</f>
        <v/>
      </c>
      <c r="DY8" s="139" t="str">
        <f>IF($A8="","",IFERROR(SUMPRODUCT((Raw_Data_Daily!$B$2:$B$9999="Variant")*(Raw_Data_Daily!$A$2:$A$9999=$A8)*(Raw_Data_Daily!$C$2:$C$9999=$C$3)*Raw_Data_Daily!$D$2:$D$9999*Raw_Data_Daily!$AS$2:$AS$9999)/SUMIFS(Raw_Data_Daily!$D:$D, Raw_Data_Daily!$B:$B, "Variant", Raw_Data_Daily!$A:$A, $A8, Raw_Data_Daily!$C:$C, $C$3),""))</f>
        <v/>
      </c>
      <c r="DZ8" s="168" t="str">
        <f t="shared" si="39"/>
        <v/>
      </c>
      <c r="EA8" s="139" t="str">
        <f>IF($A8="","",IFERROR(SUMPRODUCT((Raw_Data_Daily!$B$2:$B$9999="Control")*(Raw_Data_Daily!$A$2:$A$9999=$A8)*(Raw_Data_Daily!$C$2:$C$9999=$C$3)*Raw_Data_Daily!$D$2:$D$9999*Raw_Data_Daily!$AT$2:$AT$9999)/SUMIFS(Raw_Data_Daily!$D:$D, Raw_Data_Daily!$B:$B, "Control", Raw_Data_Daily!$A:$A, $A8, Raw_Data_Daily!$C:$C, $C$3),""))</f>
        <v/>
      </c>
      <c r="EB8" s="139" t="str">
        <f>IF($A8="","",IFERROR(SUMPRODUCT((Raw_Data_Daily!$B$2:$B$9999="Variant")*(Raw_Data_Daily!$A$2:$A$9999=$A8)*(Raw_Data_Daily!$C$2:$C$9999=$C$3)*Raw_Data_Daily!$D$2:$D$9999*Raw_Data_Daily!$AT$2:$AT$9999)/SUMIFS(Raw_Data_Daily!$D:$D, Raw_Data_Daily!$B:$B, "Variant", Raw_Data_Daily!$A:$A, $A8, Raw_Data_Daily!$C:$C, $C$3),""))</f>
        <v/>
      </c>
      <c r="EC8" s="167" t="str">
        <f t="shared" si="40"/>
        <v/>
      </c>
      <c r="ED8" s="139" t="str">
        <f>IF($A8="","",IFERROR(SUMPRODUCT((Raw_Data_Daily!$B$2:$B$9999="Control")*(Raw_Data_Daily!$A$2:$A$9999=$A8)*(Raw_Data_Daily!$C$2:$C$9999=$C$3)*Raw_Data_Daily!$D$2:$D$9999*(Raw_Data_Daily!$AQ$2:$AQ$9999-Raw_Data_Daily!$AT$2:$AT$9999))/SUMIFS(Raw_Data_Daily!$D:$D, Raw_Data_Daily!$B:$B, "Control", Raw_Data_Daily!$A:$A, $A8, Raw_Data_Daily!$C:$C, $C$3),""))</f>
        <v/>
      </c>
      <c r="EE8" s="139" t="str">
        <f>IF($A8="","",IFERROR(SUMPRODUCT((Raw_Data_Daily!$B$2:$B$9999="Variant")*(Raw_Data_Daily!$A$2:$A$9999=$A8)*(Raw_Data_Daily!$C$2:$C$9999=$C$3)*Raw_Data_Daily!$D$2:$D$9999*(Raw_Data_Daily!$AQ$2:$AQ$9999-Raw_Data_Daily!$AT$2:$AT$9999))/SUMIFS(Raw_Data_Daily!$D:$D, Raw_Data_Daily!$B:$B, "Variant", Raw_Data_Daily!$A:$A, $A8, Raw_Data_Daily!$C:$C, $C$3),""))</f>
        <v/>
      </c>
      <c r="EF8" s="168" t="str">
        <f t="shared" si="41"/>
        <v/>
      </c>
      <c r="EG8" s="139" t="str">
        <f>IF($A8="","",IFERROR(SUMPRODUCT((Raw_Data_Daily!$B$2:$B$9999="Control")*(Raw_Data_Daily!$A$2:$A$9999=$A8)*(Raw_Data_Daily!$C$2:$C$9999=$C$3)*Raw_Data_Daily!$D$2:$D$9999*Raw_Data_Daily!$AU$2:$AU$9999)/SUMIFS(Raw_Data_Daily!$D:$D, Raw_Data_Daily!$B:$B, "Control", Raw_Data_Daily!$A:$A, $A8, Raw_Data_Daily!$C:$C, $C$3),""))</f>
        <v/>
      </c>
      <c r="EH8" s="139" t="str">
        <f>IF($A8="","",IFERROR(SUMPRODUCT((Raw_Data_Daily!$B$2:$B$9999="Variant")*(Raw_Data_Daily!$A$2:$A$9999=$A8)*(Raw_Data_Daily!$C$2:$C$9999=$C$3)*Raw_Data_Daily!$D$2:$D$9999*Raw_Data_Daily!$AU$2:$AU$9999)/SUMIFS(Raw_Data_Daily!$D:$D, Raw_Data_Daily!$B:$B, "Variant", Raw_Data_Daily!$A:$A, $A8, Raw_Data_Daily!$C:$C, $C$3),""))</f>
        <v/>
      </c>
      <c r="EI8" s="167" t="str">
        <f t="shared" si="42"/>
        <v/>
      </c>
    </row>
    <row r="9" ht="15.75" customHeight="1">
      <c r="A9" s="126">
        <v>46232.0</v>
      </c>
      <c r="B9" s="128">
        <f>IF($A9="","",SUMIFS(Raw_Data_Daily!$D:$D, Raw_Data_Daily!$B:$B, "Control", Raw_Data_Daily!$A:$A, $A9, Raw_Data_Daily!$C:$C, $C$3))</f>
        <v>0</v>
      </c>
      <c r="C9" s="128">
        <f>IF($A9="","",SUMIFS(Raw_Data_Daily!$D:$D, Raw_Data_Daily!$B:$B, "Variant", Raw_Data_Daily!$A:$A, $A9, Raw_Data_Daily!$C:$C, $C$3))</f>
        <v>0</v>
      </c>
      <c r="D9" s="129" t="str">
        <f t="shared" si="1"/>
        <v/>
      </c>
      <c r="E9" s="130" t="str">
        <f>IF($A9="","",IFERROR(SUMPRODUCT((Raw_Data_Daily!$B$2:$B$9999="Control")*(Raw_Data_Daily!$A$2:$A$9999=$A9)*(Raw_Data_Daily!$C$2:$C$9999=$C$3)*Raw_Data_Daily!$D$2:$D$9999*Raw_Data_Daily!$E$2:$E$9999)/SUMIFS(Raw_Data_Daily!$D:$D, Raw_Data_Daily!$B:$B, "Control", Raw_Data_Daily!$A:$A, $A9, Raw_Data_Daily!$C:$C, $C$3),""))</f>
        <v/>
      </c>
      <c r="F9" s="130" t="str">
        <f>IF($A9="","",IFERROR(SUMPRODUCT((Raw_Data_Daily!$B$2:$B$9999="Variant")*(Raw_Data_Daily!$A$2:$A$9999=$A9)*(Raw_Data_Daily!$C$2:$C$9999=$C$3)*Raw_Data_Daily!$D$2:$D$9999*Raw_Data_Daily!$E$2:$E$9999)/SUMIFS(Raw_Data_Daily!$D:$D, Raw_Data_Daily!$B:$B, "Variant", Raw_Data_Daily!$A:$A, $A9, Raw_Data_Daily!$C:$C, $C$3),""))</f>
        <v/>
      </c>
      <c r="G9" s="129" t="str">
        <f t="shared" si="2"/>
        <v/>
      </c>
      <c r="H9" s="131">
        <f>IF($A9="","",SUMIFS(Raw_Data_Daily!$F:$F, Raw_Data_Daily!$B:$B, "Control", Raw_Data_Daily!$A:$A, $A9, Raw_Data_Daily!$C:$C, $C$3))</f>
        <v>0</v>
      </c>
      <c r="I9" s="131">
        <f>IF($A9="","",SUMIFS(Raw_Data_Daily!$F:$F, Raw_Data_Daily!$B:$B, "Variant", Raw_Data_Daily!$A:$A, $A9, Raw_Data_Daily!$C:$C, $C$3))</f>
        <v>0</v>
      </c>
      <c r="J9" s="132" t="str">
        <f t="shared" si="3"/>
        <v/>
      </c>
      <c r="K9" s="134" t="str">
        <f>IF($A9="","",IFERROR(SUMIFS(Raw_Data_Daily!$F:$F, Raw_Data_Daily!$B:$B, "Control", Raw_Data_Daily!$A:$A, $A9, Raw_Data_Daily!$C:$C, $C$3)/SUMIFS(Raw_Data_Daily!$D:$D, Raw_Data_Daily!$B:$B, "Control", Raw_Data_Daily!$A:$A, $A9, Raw_Data_Daily!$C:$C, $C$3),""))</f>
        <v/>
      </c>
      <c r="L9" s="134" t="str">
        <f>IF($A9="","",IFERROR(SUMIFS(Raw_Data_Daily!$F:$F, Raw_Data_Daily!$B:$B, "Variant", Raw_Data_Daily!$A:$A, $A9, Raw_Data_Daily!$C:$C, $C$3)/SUMIFS(Raw_Data_Daily!$D:$D, Raw_Data_Daily!$B:$B, "Variant", Raw_Data_Daily!$A:$A, $A9, Raw_Data_Daily!$C:$C, $C$3),""))</f>
        <v/>
      </c>
      <c r="M9" s="132" t="str">
        <f t="shared" si="4"/>
        <v/>
      </c>
      <c r="N9" s="130" t="str">
        <f>IF($A9="","",IFERROR(SUMPRODUCT((Raw_Data_Daily!$B$2:$B$9999="Control")*(Raw_Data_Daily!$A$2:$A$9999=$A9)*(Raw_Data_Daily!$C$2:$C$9999=$C$3)*Raw_Data_Daily!$D$2:$D$9999*Raw_Data_Daily!$H$2:$H$9999/100)/SUMIFS(Raw_Data_Daily!$D:$D, Raw_Data_Daily!$B:$B, "Control", Raw_Data_Daily!$A:$A, $A9, Raw_Data_Daily!$C:$C, $C$3)*100,""))</f>
        <v/>
      </c>
      <c r="O9" s="130" t="str">
        <f>IF($A9="","",IFERROR(SUMPRODUCT((Raw_Data_Daily!$B$2:$B$9999="Variant")*(Raw_Data_Daily!$A$2:$A$9999=$A9)*(Raw_Data_Daily!$C$2:$C$9999=$C$3)*Raw_Data_Daily!$D$2:$D$9999*Raw_Data_Daily!$H$2:$H$9999/100)/SUMIFS(Raw_Data_Daily!$D:$D, Raw_Data_Daily!$B:$B, "Variant", Raw_Data_Daily!$A:$A, $A9, Raw_Data_Daily!$C:$C, $C$3)*100,""))</f>
        <v/>
      </c>
      <c r="P9" s="132" t="str">
        <f t="shared" si="5"/>
        <v/>
      </c>
      <c r="Q9" s="134" t="str">
        <f>IF($A9="","",IFERROR(SUMIFS(Raw_Data_Daily!$F:$F, Raw_Data_Daily!$B:$B, "Control", Raw_Data_Daily!$A:$A, $A9, Raw_Data_Daily!$C:$C, $C$3)/SUMPRODUCT((Raw_Data_Daily!$B$2:$B$9999="Control")*(Raw_Data_Daily!$A$2:$A$9999=$A9)*(Raw_Data_Daily!$C$2:$C$9999=$C$3)*Raw_Data_Daily!$D$2:$D$9999*Raw_Data_Daily!$H$2:$H$9999/100),""))</f>
        <v/>
      </c>
      <c r="R9" s="134" t="str">
        <f>IF($A9="","",IFERROR(SUMIFS(Raw_Data_Daily!$F:$F, Raw_Data_Daily!$B:$B, "Variant", Raw_Data_Daily!$A:$A, $A9, Raw_Data_Daily!$C:$C, $C$3)/SUMPRODUCT((Raw_Data_Daily!$B$2:$B$9999="Variant")*(Raw_Data_Daily!$A$2:$A$9999=$A9)*(Raw_Data_Daily!$C$2:$C$9999=$C$3)*Raw_Data_Daily!$D$2:$D$9999*Raw_Data_Daily!$H$2:$H$9999/100),""))</f>
        <v/>
      </c>
      <c r="S9" s="132" t="str">
        <f t="shared" si="6"/>
        <v/>
      </c>
      <c r="T9" s="137" t="str">
        <f>IF($A9="","",IFERROR(SUMPRODUCT((Raw_Data_Daily!$B$2:$B$9999="Control")*(Raw_Data_Daily!$A$2:$A$9999=$A9)*(Raw_Data_Daily!$C$2:$C$9999=$C$3)*Raw_Data_Daily!$D$2:$D$9999*Raw_Data_Daily!$J$2:$J$9999)/SUMIFS(Raw_Data_Daily!$D:$D, Raw_Data_Daily!$B:$B, "Control", Raw_Data_Daily!$A:$A, $A9, Raw_Data_Daily!$C:$C, $C$3),""))</f>
        <v/>
      </c>
      <c r="U9" s="137" t="str">
        <f>IF($A9="","",IFERROR(SUMPRODUCT((Raw_Data_Daily!$B$2:$B$9999="Variant")*(Raw_Data_Daily!$A$2:$A$9999=$A9)*(Raw_Data_Daily!$C$2:$C$9999=$C$3)*Raw_Data_Daily!$D$2:$D$9999*Raw_Data_Daily!$J$2:$J$9999)/SUMIFS(Raw_Data_Daily!$D:$D, Raw_Data_Daily!$B:$B, "Variant", Raw_Data_Daily!$A:$A, $A9, Raw_Data_Daily!$C:$C, $C$3),""))</f>
        <v/>
      </c>
      <c r="V9" s="132" t="str">
        <f t="shared" si="7"/>
        <v/>
      </c>
      <c r="W9" s="137" t="str">
        <f>IF($A9="","",IFERROR(SUMPRODUCT((Raw_Data_Daily!$B$2:$B$9999="Control")*(Raw_Data_Daily!$A$2:$A$9999=$A9)*(Raw_Data_Daily!$C$2:$C$9999=$C$3)*Raw_Data_Daily!$D$2:$D$9999*Raw_Data_Daily!$K$2:$K$9999)/SUMIFS(Raw_Data_Daily!$D:$D, Raw_Data_Daily!$B:$B, "Control", Raw_Data_Daily!$A:$A, $A9, Raw_Data_Daily!$C:$C, $C$3),""))</f>
        <v/>
      </c>
      <c r="X9" s="137" t="str">
        <f>IF($A9="","",IFERROR(SUMPRODUCT((Raw_Data_Daily!$B$2:$B$9999="Variant")*(Raw_Data_Daily!$A$2:$A$9999=$A9)*(Raw_Data_Daily!$C$2:$C$9999=$C$3)*Raw_Data_Daily!$D$2:$D$9999*Raw_Data_Daily!$K$2:$K$9999)/SUMIFS(Raw_Data_Daily!$D:$D, Raw_Data_Daily!$B:$B, "Variant", Raw_Data_Daily!$A:$A, $A9, Raw_Data_Daily!$C:$C, $C$3),""))</f>
        <v/>
      </c>
      <c r="Y9" s="132" t="str">
        <f t="shared" si="8"/>
        <v/>
      </c>
      <c r="Z9" s="137" t="str">
        <f>IF($A9="","",IFERROR(SUMPRODUCT((Raw_Data_Daily!$B$2:$B$9999="Control")*(Raw_Data_Daily!$A$2:$A$9999=$A9)*(Raw_Data_Daily!$C$2:$C$9999=$C$3)*Raw_Data_Daily!$D$2:$D$9999*Raw_Data_Daily!$L$2:$L$9999)/SUMIFS(Raw_Data_Daily!$D:$D, Raw_Data_Daily!$B:$B, "Control", Raw_Data_Daily!$A:$A, $A9, Raw_Data_Daily!$C:$C, $C$3),""))</f>
        <v/>
      </c>
      <c r="AA9" s="137" t="str">
        <f>IF($A9="","",IFERROR(SUMPRODUCT((Raw_Data_Daily!$B$2:$B$9999="Variant")*(Raw_Data_Daily!$A$2:$A$9999=$A9)*(Raw_Data_Daily!$C$2:$C$9999=$C$3)*Raw_Data_Daily!$D$2:$D$9999*Raw_Data_Daily!$L$2:$L$9999)/SUMIFS(Raw_Data_Daily!$D:$D, Raw_Data_Daily!$B:$B, "Variant", Raw_Data_Daily!$A:$A, $A9, Raw_Data_Daily!$C:$C, $C$3),""))</f>
        <v/>
      </c>
      <c r="AB9" s="132" t="str">
        <f t="shared" si="9"/>
        <v/>
      </c>
      <c r="AC9" s="139" t="str">
        <f>IF($A9="","",IFERROR(SUMPRODUCT((Raw_Data_Daily!$B$2:$B$9999="Control")*(Raw_Data_Daily!$A$2:$A$9999=$A9)*(Raw_Data_Daily!$C$2:$C$9999=$C$3)*Raw_Data_Daily!$D$2:$D$9999*Raw_Data_Daily!$M$2:$M$9999)/SUMIFS(Raw_Data_Daily!$D:$D, Raw_Data_Daily!$B:$B, "Control", Raw_Data_Daily!$A:$A, $A9, Raw_Data_Daily!$C:$C, $C$3),""))</f>
        <v/>
      </c>
      <c r="AD9" s="139" t="str">
        <f>IF($A9="","",IFERROR(SUMPRODUCT((Raw_Data_Daily!$B$2:$B$9999="Variant")*(Raw_Data_Daily!$A$2:$A$9999=$A9)*(Raw_Data_Daily!$C$2:$C$9999=$C$3)*Raw_Data_Daily!$D$2:$D$9999*Raw_Data_Daily!$M$2:$M$9999)/SUMIFS(Raw_Data_Daily!$D:$D, Raw_Data_Daily!$B:$B, "Variant", Raw_Data_Daily!$A:$A, $A9, Raw_Data_Daily!$C:$C, $C$3),""))</f>
        <v/>
      </c>
      <c r="AE9" s="140" t="str">
        <f t="shared" si="10"/>
        <v/>
      </c>
      <c r="AF9" s="139" t="str">
        <f>IF($A9="","",IFERROR(SUMPRODUCT((Raw_Data_Daily!$B$2:$B$9999="Control")*(Raw_Data_Daily!$A$2:$A$9999=$A9)*(Raw_Data_Daily!$C$2:$C$9999=$C$3)*Raw_Data_Daily!$D$2:$D$9999*Raw_Data_Daily!$N$2:$N$9999)/SUMIFS(Raw_Data_Daily!$D:$D, Raw_Data_Daily!$B:$B, "Control", Raw_Data_Daily!$A:$A, $A9, Raw_Data_Daily!$C:$C, $C$3),""))</f>
        <v/>
      </c>
      <c r="AG9" s="139" t="str">
        <f>IF($A9="","",IFERROR(SUMPRODUCT((Raw_Data_Daily!$B$2:$B$9999="Variant")*(Raw_Data_Daily!$A$2:$A$9999=$A9)*(Raw_Data_Daily!$C$2:$C$9999=$C$3)*Raw_Data_Daily!$D$2:$D$9999*Raw_Data_Daily!$N$2:$N$9999)/SUMIFS(Raw_Data_Daily!$D:$D, Raw_Data_Daily!$B:$B, "Variant", Raw_Data_Daily!$A:$A, $A9, Raw_Data_Daily!$C:$C, $C$3),""))</f>
        <v/>
      </c>
      <c r="AH9" s="140" t="str">
        <f t="shared" si="11"/>
        <v/>
      </c>
      <c r="AI9" s="139" t="str">
        <f>IF($A9="","",IFERROR(SUMPRODUCT((Raw_Data_Daily!$B$2:$B$9999="Control")*(Raw_Data_Daily!$A$2:$A$9999=$A9)*(Raw_Data_Daily!$C$2:$C$9999=$C$3)*Raw_Data_Daily!$D$2:$D$9999*Raw_Data_Daily!$O$2:$O$9999)/SUMIFS(Raw_Data_Daily!$D:$D, Raw_Data_Daily!$B:$B, "Control", Raw_Data_Daily!$A:$A, $A9, Raw_Data_Daily!$C:$C, $C$3),""))</f>
        <v/>
      </c>
      <c r="AJ9" s="139" t="str">
        <f>IF($A9="","",IFERROR(SUMPRODUCT((Raw_Data_Daily!$B$2:$B$9999="Variant")*(Raw_Data_Daily!$A$2:$A$9999=$A9)*(Raw_Data_Daily!$C$2:$C$9999=$C$3)*Raw_Data_Daily!$D$2:$D$9999*Raw_Data_Daily!$O$2:$O$9999)/SUMIFS(Raw_Data_Daily!$D:$D, Raw_Data_Daily!$B:$B, "Variant", Raw_Data_Daily!$A:$A, $A9, Raw_Data_Daily!$C:$C, $C$3),""))</f>
        <v/>
      </c>
      <c r="AK9" s="132" t="str">
        <f t="shared" si="12"/>
        <v/>
      </c>
      <c r="AL9" s="137" t="str">
        <f>IF($A9="","",IFERROR(SUMPRODUCT((Raw_Data_Daily!$B$2:$B$9999="Control")*(Raw_Data_Daily!$A$2:$A$9999=$A9)*(Raw_Data_Daily!$C$2:$C$9999=$C$3)*Raw_Data_Daily!$D$2:$D$9999*Raw_Data_Daily!$P$2:$P$9999)/SUMIFS(Raw_Data_Daily!$D:$D, Raw_Data_Daily!$B:$B, "Control", Raw_Data_Daily!$A:$A, $A9, Raw_Data_Daily!$C:$C, $C$3),""))</f>
        <v/>
      </c>
      <c r="AM9" s="137" t="str">
        <f>IF($A9="","",IFERROR(SUMPRODUCT((Raw_Data_Daily!$B$2:$B$9999="Variant")*(Raw_Data_Daily!$A$2:$A$9999=$A9)*(Raw_Data_Daily!$C$2:$C$9999=$C$3)*Raw_Data_Daily!$D$2:$D$9999*Raw_Data_Daily!$P$2:$P$9999)/SUMIFS(Raw_Data_Daily!$D:$D, Raw_Data_Daily!$B:$B, "Variant", Raw_Data_Daily!$A:$A, $A9, Raw_Data_Daily!$C:$C, $C$3),""))</f>
        <v/>
      </c>
      <c r="AN9" s="132" t="str">
        <f t="shared" si="13"/>
        <v/>
      </c>
      <c r="AO9" s="137" t="str">
        <f>IF($A9="","",IFERROR(SUMPRODUCT((Raw_Data_Daily!$B$2:$B$9999="Control")*(Raw_Data_Daily!$A$2:$A$9999=$A9)*(Raw_Data_Daily!$C$2:$C$9999=$C$3)*Raw_Data_Daily!$D$2:$D$9999*Raw_Data_Daily!$Q$2:$Q$9999)/SUMIFS(Raw_Data_Daily!$D:$D, Raw_Data_Daily!$B:$B, "Control", Raw_Data_Daily!$A:$A, $A9, Raw_Data_Daily!$C:$C, $C$3),""))</f>
        <v/>
      </c>
      <c r="AP9" s="137" t="str">
        <f>IF($A9="","",IFERROR(SUMPRODUCT((Raw_Data_Daily!$B$2:$B$9999="Variant")*(Raw_Data_Daily!$A$2:$A$9999=$A9)*(Raw_Data_Daily!$C$2:$C$9999=$C$3)*Raw_Data_Daily!$D$2:$D$9999*Raw_Data_Daily!$Q$2:$Q$9999)/SUMIFS(Raw_Data_Daily!$D:$D, Raw_Data_Daily!$B:$B, "Variant", Raw_Data_Daily!$A:$A, $A9, Raw_Data_Daily!$C:$C, $C$3),""))</f>
        <v/>
      </c>
      <c r="AQ9" s="129" t="str">
        <f t="shared" si="14"/>
        <v/>
      </c>
      <c r="AR9" s="137" t="str">
        <f>IF($A9="","",IFERROR(SUMPRODUCT((Raw_Data_Daily!$B$2:$B$9999="Control")*(Raw_Data_Daily!$A$2:$A$9999=$A9)*(Raw_Data_Daily!$C$2:$C$9999=$C$3)*Raw_Data_Daily!$D$2:$D$9999*Raw_Data_Daily!$R$2:$R$9999)/SUMIFS(Raw_Data_Daily!$D:$D, Raw_Data_Daily!$B:$B, "Control", Raw_Data_Daily!$A:$A, $A9, Raw_Data_Daily!$C:$C, $C$3),""))</f>
        <v/>
      </c>
      <c r="AS9" s="137" t="str">
        <f>IF($A9="","",IFERROR(SUMPRODUCT((Raw_Data_Daily!$B$2:$B$9999="Variant")*(Raw_Data_Daily!$A$2:$A$9999=$A9)*(Raw_Data_Daily!$C$2:$C$9999=$C$3)*Raw_Data_Daily!$D$2:$D$9999*Raw_Data_Daily!$R$2:$R$9999)/SUMIFS(Raw_Data_Daily!$D:$D, Raw_Data_Daily!$B:$B, "Variant", Raw_Data_Daily!$A:$A, $A9, Raw_Data_Daily!$C:$C, $C$3),""))</f>
        <v/>
      </c>
      <c r="AT9" s="129" t="str">
        <f t="shared" si="15"/>
        <v/>
      </c>
      <c r="AU9" s="137" t="str">
        <f>IF($A9="","",IFERROR(SUMPRODUCT((Raw_Data_Daily!$B$2:$B$9999="Control")*(Raw_Data_Daily!$A$2:$A$9999=$A9)*(Raw_Data_Daily!$C$2:$C$9999=$C$3)*Raw_Data_Daily!$D$2:$D$9999*Raw_Data_Daily!$S$2:$S$9999)/SUMIFS(Raw_Data_Daily!$D:$D, Raw_Data_Daily!$B:$B, "Control", Raw_Data_Daily!$A:$A, $A9, Raw_Data_Daily!$C:$C, $C$3),""))</f>
        <v/>
      </c>
      <c r="AV9" s="137" t="str">
        <f>IF($A9="","",IFERROR(SUMPRODUCT((Raw_Data_Daily!$B$2:$B$9999="Variant")*(Raw_Data_Daily!$A$2:$A$9999=$A9)*(Raw_Data_Daily!$C$2:$C$9999=$C$3)*Raw_Data_Daily!$D$2:$D$9999*Raw_Data_Daily!$S$2:$S$9999)/SUMIFS(Raw_Data_Daily!$D:$D, Raw_Data_Daily!$B:$B, "Variant", Raw_Data_Daily!$A:$A, $A9, Raw_Data_Daily!$C:$C, $C$3),""))</f>
        <v/>
      </c>
      <c r="AW9" s="129" t="str">
        <f t="shared" si="16"/>
        <v/>
      </c>
      <c r="AX9" s="137" t="str">
        <f>IF($A9="","",IFERROR(SUMPRODUCT((Raw_Data_Daily!$B$2:$B$9999="Control")*(Raw_Data_Daily!$A$2:$A$9999=$A9)*(Raw_Data_Daily!$C$2:$C$9999=$C$3)*Raw_Data_Daily!$D$2:$D$9999*Raw_Data_Daily!$T$2:$T$9999)/SUMIFS(Raw_Data_Daily!$D:$D, Raw_Data_Daily!$B:$B, "Control", Raw_Data_Daily!$A:$A, $A9, Raw_Data_Daily!$C:$C, $C$3),""))</f>
        <v/>
      </c>
      <c r="AY9" s="137" t="str">
        <f>IF($A9="","",IFERROR(SUMPRODUCT((Raw_Data_Daily!$B$2:$B$9999="Variant")*(Raw_Data_Daily!$A$2:$A$9999=$A9)*(Raw_Data_Daily!$C$2:$C$9999=$C$3)*Raw_Data_Daily!$D$2:$D$9999*Raw_Data_Daily!$T$2:$T$9999)/SUMIFS(Raw_Data_Daily!$D:$D, Raw_Data_Daily!$B:$B, "Variant", Raw_Data_Daily!$A:$A, $A9, Raw_Data_Daily!$C:$C, $C$3),""))</f>
        <v/>
      </c>
      <c r="AZ9" s="132" t="str">
        <f t="shared" si="17"/>
        <v/>
      </c>
      <c r="BA9" s="137" t="str">
        <f>IF($A9="","",IFERROR(SUMPRODUCT((Raw_Data_Daily!$B$2:$B$9999="Control")*(Raw_Data_Daily!$A$2:$A$9999=$A9)*(Raw_Data_Daily!$C$2:$C$9999=$C$3)*Raw_Data_Daily!$D$2:$D$9999*Raw_Data_Daily!$U$2:$U$9999)/SUMIFS(Raw_Data_Daily!$D:$D, Raw_Data_Daily!$B:$B, "Control", Raw_Data_Daily!$A:$A, $A9, Raw_Data_Daily!$C:$C, $C$3),""))</f>
        <v/>
      </c>
      <c r="BB9" s="137" t="str">
        <f>IF($A9="","",IFERROR(SUMPRODUCT((Raw_Data_Daily!$B$2:$B$9999="Variant")*(Raw_Data_Daily!$A$2:$A$9999=$A9)*(Raw_Data_Daily!$C$2:$C$9999=$C$3)*Raw_Data_Daily!$D$2:$D$9999*Raw_Data_Daily!$U$2:$U$9999)/SUMIFS(Raw_Data_Daily!$D:$D, Raw_Data_Daily!$B:$B, "Variant", Raw_Data_Daily!$A:$A, $A9, Raw_Data_Daily!$C:$C, $C$3),""))</f>
        <v/>
      </c>
      <c r="BC9" s="129" t="str">
        <f t="shared" si="18"/>
        <v/>
      </c>
      <c r="BD9" s="137" t="str">
        <f>IF($A9="","",IFERROR(SUMPRODUCT((Raw_Data_Daily!$B$2:$B$9999="Control")*(Raw_Data_Daily!$A$2:$A$9999=$A9)*(Raw_Data_Daily!$C$2:$C$9999=$C$3)*Raw_Data_Daily!$D$2:$D$9999*Raw_Data_Daily!$V$2:$V$9999)/SUMIFS(Raw_Data_Daily!$D:$D, Raw_Data_Daily!$B:$B, "Control", Raw_Data_Daily!$A:$A, $A9, Raw_Data_Daily!$C:$C, $C$3),""))</f>
        <v/>
      </c>
      <c r="BE9" s="137" t="str">
        <f>IF($A9="","",IFERROR(SUMPRODUCT((Raw_Data_Daily!$B$2:$B$9999="Variant")*(Raw_Data_Daily!$A$2:$A$9999=$A9)*(Raw_Data_Daily!$C$2:$C$9999=$C$3)*Raw_Data_Daily!$D$2:$D$9999*Raw_Data_Daily!$V$2:$V$9999)/SUMIFS(Raw_Data_Daily!$D:$D, Raw_Data_Daily!$B:$B, "Variant", Raw_Data_Daily!$A:$A, $A9, Raw_Data_Daily!$C:$C, $C$3),""))</f>
        <v/>
      </c>
      <c r="BF9" s="148" t="str">
        <f t="shared" si="19"/>
        <v/>
      </c>
      <c r="BG9" s="149" t="str">
        <f>IF($A9="","",IFERROR(SUMPRODUCT((Raw_Data_Daily!$B$2:$B$9999="Control")*(Raw_Data_Daily!$A$2:$A$9999=$A9)*(Raw_Data_Daily!$C$2:$C$9999=$C$3)*Raw_Data_Daily!$D$2:$D$9999*(Raw_Data_Daily!$Q$2:$Q$9999-Raw_Data_Daily!$V$2:$V$9999))/SUMIFS(Raw_Data_Daily!$D:$D, Raw_Data_Daily!$B:$B, "Control", Raw_Data_Daily!$A:$A, $A9, Raw_Data_Daily!$C:$C, $C$3),""))</f>
        <v/>
      </c>
      <c r="BH9" s="137" t="str">
        <f>IF($A9="","",IFERROR(SUMPRODUCT((Raw_Data_Daily!$B$2:$B$9999="Variant")*(Raw_Data_Daily!$A$2:$A$9999=$A9)*(Raw_Data_Daily!$C$2:$C$9999=$C$3)*Raw_Data_Daily!$D$2:$D$9999*(Raw_Data_Daily!$Q$2:$Q$9999-Raw_Data_Daily!$V$2:$V$9999))/SUMIFS(Raw_Data_Daily!$D:$D, Raw_Data_Daily!$B:$B, "Variant", Raw_Data_Daily!$A:$A, $A9, Raw_Data_Daily!$C:$C, $C$3),""))</f>
        <v/>
      </c>
      <c r="BI9" s="155" t="str">
        <f t="shared" si="20"/>
        <v/>
      </c>
      <c r="BJ9" s="156" t="str">
        <f>IF($A9="","",IFERROR(SUMPRODUCT((Raw_Data_Daily!$B$2:$B$9999="Control")*(Raw_Data_Daily!$A$2:$A$9999=$A9)*(Raw_Data_Daily!$C$2:$C$9999=$C$3)*Raw_Data_Daily!$D$2:$D$9999*Raw_Data_Daily!$W$2:$W$9999)/SUMIFS(Raw_Data_Daily!$D:$D, Raw_Data_Daily!$B:$B, "Control", Raw_Data_Daily!$A:$A, $A9, Raw_Data_Daily!$C:$C, $C$3),""))</f>
        <v/>
      </c>
      <c r="BK9" s="137" t="str">
        <f>IF($A9="","",IFERROR(SUMPRODUCT((Raw_Data_Daily!$B$2:$B$9999="Variant")*(Raw_Data_Daily!$A$2:$A$9999=$A9)*(Raw_Data_Daily!$C$2:$C$9999=$C$3)*Raw_Data_Daily!$D$2:$D$9999*Raw_Data_Daily!$W$2:$W$9999)/SUMIFS(Raw_Data_Daily!$D:$D, Raw_Data_Daily!$B:$B, "Variant", Raw_Data_Daily!$A:$A, $A9, Raw_Data_Daily!$C:$C, $C$3),""))</f>
        <v/>
      </c>
      <c r="BL9" s="129" t="str">
        <f t="shared" si="21"/>
        <v/>
      </c>
      <c r="BM9" s="139" t="str">
        <f>IF($A9="","",IFERROR(SUMPRODUCT((Raw_Data_Daily!$B$2:$B$9999="Control")*(Raw_Data_Daily!$A$2:$A$9999=$A9)*(Raw_Data_Daily!$C$2:$C$9999=$C$3)*Raw_Data_Daily!$D$2:$D$9999*Raw_Data_Daily!$X$2:$X$9999)/SUMIFS(Raw_Data_Daily!$D:$D, Raw_Data_Daily!$B:$B, "Control", Raw_Data_Daily!$A:$A, $A9, Raw_Data_Daily!$C:$C, $C$3),""))</f>
        <v/>
      </c>
      <c r="BN9" s="139" t="str">
        <f>IF($A9="","",IFERROR(SUMPRODUCT((Raw_Data_Daily!$B$2:$B$9999="Variant")*(Raw_Data_Daily!$A$2:$A$9999=$A9)*(Raw_Data_Daily!$C$2:$C$9999=$C$3)*Raw_Data_Daily!$D$2:$D$9999*Raw_Data_Daily!$X$2:$X$9999)/SUMIFS(Raw_Data_Daily!$D:$D, Raw_Data_Daily!$B:$B, "Variant", Raw_Data_Daily!$A:$A, $A9, Raw_Data_Daily!$C:$C, $C$3),""))</f>
        <v/>
      </c>
      <c r="BO9" s="132" t="str">
        <f t="shared" si="22"/>
        <v/>
      </c>
      <c r="BP9" s="128" t="str">
        <f>IF($A9="","",IFERROR(SUMPRODUCT((Raw_Data_Daily!$B$2:$B$9999="Control")*(Raw_Data_Daily!$A$2:$A$9999=$A9)*(Raw_Data_Daily!$C$2:$C$9999=$C$3)*Raw_Data_Daily!$D$2:$D$9999*Raw_Data_Daily!$Y$2:$Y$9999)/SUMIFS(Raw_Data_Daily!$D:$D, Raw_Data_Daily!$B:$B, "Control", Raw_Data_Daily!$A:$A, $A9, Raw_Data_Daily!$C:$C, $C$3),""))</f>
        <v/>
      </c>
      <c r="BQ9" s="128" t="str">
        <f>IF($A9="","",IFERROR(SUMPRODUCT((Raw_Data_Daily!$B$2:$B$9999="Variant")*(Raw_Data_Daily!$A$2:$A$9999=$A9)*(Raw_Data_Daily!$C$2:$C$9999=$C$3)*Raw_Data_Daily!$D$2:$D$9999*Raw_Data_Daily!$Y$2:$Y$9999)/SUMIFS(Raw_Data_Daily!$D:$D, Raw_Data_Daily!$B:$B, "Variant", Raw_Data_Daily!$A:$A, $A9, Raw_Data_Daily!$C:$C, $C$3),""))</f>
        <v/>
      </c>
      <c r="BR9" s="129" t="str">
        <f t="shared" si="23"/>
        <v/>
      </c>
      <c r="BS9" s="128" t="str">
        <f>IF($A9="","",IFERROR(SUMPRODUCT((Raw_Data_Daily!$B$2:$B$9999="Control")*(Raw_Data_Daily!$A$2:$A$9999=$A9)*(Raw_Data_Daily!$C$2:$C$9999=$C$3)*Raw_Data_Daily!$D$2:$D$9999*Raw_Data_Daily!$Z$2:$Z$9999)/SUMIFS(Raw_Data_Daily!$D:$D, Raw_Data_Daily!$B:$B, "Control", Raw_Data_Daily!$A:$A, $A9, Raw_Data_Daily!$C:$C, $C$3),""))</f>
        <v/>
      </c>
      <c r="BT9" s="128" t="str">
        <f>IF($A9="","",IFERROR(SUMPRODUCT((Raw_Data_Daily!$B$2:$B$9999="Variant")*(Raw_Data_Daily!$A$2:$A$9999=$A9)*(Raw_Data_Daily!$C$2:$C$9999=$C$3)*Raw_Data_Daily!$D$2:$D$9999*Raw_Data_Daily!$Z$2:$Z$9999)/SUMIFS(Raw_Data_Daily!$D:$D, Raw_Data_Daily!$B:$B, "Variant", Raw_Data_Daily!$A:$A, $A9, Raw_Data_Daily!$C:$C, $C$3),""))</f>
        <v/>
      </c>
      <c r="BU9" s="129" t="str">
        <f t="shared" si="24"/>
        <v/>
      </c>
      <c r="BV9" s="128" t="str">
        <f>IF($A9="","",IFERROR(SUMPRODUCT((Raw_Data_Daily!$B$2:$B$9999="Control")*(Raw_Data_Daily!$A$2:$A$9999=$A9)*(Raw_Data_Daily!$C$2:$C$9999=$C$3)*Raw_Data_Daily!$D$2:$D$9999*Raw_Data_Daily!$AA$2:$AA$9999)/SUMIFS(Raw_Data_Daily!$D:$D, Raw_Data_Daily!$B:$B, "Control", Raw_Data_Daily!$A:$A, $A9, Raw_Data_Daily!$C:$C, $C$3),""))</f>
        <v/>
      </c>
      <c r="BW9" s="128" t="str">
        <f>IF($A9="","",IFERROR(SUMPRODUCT((Raw_Data_Daily!$B$2:$B$9999="Variant")*(Raw_Data_Daily!$A$2:$A$9999=$A9)*(Raw_Data_Daily!$C$2:$C$9999=$C$3)*Raw_Data_Daily!$D$2:$D$9999*Raw_Data_Daily!$AA$2:$AA$9999)/SUMIFS(Raw_Data_Daily!$D:$D, Raw_Data_Daily!$B:$B, "Variant", Raw_Data_Daily!$A:$A, $A9, Raw_Data_Daily!$C:$C, $C$3),""))</f>
        <v/>
      </c>
      <c r="BX9" s="129" t="str">
        <f t="shared" si="25"/>
        <v/>
      </c>
      <c r="BY9" s="137" t="str">
        <f>IF($A9="","",IFERROR(SUMPRODUCT((Raw_Data_Daily!$B$2:$B$9999="Control")*(Raw_Data_Daily!$A$2:$A$9999=$A9)*(Raw_Data_Daily!$C$2:$C$9999=$C$3)*Raw_Data_Daily!$D$2:$D$9999*Raw_Data_Daily!$AB$2:$AB$9999)/SUMIFS(Raw_Data_Daily!$D:$D, Raw_Data_Daily!$B:$B, "Control", Raw_Data_Daily!$A:$A, $A9, Raw_Data_Daily!$C:$C, $C$3),""))</f>
        <v/>
      </c>
      <c r="BZ9" s="137" t="str">
        <f>IF($A9="","",IFERROR(SUMPRODUCT((Raw_Data_Daily!$B$2:$B$9999="Variant")*(Raw_Data_Daily!$A$2:$A$9999=$A9)*(Raw_Data_Daily!$C$2:$C$9999=$C$3)*Raw_Data_Daily!$D$2:$D$9999*Raw_Data_Daily!$AB$2:$AB$9999)/SUMIFS(Raw_Data_Daily!$D:$D, Raw_Data_Daily!$B:$B, "Variant", Raw_Data_Daily!$A:$A, $A9, Raw_Data_Daily!$C:$C, $C$3),""))</f>
        <v/>
      </c>
      <c r="CA9" s="132" t="str">
        <f t="shared" si="26"/>
        <v/>
      </c>
      <c r="CB9" s="137" t="str">
        <f>IF($A9="","",IFERROR(SUMPRODUCT((Raw_Data_Daily!$B$2:$B$9999="Control")*(Raw_Data_Daily!$A$2:$A$9999=$A9)*(Raw_Data_Daily!$C$2:$C$9999=$C$3)*Raw_Data_Daily!$D$2:$D$9999*Raw_Data_Daily!$AC$2:$AC$9999)/SUMIFS(Raw_Data_Daily!$D:$D, Raw_Data_Daily!$B:$B, "Control", Raw_Data_Daily!$A:$A, $A9, Raw_Data_Daily!$C:$C, $C$3),""))</f>
        <v/>
      </c>
      <c r="CC9" s="137" t="str">
        <f>IF($A9="","",IFERROR(SUMPRODUCT((Raw_Data_Daily!$B$2:$B$9999="Variant")*(Raw_Data_Daily!$A$2:$A$9999=$A9)*(Raw_Data_Daily!$C$2:$C$9999=$C$3)*Raw_Data_Daily!$D$2:$D$9999*Raw_Data_Daily!$AC$2:$AC$9999)/SUMIFS(Raw_Data_Daily!$D:$D, Raw_Data_Daily!$B:$B, "Variant", Raw_Data_Daily!$A:$A, $A9, Raw_Data_Daily!$C:$C, $C$3),""))</f>
        <v/>
      </c>
      <c r="CD9" s="132" t="str">
        <f t="shared" si="27"/>
        <v/>
      </c>
      <c r="CE9" s="137" t="str">
        <f>IF($A9="","",IFERROR(SUMPRODUCT((Raw_Data_Daily!$B$2:$B$9999="Control")*(Raw_Data_Daily!$A$2:$A$9999=$A9)*(Raw_Data_Daily!$C$2:$C$9999=$C$3)*Raw_Data_Daily!$D$2:$D$9999*Raw_Data_Daily!$AD$2:$AD$9999)/SUMIFS(Raw_Data_Daily!$D:$D, Raw_Data_Daily!$B:$B, "Control", Raw_Data_Daily!$A:$A, $A9, Raw_Data_Daily!$C:$C, $C$3),""))</f>
        <v/>
      </c>
      <c r="CF9" s="137" t="str">
        <f>IF($A9="","",IFERROR(SUMPRODUCT((Raw_Data_Daily!$B$2:$B$9999="Variant")*(Raw_Data_Daily!$A$2:$A$9999=$A9)*(Raw_Data_Daily!$C$2:$C$9999=$C$3)*Raw_Data_Daily!$D$2:$D$9999*Raw_Data_Daily!$AD$2:$AD$9999)/SUMIFS(Raw_Data_Daily!$D:$D, Raw_Data_Daily!$B:$B, "Variant", Raw_Data_Daily!$A:$A, $A9, Raw_Data_Daily!$C:$C, $C$3),""))</f>
        <v/>
      </c>
      <c r="CG9" s="132" t="str">
        <f t="shared" si="28"/>
        <v/>
      </c>
      <c r="CH9" s="137" t="str">
        <f>IF($A9="","",IFERROR(SUMPRODUCT((Raw_Data_Daily!$B$2:$B$9999="Control")*(Raw_Data_Daily!$A$2:$A$9999=$A9)*(Raw_Data_Daily!$C$2:$C$9999=$C$3)*Raw_Data_Daily!$D$2:$D$9999*Raw_Data_Daily!$AE$2:$AE$9999)/SUMIFS(Raw_Data_Daily!$D:$D, Raw_Data_Daily!$B:$B, "Control", Raw_Data_Daily!$A:$A, $A9, Raw_Data_Daily!$C:$C, $C$3),""))</f>
        <v/>
      </c>
      <c r="CI9" s="137" t="str">
        <f>IF($A9="","",IFERROR(SUMPRODUCT((Raw_Data_Daily!$B$2:$B$9999="Variant")*(Raw_Data_Daily!$A$2:$A$9999=$A9)*(Raw_Data_Daily!$C$2:$C$9999=$C$3)*Raw_Data_Daily!$D$2:$D$9999*Raw_Data_Daily!$AE$2:$AE$9999)/SUMIFS(Raw_Data_Daily!$D:$D, Raw_Data_Daily!$B:$B, "Variant", Raw_Data_Daily!$A:$A, $A9, Raw_Data_Daily!$C:$C, $C$3),""))</f>
        <v/>
      </c>
      <c r="CJ9" s="132" t="str">
        <f t="shared" si="29"/>
        <v/>
      </c>
      <c r="CK9" s="137" t="str">
        <f>IF($A9="","",IFERROR(SUMPRODUCT((Raw_Data_Daily!$B$2:$B$9999="Control")*(Raw_Data_Daily!$A$2:$A$9999=$A9)*(Raw_Data_Daily!$C$2:$C$9999=$C$3)*Raw_Data_Daily!$D$2:$D$9999*Raw_Data_Daily!$AF$2:$AF$9999)/SUMIFS(Raw_Data_Daily!$D:$D, Raw_Data_Daily!$B:$B, "Control", Raw_Data_Daily!$A:$A, $A9, Raw_Data_Daily!$C:$C, $C$3),""))</f>
        <v/>
      </c>
      <c r="CL9" s="137" t="str">
        <f>IF($A9="","",IFERROR(SUMPRODUCT((Raw_Data_Daily!$B$2:$B$9999="Variant")*(Raw_Data_Daily!$A$2:$A$9999=$A9)*(Raw_Data_Daily!$C$2:$C$9999=$C$3)*Raw_Data_Daily!$D$2:$D$9999*Raw_Data_Daily!$AF$2:$AF$9999)/SUMIFS(Raw_Data_Daily!$D:$D, Raw_Data_Daily!$B:$B, "Variant", Raw_Data_Daily!$A:$A, $A9, Raw_Data_Daily!$C:$C, $C$3),""))</f>
        <v/>
      </c>
      <c r="CM9" s="132" t="str">
        <f t="shared" si="30"/>
        <v/>
      </c>
      <c r="CN9" s="137" t="str">
        <f>IF($A9="","",IFERROR(SUMPRODUCT((Raw_Data_Daily!$B$2:$B$9999="Control")*(Raw_Data_Daily!$A$2:$A$9999=$A9)*(Raw_Data_Daily!$C$2:$C$9999=$C$3)*Raw_Data_Daily!$D$2:$D$9999*Raw_Data_Daily!$AG$2:$AG$9999)/SUMIFS(Raw_Data_Daily!$D:$D, Raw_Data_Daily!$B:$B, "Control", Raw_Data_Daily!$A:$A, $A9, Raw_Data_Daily!$C:$C, $C$3),""))</f>
        <v/>
      </c>
      <c r="CO9" s="137" t="str">
        <f>IF($A9="","",IFERROR(SUMPRODUCT((Raw_Data_Daily!$B$2:$B$9999="Variant")*(Raw_Data_Daily!$A$2:$A$9999=$A9)*(Raw_Data_Daily!$C$2:$C$9999=$C$3)*Raw_Data_Daily!$D$2:$D$9999*Raw_Data_Daily!$AG$2:$AG$9999)/SUMIFS(Raw_Data_Daily!$D:$D, Raw_Data_Daily!$B:$B, "Variant", Raw_Data_Daily!$A:$A, $A9, Raw_Data_Daily!$C:$C, $C$3),""))</f>
        <v/>
      </c>
      <c r="CP9" s="132" t="str">
        <f t="shared" si="31"/>
        <v/>
      </c>
      <c r="CQ9" s="137" t="str">
        <f>IF($A9="","",IFERROR(SUMPRODUCT((Raw_Data_Daily!$B$2:$B$9999="Control")*(Raw_Data_Daily!$A$2:$A$9999=$A9)*(Raw_Data_Daily!$C$2:$C$9999=$C$3)*Raw_Data_Daily!$D$2:$D$9999*Raw_Data_Daily!$AH$2:$AH$9999)/SUMIFS(Raw_Data_Daily!$D:$D, Raw_Data_Daily!$B:$B, "Control", Raw_Data_Daily!$A:$A, $A9, Raw_Data_Daily!$C:$C, $C$3),""))</f>
        <v/>
      </c>
      <c r="CR9" s="137" t="str">
        <f>IF($A9="","",IFERROR(SUMPRODUCT((Raw_Data_Daily!$B$2:$B$9999="Variant")*(Raw_Data_Daily!$A$2:$A$9999=$A9)*(Raw_Data_Daily!$C$2:$C$9999=$C$3)*Raw_Data_Daily!$D$2:$D$9999*Raw_Data_Daily!$AH$2:$AH$9999)/SUMIFS(Raw_Data_Daily!$D:$D, Raw_Data_Daily!$B:$B, "Variant", Raw_Data_Daily!$A:$A, $A9, Raw_Data_Daily!$C:$C, $C$3),""))</f>
        <v/>
      </c>
      <c r="CS9" s="132" t="str">
        <f t="shared" si="32"/>
        <v/>
      </c>
      <c r="CT9" s="130" t="str">
        <f>IF($A9="","",IFERROR(SUMPRODUCT((Raw_Data_Daily!$B$2:$B$9999="Control")*(Raw_Data_Daily!$A$2:$A$9999=$A9)*(Raw_Data_Daily!$C$2:$C$9999=$C$3)*Raw_Data_Daily!$D$2:$D$9999*Raw_Data_Daily!$AI$2:$AI$9999)/SUMIFS(Raw_Data_Daily!$D:$D, Raw_Data_Daily!$B:$B, "Control", Raw_Data_Daily!$A:$A, $A9, Raw_Data_Daily!$C:$C, $C$3),""))</f>
        <v/>
      </c>
      <c r="CU9" s="130" t="str">
        <f>IF($A9="","",IFERROR(SUMPRODUCT((Raw_Data_Daily!$B$2:$B$9999="Variant")*(Raw_Data_Daily!$A$2:$A$9999=$A9)*(Raw_Data_Daily!$C$2:$C$9999=$C$3)*Raw_Data_Daily!$D$2:$D$9999*Raw_Data_Daily!$AI$2:$AI$9999)/SUMIFS(Raw_Data_Daily!$D:$D, Raw_Data_Daily!$B:$B, "Variant", Raw_Data_Daily!$A:$A, $A9, Raw_Data_Daily!$C:$C, $C$3),""))</f>
        <v/>
      </c>
      <c r="CV9" s="140" t="str">
        <f t="shared" si="33"/>
        <v/>
      </c>
      <c r="CW9" s="130" t="str">
        <f>IF($A9="","",IFERROR(SUMPRODUCT((Raw_Data_Daily!$B$2:$B$9999="Control")*(Raw_Data_Daily!$A$2:$A$9999=$A9)*(Raw_Data_Daily!$C$2:$C$9999=$C$3)*Raw_Data_Daily!$D$2:$D$9999*Raw_Data_Daily!$AJ$2:$AJ$9999)/SUMIFS(Raw_Data_Daily!$D:$D, Raw_Data_Daily!$B:$B, "Control", Raw_Data_Daily!$A:$A, $A9, Raw_Data_Daily!$C:$C, $C$3),""))</f>
        <v/>
      </c>
      <c r="CX9" s="130" t="str">
        <f>IF($A9="","",IFERROR(SUMPRODUCT((Raw_Data_Daily!$B$2:$B$9999="Variant")*(Raw_Data_Daily!$A$2:$A$9999=$A9)*(Raw_Data_Daily!$C$2:$C$9999=$C$3)*Raw_Data_Daily!$D$2:$D$9999*Raw_Data_Daily!$AJ$2:$AJ$9999)/SUMIFS(Raw_Data_Daily!$D:$D, Raw_Data_Daily!$B:$B, "Variant", Raw_Data_Daily!$A:$A, $A9, Raw_Data_Daily!$C:$C, $C$3),""))</f>
        <v/>
      </c>
      <c r="CY9" s="140" t="str">
        <f t="shared" si="34"/>
        <v/>
      </c>
      <c r="CZ9" s="130" t="str">
        <f>IF($A9="","",IFERROR(SUMPRODUCT((Raw_Data_Daily!$B$2:$B$9999="Control")*(Raw_Data_Daily!$A$2:$A$9999=$A9)*(Raw_Data_Daily!$C$2:$C$9999=$C$3)*Raw_Data_Daily!$D$2:$D$9999*Raw_Data_Daily!$AK$2:$AK$9999)/SUMIFS(Raw_Data_Daily!$D:$D, Raw_Data_Daily!$B:$B, "Control", Raw_Data_Daily!$A:$A, $A9, Raw_Data_Daily!$C:$C, $C$3),""))</f>
        <v/>
      </c>
      <c r="DA9" s="130" t="str">
        <f>IF($A9="","",IFERROR(SUMPRODUCT((Raw_Data_Daily!$B$2:$B$9999="Variant")*(Raw_Data_Daily!$A$2:$A$9999=$A9)*(Raw_Data_Daily!$C$2:$C$9999=$C$3)*Raw_Data_Daily!$D$2:$D$9999*Raw_Data_Daily!$AK$2:$AK$9999)/SUMIFS(Raw_Data_Daily!$D:$D, Raw_Data_Daily!$B:$B, "Variant", Raw_Data_Daily!$A:$A, $A9, Raw_Data_Daily!$C:$C, $C$3),""))</f>
        <v/>
      </c>
      <c r="DB9" s="132" t="str">
        <f t="shared" si="35"/>
        <v/>
      </c>
      <c r="DC9" s="139" t="str">
        <f>IF($A9="","",IFERROR(SUMPRODUCT((Raw_Data_Daily!$B$2:$B$9999="Control")*(Raw_Data_Daily!$A$2:$A$9999=$A9)*(Raw_Data_Daily!$C$2:$C$9999=$C$3)*Raw_Data_Daily!$D$2:$D$9999*Raw_Data_Daily!$AL$2:$AL$9999)/SUMIFS(Raw_Data_Daily!$D:$D, Raw_Data_Daily!$B:$B, "Control", Raw_Data_Daily!$A:$A, $A9, Raw_Data_Daily!$C:$C, $C$3),""))</f>
        <v/>
      </c>
      <c r="DD9" s="139" t="str">
        <f>IF($A9="","",IFERROR(SUMPRODUCT((Raw_Data_Daily!$B$2:$B$9999="Variant")*(Raw_Data_Daily!$A$2:$A$9999=$A9)*(Raw_Data_Daily!$C$2:$C$9999=$C$3)*Raw_Data_Daily!$D$2:$D$9999*Raw_Data_Daily!$AL$2:$AL$9999)/SUMIFS(Raw_Data_Daily!$D:$D, Raw_Data_Daily!$B:$B, "Variant", Raw_Data_Daily!$A:$A, $A9, Raw_Data_Daily!$C:$C, $C$3),""))</f>
        <v/>
      </c>
      <c r="DE9" s="140" t="str">
        <f t="shared" si="36"/>
        <v/>
      </c>
      <c r="DF9" s="165"/>
      <c r="DG9" s="130" t="str">
        <f>IF($A9="","",IFERROR(SUMPRODUCT((Raw_Data_Daily!$B$2:$B$9999="Variant")*(Raw_Data_Daily!$A$2:$A$9999=$A9)*(Raw_Data_Daily!$C$2:$C$9999=$C$3)*Raw_Data_Daily!$D$2:$D$9999*Raw_Data_Daily!$AM$2:$AM$9999)/SUMIFS(Raw_Data_Daily!$D:$D, Raw_Data_Daily!$B:$B, "Variant", Raw_Data_Daily!$A:$A, $A9, Raw_Data_Daily!$C:$C, $C$3),""))</f>
        <v/>
      </c>
      <c r="DH9" s="166"/>
      <c r="DI9" s="165"/>
      <c r="DJ9" s="130" t="str">
        <f>IF($A9="","",IFERROR(SUMPRODUCT((Raw_Data_Daily!$B$2:$B$9999="Variant")*(Raw_Data_Daily!$A$2:$A$9999=$A9)*(Raw_Data_Daily!$C$2:$C$9999=$C$3)*Raw_Data_Daily!$D$2:$D$9999*Raw_Data_Daily!$AN$2:$AN$9999)/SUMIFS(Raw_Data_Daily!$D:$D, Raw_Data_Daily!$B:$B, "Variant", Raw_Data_Daily!$A:$A, $A9, Raw_Data_Daily!$C:$C, $C$3),""))</f>
        <v/>
      </c>
      <c r="DK9" s="166"/>
      <c r="DL9" s="165"/>
      <c r="DM9" s="130" t="str">
        <f>IF($A9="","",IFERROR(SUMPRODUCT((Raw_Data_Daily!$B$2:$B$9999="Variant")*(Raw_Data_Daily!$A$2:$A$9999=$A9)*(Raw_Data_Daily!$C$2:$C$9999=$C$3)*Raw_Data_Daily!$D$2:$D$9999*Raw_Data_Daily!$AO$2:$AO$9999)/SUMIFS(Raw_Data_Daily!$D:$D, Raw_Data_Daily!$B:$B, "Variant", Raw_Data_Daily!$A:$A, $A9, Raw_Data_Daily!$C:$C, $C$3),""))</f>
        <v/>
      </c>
      <c r="DN9" s="166"/>
      <c r="DO9" s="165"/>
      <c r="DP9" s="130" t="str">
        <f>IF($A9="","",IFERROR(SUMPRODUCT((Raw_Data_Daily!$B$2:$B$9999="Variant")*(Raw_Data_Daily!$A$2:$A$9999=$A9)*(Raw_Data_Daily!$C$2:$C$9999=$C$3)*Raw_Data_Daily!$D$2:$D$9999*Raw_Data_Daily!$AP$2:$AP$9999)/SUMIFS(Raw_Data_Daily!$D:$D, Raw_Data_Daily!$B:$B, "Variant", Raw_Data_Daily!$A:$A, $A9, Raw_Data_Daily!$C:$C, $C$3),""))</f>
        <v/>
      </c>
      <c r="DQ9" s="166"/>
      <c r="DR9" s="139" t="str">
        <f>IF($A9="","",IFERROR(SUMPRODUCT((Raw_Data_Daily!$B$2:$B$9999="Control")*(Raw_Data_Daily!$A$2:$A$9999=$A9)*(Raw_Data_Daily!$C$2:$C$9999=$C$3)*Raw_Data_Daily!$D$2:$D$9999*Raw_Data_Daily!$AQ$2:$AQ$9999)/SUMIFS(Raw_Data_Daily!$D:$D, Raw_Data_Daily!$B:$B, "Control", Raw_Data_Daily!$A:$A, $A9, Raw_Data_Daily!$C:$C, $C$3),""))</f>
        <v/>
      </c>
      <c r="DS9" s="139" t="str">
        <f>IF($A9="","",IFERROR(SUMPRODUCT((Raw_Data_Daily!$B$2:$B$9999="Variant")*(Raw_Data_Daily!$A$2:$A$9999=$A9)*(Raw_Data_Daily!$C$2:$C$9999=$C$3)*Raw_Data_Daily!$D$2:$D$9999*Raw_Data_Daily!$AQ$2:$AQ$9999)/SUMIFS(Raw_Data_Daily!$D:$D, Raw_Data_Daily!$B:$B, "Variant", Raw_Data_Daily!$A:$A, $A9, Raw_Data_Daily!$C:$C, $C$3),""))</f>
        <v/>
      </c>
      <c r="DT9" s="167" t="str">
        <f t="shared" si="37"/>
        <v/>
      </c>
      <c r="DU9" s="139" t="str">
        <f>IF($A9="","",IFERROR(SUMPRODUCT((Raw_Data_Daily!$B$2:$B$9999="Control")*(Raw_Data_Daily!$A$2:$A$9999=$A9)*(Raw_Data_Daily!$C$2:$C$9999=$C$3)*Raw_Data_Daily!$D$2:$D$9999*Raw_Data_Daily!$AR$2:$AR$9999)/SUMIFS(Raw_Data_Daily!$D:$D, Raw_Data_Daily!$B:$B, "Control", Raw_Data_Daily!$A:$A, $A9, Raw_Data_Daily!$C:$C, $C$3),""))</f>
        <v/>
      </c>
      <c r="DV9" s="139" t="str">
        <f>IF($A9="","",IFERROR(SUMPRODUCT((Raw_Data_Daily!$B$2:$B$9999="Variant")*(Raw_Data_Daily!$A$2:$A$9999=$A9)*(Raw_Data_Daily!$C$2:$C$9999=$C$3)*Raw_Data_Daily!$D$2:$D$9999*Raw_Data_Daily!$AR$2:$AR$9999)/SUMIFS(Raw_Data_Daily!$D:$D, Raw_Data_Daily!$B:$B, "Variant", Raw_Data_Daily!$A:$A, $A9, Raw_Data_Daily!$C:$C, $C$3),""))</f>
        <v/>
      </c>
      <c r="DW9" s="167" t="str">
        <f t="shared" si="38"/>
        <v/>
      </c>
      <c r="DX9" s="139" t="str">
        <f>IF($A9="","",IFERROR(SUMPRODUCT((Raw_Data_Daily!$B$2:$B$9999="Control")*(Raw_Data_Daily!$A$2:$A$9999=$A9)*(Raw_Data_Daily!$C$2:$C$9999=$C$3)*Raw_Data_Daily!$D$2:$D$9999*Raw_Data_Daily!$AS$2:$AS$9999)/SUMIFS(Raw_Data_Daily!$D:$D, Raw_Data_Daily!$B:$B, "Control", Raw_Data_Daily!$A:$A, $A9, Raw_Data_Daily!$C:$C, $C$3),""))</f>
        <v/>
      </c>
      <c r="DY9" s="139" t="str">
        <f>IF($A9="","",IFERROR(SUMPRODUCT((Raw_Data_Daily!$B$2:$B$9999="Variant")*(Raw_Data_Daily!$A$2:$A$9999=$A9)*(Raw_Data_Daily!$C$2:$C$9999=$C$3)*Raw_Data_Daily!$D$2:$D$9999*Raw_Data_Daily!$AS$2:$AS$9999)/SUMIFS(Raw_Data_Daily!$D:$D, Raw_Data_Daily!$B:$B, "Variant", Raw_Data_Daily!$A:$A, $A9, Raw_Data_Daily!$C:$C, $C$3),""))</f>
        <v/>
      </c>
      <c r="DZ9" s="168" t="str">
        <f t="shared" si="39"/>
        <v/>
      </c>
      <c r="EA9" s="139" t="str">
        <f>IF($A9="","",IFERROR(SUMPRODUCT((Raw_Data_Daily!$B$2:$B$9999="Control")*(Raw_Data_Daily!$A$2:$A$9999=$A9)*(Raw_Data_Daily!$C$2:$C$9999=$C$3)*Raw_Data_Daily!$D$2:$D$9999*Raw_Data_Daily!$AT$2:$AT$9999)/SUMIFS(Raw_Data_Daily!$D:$D, Raw_Data_Daily!$B:$B, "Control", Raw_Data_Daily!$A:$A, $A9, Raw_Data_Daily!$C:$C, $C$3),""))</f>
        <v/>
      </c>
      <c r="EB9" s="139" t="str">
        <f>IF($A9="","",IFERROR(SUMPRODUCT((Raw_Data_Daily!$B$2:$B$9999="Variant")*(Raw_Data_Daily!$A$2:$A$9999=$A9)*(Raw_Data_Daily!$C$2:$C$9999=$C$3)*Raw_Data_Daily!$D$2:$D$9999*Raw_Data_Daily!$AT$2:$AT$9999)/SUMIFS(Raw_Data_Daily!$D:$D, Raw_Data_Daily!$B:$B, "Variant", Raw_Data_Daily!$A:$A, $A9, Raw_Data_Daily!$C:$C, $C$3),""))</f>
        <v/>
      </c>
      <c r="EC9" s="167" t="str">
        <f t="shared" si="40"/>
        <v/>
      </c>
      <c r="ED9" s="139" t="str">
        <f>IF($A9="","",IFERROR(SUMPRODUCT((Raw_Data_Daily!$B$2:$B$9999="Control")*(Raw_Data_Daily!$A$2:$A$9999=$A9)*(Raw_Data_Daily!$C$2:$C$9999=$C$3)*Raw_Data_Daily!$D$2:$D$9999*(Raw_Data_Daily!$AQ$2:$AQ$9999-Raw_Data_Daily!$AT$2:$AT$9999))/SUMIFS(Raw_Data_Daily!$D:$D, Raw_Data_Daily!$B:$B, "Control", Raw_Data_Daily!$A:$A, $A9, Raw_Data_Daily!$C:$C, $C$3),""))</f>
        <v/>
      </c>
      <c r="EE9" s="139" t="str">
        <f>IF($A9="","",IFERROR(SUMPRODUCT((Raw_Data_Daily!$B$2:$B$9999="Variant")*(Raw_Data_Daily!$A$2:$A$9999=$A9)*(Raw_Data_Daily!$C$2:$C$9999=$C$3)*Raw_Data_Daily!$D$2:$D$9999*(Raw_Data_Daily!$AQ$2:$AQ$9999-Raw_Data_Daily!$AT$2:$AT$9999))/SUMIFS(Raw_Data_Daily!$D:$D, Raw_Data_Daily!$B:$B, "Variant", Raw_Data_Daily!$A:$A, $A9, Raw_Data_Daily!$C:$C, $C$3),""))</f>
        <v/>
      </c>
      <c r="EF9" s="168" t="str">
        <f t="shared" si="41"/>
        <v/>
      </c>
      <c r="EG9" s="139" t="str">
        <f>IF($A9="","",IFERROR(SUMPRODUCT((Raw_Data_Daily!$B$2:$B$9999="Control")*(Raw_Data_Daily!$A$2:$A$9999=$A9)*(Raw_Data_Daily!$C$2:$C$9999=$C$3)*Raw_Data_Daily!$D$2:$D$9999*Raw_Data_Daily!$AU$2:$AU$9999)/SUMIFS(Raw_Data_Daily!$D:$D, Raw_Data_Daily!$B:$B, "Control", Raw_Data_Daily!$A:$A, $A9, Raw_Data_Daily!$C:$C, $C$3),""))</f>
        <v/>
      </c>
      <c r="EH9" s="139" t="str">
        <f>IF($A9="","",IFERROR(SUMPRODUCT((Raw_Data_Daily!$B$2:$B$9999="Variant")*(Raw_Data_Daily!$A$2:$A$9999=$A9)*(Raw_Data_Daily!$C$2:$C$9999=$C$3)*Raw_Data_Daily!$D$2:$D$9999*Raw_Data_Daily!$AU$2:$AU$9999)/SUMIFS(Raw_Data_Daily!$D:$D, Raw_Data_Daily!$B:$B, "Variant", Raw_Data_Daily!$A:$A, $A9, Raw_Data_Daily!$C:$C, $C$3),""))</f>
        <v/>
      </c>
      <c r="EI9" s="167" t="str">
        <f t="shared" si="42"/>
        <v/>
      </c>
    </row>
    <row r="10" ht="15.75" customHeight="1">
      <c r="A10" s="126">
        <v>46233.0</v>
      </c>
      <c r="B10" s="128">
        <f>IF($A10="","",SUMIFS(Raw_Data_Daily!$D:$D, Raw_Data_Daily!$B:$B, "Control", Raw_Data_Daily!$A:$A, $A10, Raw_Data_Daily!$C:$C, $C$3))</f>
        <v>0</v>
      </c>
      <c r="C10" s="128">
        <f>IF($A10="","",SUMIFS(Raw_Data_Daily!$D:$D, Raw_Data_Daily!$B:$B, "Variant", Raw_Data_Daily!$A:$A, $A10, Raw_Data_Daily!$C:$C, $C$3))</f>
        <v>0</v>
      </c>
      <c r="D10" s="129" t="str">
        <f t="shared" si="1"/>
        <v/>
      </c>
      <c r="E10" s="130" t="str">
        <f>IF($A10="","",IFERROR(SUMPRODUCT((Raw_Data_Daily!$B$2:$B$9999="Control")*(Raw_Data_Daily!$A$2:$A$9999=$A10)*(Raw_Data_Daily!$C$2:$C$9999=$C$3)*Raw_Data_Daily!$D$2:$D$9999*Raw_Data_Daily!$E$2:$E$9999)/SUMIFS(Raw_Data_Daily!$D:$D, Raw_Data_Daily!$B:$B, "Control", Raw_Data_Daily!$A:$A, $A10, Raw_Data_Daily!$C:$C, $C$3),""))</f>
        <v/>
      </c>
      <c r="F10" s="130" t="str">
        <f>IF($A10="","",IFERROR(SUMPRODUCT((Raw_Data_Daily!$B$2:$B$9999="Variant")*(Raw_Data_Daily!$A$2:$A$9999=$A10)*(Raw_Data_Daily!$C$2:$C$9999=$C$3)*Raw_Data_Daily!$D$2:$D$9999*Raw_Data_Daily!$E$2:$E$9999)/SUMIFS(Raw_Data_Daily!$D:$D, Raw_Data_Daily!$B:$B, "Variant", Raw_Data_Daily!$A:$A, $A10, Raw_Data_Daily!$C:$C, $C$3),""))</f>
        <v/>
      </c>
      <c r="G10" s="129" t="str">
        <f t="shared" si="2"/>
        <v/>
      </c>
      <c r="H10" s="131">
        <f>IF($A10="","",SUMIFS(Raw_Data_Daily!$F:$F, Raw_Data_Daily!$B:$B, "Control", Raw_Data_Daily!$A:$A, $A10, Raw_Data_Daily!$C:$C, $C$3))</f>
        <v>0</v>
      </c>
      <c r="I10" s="131">
        <f>IF($A10="","",SUMIFS(Raw_Data_Daily!$F:$F, Raw_Data_Daily!$B:$B, "Variant", Raw_Data_Daily!$A:$A, $A10, Raw_Data_Daily!$C:$C, $C$3))</f>
        <v>0</v>
      </c>
      <c r="J10" s="132" t="str">
        <f t="shared" si="3"/>
        <v/>
      </c>
      <c r="K10" s="134" t="str">
        <f>IF($A10="","",IFERROR(SUMIFS(Raw_Data_Daily!$F:$F, Raw_Data_Daily!$B:$B, "Control", Raw_Data_Daily!$A:$A, $A10, Raw_Data_Daily!$C:$C, $C$3)/SUMIFS(Raw_Data_Daily!$D:$D, Raw_Data_Daily!$B:$B, "Control", Raw_Data_Daily!$A:$A, $A10, Raw_Data_Daily!$C:$C, $C$3),""))</f>
        <v/>
      </c>
      <c r="L10" s="134" t="str">
        <f>IF($A10="","",IFERROR(SUMIFS(Raw_Data_Daily!$F:$F, Raw_Data_Daily!$B:$B, "Variant", Raw_Data_Daily!$A:$A, $A10, Raw_Data_Daily!$C:$C, $C$3)/SUMIFS(Raw_Data_Daily!$D:$D, Raw_Data_Daily!$B:$B, "Variant", Raw_Data_Daily!$A:$A, $A10, Raw_Data_Daily!$C:$C, $C$3),""))</f>
        <v/>
      </c>
      <c r="M10" s="132" t="str">
        <f t="shared" si="4"/>
        <v/>
      </c>
      <c r="N10" s="130" t="str">
        <f>IF($A10="","",IFERROR(SUMPRODUCT((Raw_Data_Daily!$B$2:$B$9999="Control")*(Raw_Data_Daily!$A$2:$A$9999=$A10)*(Raw_Data_Daily!$C$2:$C$9999=$C$3)*Raw_Data_Daily!$D$2:$D$9999*Raw_Data_Daily!$H$2:$H$9999/100)/SUMIFS(Raw_Data_Daily!$D:$D, Raw_Data_Daily!$B:$B, "Control", Raw_Data_Daily!$A:$A, $A10, Raw_Data_Daily!$C:$C, $C$3)*100,""))</f>
        <v/>
      </c>
      <c r="O10" s="130" t="str">
        <f>IF($A10="","",IFERROR(SUMPRODUCT((Raw_Data_Daily!$B$2:$B$9999="Variant")*(Raw_Data_Daily!$A$2:$A$9999=$A10)*(Raw_Data_Daily!$C$2:$C$9999=$C$3)*Raw_Data_Daily!$D$2:$D$9999*Raw_Data_Daily!$H$2:$H$9999/100)/SUMIFS(Raw_Data_Daily!$D:$D, Raw_Data_Daily!$B:$B, "Variant", Raw_Data_Daily!$A:$A, $A10, Raw_Data_Daily!$C:$C, $C$3)*100,""))</f>
        <v/>
      </c>
      <c r="P10" s="132" t="str">
        <f t="shared" si="5"/>
        <v/>
      </c>
      <c r="Q10" s="134" t="str">
        <f>IF($A10="","",IFERROR(SUMIFS(Raw_Data_Daily!$F:$F, Raw_Data_Daily!$B:$B, "Control", Raw_Data_Daily!$A:$A, $A10, Raw_Data_Daily!$C:$C, $C$3)/SUMPRODUCT((Raw_Data_Daily!$B$2:$B$9999="Control")*(Raw_Data_Daily!$A$2:$A$9999=$A10)*(Raw_Data_Daily!$C$2:$C$9999=$C$3)*Raw_Data_Daily!$D$2:$D$9999*Raw_Data_Daily!$H$2:$H$9999/100),""))</f>
        <v/>
      </c>
      <c r="R10" s="134" t="str">
        <f>IF($A10="","",IFERROR(SUMIFS(Raw_Data_Daily!$F:$F, Raw_Data_Daily!$B:$B, "Variant", Raw_Data_Daily!$A:$A, $A10, Raw_Data_Daily!$C:$C, $C$3)/SUMPRODUCT((Raw_Data_Daily!$B$2:$B$9999="Variant")*(Raw_Data_Daily!$A$2:$A$9999=$A10)*(Raw_Data_Daily!$C$2:$C$9999=$C$3)*Raw_Data_Daily!$D$2:$D$9999*Raw_Data_Daily!$H$2:$H$9999/100),""))</f>
        <v/>
      </c>
      <c r="S10" s="132" t="str">
        <f t="shared" si="6"/>
        <v/>
      </c>
      <c r="T10" s="137" t="str">
        <f>IF($A10="","",IFERROR(SUMPRODUCT((Raw_Data_Daily!$B$2:$B$9999="Control")*(Raw_Data_Daily!$A$2:$A$9999=$A10)*(Raw_Data_Daily!$C$2:$C$9999=$C$3)*Raw_Data_Daily!$D$2:$D$9999*Raw_Data_Daily!$J$2:$J$9999)/SUMIFS(Raw_Data_Daily!$D:$D, Raw_Data_Daily!$B:$B, "Control", Raw_Data_Daily!$A:$A, $A10, Raw_Data_Daily!$C:$C, $C$3),""))</f>
        <v/>
      </c>
      <c r="U10" s="137" t="str">
        <f>IF($A10="","",IFERROR(SUMPRODUCT((Raw_Data_Daily!$B$2:$B$9999="Variant")*(Raw_Data_Daily!$A$2:$A$9999=$A10)*(Raw_Data_Daily!$C$2:$C$9999=$C$3)*Raw_Data_Daily!$D$2:$D$9999*Raw_Data_Daily!$J$2:$J$9999)/SUMIFS(Raw_Data_Daily!$D:$D, Raw_Data_Daily!$B:$B, "Variant", Raw_Data_Daily!$A:$A, $A10, Raw_Data_Daily!$C:$C, $C$3),""))</f>
        <v/>
      </c>
      <c r="V10" s="132" t="str">
        <f t="shared" si="7"/>
        <v/>
      </c>
      <c r="W10" s="137" t="str">
        <f>IF($A10="","",IFERROR(SUMPRODUCT((Raw_Data_Daily!$B$2:$B$9999="Control")*(Raw_Data_Daily!$A$2:$A$9999=$A10)*(Raw_Data_Daily!$C$2:$C$9999=$C$3)*Raw_Data_Daily!$D$2:$D$9999*Raw_Data_Daily!$K$2:$K$9999)/SUMIFS(Raw_Data_Daily!$D:$D, Raw_Data_Daily!$B:$B, "Control", Raw_Data_Daily!$A:$A, $A10, Raw_Data_Daily!$C:$C, $C$3),""))</f>
        <v/>
      </c>
      <c r="X10" s="137" t="str">
        <f>IF($A10="","",IFERROR(SUMPRODUCT((Raw_Data_Daily!$B$2:$B$9999="Variant")*(Raw_Data_Daily!$A$2:$A$9999=$A10)*(Raw_Data_Daily!$C$2:$C$9999=$C$3)*Raw_Data_Daily!$D$2:$D$9999*Raw_Data_Daily!$K$2:$K$9999)/SUMIFS(Raw_Data_Daily!$D:$D, Raw_Data_Daily!$B:$B, "Variant", Raw_Data_Daily!$A:$A, $A10, Raw_Data_Daily!$C:$C, $C$3),""))</f>
        <v/>
      </c>
      <c r="Y10" s="132" t="str">
        <f t="shared" si="8"/>
        <v/>
      </c>
      <c r="Z10" s="137" t="str">
        <f>IF($A10="","",IFERROR(SUMPRODUCT((Raw_Data_Daily!$B$2:$B$9999="Control")*(Raw_Data_Daily!$A$2:$A$9999=$A10)*(Raw_Data_Daily!$C$2:$C$9999=$C$3)*Raw_Data_Daily!$D$2:$D$9999*Raw_Data_Daily!$L$2:$L$9999)/SUMIFS(Raw_Data_Daily!$D:$D, Raw_Data_Daily!$B:$B, "Control", Raw_Data_Daily!$A:$A, $A10, Raw_Data_Daily!$C:$C, $C$3),""))</f>
        <v/>
      </c>
      <c r="AA10" s="137" t="str">
        <f>IF($A10="","",IFERROR(SUMPRODUCT((Raw_Data_Daily!$B$2:$B$9999="Variant")*(Raw_Data_Daily!$A$2:$A$9999=$A10)*(Raw_Data_Daily!$C$2:$C$9999=$C$3)*Raw_Data_Daily!$D$2:$D$9999*Raw_Data_Daily!$L$2:$L$9999)/SUMIFS(Raw_Data_Daily!$D:$D, Raw_Data_Daily!$B:$B, "Variant", Raw_Data_Daily!$A:$A, $A10, Raw_Data_Daily!$C:$C, $C$3),""))</f>
        <v/>
      </c>
      <c r="AB10" s="132" t="str">
        <f t="shared" si="9"/>
        <v/>
      </c>
      <c r="AC10" s="139" t="str">
        <f>IF($A10="","",IFERROR(SUMPRODUCT((Raw_Data_Daily!$B$2:$B$9999="Control")*(Raw_Data_Daily!$A$2:$A$9999=$A10)*(Raw_Data_Daily!$C$2:$C$9999=$C$3)*Raw_Data_Daily!$D$2:$D$9999*Raw_Data_Daily!$M$2:$M$9999)/SUMIFS(Raw_Data_Daily!$D:$D, Raw_Data_Daily!$B:$B, "Control", Raw_Data_Daily!$A:$A, $A10, Raw_Data_Daily!$C:$C, $C$3),""))</f>
        <v/>
      </c>
      <c r="AD10" s="139" t="str">
        <f>IF($A10="","",IFERROR(SUMPRODUCT((Raw_Data_Daily!$B$2:$B$9999="Variant")*(Raw_Data_Daily!$A$2:$A$9999=$A10)*(Raw_Data_Daily!$C$2:$C$9999=$C$3)*Raw_Data_Daily!$D$2:$D$9999*Raw_Data_Daily!$M$2:$M$9999)/SUMIFS(Raw_Data_Daily!$D:$D, Raw_Data_Daily!$B:$B, "Variant", Raw_Data_Daily!$A:$A, $A10, Raw_Data_Daily!$C:$C, $C$3),""))</f>
        <v/>
      </c>
      <c r="AE10" s="140" t="str">
        <f t="shared" si="10"/>
        <v/>
      </c>
      <c r="AF10" s="139" t="str">
        <f>IF($A10="","",IFERROR(SUMPRODUCT((Raw_Data_Daily!$B$2:$B$9999="Control")*(Raw_Data_Daily!$A$2:$A$9999=$A10)*(Raw_Data_Daily!$C$2:$C$9999=$C$3)*Raw_Data_Daily!$D$2:$D$9999*Raw_Data_Daily!$N$2:$N$9999)/SUMIFS(Raw_Data_Daily!$D:$D, Raw_Data_Daily!$B:$B, "Control", Raw_Data_Daily!$A:$A, $A10, Raw_Data_Daily!$C:$C, $C$3),""))</f>
        <v/>
      </c>
      <c r="AG10" s="139" t="str">
        <f>IF($A10="","",IFERROR(SUMPRODUCT((Raw_Data_Daily!$B$2:$B$9999="Variant")*(Raw_Data_Daily!$A$2:$A$9999=$A10)*(Raw_Data_Daily!$C$2:$C$9999=$C$3)*Raw_Data_Daily!$D$2:$D$9999*Raw_Data_Daily!$N$2:$N$9999)/SUMIFS(Raw_Data_Daily!$D:$D, Raw_Data_Daily!$B:$B, "Variant", Raw_Data_Daily!$A:$A, $A10, Raw_Data_Daily!$C:$C, $C$3),""))</f>
        <v/>
      </c>
      <c r="AH10" s="140" t="str">
        <f t="shared" si="11"/>
        <v/>
      </c>
      <c r="AI10" s="139" t="str">
        <f>IF($A10="","",IFERROR(SUMPRODUCT((Raw_Data_Daily!$B$2:$B$9999="Control")*(Raw_Data_Daily!$A$2:$A$9999=$A10)*(Raw_Data_Daily!$C$2:$C$9999=$C$3)*Raw_Data_Daily!$D$2:$D$9999*Raw_Data_Daily!$O$2:$O$9999)/SUMIFS(Raw_Data_Daily!$D:$D, Raw_Data_Daily!$B:$B, "Control", Raw_Data_Daily!$A:$A, $A10, Raw_Data_Daily!$C:$C, $C$3),""))</f>
        <v/>
      </c>
      <c r="AJ10" s="139" t="str">
        <f>IF($A10="","",IFERROR(SUMPRODUCT((Raw_Data_Daily!$B$2:$B$9999="Variant")*(Raw_Data_Daily!$A$2:$A$9999=$A10)*(Raw_Data_Daily!$C$2:$C$9999=$C$3)*Raw_Data_Daily!$D$2:$D$9999*Raw_Data_Daily!$O$2:$O$9999)/SUMIFS(Raw_Data_Daily!$D:$D, Raw_Data_Daily!$B:$B, "Variant", Raw_Data_Daily!$A:$A, $A10, Raw_Data_Daily!$C:$C, $C$3),""))</f>
        <v/>
      </c>
      <c r="AK10" s="132" t="str">
        <f t="shared" si="12"/>
        <v/>
      </c>
      <c r="AL10" s="137" t="str">
        <f>IF($A10="","",IFERROR(SUMPRODUCT((Raw_Data_Daily!$B$2:$B$9999="Control")*(Raw_Data_Daily!$A$2:$A$9999=$A10)*(Raw_Data_Daily!$C$2:$C$9999=$C$3)*Raw_Data_Daily!$D$2:$D$9999*Raw_Data_Daily!$P$2:$P$9999)/SUMIFS(Raw_Data_Daily!$D:$D, Raw_Data_Daily!$B:$B, "Control", Raw_Data_Daily!$A:$A, $A10, Raw_Data_Daily!$C:$C, $C$3),""))</f>
        <v/>
      </c>
      <c r="AM10" s="137" t="str">
        <f>IF($A10="","",IFERROR(SUMPRODUCT((Raw_Data_Daily!$B$2:$B$9999="Variant")*(Raw_Data_Daily!$A$2:$A$9999=$A10)*(Raw_Data_Daily!$C$2:$C$9999=$C$3)*Raw_Data_Daily!$D$2:$D$9999*Raw_Data_Daily!$P$2:$P$9999)/SUMIFS(Raw_Data_Daily!$D:$D, Raw_Data_Daily!$B:$B, "Variant", Raw_Data_Daily!$A:$A, $A10, Raw_Data_Daily!$C:$C, $C$3),""))</f>
        <v/>
      </c>
      <c r="AN10" s="132" t="str">
        <f t="shared" si="13"/>
        <v/>
      </c>
      <c r="AO10" s="137" t="str">
        <f>IF($A10="","",IFERROR(SUMPRODUCT((Raw_Data_Daily!$B$2:$B$9999="Control")*(Raw_Data_Daily!$A$2:$A$9999=$A10)*(Raw_Data_Daily!$C$2:$C$9999=$C$3)*Raw_Data_Daily!$D$2:$D$9999*Raw_Data_Daily!$Q$2:$Q$9999)/SUMIFS(Raw_Data_Daily!$D:$D, Raw_Data_Daily!$B:$B, "Control", Raw_Data_Daily!$A:$A, $A10, Raw_Data_Daily!$C:$C, $C$3),""))</f>
        <v/>
      </c>
      <c r="AP10" s="137" t="str">
        <f>IF($A10="","",IFERROR(SUMPRODUCT((Raw_Data_Daily!$B$2:$B$9999="Variant")*(Raw_Data_Daily!$A$2:$A$9999=$A10)*(Raw_Data_Daily!$C$2:$C$9999=$C$3)*Raw_Data_Daily!$D$2:$D$9999*Raw_Data_Daily!$Q$2:$Q$9999)/SUMIFS(Raw_Data_Daily!$D:$D, Raw_Data_Daily!$B:$B, "Variant", Raw_Data_Daily!$A:$A, $A10, Raw_Data_Daily!$C:$C, $C$3),""))</f>
        <v/>
      </c>
      <c r="AQ10" s="129" t="str">
        <f t="shared" si="14"/>
        <v/>
      </c>
      <c r="AR10" s="137" t="str">
        <f>IF($A10="","",IFERROR(SUMPRODUCT((Raw_Data_Daily!$B$2:$B$9999="Control")*(Raw_Data_Daily!$A$2:$A$9999=$A10)*(Raw_Data_Daily!$C$2:$C$9999=$C$3)*Raw_Data_Daily!$D$2:$D$9999*Raw_Data_Daily!$R$2:$R$9999)/SUMIFS(Raw_Data_Daily!$D:$D, Raw_Data_Daily!$B:$B, "Control", Raw_Data_Daily!$A:$A, $A10, Raw_Data_Daily!$C:$C, $C$3),""))</f>
        <v/>
      </c>
      <c r="AS10" s="137" t="str">
        <f>IF($A10="","",IFERROR(SUMPRODUCT((Raw_Data_Daily!$B$2:$B$9999="Variant")*(Raw_Data_Daily!$A$2:$A$9999=$A10)*(Raw_Data_Daily!$C$2:$C$9999=$C$3)*Raw_Data_Daily!$D$2:$D$9999*Raw_Data_Daily!$R$2:$R$9999)/SUMIFS(Raw_Data_Daily!$D:$D, Raw_Data_Daily!$B:$B, "Variant", Raw_Data_Daily!$A:$A, $A10, Raw_Data_Daily!$C:$C, $C$3),""))</f>
        <v/>
      </c>
      <c r="AT10" s="129" t="str">
        <f t="shared" si="15"/>
        <v/>
      </c>
      <c r="AU10" s="137" t="str">
        <f>IF($A10="","",IFERROR(SUMPRODUCT((Raw_Data_Daily!$B$2:$B$9999="Control")*(Raw_Data_Daily!$A$2:$A$9999=$A10)*(Raw_Data_Daily!$C$2:$C$9999=$C$3)*Raw_Data_Daily!$D$2:$D$9999*Raw_Data_Daily!$S$2:$S$9999)/SUMIFS(Raw_Data_Daily!$D:$D, Raw_Data_Daily!$B:$B, "Control", Raw_Data_Daily!$A:$A, $A10, Raw_Data_Daily!$C:$C, $C$3),""))</f>
        <v/>
      </c>
      <c r="AV10" s="137" t="str">
        <f>IF($A10="","",IFERROR(SUMPRODUCT((Raw_Data_Daily!$B$2:$B$9999="Variant")*(Raw_Data_Daily!$A$2:$A$9999=$A10)*(Raw_Data_Daily!$C$2:$C$9999=$C$3)*Raw_Data_Daily!$D$2:$D$9999*Raw_Data_Daily!$S$2:$S$9999)/SUMIFS(Raw_Data_Daily!$D:$D, Raw_Data_Daily!$B:$B, "Variant", Raw_Data_Daily!$A:$A, $A10, Raw_Data_Daily!$C:$C, $C$3),""))</f>
        <v/>
      </c>
      <c r="AW10" s="129" t="str">
        <f t="shared" si="16"/>
        <v/>
      </c>
      <c r="AX10" s="137" t="str">
        <f>IF($A10="","",IFERROR(SUMPRODUCT((Raw_Data_Daily!$B$2:$B$9999="Control")*(Raw_Data_Daily!$A$2:$A$9999=$A10)*(Raw_Data_Daily!$C$2:$C$9999=$C$3)*Raw_Data_Daily!$D$2:$D$9999*Raw_Data_Daily!$T$2:$T$9999)/SUMIFS(Raw_Data_Daily!$D:$D, Raw_Data_Daily!$B:$B, "Control", Raw_Data_Daily!$A:$A, $A10, Raw_Data_Daily!$C:$C, $C$3),""))</f>
        <v/>
      </c>
      <c r="AY10" s="137" t="str">
        <f>IF($A10="","",IFERROR(SUMPRODUCT((Raw_Data_Daily!$B$2:$B$9999="Variant")*(Raw_Data_Daily!$A$2:$A$9999=$A10)*(Raw_Data_Daily!$C$2:$C$9999=$C$3)*Raw_Data_Daily!$D$2:$D$9999*Raw_Data_Daily!$T$2:$T$9999)/SUMIFS(Raw_Data_Daily!$D:$D, Raw_Data_Daily!$B:$B, "Variant", Raw_Data_Daily!$A:$A, $A10, Raw_Data_Daily!$C:$C, $C$3),""))</f>
        <v/>
      </c>
      <c r="AZ10" s="132" t="str">
        <f t="shared" si="17"/>
        <v/>
      </c>
      <c r="BA10" s="137" t="str">
        <f>IF($A10="","",IFERROR(SUMPRODUCT((Raw_Data_Daily!$B$2:$B$9999="Control")*(Raw_Data_Daily!$A$2:$A$9999=$A10)*(Raw_Data_Daily!$C$2:$C$9999=$C$3)*Raw_Data_Daily!$D$2:$D$9999*Raw_Data_Daily!$U$2:$U$9999)/SUMIFS(Raw_Data_Daily!$D:$D, Raw_Data_Daily!$B:$B, "Control", Raw_Data_Daily!$A:$A, $A10, Raw_Data_Daily!$C:$C, $C$3),""))</f>
        <v/>
      </c>
      <c r="BB10" s="137" t="str">
        <f>IF($A10="","",IFERROR(SUMPRODUCT((Raw_Data_Daily!$B$2:$B$9999="Variant")*(Raw_Data_Daily!$A$2:$A$9999=$A10)*(Raw_Data_Daily!$C$2:$C$9999=$C$3)*Raw_Data_Daily!$D$2:$D$9999*Raw_Data_Daily!$U$2:$U$9999)/SUMIFS(Raw_Data_Daily!$D:$D, Raw_Data_Daily!$B:$B, "Variant", Raw_Data_Daily!$A:$A, $A10, Raw_Data_Daily!$C:$C, $C$3),""))</f>
        <v/>
      </c>
      <c r="BC10" s="129" t="str">
        <f t="shared" si="18"/>
        <v/>
      </c>
      <c r="BD10" s="137" t="str">
        <f>IF($A10="","",IFERROR(SUMPRODUCT((Raw_Data_Daily!$B$2:$B$9999="Control")*(Raw_Data_Daily!$A$2:$A$9999=$A10)*(Raw_Data_Daily!$C$2:$C$9999=$C$3)*Raw_Data_Daily!$D$2:$D$9999*Raw_Data_Daily!$V$2:$V$9999)/SUMIFS(Raw_Data_Daily!$D:$D, Raw_Data_Daily!$B:$B, "Control", Raw_Data_Daily!$A:$A, $A10, Raw_Data_Daily!$C:$C, $C$3),""))</f>
        <v/>
      </c>
      <c r="BE10" s="137" t="str">
        <f>IF($A10="","",IFERROR(SUMPRODUCT((Raw_Data_Daily!$B$2:$B$9999="Variant")*(Raw_Data_Daily!$A$2:$A$9999=$A10)*(Raw_Data_Daily!$C$2:$C$9999=$C$3)*Raw_Data_Daily!$D$2:$D$9999*Raw_Data_Daily!$V$2:$V$9999)/SUMIFS(Raw_Data_Daily!$D:$D, Raw_Data_Daily!$B:$B, "Variant", Raw_Data_Daily!$A:$A, $A10, Raw_Data_Daily!$C:$C, $C$3),""))</f>
        <v/>
      </c>
      <c r="BF10" s="148" t="str">
        <f t="shared" si="19"/>
        <v/>
      </c>
      <c r="BG10" s="149" t="str">
        <f>IF($A10="","",IFERROR(SUMPRODUCT((Raw_Data_Daily!$B$2:$B$9999="Control")*(Raw_Data_Daily!$A$2:$A$9999=$A10)*(Raw_Data_Daily!$C$2:$C$9999=$C$3)*Raw_Data_Daily!$D$2:$D$9999*(Raw_Data_Daily!$Q$2:$Q$9999-Raw_Data_Daily!$V$2:$V$9999))/SUMIFS(Raw_Data_Daily!$D:$D, Raw_Data_Daily!$B:$B, "Control", Raw_Data_Daily!$A:$A, $A10, Raw_Data_Daily!$C:$C, $C$3),""))</f>
        <v/>
      </c>
      <c r="BH10" s="137" t="str">
        <f>IF($A10="","",IFERROR(SUMPRODUCT((Raw_Data_Daily!$B$2:$B$9999="Variant")*(Raw_Data_Daily!$A$2:$A$9999=$A10)*(Raw_Data_Daily!$C$2:$C$9999=$C$3)*Raw_Data_Daily!$D$2:$D$9999*(Raw_Data_Daily!$Q$2:$Q$9999-Raw_Data_Daily!$V$2:$V$9999))/SUMIFS(Raw_Data_Daily!$D:$D, Raw_Data_Daily!$B:$B, "Variant", Raw_Data_Daily!$A:$A, $A10, Raw_Data_Daily!$C:$C, $C$3),""))</f>
        <v/>
      </c>
      <c r="BI10" s="155" t="str">
        <f t="shared" si="20"/>
        <v/>
      </c>
      <c r="BJ10" s="156" t="str">
        <f>IF($A10="","",IFERROR(SUMPRODUCT((Raw_Data_Daily!$B$2:$B$9999="Control")*(Raw_Data_Daily!$A$2:$A$9999=$A10)*(Raw_Data_Daily!$C$2:$C$9999=$C$3)*Raw_Data_Daily!$D$2:$D$9999*Raw_Data_Daily!$W$2:$W$9999)/SUMIFS(Raw_Data_Daily!$D:$D, Raw_Data_Daily!$B:$B, "Control", Raw_Data_Daily!$A:$A, $A10, Raw_Data_Daily!$C:$C, $C$3),""))</f>
        <v/>
      </c>
      <c r="BK10" s="137" t="str">
        <f>IF($A10="","",IFERROR(SUMPRODUCT((Raw_Data_Daily!$B$2:$B$9999="Variant")*(Raw_Data_Daily!$A$2:$A$9999=$A10)*(Raw_Data_Daily!$C$2:$C$9999=$C$3)*Raw_Data_Daily!$D$2:$D$9999*Raw_Data_Daily!$W$2:$W$9999)/SUMIFS(Raw_Data_Daily!$D:$D, Raw_Data_Daily!$B:$B, "Variant", Raw_Data_Daily!$A:$A, $A10, Raw_Data_Daily!$C:$C, $C$3),""))</f>
        <v/>
      </c>
      <c r="BL10" s="129" t="str">
        <f t="shared" si="21"/>
        <v/>
      </c>
      <c r="BM10" s="139" t="str">
        <f>IF($A10="","",IFERROR(SUMPRODUCT((Raw_Data_Daily!$B$2:$B$9999="Control")*(Raw_Data_Daily!$A$2:$A$9999=$A10)*(Raw_Data_Daily!$C$2:$C$9999=$C$3)*Raw_Data_Daily!$D$2:$D$9999*Raw_Data_Daily!$X$2:$X$9999)/SUMIFS(Raw_Data_Daily!$D:$D, Raw_Data_Daily!$B:$B, "Control", Raw_Data_Daily!$A:$A, $A10, Raw_Data_Daily!$C:$C, $C$3),""))</f>
        <v/>
      </c>
      <c r="BN10" s="139" t="str">
        <f>IF($A10="","",IFERROR(SUMPRODUCT((Raw_Data_Daily!$B$2:$B$9999="Variant")*(Raw_Data_Daily!$A$2:$A$9999=$A10)*(Raw_Data_Daily!$C$2:$C$9999=$C$3)*Raw_Data_Daily!$D$2:$D$9999*Raw_Data_Daily!$X$2:$X$9999)/SUMIFS(Raw_Data_Daily!$D:$D, Raw_Data_Daily!$B:$B, "Variant", Raw_Data_Daily!$A:$A, $A10, Raw_Data_Daily!$C:$C, $C$3),""))</f>
        <v/>
      </c>
      <c r="BO10" s="132" t="str">
        <f t="shared" si="22"/>
        <v/>
      </c>
      <c r="BP10" s="128" t="str">
        <f>IF($A10="","",IFERROR(SUMPRODUCT((Raw_Data_Daily!$B$2:$B$9999="Control")*(Raw_Data_Daily!$A$2:$A$9999=$A10)*(Raw_Data_Daily!$C$2:$C$9999=$C$3)*Raw_Data_Daily!$D$2:$D$9999*Raw_Data_Daily!$Y$2:$Y$9999)/SUMIFS(Raw_Data_Daily!$D:$D, Raw_Data_Daily!$B:$B, "Control", Raw_Data_Daily!$A:$A, $A10, Raw_Data_Daily!$C:$C, $C$3),""))</f>
        <v/>
      </c>
      <c r="BQ10" s="128" t="str">
        <f>IF($A10="","",IFERROR(SUMPRODUCT((Raw_Data_Daily!$B$2:$B$9999="Variant")*(Raw_Data_Daily!$A$2:$A$9999=$A10)*(Raw_Data_Daily!$C$2:$C$9999=$C$3)*Raw_Data_Daily!$D$2:$D$9999*Raw_Data_Daily!$Y$2:$Y$9999)/SUMIFS(Raw_Data_Daily!$D:$D, Raw_Data_Daily!$B:$B, "Variant", Raw_Data_Daily!$A:$A, $A10, Raw_Data_Daily!$C:$C, $C$3),""))</f>
        <v/>
      </c>
      <c r="BR10" s="129" t="str">
        <f t="shared" si="23"/>
        <v/>
      </c>
      <c r="BS10" s="128" t="str">
        <f>IF($A10="","",IFERROR(SUMPRODUCT((Raw_Data_Daily!$B$2:$B$9999="Control")*(Raw_Data_Daily!$A$2:$A$9999=$A10)*(Raw_Data_Daily!$C$2:$C$9999=$C$3)*Raw_Data_Daily!$D$2:$D$9999*Raw_Data_Daily!$Z$2:$Z$9999)/SUMIFS(Raw_Data_Daily!$D:$D, Raw_Data_Daily!$B:$B, "Control", Raw_Data_Daily!$A:$A, $A10, Raw_Data_Daily!$C:$C, $C$3),""))</f>
        <v/>
      </c>
      <c r="BT10" s="128" t="str">
        <f>IF($A10="","",IFERROR(SUMPRODUCT((Raw_Data_Daily!$B$2:$B$9999="Variant")*(Raw_Data_Daily!$A$2:$A$9999=$A10)*(Raw_Data_Daily!$C$2:$C$9999=$C$3)*Raw_Data_Daily!$D$2:$D$9999*Raw_Data_Daily!$Z$2:$Z$9999)/SUMIFS(Raw_Data_Daily!$D:$D, Raw_Data_Daily!$B:$B, "Variant", Raw_Data_Daily!$A:$A, $A10, Raw_Data_Daily!$C:$C, $C$3),""))</f>
        <v/>
      </c>
      <c r="BU10" s="129" t="str">
        <f t="shared" si="24"/>
        <v/>
      </c>
      <c r="BV10" s="128" t="str">
        <f>IF($A10="","",IFERROR(SUMPRODUCT((Raw_Data_Daily!$B$2:$B$9999="Control")*(Raw_Data_Daily!$A$2:$A$9999=$A10)*(Raw_Data_Daily!$C$2:$C$9999=$C$3)*Raw_Data_Daily!$D$2:$D$9999*Raw_Data_Daily!$AA$2:$AA$9999)/SUMIFS(Raw_Data_Daily!$D:$D, Raw_Data_Daily!$B:$B, "Control", Raw_Data_Daily!$A:$A, $A10, Raw_Data_Daily!$C:$C, $C$3),""))</f>
        <v/>
      </c>
      <c r="BW10" s="128" t="str">
        <f>IF($A10="","",IFERROR(SUMPRODUCT((Raw_Data_Daily!$B$2:$B$9999="Variant")*(Raw_Data_Daily!$A$2:$A$9999=$A10)*(Raw_Data_Daily!$C$2:$C$9999=$C$3)*Raw_Data_Daily!$D$2:$D$9999*Raw_Data_Daily!$AA$2:$AA$9999)/SUMIFS(Raw_Data_Daily!$D:$D, Raw_Data_Daily!$B:$B, "Variant", Raw_Data_Daily!$A:$A, $A10, Raw_Data_Daily!$C:$C, $C$3),""))</f>
        <v/>
      </c>
      <c r="BX10" s="129" t="str">
        <f t="shared" si="25"/>
        <v/>
      </c>
      <c r="BY10" s="137" t="str">
        <f>IF($A10="","",IFERROR(SUMPRODUCT((Raw_Data_Daily!$B$2:$B$9999="Control")*(Raw_Data_Daily!$A$2:$A$9999=$A10)*(Raw_Data_Daily!$C$2:$C$9999=$C$3)*Raw_Data_Daily!$D$2:$D$9999*Raw_Data_Daily!$AB$2:$AB$9999)/SUMIFS(Raw_Data_Daily!$D:$D, Raw_Data_Daily!$B:$B, "Control", Raw_Data_Daily!$A:$A, $A10, Raw_Data_Daily!$C:$C, $C$3),""))</f>
        <v/>
      </c>
      <c r="BZ10" s="137" t="str">
        <f>IF($A10="","",IFERROR(SUMPRODUCT((Raw_Data_Daily!$B$2:$B$9999="Variant")*(Raw_Data_Daily!$A$2:$A$9999=$A10)*(Raw_Data_Daily!$C$2:$C$9999=$C$3)*Raw_Data_Daily!$D$2:$D$9999*Raw_Data_Daily!$AB$2:$AB$9999)/SUMIFS(Raw_Data_Daily!$D:$D, Raw_Data_Daily!$B:$B, "Variant", Raw_Data_Daily!$A:$A, $A10, Raw_Data_Daily!$C:$C, $C$3),""))</f>
        <v/>
      </c>
      <c r="CA10" s="132" t="str">
        <f t="shared" si="26"/>
        <v/>
      </c>
      <c r="CB10" s="137" t="str">
        <f>IF($A10="","",IFERROR(SUMPRODUCT((Raw_Data_Daily!$B$2:$B$9999="Control")*(Raw_Data_Daily!$A$2:$A$9999=$A10)*(Raw_Data_Daily!$C$2:$C$9999=$C$3)*Raw_Data_Daily!$D$2:$D$9999*Raw_Data_Daily!$AC$2:$AC$9999)/SUMIFS(Raw_Data_Daily!$D:$D, Raw_Data_Daily!$B:$B, "Control", Raw_Data_Daily!$A:$A, $A10, Raw_Data_Daily!$C:$C, $C$3),""))</f>
        <v/>
      </c>
      <c r="CC10" s="137" t="str">
        <f>IF($A10="","",IFERROR(SUMPRODUCT((Raw_Data_Daily!$B$2:$B$9999="Variant")*(Raw_Data_Daily!$A$2:$A$9999=$A10)*(Raw_Data_Daily!$C$2:$C$9999=$C$3)*Raw_Data_Daily!$D$2:$D$9999*Raw_Data_Daily!$AC$2:$AC$9999)/SUMIFS(Raw_Data_Daily!$D:$D, Raw_Data_Daily!$B:$B, "Variant", Raw_Data_Daily!$A:$A, $A10, Raw_Data_Daily!$C:$C, $C$3),""))</f>
        <v/>
      </c>
      <c r="CD10" s="132" t="str">
        <f t="shared" si="27"/>
        <v/>
      </c>
      <c r="CE10" s="137" t="str">
        <f>IF($A10="","",IFERROR(SUMPRODUCT((Raw_Data_Daily!$B$2:$B$9999="Control")*(Raw_Data_Daily!$A$2:$A$9999=$A10)*(Raw_Data_Daily!$C$2:$C$9999=$C$3)*Raw_Data_Daily!$D$2:$D$9999*Raw_Data_Daily!$AD$2:$AD$9999)/SUMIFS(Raw_Data_Daily!$D:$D, Raw_Data_Daily!$B:$B, "Control", Raw_Data_Daily!$A:$A, $A10, Raw_Data_Daily!$C:$C, $C$3),""))</f>
        <v/>
      </c>
      <c r="CF10" s="137" t="str">
        <f>IF($A10="","",IFERROR(SUMPRODUCT((Raw_Data_Daily!$B$2:$B$9999="Variant")*(Raw_Data_Daily!$A$2:$A$9999=$A10)*(Raw_Data_Daily!$C$2:$C$9999=$C$3)*Raw_Data_Daily!$D$2:$D$9999*Raw_Data_Daily!$AD$2:$AD$9999)/SUMIFS(Raw_Data_Daily!$D:$D, Raw_Data_Daily!$B:$B, "Variant", Raw_Data_Daily!$A:$A, $A10, Raw_Data_Daily!$C:$C, $C$3),""))</f>
        <v/>
      </c>
      <c r="CG10" s="132" t="str">
        <f t="shared" si="28"/>
        <v/>
      </c>
      <c r="CH10" s="137" t="str">
        <f>IF($A10="","",IFERROR(SUMPRODUCT((Raw_Data_Daily!$B$2:$B$9999="Control")*(Raw_Data_Daily!$A$2:$A$9999=$A10)*(Raw_Data_Daily!$C$2:$C$9999=$C$3)*Raw_Data_Daily!$D$2:$D$9999*Raw_Data_Daily!$AE$2:$AE$9999)/SUMIFS(Raw_Data_Daily!$D:$D, Raw_Data_Daily!$B:$B, "Control", Raw_Data_Daily!$A:$A, $A10, Raw_Data_Daily!$C:$C, $C$3),""))</f>
        <v/>
      </c>
      <c r="CI10" s="137" t="str">
        <f>IF($A10="","",IFERROR(SUMPRODUCT((Raw_Data_Daily!$B$2:$B$9999="Variant")*(Raw_Data_Daily!$A$2:$A$9999=$A10)*(Raw_Data_Daily!$C$2:$C$9999=$C$3)*Raw_Data_Daily!$D$2:$D$9999*Raw_Data_Daily!$AE$2:$AE$9999)/SUMIFS(Raw_Data_Daily!$D:$D, Raw_Data_Daily!$B:$B, "Variant", Raw_Data_Daily!$A:$A, $A10, Raw_Data_Daily!$C:$C, $C$3),""))</f>
        <v/>
      </c>
      <c r="CJ10" s="132" t="str">
        <f t="shared" si="29"/>
        <v/>
      </c>
      <c r="CK10" s="137" t="str">
        <f>IF($A10="","",IFERROR(SUMPRODUCT((Raw_Data_Daily!$B$2:$B$9999="Control")*(Raw_Data_Daily!$A$2:$A$9999=$A10)*(Raw_Data_Daily!$C$2:$C$9999=$C$3)*Raw_Data_Daily!$D$2:$D$9999*Raw_Data_Daily!$AF$2:$AF$9999)/SUMIFS(Raw_Data_Daily!$D:$D, Raw_Data_Daily!$B:$B, "Control", Raw_Data_Daily!$A:$A, $A10, Raw_Data_Daily!$C:$C, $C$3),""))</f>
        <v/>
      </c>
      <c r="CL10" s="137" t="str">
        <f>IF($A10="","",IFERROR(SUMPRODUCT((Raw_Data_Daily!$B$2:$B$9999="Variant")*(Raw_Data_Daily!$A$2:$A$9999=$A10)*(Raw_Data_Daily!$C$2:$C$9999=$C$3)*Raw_Data_Daily!$D$2:$D$9999*Raw_Data_Daily!$AF$2:$AF$9999)/SUMIFS(Raw_Data_Daily!$D:$D, Raw_Data_Daily!$B:$B, "Variant", Raw_Data_Daily!$A:$A, $A10, Raw_Data_Daily!$C:$C, $C$3),""))</f>
        <v/>
      </c>
      <c r="CM10" s="132" t="str">
        <f t="shared" si="30"/>
        <v/>
      </c>
      <c r="CN10" s="137" t="str">
        <f>IF($A10="","",IFERROR(SUMPRODUCT((Raw_Data_Daily!$B$2:$B$9999="Control")*(Raw_Data_Daily!$A$2:$A$9999=$A10)*(Raw_Data_Daily!$C$2:$C$9999=$C$3)*Raw_Data_Daily!$D$2:$D$9999*Raw_Data_Daily!$AG$2:$AG$9999)/SUMIFS(Raw_Data_Daily!$D:$D, Raw_Data_Daily!$B:$B, "Control", Raw_Data_Daily!$A:$A, $A10, Raw_Data_Daily!$C:$C, $C$3),""))</f>
        <v/>
      </c>
      <c r="CO10" s="137" t="str">
        <f>IF($A10="","",IFERROR(SUMPRODUCT((Raw_Data_Daily!$B$2:$B$9999="Variant")*(Raw_Data_Daily!$A$2:$A$9999=$A10)*(Raw_Data_Daily!$C$2:$C$9999=$C$3)*Raw_Data_Daily!$D$2:$D$9999*Raw_Data_Daily!$AG$2:$AG$9999)/SUMIFS(Raw_Data_Daily!$D:$D, Raw_Data_Daily!$B:$B, "Variant", Raw_Data_Daily!$A:$A, $A10, Raw_Data_Daily!$C:$C, $C$3),""))</f>
        <v/>
      </c>
      <c r="CP10" s="132" t="str">
        <f t="shared" si="31"/>
        <v/>
      </c>
      <c r="CQ10" s="137" t="str">
        <f>IF($A10="","",IFERROR(SUMPRODUCT((Raw_Data_Daily!$B$2:$B$9999="Control")*(Raw_Data_Daily!$A$2:$A$9999=$A10)*(Raw_Data_Daily!$C$2:$C$9999=$C$3)*Raw_Data_Daily!$D$2:$D$9999*Raw_Data_Daily!$AH$2:$AH$9999)/SUMIFS(Raw_Data_Daily!$D:$D, Raw_Data_Daily!$B:$B, "Control", Raw_Data_Daily!$A:$A, $A10, Raw_Data_Daily!$C:$C, $C$3),""))</f>
        <v/>
      </c>
      <c r="CR10" s="137" t="str">
        <f>IF($A10="","",IFERROR(SUMPRODUCT((Raw_Data_Daily!$B$2:$B$9999="Variant")*(Raw_Data_Daily!$A$2:$A$9999=$A10)*(Raw_Data_Daily!$C$2:$C$9999=$C$3)*Raw_Data_Daily!$D$2:$D$9999*Raw_Data_Daily!$AH$2:$AH$9999)/SUMIFS(Raw_Data_Daily!$D:$D, Raw_Data_Daily!$B:$B, "Variant", Raw_Data_Daily!$A:$A, $A10, Raw_Data_Daily!$C:$C, $C$3),""))</f>
        <v/>
      </c>
      <c r="CS10" s="132" t="str">
        <f t="shared" si="32"/>
        <v/>
      </c>
      <c r="CT10" s="130" t="str">
        <f>IF($A10="","",IFERROR(SUMPRODUCT((Raw_Data_Daily!$B$2:$B$9999="Control")*(Raw_Data_Daily!$A$2:$A$9999=$A10)*(Raw_Data_Daily!$C$2:$C$9999=$C$3)*Raw_Data_Daily!$D$2:$D$9999*Raw_Data_Daily!$AI$2:$AI$9999)/SUMIFS(Raw_Data_Daily!$D:$D, Raw_Data_Daily!$B:$B, "Control", Raw_Data_Daily!$A:$A, $A10, Raw_Data_Daily!$C:$C, $C$3),""))</f>
        <v/>
      </c>
      <c r="CU10" s="130" t="str">
        <f>IF($A10="","",IFERROR(SUMPRODUCT((Raw_Data_Daily!$B$2:$B$9999="Variant")*(Raw_Data_Daily!$A$2:$A$9999=$A10)*(Raw_Data_Daily!$C$2:$C$9999=$C$3)*Raw_Data_Daily!$D$2:$D$9999*Raw_Data_Daily!$AI$2:$AI$9999)/SUMIFS(Raw_Data_Daily!$D:$D, Raw_Data_Daily!$B:$B, "Variant", Raw_Data_Daily!$A:$A, $A10, Raw_Data_Daily!$C:$C, $C$3),""))</f>
        <v/>
      </c>
      <c r="CV10" s="140" t="str">
        <f t="shared" si="33"/>
        <v/>
      </c>
      <c r="CW10" s="130" t="str">
        <f>IF($A10="","",IFERROR(SUMPRODUCT((Raw_Data_Daily!$B$2:$B$9999="Control")*(Raw_Data_Daily!$A$2:$A$9999=$A10)*(Raw_Data_Daily!$C$2:$C$9999=$C$3)*Raw_Data_Daily!$D$2:$D$9999*Raw_Data_Daily!$AJ$2:$AJ$9999)/SUMIFS(Raw_Data_Daily!$D:$D, Raw_Data_Daily!$B:$B, "Control", Raw_Data_Daily!$A:$A, $A10, Raw_Data_Daily!$C:$C, $C$3),""))</f>
        <v/>
      </c>
      <c r="CX10" s="130" t="str">
        <f>IF($A10="","",IFERROR(SUMPRODUCT((Raw_Data_Daily!$B$2:$B$9999="Variant")*(Raw_Data_Daily!$A$2:$A$9999=$A10)*(Raw_Data_Daily!$C$2:$C$9999=$C$3)*Raw_Data_Daily!$D$2:$D$9999*Raw_Data_Daily!$AJ$2:$AJ$9999)/SUMIFS(Raw_Data_Daily!$D:$D, Raw_Data_Daily!$B:$B, "Variant", Raw_Data_Daily!$A:$A, $A10, Raw_Data_Daily!$C:$C, $C$3),""))</f>
        <v/>
      </c>
      <c r="CY10" s="140" t="str">
        <f t="shared" si="34"/>
        <v/>
      </c>
      <c r="CZ10" s="130" t="str">
        <f>IF($A10="","",IFERROR(SUMPRODUCT((Raw_Data_Daily!$B$2:$B$9999="Control")*(Raw_Data_Daily!$A$2:$A$9999=$A10)*(Raw_Data_Daily!$C$2:$C$9999=$C$3)*Raw_Data_Daily!$D$2:$D$9999*Raw_Data_Daily!$AK$2:$AK$9999)/SUMIFS(Raw_Data_Daily!$D:$D, Raw_Data_Daily!$B:$B, "Control", Raw_Data_Daily!$A:$A, $A10, Raw_Data_Daily!$C:$C, $C$3),""))</f>
        <v/>
      </c>
      <c r="DA10" s="130" t="str">
        <f>IF($A10="","",IFERROR(SUMPRODUCT((Raw_Data_Daily!$B$2:$B$9999="Variant")*(Raw_Data_Daily!$A$2:$A$9999=$A10)*(Raw_Data_Daily!$C$2:$C$9999=$C$3)*Raw_Data_Daily!$D$2:$D$9999*Raw_Data_Daily!$AK$2:$AK$9999)/SUMIFS(Raw_Data_Daily!$D:$D, Raw_Data_Daily!$B:$B, "Variant", Raw_Data_Daily!$A:$A, $A10, Raw_Data_Daily!$C:$C, $C$3),""))</f>
        <v/>
      </c>
      <c r="DB10" s="132" t="str">
        <f t="shared" si="35"/>
        <v/>
      </c>
      <c r="DC10" s="139" t="str">
        <f>IF($A10="","",IFERROR(SUMPRODUCT((Raw_Data_Daily!$B$2:$B$9999="Control")*(Raw_Data_Daily!$A$2:$A$9999=$A10)*(Raw_Data_Daily!$C$2:$C$9999=$C$3)*Raw_Data_Daily!$D$2:$D$9999*Raw_Data_Daily!$AL$2:$AL$9999)/SUMIFS(Raw_Data_Daily!$D:$D, Raw_Data_Daily!$B:$B, "Control", Raw_Data_Daily!$A:$A, $A10, Raw_Data_Daily!$C:$C, $C$3),""))</f>
        <v/>
      </c>
      <c r="DD10" s="139" t="str">
        <f>IF($A10="","",IFERROR(SUMPRODUCT((Raw_Data_Daily!$B$2:$B$9999="Variant")*(Raw_Data_Daily!$A$2:$A$9999=$A10)*(Raw_Data_Daily!$C$2:$C$9999=$C$3)*Raw_Data_Daily!$D$2:$D$9999*Raw_Data_Daily!$AL$2:$AL$9999)/SUMIFS(Raw_Data_Daily!$D:$D, Raw_Data_Daily!$B:$B, "Variant", Raw_Data_Daily!$A:$A, $A10, Raw_Data_Daily!$C:$C, $C$3),""))</f>
        <v/>
      </c>
      <c r="DE10" s="140" t="str">
        <f t="shared" si="36"/>
        <v/>
      </c>
      <c r="DF10" s="165"/>
      <c r="DG10" s="130" t="str">
        <f>IF($A10="","",IFERROR(SUMPRODUCT((Raw_Data_Daily!$B$2:$B$9999="Variant")*(Raw_Data_Daily!$A$2:$A$9999=$A10)*(Raw_Data_Daily!$C$2:$C$9999=$C$3)*Raw_Data_Daily!$D$2:$D$9999*Raw_Data_Daily!$AM$2:$AM$9999)/SUMIFS(Raw_Data_Daily!$D:$D, Raw_Data_Daily!$B:$B, "Variant", Raw_Data_Daily!$A:$A, $A10, Raw_Data_Daily!$C:$C, $C$3),""))</f>
        <v/>
      </c>
      <c r="DH10" s="166"/>
      <c r="DI10" s="165"/>
      <c r="DJ10" s="130" t="str">
        <f>IF($A10="","",IFERROR(SUMPRODUCT((Raw_Data_Daily!$B$2:$B$9999="Variant")*(Raw_Data_Daily!$A$2:$A$9999=$A10)*(Raw_Data_Daily!$C$2:$C$9999=$C$3)*Raw_Data_Daily!$D$2:$D$9999*Raw_Data_Daily!$AN$2:$AN$9999)/SUMIFS(Raw_Data_Daily!$D:$D, Raw_Data_Daily!$B:$B, "Variant", Raw_Data_Daily!$A:$A, $A10, Raw_Data_Daily!$C:$C, $C$3),""))</f>
        <v/>
      </c>
      <c r="DK10" s="166"/>
      <c r="DL10" s="165"/>
      <c r="DM10" s="130" t="str">
        <f>IF($A10="","",IFERROR(SUMPRODUCT((Raw_Data_Daily!$B$2:$B$9999="Variant")*(Raw_Data_Daily!$A$2:$A$9999=$A10)*(Raw_Data_Daily!$C$2:$C$9999=$C$3)*Raw_Data_Daily!$D$2:$D$9999*Raw_Data_Daily!$AO$2:$AO$9999)/SUMIFS(Raw_Data_Daily!$D:$D, Raw_Data_Daily!$B:$B, "Variant", Raw_Data_Daily!$A:$A, $A10, Raw_Data_Daily!$C:$C, $C$3),""))</f>
        <v/>
      </c>
      <c r="DN10" s="166"/>
      <c r="DO10" s="165"/>
      <c r="DP10" s="130" t="str">
        <f>IF($A10="","",IFERROR(SUMPRODUCT((Raw_Data_Daily!$B$2:$B$9999="Variant")*(Raw_Data_Daily!$A$2:$A$9999=$A10)*(Raw_Data_Daily!$C$2:$C$9999=$C$3)*Raw_Data_Daily!$D$2:$D$9999*Raw_Data_Daily!$AP$2:$AP$9999)/SUMIFS(Raw_Data_Daily!$D:$D, Raw_Data_Daily!$B:$B, "Variant", Raw_Data_Daily!$A:$A, $A10, Raw_Data_Daily!$C:$C, $C$3),""))</f>
        <v/>
      </c>
      <c r="DQ10" s="166"/>
      <c r="DR10" s="139" t="str">
        <f>IF($A10="","",IFERROR(SUMPRODUCT((Raw_Data_Daily!$B$2:$B$9999="Control")*(Raw_Data_Daily!$A$2:$A$9999=$A10)*(Raw_Data_Daily!$C$2:$C$9999=$C$3)*Raw_Data_Daily!$D$2:$D$9999*Raw_Data_Daily!$AQ$2:$AQ$9999)/SUMIFS(Raw_Data_Daily!$D:$D, Raw_Data_Daily!$B:$B, "Control", Raw_Data_Daily!$A:$A, $A10, Raw_Data_Daily!$C:$C, $C$3),""))</f>
        <v/>
      </c>
      <c r="DS10" s="139" t="str">
        <f>IF($A10="","",IFERROR(SUMPRODUCT((Raw_Data_Daily!$B$2:$B$9999="Variant")*(Raw_Data_Daily!$A$2:$A$9999=$A10)*(Raw_Data_Daily!$C$2:$C$9999=$C$3)*Raw_Data_Daily!$D$2:$D$9999*Raw_Data_Daily!$AQ$2:$AQ$9999)/SUMIFS(Raw_Data_Daily!$D:$D, Raw_Data_Daily!$B:$B, "Variant", Raw_Data_Daily!$A:$A, $A10, Raw_Data_Daily!$C:$C, $C$3),""))</f>
        <v/>
      </c>
      <c r="DT10" s="167" t="str">
        <f t="shared" si="37"/>
        <v/>
      </c>
      <c r="DU10" s="139" t="str">
        <f>IF($A10="","",IFERROR(SUMPRODUCT((Raw_Data_Daily!$B$2:$B$9999="Control")*(Raw_Data_Daily!$A$2:$A$9999=$A10)*(Raw_Data_Daily!$C$2:$C$9999=$C$3)*Raw_Data_Daily!$D$2:$D$9999*Raw_Data_Daily!$AR$2:$AR$9999)/SUMIFS(Raw_Data_Daily!$D:$D, Raw_Data_Daily!$B:$B, "Control", Raw_Data_Daily!$A:$A, $A10, Raw_Data_Daily!$C:$C, $C$3),""))</f>
        <v/>
      </c>
      <c r="DV10" s="139" t="str">
        <f>IF($A10="","",IFERROR(SUMPRODUCT((Raw_Data_Daily!$B$2:$B$9999="Variant")*(Raw_Data_Daily!$A$2:$A$9999=$A10)*(Raw_Data_Daily!$C$2:$C$9999=$C$3)*Raw_Data_Daily!$D$2:$D$9999*Raw_Data_Daily!$AR$2:$AR$9999)/SUMIFS(Raw_Data_Daily!$D:$D, Raw_Data_Daily!$B:$B, "Variant", Raw_Data_Daily!$A:$A, $A10, Raw_Data_Daily!$C:$C, $C$3),""))</f>
        <v/>
      </c>
      <c r="DW10" s="167" t="str">
        <f t="shared" si="38"/>
        <v/>
      </c>
      <c r="DX10" s="139" t="str">
        <f>IF($A10="","",IFERROR(SUMPRODUCT((Raw_Data_Daily!$B$2:$B$9999="Control")*(Raw_Data_Daily!$A$2:$A$9999=$A10)*(Raw_Data_Daily!$C$2:$C$9999=$C$3)*Raw_Data_Daily!$D$2:$D$9999*Raw_Data_Daily!$AS$2:$AS$9999)/SUMIFS(Raw_Data_Daily!$D:$D, Raw_Data_Daily!$B:$B, "Control", Raw_Data_Daily!$A:$A, $A10, Raw_Data_Daily!$C:$C, $C$3),""))</f>
        <v/>
      </c>
      <c r="DY10" s="139" t="str">
        <f>IF($A10="","",IFERROR(SUMPRODUCT((Raw_Data_Daily!$B$2:$B$9999="Variant")*(Raw_Data_Daily!$A$2:$A$9999=$A10)*(Raw_Data_Daily!$C$2:$C$9999=$C$3)*Raw_Data_Daily!$D$2:$D$9999*Raw_Data_Daily!$AS$2:$AS$9999)/SUMIFS(Raw_Data_Daily!$D:$D, Raw_Data_Daily!$B:$B, "Variant", Raw_Data_Daily!$A:$A, $A10, Raw_Data_Daily!$C:$C, $C$3),""))</f>
        <v/>
      </c>
      <c r="DZ10" s="168" t="str">
        <f t="shared" si="39"/>
        <v/>
      </c>
      <c r="EA10" s="139" t="str">
        <f>IF($A10="","",IFERROR(SUMPRODUCT((Raw_Data_Daily!$B$2:$B$9999="Control")*(Raw_Data_Daily!$A$2:$A$9999=$A10)*(Raw_Data_Daily!$C$2:$C$9999=$C$3)*Raw_Data_Daily!$D$2:$D$9999*Raw_Data_Daily!$AT$2:$AT$9999)/SUMIFS(Raw_Data_Daily!$D:$D, Raw_Data_Daily!$B:$B, "Control", Raw_Data_Daily!$A:$A, $A10, Raw_Data_Daily!$C:$C, $C$3),""))</f>
        <v/>
      </c>
      <c r="EB10" s="139" t="str">
        <f>IF($A10="","",IFERROR(SUMPRODUCT((Raw_Data_Daily!$B$2:$B$9999="Variant")*(Raw_Data_Daily!$A$2:$A$9999=$A10)*(Raw_Data_Daily!$C$2:$C$9999=$C$3)*Raw_Data_Daily!$D$2:$D$9999*Raw_Data_Daily!$AT$2:$AT$9999)/SUMIFS(Raw_Data_Daily!$D:$D, Raw_Data_Daily!$B:$B, "Variant", Raw_Data_Daily!$A:$A, $A10, Raw_Data_Daily!$C:$C, $C$3),""))</f>
        <v/>
      </c>
      <c r="EC10" s="167" t="str">
        <f t="shared" si="40"/>
        <v/>
      </c>
      <c r="ED10" s="139" t="str">
        <f>IF($A10="","",IFERROR(SUMPRODUCT((Raw_Data_Daily!$B$2:$B$9999="Control")*(Raw_Data_Daily!$A$2:$A$9999=$A10)*(Raw_Data_Daily!$C$2:$C$9999=$C$3)*Raw_Data_Daily!$D$2:$D$9999*(Raw_Data_Daily!$AQ$2:$AQ$9999-Raw_Data_Daily!$AT$2:$AT$9999))/SUMIFS(Raw_Data_Daily!$D:$D, Raw_Data_Daily!$B:$B, "Control", Raw_Data_Daily!$A:$A, $A10, Raw_Data_Daily!$C:$C, $C$3),""))</f>
        <v/>
      </c>
      <c r="EE10" s="139" t="str">
        <f>IF($A10="","",IFERROR(SUMPRODUCT((Raw_Data_Daily!$B$2:$B$9999="Variant")*(Raw_Data_Daily!$A$2:$A$9999=$A10)*(Raw_Data_Daily!$C$2:$C$9999=$C$3)*Raw_Data_Daily!$D$2:$D$9999*(Raw_Data_Daily!$AQ$2:$AQ$9999-Raw_Data_Daily!$AT$2:$AT$9999))/SUMIFS(Raw_Data_Daily!$D:$D, Raw_Data_Daily!$B:$B, "Variant", Raw_Data_Daily!$A:$A, $A10, Raw_Data_Daily!$C:$C, $C$3),""))</f>
        <v/>
      </c>
      <c r="EF10" s="168" t="str">
        <f t="shared" si="41"/>
        <v/>
      </c>
      <c r="EG10" s="139" t="str">
        <f>IF($A10="","",IFERROR(SUMPRODUCT((Raw_Data_Daily!$B$2:$B$9999="Control")*(Raw_Data_Daily!$A$2:$A$9999=$A10)*(Raw_Data_Daily!$C$2:$C$9999=$C$3)*Raw_Data_Daily!$D$2:$D$9999*Raw_Data_Daily!$AU$2:$AU$9999)/SUMIFS(Raw_Data_Daily!$D:$D, Raw_Data_Daily!$B:$B, "Control", Raw_Data_Daily!$A:$A, $A10, Raw_Data_Daily!$C:$C, $C$3),""))</f>
        <v/>
      </c>
      <c r="EH10" s="139" t="str">
        <f>IF($A10="","",IFERROR(SUMPRODUCT((Raw_Data_Daily!$B$2:$B$9999="Variant")*(Raw_Data_Daily!$A$2:$A$9999=$A10)*(Raw_Data_Daily!$C$2:$C$9999=$C$3)*Raw_Data_Daily!$D$2:$D$9999*Raw_Data_Daily!$AU$2:$AU$9999)/SUMIFS(Raw_Data_Daily!$D:$D, Raw_Data_Daily!$B:$B, "Variant", Raw_Data_Daily!$A:$A, $A10, Raw_Data_Daily!$C:$C, $C$3),""))</f>
        <v/>
      </c>
      <c r="EI10" s="167" t="str">
        <f t="shared" si="42"/>
        <v/>
      </c>
    </row>
    <row r="11" ht="15.75" customHeight="1">
      <c r="A11" s="239">
        <v>46234.0</v>
      </c>
      <c r="B11" s="240">
        <f>IF($A11="","",SUMIFS(Raw_Data_Daily!$D:$D, Raw_Data_Daily!$B:$B, "Control", Raw_Data_Daily!$A:$A, $A11, Raw_Data_Daily!$C:$C, $C$3))</f>
        <v>0</v>
      </c>
      <c r="C11" s="240">
        <f>IF($A11="","",SUMIFS(Raw_Data_Daily!$D:$D, Raw_Data_Daily!$B:$B, "Variant", Raw_Data_Daily!$A:$A, $A11, Raw_Data_Daily!$C:$C, $C$3))</f>
        <v>0</v>
      </c>
      <c r="D11" s="241" t="str">
        <f t="shared" si="1"/>
        <v/>
      </c>
      <c r="E11" s="242" t="str">
        <f>IF($A11="","",IFERROR(SUMPRODUCT((Raw_Data_Daily!$B$2:$B$9999="Control")*(Raw_Data_Daily!$A$2:$A$9999=$A11)*(Raw_Data_Daily!$C$2:$C$9999=$C$3)*Raw_Data_Daily!$D$2:$D$9999*Raw_Data_Daily!$E$2:$E$9999)/SUMIFS(Raw_Data_Daily!$D:$D, Raw_Data_Daily!$B:$B, "Control", Raw_Data_Daily!$A:$A, $A11, Raw_Data_Daily!$C:$C, $C$3),""))</f>
        <v/>
      </c>
      <c r="F11" s="242" t="str">
        <f>IF($A11="","",IFERROR(SUMPRODUCT((Raw_Data_Daily!$B$2:$B$9999="Variant")*(Raw_Data_Daily!$A$2:$A$9999=$A11)*(Raw_Data_Daily!$C$2:$C$9999=$C$3)*Raw_Data_Daily!$D$2:$D$9999*Raw_Data_Daily!$E$2:$E$9999)/SUMIFS(Raw_Data_Daily!$D:$D, Raw_Data_Daily!$B:$B, "Variant", Raw_Data_Daily!$A:$A, $A11, Raw_Data_Daily!$C:$C, $C$3),""))</f>
        <v/>
      </c>
      <c r="G11" s="241" t="str">
        <f t="shared" si="2"/>
        <v/>
      </c>
      <c r="H11" s="243">
        <f>IF($A11="","",SUMIFS(Raw_Data_Daily!$F:$F, Raw_Data_Daily!$B:$B, "Control", Raw_Data_Daily!$A:$A, $A11, Raw_Data_Daily!$C:$C, $C$3))</f>
        <v>0</v>
      </c>
      <c r="I11" s="243">
        <f>IF($A11="","",SUMIFS(Raw_Data_Daily!$F:$F, Raw_Data_Daily!$B:$B, "Variant", Raw_Data_Daily!$A:$A, $A11, Raw_Data_Daily!$C:$C, $C$3))</f>
        <v>0</v>
      </c>
      <c r="J11" s="244" t="str">
        <f t="shared" si="3"/>
        <v/>
      </c>
      <c r="K11" s="245" t="str">
        <f>IF($A11="","",IFERROR(SUMIFS(Raw_Data_Daily!$F:$F, Raw_Data_Daily!$B:$B, "Control", Raw_Data_Daily!$A:$A, $A11, Raw_Data_Daily!$C:$C, $C$3)/SUMIFS(Raw_Data_Daily!$D:$D, Raw_Data_Daily!$B:$B, "Control", Raw_Data_Daily!$A:$A, $A11, Raw_Data_Daily!$C:$C, $C$3),""))</f>
        <v/>
      </c>
      <c r="L11" s="245" t="str">
        <f>IF($A11="","",IFERROR(SUMIFS(Raw_Data_Daily!$F:$F, Raw_Data_Daily!$B:$B, "Variant", Raw_Data_Daily!$A:$A, $A11, Raw_Data_Daily!$C:$C, $C$3)/SUMIFS(Raw_Data_Daily!$D:$D, Raw_Data_Daily!$B:$B, "Variant", Raw_Data_Daily!$A:$A, $A11, Raw_Data_Daily!$C:$C, $C$3),""))</f>
        <v/>
      </c>
      <c r="M11" s="244" t="str">
        <f t="shared" si="4"/>
        <v/>
      </c>
      <c r="N11" s="242" t="str">
        <f>IF($A11="","",IFERROR(SUMPRODUCT((Raw_Data_Daily!$B$2:$B$9999="Control")*(Raw_Data_Daily!$A$2:$A$9999=$A11)*(Raw_Data_Daily!$C$2:$C$9999=$C$3)*Raw_Data_Daily!$D$2:$D$9999*Raw_Data_Daily!$H$2:$H$9999/100)/SUMIFS(Raw_Data_Daily!$D:$D, Raw_Data_Daily!$B:$B, "Control", Raw_Data_Daily!$A:$A, $A11, Raw_Data_Daily!$C:$C, $C$3)*100,""))</f>
        <v/>
      </c>
      <c r="O11" s="242" t="str">
        <f>IF($A11="","",IFERROR(SUMPRODUCT((Raw_Data_Daily!$B$2:$B$9999="Variant")*(Raw_Data_Daily!$A$2:$A$9999=$A11)*(Raw_Data_Daily!$C$2:$C$9999=$C$3)*Raw_Data_Daily!$D$2:$D$9999*Raw_Data_Daily!$H$2:$H$9999/100)/SUMIFS(Raw_Data_Daily!$D:$D, Raw_Data_Daily!$B:$B, "Variant", Raw_Data_Daily!$A:$A, $A11, Raw_Data_Daily!$C:$C, $C$3)*100,""))</f>
        <v/>
      </c>
      <c r="P11" s="244" t="str">
        <f t="shared" si="5"/>
        <v/>
      </c>
      <c r="Q11" s="245" t="str">
        <f>IF($A11="","",IFERROR(SUMIFS(Raw_Data_Daily!$F:$F, Raw_Data_Daily!$B:$B, "Control", Raw_Data_Daily!$A:$A, $A11, Raw_Data_Daily!$C:$C, $C$3)/SUMPRODUCT((Raw_Data_Daily!$B$2:$B$9999="Control")*(Raw_Data_Daily!$A$2:$A$9999=$A11)*(Raw_Data_Daily!$C$2:$C$9999=$C$3)*Raw_Data_Daily!$D$2:$D$9999*Raw_Data_Daily!$H$2:$H$9999/100),""))</f>
        <v/>
      </c>
      <c r="R11" s="245" t="str">
        <f>IF($A11="","",IFERROR(SUMIFS(Raw_Data_Daily!$F:$F, Raw_Data_Daily!$B:$B, "Variant", Raw_Data_Daily!$A:$A, $A11, Raw_Data_Daily!$C:$C, $C$3)/SUMPRODUCT((Raw_Data_Daily!$B$2:$B$9999="Variant")*(Raw_Data_Daily!$A$2:$A$9999=$A11)*(Raw_Data_Daily!$C$2:$C$9999=$C$3)*Raw_Data_Daily!$D$2:$D$9999*Raw_Data_Daily!$H$2:$H$9999/100),""))</f>
        <v/>
      </c>
      <c r="S11" s="244" t="str">
        <f t="shared" si="6"/>
        <v/>
      </c>
      <c r="T11" s="246" t="str">
        <f>IF($A11="","",IFERROR(SUMPRODUCT((Raw_Data_Daily!$B$2:$B$9999="Control")*(Raw_Data_Daily!$A$2:$A$9999=$A11)*(Raw_Data_Daily!$C$2:$C$9999=$C$3)*Raw_Data_Daily!$D$2:$D$9999*Raw_Data_Daily!$J$2:$J$9999)/SUMIFS(Raw_Data_Daily!$D:$D, Raw_Data_Daily!$B:$B, "Control", Raw_Data_Daily!$A:$A, $A11, Raw_Data_Daily!$C:$C, $C$3),""))</f>
        <v/>
      </c>
      <c r="U11" s="246" t="str">
        <f>IF($A11="","",IFERROR(SUMPRODUCT((Raw_Data_Daily!$B$2:$B$9999="Variant")*(Raw_Data_Daily!$A$2:$A$9999=$A11)*(Raw_Data_Daily!$C$2:$C$9999=$C$3)*Raw_Data_Daily!$D$2:$D$9999*Raw_Data_Daily!$J$2:$J$9999)/SUMIFS(Raw_Data_Daily!$D:$D, Raw_Data_Daily!$B:$B, "Variant", Raw_Data_Daily!$A:$A, $A11, Raw_Data_Daily!$C:$C, $C$3),""))</f>
        <v/>
      </c>
      <c r="V11" s="244" t="str">
        <f t="shared" si="7"/>
        <v/>
      </c>
      <c r="W11" s="246" t="str">
        <f>IF($A11="","",IFERROR(SUMPRODUCT((Raw_Data_Daily!$B$2:$B$9999="Control")*(Raw_Data_Daily!$A$2:$A$9999=$A11)*(Raw_Data_Daily!$C$2:$C$9999=$C$3)*Raw_Data_Daily!$D$2:$D$9999*Raw_Data_Daily!$K$2:$K$9999)/SUMIFS(Raw_Data_Daily!$D:$D, Raw_Data_Daily!$B:$B, "Control", Raw_Data_Daily!$A:$A, $A11, Raw_Data_Daily!$C:$C, $C$3),""))</f>
        <v/>
      </c>
      <c r="X11" s="246" t="str">
        <f>IF($A11="","",IFERROR(SUMPRODUCT((Raw_Data_Daily!$B$2:$B$9999="Variant")*(Raw_Data_Daily!$A$2:$A$9999=$A11)*(Raw_Data_Daily!$C$2:$C$9999=$C$3)*Raw_Data_Daily!$D$2:$D$9999*Raw_Data_Daily!$K$2:$K$9999)/SUMIFS(Raw_Data_Daily!$D:$D, Raw_Data_Daily!$B:$B, "Variant", Raw_Data_Daily!$A:$A, $A11, Raw_Data_Daily!$C:$C, $C$3),""))</f>
        <v/>
      </c>
      <c r="Y11" s="244" t="str">
        <f t="shared" si="8"/>
        <v/>
      </c>
      <c r="Z11" s="246" t="str">
        <f>IF($A11="","",IFERROR(SUMPRODUCT((Raw_Data_Daily!$B$2:$B$9999="Control")*(Raw_Data_Daily!$A$2:$A$9999=$A11)*(Raw_Data_Daily!$C$2:$C$9999=$C$3)*Raw_Data_Daily!$D$2:$D$9999*Raw_Data_Daily!$L$2:$L$9999)/SUMIFS(Raw_Data_Daily!$D:$D, Raw_Data_Daily!$B:$B, "Control", Raw_Data_Daily!$A:$A, $A11, Raw_Data_Daily!$C:$C, $C$3),""))</f>
        <v/>
      </c>
      <c r="AA11" s="246" t="str">
        <f>IF($A11="","",IFERROR(SUMPRODUCT((Raw_Data_Daily!$B$2:$B$9999="Variant")*(Raw_Data_Daily!$A$2:$A$9999=$A11)*(Raw_Data_Daily!$C$2:$C$9999=$C$3)*Raw_Data_Daily!$D$2:$D$9999*Raw_Data_Daily!$L$2:$L$9999)/SUMIFS(Raw_Data_Daily!$D:$D, Raw_Data_Daily!$B:$B, "Variant", Raw_Data_Daily!$A:$A, $A11, Raw_Data_Daily!$C:$C, $C$3),""))</f>
        <v/>
      </c>
      <c r="AB11" s="244" t="str">
        <f t="shared" si="9"/>
        <v/>
      </c>
      <c r="AC11" s="248" t="str">
        <f>IF($A11="","",IFERROR(SUMPRODUCT((Raw_Data_Daily!$B$2:$B$9999="Control")*(Raw_Data_Daily!$A$2:$A$9999=$A11)*(Raw_Data_Daily!$C$2:$C$9999=$C$3)*Raw_Data_Daily!$D$2:$D$9999*Raw_Data_Daily!$M$2:$M$9999)/SUMIFS(Raw_Data_Daily!$D:$D, Raw_Data_Daily!$B:$B, "Control", Raw_Data_Daily!$A:$A, $A11, Raw_Data_Daily!$C:$C, $C$3),""))</f>
        <v/>
      </c>
      <c r="AD11" s="248" t="str">
        <f>IF($A11="","",IFERROR(SUMPRODUCT((Raw_Data_Daily!$B$2:$B$9999="Variant")*(Raw_Data_Daily!$A$2:$A$9999=$A11)*(Raw_Data_Daily!$C$2:$C$9999=$C$3)*Raw_Data_Daily!$D$2:$D$9999*Raw_Data_Daily!$M$2:$M$9999)/SUMIFS(Raw_Data_Daily!$D:$D, Raw_Data_Daily!$B:$B, "Variant", Raw_Data_Daily!$A:$A, $A11, Raw_Data_Daily!$C:$C, $C$3),""))</f>
        <v/>
      </c>
      <c r="AE11" s="249" t="str">
        <f t="shared" si="10"/>
        <v/>
      </c>
      <c r="AF11" s="248" t="str">
        <f>IF($A11="","",IFERROR(SUMPRODUCT((Raw_Data_Daily!$B$2:$B$9999="Control")*(Raw_Data_Daily!$A$2:$A$9999=$A11)*(Raw_Data_Daily!$C$2:$C$9999=$C$3)*Raw_Data_Daily!$D$2:$D$9999*Raw_Data_Daily!$N$2:$N$9999)/SUMIFS(Raw_Data_Daily!$D:$D, Raw_Data_Daily!$B:$B, "Control", Raw_Data_Daily!$A:$A, $A11, Raw_Data_Daily!$C:$C, $C$3),""))</f>
        <v/>
      </c>
      <c r="AG11" s="248" t="str">
        <f>IF($A11="","",IFERROR(SUMPRODUCT((Raw_Data_Daily!$B$2:$B$9999="Variant")*(Raw_Data_Daily!$A$2:$A$9999=$A11)*(Raw_Data_Daily!$C$2:$C$9999=$C$3)*Raw_Data_Daily!$D$2:$D$9999*Raw_Data_Daily!$N$2:$N$9999)/SUMIFS(Raw_Data_Daily!$D:$D, Raw_Data_Daily!$B:$B, "Variant", Raw_Data_Daily!$A:$A, $A11, Raw_Data_Daily!$C:$C, $C$3),""))</f>
        <v/>
      </c>
      <c r="AH11" s="249" t="str">
        <f t="shared" si="11"/>
        <v/>
      </c>
      <c r="AI11" s="248" t="str">
        <f>IF($A11="","",IFERROR(SUMPRODUCT((Raw_Data_Daily!$B$2:$B$9999="Control")*(Raw_Data_Daily!$A$2:$A$9999=$A11)*(Raw_Data_Daily!$C$2:$C$9999=$C$3)*Raw_Data_Daily!$D$2:$D$9999*Raw_Data_Daily!$O$2:$O$9999)/SUMIFS(Raw_Data_Daily!$D:$D, Raw_Data_Daily!$B:$B, "Control", Raw_Data_Daily!$A:$A, $A11, Raw_Data_Daily!$C:$C, $C$3),""))</f>
        <v/>
      </c>
      <c r="AJ11" s="248" t="str">
        <f>IF($A11="","",IFERROR(SUMPRODUCT((Raw_Data_Daily!$B$2:$B$9999="Variant")*(Raw_Data_Daily!$A$2:$A$9999=$A11)*(Raw_Data_Daily!$C$2:$C$9999=$C$3)*Raw_Data_Daily!$D$2:$D$9999*Raw_Data_Daily!$O$2:$O$9999)/SUMIFS(Raw_Data_Daily!$D:$D, Raw_Data_Daily!$B:$B, "Variant", Raw_Data_Daily!$A:$A, $A11, Raw_Data_Daily!$C:$C, $C$3),""))</f>
        <v/>
      </c>
      <c r="AK11" s="244" t="str">
        <f t="shared" si="12"/>
        <v/>
      </c>
      <c r="AL11" s="246" t="str">
        <f>IF($A11="","",IFERROR(SUMPRODUCT((Raw_Data_Daily!$B$2:$B$9999="Control")*(Raw_Data_Daily!$A$2:$A$9999=$A11)*(Raw_Data_Daily!$C$2:$C$9999=$C$3)*Raw_Data_Daily!$D$2:$D$9999*Raw_Data_Daily!$P$2:$P$9999)/SUMIFS(Raw_Data_Daily!$D:$D, Raw_Data_Daily!$B:$B, "Control", Raw_Data_Daily!$A:$A, $A11, Raw_Data_Daily!$C:$C, $C$3),""))</f>
        <v/>
      </c>
      <c r="AM11" s="246" t="str">
        <f>IF($A11="","",IFERROR(SUMPRODUCT((Raw_Data_Daily!$B$2:$B$9999="Variant")*(Raw_Data_Daily!$A$2:$A$9999=$A11)*(Raw_Data_Daily!$C$2:$C$9999=$C$3)*Raw_Data_Daily!$D$2:$D$9999*Raw_Data_Daily!$P$2:$P$9999)/SUMIFS(Raw_Data_Daily!$D:$D, Raw_Data_Daily!$B:$B, "Variant", Raw_Data_Daily!$A:$A, $A11, Raw_Data_Daily!$C:$C, $C$3),""))</f>
        <v/>
      </c>
      <c r="AN11" s="244" t="str">
        <f t="shared" si="13"/>
        <v/>
      </c>
      <c r="AO11" s="246" t="str">
        <f>IF($A11="","",IFERROR(SUMPRODUCT((Raw_Data_Daily!$B$2:$B$9999="Control")*(Raw_Data_Daily!$A$2:$A$9999=$A11)*(Raw_Data_Daily!$C$2:$C$9999=$C$3)*Raw_Data_Daily!$D$2:$D$9999*Raw_Data_Daily!$Q$2:$Q$9999)/SUMIFS(Raw_Data_Daily!$D:$D, Raw_Data_Daily!$B:$B, "Control", Raw_Data_Daily!$A:$A, $A11, Raw_Data_Daily!$C:$C, $C$3),""))</f>
        <v/>
      </c>
      <c r="AP11" s="246" t="str">
        <f>IF($A11="","",IFERROR(SUMPRODUCT((Raw_Data_Daily!$B$2:$B$9999="Variant")*(Raw_Data_Daily!$A$2:$A$9999=$A11)*(Raw_Data_Daily!$C$2:$C$9999=$C$3)*Raw_Data_Daily!$D$2:$D$9999*Raw_Data_Daily!$Q$2:$Q$9999)/SUMIFS(Raw_Data_Daily!$D:$D, Raw_Data_Daily!$B:$B, "Variant", Raw_Data_Daily!$A:$A, $A11, Raw_Data_Daily!$C:$C, $C$3),""))</f>
        <v/>
      </c>
      <c r="AQ11" s="241" t="str">
        <f t="shared" si="14"/>
        <v/>
      </c>
      <c r="AR11" s="246" t="str">
        <f>IF($A11="","",IFERROR(SUMPRODUCT((Raw_Data_Daily!$B$2:$B$9999="Control")*(Raw_Data_Daily!$A$2:$A$9999=$A11)*(Raw_Data_Daily!$C$2:$C$9999=$C$3)*Raw_Data_Daily!$D$2:$D$9999*Raw_Data_Daily!$R$2:$R$9999)/SUMIFS(Raw_Data_Daily!$D:$D, Raw_Data_Daily!$B:$B, "Control", Raw_Data_Daily!$A:$A, $A11, Raw_Data_Daily!$C:$C, $C$3),""))</f>
        <v/>
      </c>
      <c r="AS11" s="246" t="str">
        <f>IF($A11="","",IFERROR(SUMPRODUCT((Raw_Data_Daily!$B$2:$B$9999="Variant")*(Raw_Data_Daily!$A$2:$A$9999=$A11)*(Raw_Data_Daily!$C$2:$C$9999=$C$3)*Raw_Data_Daily!$D$2:$D$9999*Raw_Data_Daily!$R$2:$R$9999)/SUMIFS(Raw_Data_Daily!$D:$D, Raw_Data_Daily!$B:$B, "Variant", Raw_Data_Daily!$A:$A, $A11, Raw_Data_Daily!$C:$C, $C$3),""))</f>
        <v/>
      </c>
      <c r="AT11" s="241" t="str">
        <f t="shared" si="15"/>
        <v/>
      </c>
      <c r="AU11" s="246" t="str">
        <f>IF($A11="","",IFERROR(SUMPRODUCT((Raw_Data_Daily!$B$2:$B$9999="Control")*(Raw_Data_Daily!$A$2:$A$9999=$A11)*(Raw_Data_Daily!$C$2:$C$9999=$C$3)*Raw_Data_Daily!$D$2:$D$9999*Raw_Data_Daily!$S$2:$S$9999)/SUMIFS(Raw_Data_Daily!$D:$D, Raw_Data_Daily!$B:$B, "Control", Raw_Data_Daily!$A:$A, $A11, Raw_Data_Daily!$C:$C, $C$3),""))</f>
        <v/>
      </c>
      <c r="AV11" s="246" t="str">
        <f>IF($A11="","",IFERROR(SUMPRODUCT((Raw_Data_Daily!$B$2:$B$9999="Variant")*(Raw_Data_Daily!$A$2:$A$9999=$A11)*(Raw_Data_Daily!$C$2:$C$9999=$C$3)*Raw_Data_Daily!$D$2:$D$9999*Raw_Data_Daily!$S$2:$S$9999)/SUMIFS(Raw_Data_Daily!$D:$D, Raw_Data_Daily!$B:$B, "Variant", Raw_Data_Daily!$A:$A, $A11, Raw_Data_Daily!$C:$C, $C$3),""))</f>
        <v/>
      </c>
      <c r="AW11" s="241" t="str">
        <f t="shared" si="16"/>
        <v/>
      </c>
      <c r="AX11" s="246" t="str">
        <f>IF($A11="","",IFERROR(SUMPRODUCT((Raw_Data_Daily!$B$2:$B$9999="Control")*(Raw_Data_Daily!$A$2:$A$9999=$A11)*(Raw_Data_Daily!$C$2:$C$9999=$C$3)*Raw_Data_Daily!$D$2:$D$9999*Raw_Data_Daily!$T$2:$T$9999)/SUMIFS(Raw_Data_Daily!$D:$D, Raw_Data_Daily!$B:$B, "Control", Raw_Data_Daily!$A:$A, $A11, Raw_Data_Daily!$C:$C, $C$3),""))</f>
        <v/>
      </c>
      <c r="AY11" s="246" t="str">
        <f>IF($A11="","",IFERROR(SUMPRODUCT((Raw_Data_Daily!$B$2:$B$9999="Variant")*(Raw_Data_Daily!$A$2:$A$9999=$A11)*(Raw_Data_Daily!$C$2:$C$9999=$C$3)*Raw_Data_Daily!$D$2:$D$9999*Raw_Data_Daily!$T$2:$T$9999)/SUMIFS(Raw_Data_Daily!$D:$D, Raw_Data_Daily!$B:$B, "Variant", Raw_Data_Daily!$A:$A, $A11, Raw_Data_Daily!$C:$C, $C$3),""))</f>
        <v/>
      </c>
      <c r="AZ11" s="244" t="str">
        <f t="shared" si="17"/>
        <v/>
      </c>
      <c r="BA11" s="246" t="str">
        <f>IF($A11="","",IFERROR(SUMPRODUCT((Raw_Data_Daily!$B$2:$B$9999="Control")*(Raw_Data_Daily!$A$2:$A$9999=$A11)*(Raw_Data_Daily!$C$2:$C$9999=$C$3)*Raw_Data_Daily!$D$2:$D$9999*Raw_Data_Daily!$U$2:$U$9999)/SUMIFS(Raw_Data_Daily!$D:$D, Raw_Data_Daily!$B:$B, "Control", Raw_Data_Daily!$A:$A, $A11, Raw_Data_Daily!$C:$C, $C$3),""))</f>
        <v/>
      </c>
      <c r="BB11" s="246" t="str">
        <f>IF($A11="","",IFERROR(SUMPRODUCT((Raw_Data_Daily!$B$2:$B$9999="Variant")*(Raw_Data_Daily!$A$2:$A$9999=$A11)*(Raw_Data_Daily!$C$2:$C$9999=$C$3)*Raw_Data_Daily!$D$2:$D$9999*Raw_Data_Daily!$U$2:$U$9999)/SUMIFS(Raw_Data_Daily!$D:$D, Raw_Data_Daily!$B:$B, "Variant", Raw_Data_Daily!$A:$A, $A11, Raw_Data_Daily!$C:$C, $C$3),""))</f>
        <v/>
      </c>
      <c r="BC11" s="241" t="str">
        <f t="shared" si="18"/>
        <v/>
      </c>
      <c r="BD11" s="246" t="str">
        <f>IF($A11="","",IFERROR(SUMPRODUCT((Raw_Data_Daily!$B$2:$B$9999="Control")*(Raw_Data_Daily!$A$2:$A$9999=$A11)*(Raw_Data_Daily!$C$2:$C$9999=$C$3)*Raw_Data_Daily!$D$2:$D$9999*Raw_Data_Daily!$V$2:$V$9999)/SUMIFS(Raw_Data_Daily!$D:$D, Raw_Data_Daily!$B:$B, "Control", Raw_Data_Daily!$A:$A, $A11, Raw_Data_Daily!$C:$C, $C$3),""))</f>
        <v/>
      </c>
      <c r="BE11" s="246" t="str">
        <f>IF($A11="","",IFERROR(SUMPRODUCT((Raw_Data_Daily!$B$2:$B$9999="Variant")*(Raw_Data_Daily!$A$2:$A$9999=$A11)*(Raw_Data_Daily!$C$2:$C$9999=$C$3)*Raw_Data_Daily!$D$2:$D$9999*Raw_Data_Daily!$V$2:$V$9999)/SUMIFS(Raw_Data_Daily!$D:$D, Raw_Data_Daily!$B:$B, "Variant", Raw_Data_Daily!$A:$A, $A11, Raw_Data_Daily!$C:$C, $C$3),""))</f>
        <v/>
      </c>
      <c r="BF11" s="251" t="str">
        <f t="shared" si="19"/>
        <v/>
      </c>
      <c r="BG11" s="252" t="str">
        <f>IF($A11="","",IFERROR(SUMPRODUCT((Raw_Data_Daily!$B$2:$B$9999="Control")*(Raw_Data_Daily!$A$2:$A$9999=$A11)*(Raw_Data_Daily!$C$2:$C$9999=$C$3)*Raw_Data_Daily!$D$2:$D$9999*(Raw_Data_Daily!$Q$2:$Q$9999-Raw_Data_Daily!$V$2:$V$9999))/SUMIFS(Raw_Data_Daily!$D:$D, Raw_Data_Daily!$B:$B, "Control", Raw_Data_Daily!$A:$A, $A11, Raw_Data_Daily!$C:$C, $C$3),""))</f>
        <v/>
      </c>
      <c r="BH11" s="246" t="str">
        <f>IF($A11="","",IFERROR(SUMPRODUCT((Raw_Data_Daily!$B$2:$B$9999="Variant")*(Raw_Data_Daily!$A$2:$A$9999=$A11)*(Raw_Data_Daily!$C$2:$C$9999=$C$3)*Raw_Data_Daily!$D$2:$D$9999*(Raw_Data_Daily!$Q$2:$Q$9999-Raw_Data_Daily!$V$2:$V$9999))/SUMIFS(Raw_Data_Daily!$D:$D, Raw_Data_Daily!$B:$B, "Variant", Raw_Data_Daily!$A:$A, $A11, Raw_Data_Daily!$C:$C, $C$3),""))</f>
        <v/>
      </c>
      <c r="BI11" s="253" t="str">
        <f t="shared" si="20"/>
        <v/>
      </c>
      <c r="BJ11" s="254" t="str">
        <f>IF($A11="","",IFERROR(SUMPRODUCT((Raw_Data_Daily!$B$2:$B$9999="Control")*(Raw_Data_Daily!$A$2:$A$9999=$A11)*(Raw_Data_Daily!$C$2:$C$9999=$C$3)*Raw_Data_Daily!$D$2:$D$9999*Raw_Data_Daily!$W$2:$W$9999)/SUMIFS(Raw_Data_Daily!$D:$D, Raw_Data_Daily!$B:$B, "Control", Raw_Data_Daily!$A:$A, $A11, Raw_Data_Daily!$C:$C, $C$3),""))</f>
        <v/>
      </c>
      <c r="BK11" s="246" t="str">
        <f>IF($A11="","",IFERROR(SUMPRODUCT((Raw_Data_Daily!$B$2:$B$9999="Variant")*(Raw_Data_Daily!$A$2:$A$9999=$A11)*(Raw_Data_Daily!$C$2:$C$9999=$C$3)*Raw_Data_Daily!$D$2:$D$9999*Raw_Data_Daily!$W$2:$W$9999)/SUMIFS(Raw_Data_Daily!$D:$D, Raw_Data_Daily!$B:$B, "Variant", Raw_Data_Daily!$A:$A, $A11, Raw_Data_Daily!$C:$C, $C$3),""))</f>
        <v/>
      </c>
      <c r="BL11" s="241" t="str">
        <f t="shared" si="21"/>
        <v/>
      </c>
      <c r="BM11" s="248" t="str">
        <f>IF($A11="","",IFERROR(SUMPRODUCT((Raw_Data_Daily!$B$2:$B$9999="Control")*(Raw_Data_Daily!$A$2:$A$9999=$A11)*(Raw_Data_Daily!$C$2:$C$9999=$C$3)*Raw_Data_Daily!$D$2:$D$9999*Raw_Data_Daily!$X$2:$X$9999)/SUMIFS(Raw_Data_Daily!$D:$D, Raw_Data_Daily!$B:$B, "Control", Raw_Data_Daily!$A:$A, $A11, Raw_Data_Daily!$C:$C, $C$3),""))</f>
        <v/>
      </c>
      <c r="BN11" s="248" t="str">
        <f>IF($A11="","",IFERROR(SUMPRODUCT((Raw_Data_Daily!$B$2:$B$9999="Variant")*(Raw_Data_Daily!$A$2:$A$9999=$A11)*(Raw_Data_Daily!$C$2:$C$9999=$C$3)*Raw_Data_Daily!$D$2:$D$9999*Raw_Data_Daily!$X$2:$X$9999)/SUMIFS(Raw_Data_Daily!$D:$D, Raw_Data_Daily!$B:$B, "Variant", Raw_Data_Daily!$A:$A, $A11, Raw_Data_Daily!$C:$C, $C$3),""))</f>
        <v/>
      </c>
      <c r="BO11" s="244" t="str">
        <f t="shared" si="22"/>
        <v/>
      </c>
      <c r="BP11" s="240" t="str">
        <f>IF($A11="","",IFERROR(SUMPRODUCT((Raw_Data_Daily!$B$2:$B$9999="Control")*(Raw_Data_Daily!$A$2:$A$9999=$A11)*(Raw_Data_Daily!$C$2:$C$9999=$C$3)*Raw_Data_Daily!$D$2:$D$9999*Raw_Data_Daily!$Y$2:$Y$9999)/SUMIFS(Raw_Data_Daily!$D:$D, Raw_Data_Daily!$B:$B, "Control", Raw_Data_Daily!$A:$A, $A11, Raw_Data_Daily!$C:$C, $C$3),""))</f>
        <v/>
      </c>
      <c r="BQ11" s="240" t="str">
        <f>IF($A11="","",IFERROR(SUMPRODUCT((Raw_Data_Daily!$B$2:$B$9999="Variant")*(Raw_Data_Daily!$A$2:$A$9999=$A11)*(Raw_Data_Daily!$C$2:$C$9999=$C$3)*Raw_Data_Daily!$D$2:$D$9999*Raw_Data_Daily!$Y$2:$Y$9999)/SUMIFS(Raw_Data_Daily!$D:$D, Raw_Data_Daily!$B:$B, "Variant", Raw_Data_Daily!$A:$A, $A11, Raw_Data_Daily!$C:$C, $C$3),""))</f>
        <v/>
      </c>
      <c r="BR11" s="241" t="str">
        <f t="shared" si="23"/>
        <v/>
      </c>
      <c r="BS11" s="240" t="str">
        <f>IF($A11="","",IFERROR(SUMPRODUCT((Raw_Data_Daily!$B$2:$B$9999="Control")*(Raw_Data_Daily!$A$2:$A$9999=$A11)*(Raw_Data_Daily!$C$2:$C$9999=$C$3)*Raw_Data_Daily!$D$2:$D$9999*Raw_Data_Daily!$Z$2:$Z$9999)/SUMIFS(Raw_Data_Daily!$D:$D, Raw_Data_Daily!$B:$B, "Control", Raw_Data_Daily!$A:$A, $A11, Raw_Data_Daily!$C:$C, $C$3),""))</f>
        <v/>
      </c>
      <c r="BT11" s="240" t="str">
        <f>IF($A11="","",IFERROR(SUMPRODUCT((Raw_Data_Daily!$B$2:$B$9999="Variant")*(Raw_Data_Daily!$A$2:$A$9999=$A11)*(Raw_Data_Daily!$C$2:$C$9999=$C$3)*Raw_Data_Daily!$D$2:$D$9999*Raw_Data_Daily!$Z$2:$Z$9999)/SUMIFS(Raw_Data_Daily!$D:$D, Raw_Data_Daily!$B:$B, "Variant", Raw_Data_Daily!$A:$A, $A11, Raw_Data_Daily!$C:$C, $C$3),""))</f>
        <v/>
      </c>
      <c r="BU11" s="241" t="str">
        <f t="shared" si="24"/>
        <v/>
      </c>
      <c r="BV11" s="240" t="str">
        <f>IF($A11="","",IFERROR(SUMPRODUCT((Raw_Data_Daily!$B$2:$B$9999="Control")*(Raw_Data_Daily!$A$2:$A$9999=$A11)*(Raw_Data_Daily!$C$2:$C$9999=$C$3)*Raw_Data_Daily!$D$2:$D$9999*Raw_Data_Daily!$AA$2:$AA$9999)/SUMIFS(Raw_Data_Daily!$D:$D, Raw_Data_Daily!$B:$B, "Control", Raw_Data_Daily!$A:$A, $A11, Raw_Data_Daily!$C:$C, $C$3),""))</f>
        <v/>
      </c>
      <c r="BW11" s="240" t="str">
        <f>IF($A11="","",IFERROR(SUMPRODUCT((Raw_Data_Daily!$B$2:$B$9999="Variant")*(Raw_Data_Daily!$A$2:$A$9999=$A11)*(Raw_Data_Daily!$C$2:$C$9999=$C$3)*Raw_Data_Daily!$D$2:$D$9999*Raw_Data_Daily!$AA$2:$AA$9999)/SUMIFS(Raw_Data_Daily!$D:$D, Raw_Data_Daily!$B:$B, "Variant", Raw_Data_Daily!$A:$A, $A11, Raw_Data_Daily!$C:$C, $C$3),""))</f>
        <v/>
      </c>
      <c r="BX11" s="241" t="str">
        <f t="shared" si="25"/>
        <v/>
      </c>
      <c r="BY11" s="246" t="str">
        <f>IF($A11="","",IFERROR(SUMPRODUCT((Raw_Data_Daily!$B$2:$B$9999="Control")*(Raw_Data_Daily!$A$2:$A$9999=$A11)*(Raw_Data_Daily!$C$2:$C$9999=$C$3)*Raw_Data_Daily!$D$2:$D$9999*Raw_Data_Daily!$AB$2:$AB$9999)/SUMIFS(Raw_Data_Daily!$D:$D, Raw_Data_Daily!$B:$B, "Control", Raw_Data_Daily!$A:$A, $A11, Raw_Data_Daily!$C:$C, $C$3),""))</f>
        <v/>
      </c>
      <c r="BZ11" s="246" t="str">
        <f>IF($A11="","",IFERROR(SUMPRODUCT((Raw_Data_Daily!$B$2:$B$9999="Variant")*(Raw_Data_Daily!$A$2:$A$9999=$A11)*(Raw_Data_Daily!$C$2:$C$9999=$C$3)*Raw_Data_Daily!$D$2:$D$9999*Raw_Data_Daily!$AB$2:$AB$9999)/SUMIFS(Raw_Data_Daily!$D:$D, Raw_Data_Daily!$B:$B, "Variant", Raw_Data_Daily!$A:$A, $A11, Raw_Data_Daily!$C:$C, $C$3),""))</f>
        <v/>
      </c>
      <c r="CA11" s="244" t="str">
        <f t="shared" si="26"/>
        <v/>
      </c>
      <c r="CB11" s="246" t="str">
        <f>IF($A11="","",IFERROR(SUMPRODUCT((Raw_Data_Daily!$B$2:$B$9999="Control")*(Raw_Data_Daily!$A$2:$A$9999=$A11)*(Raw_Data_Daily!$C$2:$C$9999=$C$3)*Raw_Data_Daily!$D$2:$D$9999*Raw_Data_Daily!$AC$2:$AC$9999)/SUMIFS(Raw_Data_Daily!$D:$D, Raw_Data_Daily!$B:$B, "Control", Raw_Data_Daily!$A:$A, $A11, Raw_Data_Daily!$C:$C, $C$3),""))</f>
        <v/>
      </c>
      <c r="CC11" s="246" t="str">
        <f>IF($A11="","",IFERROR(SUMPRODUCT((Raw_Data_Daily!$B$2:$B$9999="Variant")*(Raw_Data_Daily!$A$2:$A$9999=$A11)*(Raw_Data_Daily!$C$2:$C$9999=$C$3)*Raw_Data_Daily!$D$2:$D$9999*Raw_Data_Daily!$AC$2:$AC$9999)/SUMIFS(Raw_Data_Daily!$D:$D, Raw_Data_Daily!$B:$B, "Variant", Raw_Data_Daily!$A:$A, $A11, Raw_Data_Daily!$C:$C, $C$3),""))</f>
        <v/>
      </c>
      <c r="CD11" s="244" t="str">
        <f t="shared" si="27"/>
        <v/>
      </c>
      <c r="CE11" s="246" t="str">
        <f>IF($A11="","",IFERROR(SUMPRODUCT((Raw_Data_Daily!$B$2:$B$9999="Control")*(Raw_Data_Daily!$A$2:$A$9999=$A11)*(Raw_Data_Daily!$C$2:$C$9999=$C$3)*Raw_Data_Daily!$D$2:$D$9999*Raw_Data_Daily!$AD$2:$AD$9999)/SUMIFS(Raw_Data_Daily!$D:$D, Raw_Data_Daily!$B:$B, "Control", Raw_Data_Daily!$A:$A, $A11, Raw_Data_Daily!$C:$C, $C$3),""))</f>
        <v/>
      </c>
      <c r="CF11" s="246" t="str">
        <f>IF($A11="","",IFERROR(SUMPRODUCT((Raw_Data_Daily!$B$2:$B$9999="Variant")*(Raw_Data_Daily!$A$2:$A$9999=$A11)*(Raw_Data_Daily!$C$2:$C$9999=$C$3)*Raw_Data_Daily!$D$2:$D$9999*Raw_Data_Daily!$AD$2:$AD$9999)/SUMIFS(Raw_Data_Daily!$D:$D, Raw_Data_Daily!$B:$B, "Variant", Raw_Data_Daily!$A:$A, $A11, Raw_Data_Daily!$C:$C, $C$3),""))</f>
        <v/>
      </c>
      <c r="CG11" s="244" t="str">
        <f t="shared" si="28"/>
        <v/>
      </c>
      <c r="CH11" s="246" t="str">
        <f>IF($A11="","",IFERROR(SUMPRODUCT((Raw_Data_Daily!$B$2:$B$9999="Control")*(Raw_Data_Daily!$A$2:$A$9999=$A11)*(Raw_Data_Daily!$C$2:$C$9999=$C$3)*Raw_Data_Daily!$D$2:$D$9999*Raw_Data_Daily!$AE$2:$AE$9999)/SUMIFS(Raw_Data_Daily!$D:$D, Raw_Data_Daily!$B:$B, "Control", Raw_Data_Daily!$A:$A, $A11, Raw_Data_Daily!$C:$C, $C$3),""))</f>
        <v/>
      </c>
      <c r="CI11" s="246" t="str">
        <f>IF($A11="","",IFERROR(SUMPRODUCT((Raw_Data_Daily!$B$2:$B$9999="Variant")*(Raw_Data_Daily!$A$2:$A$9999=$A11)*(Raw_Data_Daily!$C$2:$C$9999=$C$3)*Raw_Data_Daily!$D$2:$D$9999*Raw_Data_Daily!$AE$2:$AE$9999)/SUMIFS(Raw_Data_Daily!$D:$D, Raw_Data_Daily!$B:$B, "Variant", Raw_Data_Daily!$A:$A, $A11, Raw_Data_Daily!$C:$C, $C$3),""))</f>
        <v/>
      </c>
      <c r="CJ11" s="244" t="str">
        <f t="shared" si="29"/>
        <v/>
      </c>
      <c r="CK11" s="246" t="str">
        <f>IF($A11="","",IFERROR(SUMPRODUCT((Raw_Data_Daily!$B$2:$B$9999="Control")*(Raw_Data_Daily!$A$2:$A$9999=$A11)*(Raw_Data_Daily!$C$2:$C$9999=$C$3)*Raw_Data_Daily!$D$2:$D$9999*Raw_Data_Daily!$AF$2:$AF$9999)/SUMIFS(Raw_Data_Daily!$D:$D, Raw_Data_Daily!$B:$B, "Control", Raw_Data_Daily!$A:$A, $A11, Raw_Data_Daily!$C:$C, $C$3),""))</f>
        <v/>
      </c>
      <c r="CL11" s="246" t="str">
        <f>IF($A11="","",IFERROR(SUMPRODUCT((Raw_Data_Daily!$B$2:$B$9999="Variant")*(Raw_Data_Daily!$A$2:$A$9999=$A11)*(Raw_Data_Daily!$C$2:$C$9999=$C$3)*Raw_Data_Daily!$D$2:$D$9999*Raw_Data_Daily!$AF$2:$AF$9999)/SUMIFS(Raw_Data_Daily!$D:$D, Raw_Data_Daily!$B:$B, "Variant", Raw_Data_Daily!$A:$A, $A11, Raw_Data_Daily!$C:$C, $C$3),""))</f>
        <v/>
      </c>
      <c r="CM11" s="244" t="str">
        <f t="shared" si="30"/>
        <v/>
      </c>
      <c r="CN11" s="246" t="str">
        <f>IF($A11="","",IFERROR(SUMPRODUCT((Raw_Data_Daily!$B$2:$B$9999="Control")*(Raw_Data_Daily!$A$2:$A$9999=$A11)*(Raw_Data_Daily!$C$2:$C$9999=$C$3)*Raw_Data_Daily!$D$2:$D$9999*Raw_Data_Daily!$AG$2:$AG$9999)/SUMIFS(Raw_Data_Daily!$D:$D, Raw_Data_Daily!$B:$B, "Control", Raw_Data_Daily!$A:$A, $A11, Raw_Data_Daily!$C:$C, $C$3),""))</f>
        <v/>
      </c>
      <c r="CO11" s="246" t="str">
        <f>IF($A11="","",IFERROR(SUMPRODUCT((Raw_Data_Daily!$B$2:$B$9999="Variant")*(Raw_Data_Daily!$A$2:$A$9999=$A11)*(Raw_Data_Daily!$C$2:$C$9999=$C$3)*Raw_Data_Daily!$D$2:$D$9999*Raw_Data_Daily!$AG$2:$AG$9999)/SUMIFS(Raw_Data_Daily!$D:$D, Raw_Data_Daily!$B:$B, "Variant", Raw_Data_Daily!$A:$A, $A11, Raw_Data_Daily!$C:$C, $C$3),""))</f>
        <v/>
      </c>
      <c r="CP11" s="244" t="str">
        <f t="shared" si="31"/>
        <v/>
      </c>
      <c r="CQ11" s="246" t="str">
        <f>IF($A11="","",IFERROR(SUMPRODUCT((Raw_Data_Daily!$B$2:$B$9999="Control")*(Raw_Data_Daily!$A$2:$A$9999=$A11)*(Raw_Data_Daily!$C$2:$C$9999=$C$3)*Raw_Data_Daily!$D$2:$D$9999*Raw_Data_Daily!$AH$2:$AH$9999)/SUMIFS(Raw_Data_Daily!$D:$D, Raw_Data_Daily!$B:$B, "Control", Raw_Data_Daily!$A:$A, $A11, Raw_Data_Daily!$C:$C, $C$3),""))</f>
        <v/>
      </c>
      <c r="CR11" s="246" t="str">
        <f>IF($A11="","",IFERROR(SUMPRODUCT((Raw_Data_Daily!$B$2:$B$9999="Variant")*(Raw_Data_Daily!$A$2:$A$9999=$A11)*(Raw_Data_Daily!$C$2:$C$9999=$C$3)*Raw_Data_Daily!$D$2:$D$9999*Raw_Data_Daily!$AH$2:$AH$9999)/SUMIFS(Raw_Data_Daily!$D:$D, Raw_Data_Daily!$B:$B, "Variant", Raw_Data_Daily!$A:$A, $A11, Raw_Data_Daily!$C:$C, $C$3),""))</f>
        <v/>
      </c>
      <c r="CS11" s="244" t="str">
        <f t="shared" si="32"/>
        <v/>
      </c>
      <c r="CT11" s="242" t="str">
        <f>IF($A11="","",IFERROR(SUMPRODUCT((Raw_Data_Daily!$B$2:$B$9999="Control")*(Raw_Data_Daily!$A$2:$A$9999=$A11)*(Raw_Data_Daily!$C$2:$C$9999=$C$3)*Raw_Data_Daily!$D$2:$D$9999*Raw_Data_Daily!$AI$2:$AI$9999)/SUMIFS(Raw_Data_Daily!$D:$D, Raw_Data_Daily!$B:$B, "Control", Raw_Data_Daily!$A:$A, $A11, Raw_Data_Daily!$C:$C, $C$3),""))</f>
        <v/>
      </c>
      <c r="CU11" s="242" t="str">
        <f>IF($A11="","",IFERROR(SUMPRODUCT((Raw_Data_Daily!$B$2:$B$9999="Variant")*(Raw_Data_Daily!$A$2:$A$9999=$A11)*(Raw_Data_Daily!$C$2:$C$9999=$C$3)*Raw_Data_Daily!$D$2:$D$9999*Raw_Data_Daily!$AI$2:$AI$9999)/SUMIFS(Raw_Data_Daily!$D:$D, Raw_Data_Daily!$B:$B, "Variant", Raw_Data_Daily!$A:$A, $A11, Raw_Data_Daily!$C:$C, $C$3),""))</f>
        <v/>
      </c>
      <c r="CV11" s="249" t="str">
        <f t="shared" si="33"/>
        <v/>
      </c>
      <c r="CW11" s="242" t="str">
        <f>IF($A11="","",IFERROR(SUMPRODUCT((Raw_Data_Daily!$B$2:$B$9999="Control")*(Raw_Data_Daily!$A$2:$A$9999=$A11)*(Raw_Data_Daily!$C$2:$C$9999=$C$3)*Raw_Data_Daily!$D$2:$D$9999*Raw_Data_Daily!$AJ$2:$AJ$9999)/SUMIFS(Raw_Data_Daily!$D:$D, Raw_Data_Daily!$B:$B, "Control", Raw_Data_Daily!$A:$A, $A11, Raw_Data_Daily!$C:$C, $C$3),""))</f>
        <v/>
      </c>
      <c r="CX11" s="242" t="str">
        <f>IF($A11="","",IFERROR(SUMPRODUCT((Raw_Data_Daily!$B$2:$B$9999="Variant")*(Raw_Data_Daily!$A$2:$A$9999=$A11)*(Raw_Data_Daily!$C$2:$C$9999=$C$3)*Raw_Data_Daily!$D$2:$D$9999*Raw_Data_Daily!$AJ$2:$AJ$9999)/SUMIFS(Raw_Data_Daily!$D:$D, Raw_Data_Daily!$B:$B, "Variant", Raw_Data_Daily!$A:$A, $A11, Raw_Data_Daily!$C:$C, $C$3),""))</f>
        <v/>
      </c>
      <c r="CY11" s="249" t="str">
        <f t="shared" si="34"/>
        <v/>
      </c>
      <c r="CZ11" s="242" t="str">
        <f>IF($A11="","",IFERROR(SUMPRODUCT((Raw_Data_Daily!$B$2:$B$9999="Control")*(Raw_Data_Daily!$A$2:$A$9999=$A11)*(Raw_Data_Daily!$C$2:$C$9999=$C$3)*Raw_Data_Daily!$D$2:$D$9999*Raw_Data_Daily!$AK$2:$AK$9999)/SUMIFS(Raw_Data_Daily!$D:$D, Raw_Data_Daily!$B:$B, "Control", Raw_Data_Daily!$A:$A, $A11, Raw_Data_Daily!$C:$C, $C$3),""))</f>
        <v/>
      </c>
      <c r="DA11" s="242" t="str">
        <f>IF($A11="","",IFERROR(SUMPRODUCT((Raw_Data_Daily!$B$2:$B$9999="Variant")*(Raw_Data_Daily!$A$2:$A$9999=$A11)*(Raw_Data_Daily!$C$2:$C$9999=$C$3)*Raw_Data_Daily!$D$2:$D$9999*Raw_Data_Daily!$AK$2:$AK$9999)/SUMIFS(Raw_Data_Daily!$D:$D, Raw_Data_Daily!$B:$B, "Variant", Raw_Data_Daily!$A:$A, $A11, Raw_Data_Daily!$C:$C, $C$3),""))</f>
        <v/>
      </c>
      <c r="DB11" s="244" t="str">
        <f t="shared" si="35"/>
        <v/>
      </c>
      <c r="DC11" s="248" t="str">
        <f>IF($A11="","",IFERROR(SUMPRODUCT((Raw_Data_Daily!$B$2:$B$9999="Control")*(Raw_Data_Daily!$A$2:$A$9999=$A11)*(Raw_Data_Daily!$C$2:$C$9999=$C$3)*Raw_Data_Daily!$D$2:$D$9999*Raw_Data_Daily!$AL$2:$AL$9999)/SUMIFS(Raw_Data_Daily!$D:$D, Raw_Data_Daily!$B:$B, "Control", Raw_Data_Daily!$A:$A, $A11, Raw_Data_Daily!$C:$C, $C$3),""))</f>
        <v/>
      </c>
      <c r="DD11" s="248" t="str">
        <f>IF($A11="","",IFERROR(SUMPRODUCT((Raw_Data_Daily!$B$2:$B$9999="Variant")*(Raw_Data_Daily!$A$2:$A$9999=$A11)*(Raw_Data_Daily!$C$2:$C$9999=$C$3)*Raw_Data_Daily!$D$2:$D$9999*Raw_Data_Daily!$AL$2:$AL$9999)/SUMIFS(Raw_Data_Daily!$D:$D, Raw_Data_Daily!$B:$B, "Variant", Raw_Data_Daily!$A:$A, $A11, Raw_Data_Daily!$C:$C, $C$3),""))</f>
        <v/>
      </c>
      <c r="DE11" s="249" t="str">
        <f t="shared" si="36"/>
        <v/>
      </c>
      <c r="DF11" s="255"/>
      <c r="DG11" s="242" t="str">
        <f>IF($A11="","",IFERROR(SUMPRODUCT((Raw_Data_Daily!$B$2:$B$9999="Variant")*(Raw_Data_Daily!$A$2:$A$9999=$A11)*(Raw_Data_Daily!$C$2:$C$9999=$C$3)*Raw_Data_Daily!$D$2:$D$9999*Raw_Data_Daily!$AM$2:$AM$9999)/SUMIFS(Raw_Data_Daily!$D:$D, Raw_Data_Daily!$B:$B, "Variant", Raw_Data_Daily!$A:$A, $A11, Raw_Data_Daily!$C:$C, $C$3),""))</f>
        <v/>
      </c>
      <c r="DH11" s="256"/>
      <c r="DI11" s="255"/>
      <c r="DJ11" s="242" t="str">
        <f>IF($A11="","",IFERROR(SUMPRODUCT((Raw_Data_Daily!$B$2:$B$9999="Variant")*(Raw_Data_Daily!$A$2:$A$9999=$A11)*(Raw_Data_Daily!$C$2:$C$9999=$C$3)*Raw_Data_Daily!$D$2:$D$9999*Raw_Data_Daily!$AN$2:$AN$9999)/SUMIFS(Raw_Data_Daily!$D:$D, Raw_Data_Daily!$B:$B, "Variant", Raw_Data_Daily!$A:$A, $A11, Raw_Data_Daily!$C:$C, $C$3),""))</f>
        <v/>
      </c>
      <c r="DK11" s="256"/>
      <c r="DL11" s="255"/>
      <c r="DM11" s="242" t="str">
        <f>IF($A11="","",IFERROR(SUMPRODUCT((Raw_Data_Daily!$B$2:$B$9999="Variant")*(Raw_Data_Daily!$A$2:$A$9999=$A11)*(Raw_Data_Daily!$C$2:$C$9999=$C$3)*Raw_Data_Daily!$D$2:$D$9999*Raw_Data_Daily!$AO$2:$AO$9999)/SUMIFS(Raw_Data_Daily!$D:$D, Raw_Data_Daily!$B:$B, "Variant", Raw_Data_Daily!$A:$A, $A11, Raw_Data_Daily!$C:$C, $C$3),""))</f>
        <v/>
      </c>
      <c r="DN11" s="256"/>
      <c r="DO11" s="255"/>
      <c r="DP11" s="242" t="str">
        <f>IF($A11="","",IFERROR(SUMPRODUCT((Raw_Data_Daily!$B$2:$B$9999="Variant")*(Raw_Data_Daily!$A$2:$A$9999=$A11)*(Raw_Data_Daily!$C$2:$C$9999=$C$3)*Raw_Data_Daily!$D$2:$D$9999*Raw_Data_Daily!$AP$2:$AP$9999)/SUMIFS(Raw_Data_Daily!$D:$D, Raw_Data_Daily!$B:$B, "Variant", Raw_Data_Daily!$A:$A, $A11, Raw_Data_Daily!$C:$C, $C$3),""))</f>
        <v/>
      </c>
      <c r="DQ11" s="256"/>
      <c r="DR11" s="248" t="str">
        <f>IF($A11="","",IFERROR(SUMPRODUCT((Raw_Data_Daily!$B$2:$B$9999="Control")*(Raw_Data_Daily!$A$2:$A$9999=$A11)*(Raw_Data_Daily!$C$2:$C$9999=$C$3)*Raw_Data_Daily!$D$2:$D$9999*Raw_Data_Daily!$AQ$2:$AQ$9999)/SUMIFS(Raw_Data_Daily!$D:$D, Raw_Data_Daily!$B:$B, "Control", Raw_Data_Daily!$A:$A, $A11, Raw_Data_Daily!$C:$C, $C$3),""))</f>
        <v/>
      </c>
      <c r="DS11" s="248" t="str">
        <f>IF($A11="","",IFERROR(SUMPRODUCT((Raw_Data_Daily!$B$2:$B$9999="Variant")*(Raw_Data_Daily!$A$2:$A$9999=$A11)*(Raw_Data_Daily!$C$2:$C$9999=$C$3)*Raw_Data_Daily!$D$2:$D$9999*Raw_Data_Daily!$AQ$2:$AQ$9999)/SUMIFS(Raw_Data_Daily!$D:$D, Raw_Data_Daily!$B:$B, "Variant", Raw_Data_Daily!$A:$A, $A11, Raw_Data_Daily!$C:$C, $C$3),""))</f>
        <v/>
      </c>
      <c r="DT11" s="257" t="str">
        <f t="shared" si="37"/>
        <v/>
      </c>
      <c r="DU11" s="248" t="str">
        <f>IF($A11="","",IFERROR(SUMPRODUCT((Raw_Data_Daily!$B$2:$B$9999="Control")*(Raw_Data_Daily!$A$2:$A$9999=$A11)*(Raw_Data_Daily!$C$2:$C$9999=$C$3)*Raw_Data_Daily!$D$2:$D$9999*Raw_Data_Daily!$AR$2:$AR$9999)/SUMIFS(Raw_Data_Daily!$D:$D, Raw_Data_Daily!$B:$B, "Control", Raw_Data_Daily!$A:$A, $A11, Raw_Data_Daily!$C:$C, $C$3),""))</f>
        <v/>
      </c>
      <c r="DV11" s="248" t="str">
        <f>IF($A11="","",IFERROR(SUMPRODUCT((Raw_Data_Daily!$B$2:$B$9999="Variant")*(Raw_Data_Daily!$A$2:$A$9999=$A11)*(Raw_Data_Daily!$C$2:$C$9999=$C$3)*Raw_Data_Daily!$D$2:$D$9999*Raw_Data_Daily!$AR$2:$AR$9999)/SUMIFS(Raw_Data_Daily!$D:$D, Raw_Data_Daily!$B:$B, "Variant", Raw_Data_Daily!$A:$A, $A11, Raw_Data_Daily!$C:$C, $C$3),""))</f>
        <v/>
      </c>
      <c r="DW11" s="257" t="str">
        <f t="shared" si="38"/>
        <v/>
      </c>
      <c r="DX11" s="248" t="str">
        <f>IF($A11="","",IFERROR(SUMPRODUCT((Raw_Data_Daily!$B$2:$B$9999="Control")*(Raw_Data_Daily!$A$2:$A$9999=$A11)*(Raw_Data_Daily!$C$2:$C$9999=$C$3)*Raw_Data_Daily!$D$2:$D$9999*Raw_Data_Daily!$AS$2:$AS$9999)/SUMIFS(Raw_Data_Daily!$D:$D, Raw_Data_Daily!$B:$B, "Control", Raw_Data_Daily!$A:$A, $A11, Raw_Data_Daily!$C:$C, $C$3),""))</f>
        <v/>
      </c>
      <c r="DY11" s="248" t="str">
        <f>IF($A11="","",IFERROR(SUMPRODUCT((Raw_Data_Daily!$B$2:$B$9999="Variant")*(Raw_Data_Daily!$A$2:$A$9999=$A11)*(Raw_Data_Daily!$C$2:$C$9999=$C$3)*Raw_Data_Daily!$D$2:$D$9999*Raw_Data_Daily!$AS$2:$AS$9999)/SUMIFS(Raw_Data_Daily!$D:$D, Raw_Data_Daily!$B:$B, "Variant", Raw_Data_Daily!$A:$A, $A11, Raw_Data_Daily!$C:$C, $C$3),""))</f>
        <v/>
      </c>
      <c r="DZ11" s="257" t="str">
        <f t="shared" si="39"/>
        <v/>
      </c>
      <c r="EA11" s="248" t="str">
        <f>IF($A11="","",IFERROR(SUMPRODUCT((Raw_Data_Daily!$B$2:$B$9999="Control")*(Raw_Data_Daily!$A$2:$A$9999=$A11)*(Raw_Data_Daily!$C$2:$C$9999=$C$3)*Raw_Data_Daily!$D$2:$D$9999*Raw_Data_Daily!$AT$2:$AT$9999)/SUMIFS(Raw_Data_Daily!$D:$D, Raw_Data_Daily!$B:$B, "Control", Raw_Data_Daily!$A:$A, $A11, Raw_Data_Daily!$C:$C, $C$3),""))</f>
        <v/>
      </c>
      <c r="EB11" s="248" t="str">
        <f>IF($A11="","",IFERROR(SUMPRODUCT((Raw_Data_Daily!$B$2:$B$9999="Variant")*(Raw_Data_Daily!$A$2:$A$9999=$A11)*(Raw_Data_Daily!$C$2:$C$9999=$C$3)*Raw_Data_Daily!$D$2:$D$9999*Raw_Data_Daily!$AT$2:$AT$9999)/SUMIFS(Raw_Data_Daily!$D:$D, Raw_Data_Daily!$B:$B, "Variant", Raw_Data_Daily!$A:$A, $A11, Raw_Data_Daily!$C:$C, $C$3),""))</f>
        <v/>
      </c>
      <c r="EC11" s="257" t="str">
        <f t="shared" si="40"/>
        <v/>
      </c>
      <c r="ED11" s="248" t="str">
        <f>IF($A11="","",IFERROR(SUMPRODUCT((Raw_Data_Daily!$B$2:$B$9999="Control")*(Raw_Data_Daily!$A$2:$A$9999=$A11)*(Raw_Data_Daily!$C$2:$C$9999=$C$3)*Raw_Data_Daily!$D$2:$D$9999*(Raw_Data_Daily!$AQ$2:$AQ$9999-Raw_Data_Daily!$AT$2:$AT$9999))/SUMIFS(Raw_Data_Daily!$D:$D, Raw_Data_Daily!$B:$B, "Control", Raw_Data_Daily!$A:$A, $A11, Raw_Data_Daily!$C:$C, $C$3),""))</f>
        <v/>
      </c>
      <c r="EE11" s="248" t="str">
        <f>IF($A11="","",IFERROR(SUMPRODUCT((Raw_Data_Daily!$B$2:$B$9999="Variant")*(Raw_Data_Daily!$A$2:$A$9999=$A11)*(Raw_Data_Daily!$C$2:$C$9999=$C$3)*Raw_Data_Daily!$D$2:$D$9999*(Raw_Data_Daily!$AQ$2:$AQ$9999-Raw_Data_Daily!$AT$2:$AT$9999))/SUMIFS(Raw_Data_Daily!$D:$D, Raw_Data_Daily!$B:$B, "Variant", Raw_Data_Daily!$A:$A, $A11, Raw_Data_Daily!$C:$C, $C$3),""))</f>
        <v/>
      </c>
      <c r="EF11" s="257" t="str">
        <f t="shared" si="41"/>
        <v/>
      </c>
      <c r="EG11" s="248" t="str">
        <f>IF($A11="","",IFERROR(SUMPRODUCT((Raw_Data_Daily!$B$2:$B$9999="Control")*(Raw_Data_Daily!$A$2:$A$9999=$A11)*(Raw_Data_Daily!$C$2:$C$9999=$C$3)*Raw_Data_Daily!$D$2:$D$9999*Raw_Data_Daily!$AU$2:$AU$9999)/SUMIFS(Raw_Data_Daily!$D:$D, Raw_Data_Daily!$B:$B, "Control", Raw_Data_Daily!$A:$A, $A11, Raw_Data_Daily!$C:$C, $C$3),""))</f>
        <v/>
      </c>
      <c r="EH11" s="248" t="str">
        <f>IF($A11="","",IFERROR(SUMPRODUCT((Raw_Data_Daily!$B$2:$B$9999="Variant")*(Raw_Data_Daily!$A$2:$A$9999=$A11)*(Raw_Data_Daily!$C$2:$C$9999=$C$3)*Raw_Data_Daily!$D$2:$D$9999*Raw_Data_Daily!$AU$2:$AU$9999)/SUMIFS(Raw_Data_Daily!$D:$D, Raw_Data_Daily!$B:$B, "Variant", Raw_Data_Daily!$A:$A, $A11, Raw_Data_Daily!$C:$C, $C$3),""))</f>
        <v/>
      </c>
      <c r="EI11" s="257" t="str">
        <f t="shared" si="42"/>
        <v/>
      </c>
    </row>
    <row r="12" ht="15.75" customHeight="1">
      <c r="A12" s="239">
        <v>46235.0</v>
      </c>
      <c r="B12" s="240">
        <f>IF($A12="","",SUMIFS(Raw_Data_Daily!$D:$D, Raw_Data_Daily!$B:$B, "Control", Raw_Data_Daily!$A:$A, $A12, Raw_Data_Daily!$C:$C, $C$3))</f>
        <v>0</v>
      </c>
      <c r="C12" s="240">
        <f>IF($A12="","",SUMIFS(Raw_Data_Daily!$D:$D, Raw_Data_Daily!$B:$B, "Variant", Raw_Data_Daily!$A:$A, $A12, Raw_Data_Daily!$C:$C, $C$3))</f>
        <v>0</v>
      </c>
      <c r="D12" s="241" t="str">
        <f t="shared" si="1"/>
        <v/>
      </c>
      <c r="E12" s="242" t="str">
        <f>IF($A12="","",IFERROR(SUMPRODUCT((Raw_Data_Daily!$B$2:$B$9999="Control")*(Raw_Data_Daily!$A$2:$A$9999=$A12)*(Raw_Data_Daily!$C$2:$C$9999=$C$3)*Raw_Data_Daily!$D$2:$D$9999*Raw_Data_Daily!$E$2:$E$9999)/SUMIFS(Raw_Data_Daily!$D:$D, Raw_Data_Daily!$B:$B, "Control", Raw_Data_Daily!$A:$A, $A12, Raw_Data_Daily!$C:$C, $C$3),""))</f>
        <v/>
      </c>
      <c r="F12" s="242" t="str">
        <f>IF($A12="","",IFERROR(SUMPRODUCT((Raw_Data_Daily!$B$2:$B$9999="Variant")*(Raw_Data_Daily!$A$2:$A$9999=$A12)*(Raw_Data_Daily!$C$2:$C$9999=$C$3)*Raw_Data_Daily!$D$2:$D$9999*Raw_Data_Daily!$E$2:$E$9999)/SUMIFS(Raw_Data_Daily!$D:$D, Raw_Data_Daily!$B:$B, "Variant", Raw_Data_Daily!$A:$A, $A12, Raw_Data_Daily!$C:$C, $C$3),""))</f>
        <v/>
      </c>
      <c r="G12" s="241" t="str">
        <f t="shared" si="2"/>
        <v/>
      </c>
      <c r="H12" s="243">
        <f>IF($A12="","",SUMIFS(Raw_Data_Daily!$F:$F, Raw_Data_Daily!$B:$B, "Control", Raw_Data_Daily!$A:$A, $A12, Raw_Data_Daily!$C:$C, $C$3))</f>
        <v>0</v>
      </c>
      <c r="I12" s="243">
        <f>IF($A12="","",SUMIFS(Raw_Data_Daily!$F:$F, Raw_Data_Daily!$B:$B, "Variant", Raw_Data_Daily!$A:$A, $A12, Raw_Data_Daily!$C:$C, $C$3))</f>
        <v>0</v>
      </c>
      <c r="J12" s="244" t="str">
        <f t="shared" si="3"/>
        <v/>
      </c>
      <c r="K12" s="245" t="str">
        <f>IF($A12="","",IFERROR(SUMIFS(Raw_Data_Daily!$F:$F, Raw_Data_Daily!$B:$B, "Control", Raw_Data_Daily!$A:$A, $A12, Raw_Data_Daily!$C:$C, $C$3)/SUMIFS(Raw_Data_Daily!$D:$D, Raw_Data_Daily!$B:$B, "Control", Raw_Data_Daily!$A:$A, $A12, Raw_Data_Daily!$C:$C, $C$3),""))</f>
        <v/>
      </c>
      <c r="L12" s="245" t="str">
        <f>IF($A12="","",IFERROR(SUMIFS(Raw_Data_Daily!$F:$F, Raw_Data_Daily!$B:$B, "Variant", Raw_Data_Daily!$A:$A, $A12, Raw_Data_Daily!$C:$C, $C$3)/SUMIFS(Raw_Data_Daily!$D:$D, Raw_Data_Daily!$B:$B, "Variant", Raw_Data_Daily!$A:$A, $A12, Raw_Data_Daily!$C:$C, $C$3),""))</f>
        <v/>
      </c>
      <c r="M12" s="244" t="str">
        <f t="shared" si="4"/>
        <v/>
      </c>
      <c r="N12" s="242" t="str">
        <f>IF($A12="","",IFERROR(SUMPRODUCT((Raw_Data_Daily!$B$2:$B$9999="Control")*(Raw_Data_Daily!$A$2:$A$9999=$A12)*(Raw_Data_Daily!$C$2:$C$9999=$C$3)*Raw_Data_Daily!$D$2:$D$9999*Raw_Data_Daily!$H$2:$H$9999/100)/SUMIFS(Raw_Data_Daily!$D:$D, Raw_Data_Daily!$B:$B, "Control", Raw_Data_Daily!$A:$A, $A12, Raw_Data_Daily!$C:$C, $C$3)*100,""))</f>
        <v/>
      </c>
      <c r="O12" s="242" t="str">
        <f>IF($A12="","",IFERROR(SUMPRODUCT((Raw_Data_Daily!$B$2:$B$9999="Variant")*(Raw_Data_Daily!$A$2:$A$9999=$A12)*(Raw_Data_Daily!$C$2:$C$9999=$C$3)*Raw_Data_Daily!$D$2:$D$9999*Raw_Data_Daily!$H$2:$H$9999/100)/SUMIFS(Raw_Data_Daily!$D:$D, Raw_Data_Daily!$B:$B, "Variant", Raw_Data_Daily!$A:$A, $A12, Raw_Data_Daily!$C:$C, $C$3)*100,""))</f>
        <v/>
      </c>
      <c r="P12" s="244" t="str">
        <f t="shared" si="5"/>
        <v/>
      </c>
      <c r="Q12" s="245" t="str">
        <f>IF($A12="","",IFERROR(SUMIFS(Raw_Data_Daily!$F:$F, Raw_Data_Daily!$B:$B, "Control", Raw_Data_Daily!$A:$A, $A12, Raw_Data_Daily!$C:$C, $C$3)/SUMPRODUCT((Raw_Data_Daily!$B$2:$B$9999="Control")*(Raw_Data_Daily!$A$2:$A$9999=$A12)*(Raw_Data_Daily!$C$2:$C$9999=$C$3)*Raw_Data_Daily!$D$2:$D$9999*Raw_Data_Daily!$H$2:$H$9999/100),""))</f>
        <v/>
      </c>
      <c r="R12" s="245" t="str">
        <f>IF($A12="","",IFERROR(SUMIFS(Raw_Data_Daily!$F:$F, Raw_Data_Daily!$B:$B, "Variant", Raw_Data_Daily!$A:$A, $A12, Raw_Data_Daily!$C:$C, $C$3)/SUMPRODUCT((Raw_Data_Daily!$B$2:$B$9999="Variant")*(Raw_Data_Daily!$A$2:$A$9999=$A12)*(Raw_Data_Daily!$C$2:$C$9999=$C$3)*Raw_Data_Daily!$D$2:$D$9999*Raw_Data_Daily!$H$2:$H$9999/100),""))</f>
        <v/>
      </c>
      <c r="S12" s="244" t="str">
        <f t="shared" si="6"/>
        <v/>
      </c>
      <c r="T12" s="246" t="str">
        <f>IF($A12="","",IFERROR(SUMPRODUCT((Raw_Data_Daily!$B$2:$B$9999="Control")*(Raw_Data_Daily!$A$2:$A$9999=$A12)*(Raw_Data_Daily!$C$2:$C$9999=$C$3)*Raw_Data_Daily!$D$2:$D$9999*Raw_Data_Daily!$J$2:$J$9999)/SUMIFS(Raw_Data_Daily!$D:$D, Raw_Data_Daily!$B:$B, "Control", Raw_Data_Daily!$A:$A, $A12, Raw_Data_Daily!$C:$C, $C$3),""))</f>
        <v/>
      </c>
      <c r="U12" s="246" t="str">
        <f>IF($A12="","",IFERROR(SUMPRODUCT((Raw_Data_Daily!$B$2:$B$9999="Variant")*(Raw_Data_Daily!$A$2:$A$9999=$A12)*(Raw_Data_Daily!$C$2:$C$9999=$C$3)*Raw_Data_Daily!$D$2:$D$9999*Raw_Data_Daily!$J$2:$J$9999)/SUMIFS(Raw_Data_Daily!$D:$D, Raw_Data_Daily!$B:$B, "Variant", Raw_Data_Daily!$A:$A, $A12, Raw_Data_Daily!$C:$C, $C$3),""))</f>
        <v/>
      </c>
      <c r="V12" s="244" t="str">
        <f t="shared" si="7"/>
        <v/>
      </c>
      <c r="W12" s="246" t="str">
        <f>IF($A12="","",IFERROR(SUMPRODUCT((Raw_Data_Daily!$B$2:$B$9999="Control")*(Raw_Data_Daily!$A$2:$A$9999=$A12)*(Raw_Data_Daily!$C$2:$C$9999=$C$3)*Raw_Data_Daily!$D$2:$D$9999*Raw_Data_Daily!$K$2:$K$9999)/SUMIFS(Raw_Data_Daily!$D:$D, Raw_Data_Daily!$B:$B, "Control", Raw_Data_Daily!$A:$A, $A12, Raw_Data_Daily!$C:$C, $C$3),""))</f>
        <v/>
      </c>
      <c r="X12" s="246" t="str">
        <f>IF($A12="","",IFERROR(SUMPRODUCT((Raw_Data_Daily!$B$2:$B$9999="Variant")*(Raw_Data_Daily!$A$2:$A$9999=$A12)*(Raw_Data_Daily!$C$2:$C$9999=$C$3)*Raw_Data_Daily!$D$2:$D$9999*Raw_Data_Daily!$K$2:$K$9999)/SUMIFS(Raw_Data_Daily!$D:$D, Raw_Data_Daily!$B:$B, "Variant", Raw_Data_Daily!$A:$A, $A12, Raw_Data_Daily!$C:$C, $C$3),""))</f>
        <v/>
      </c>
      <c r="Y12" s="244" t="str">
        <f t="shared" si="8"/>
        <v/>
      </c>
      <c r="Z12" s="246" t="str">
        <f>IF($A12="","",IFERROR(SUMPRODUCT((Raw_Data_Daily!$B$2:$B$9999="Control")*(Raw_Data_Daily!$A$2:$A$9999=$A12)*(Raw_Data_Daily!$C$2:$C$9999=$C$3)*Raw_Data_Daily!$D$2:$D$9999*Raw_Data_Daily!$L$2:$L$9999)/SUMIFS(Raw_Data_Daily!$D:$D, Raw_Data_Daily!$B:$B, "Control", Raw_Data_Daily!$A:$A, $A12, Raw_Data_Daily!$C:$C, $C$3),""))</f>
        <v/>
      </c>
      <c r="AA12" s="246" t="str">
        <f>IF($A12="","",IFERROR(SUMPRODUCT((Raw_Data_Daily!$B$2:$B$9999="Variant")*(Raw_Data_Daily!$A$2:$A$9999=$A12)*(Raw_Data_Daily!$C$2:$C$9999=$C$3)*Raw_Data_Daily!$D$2:$D$9999*Raw_Data_Daily!$L$2:$L$9999)/SUMIFS(Raw_Data_Daily!$D:$D, Raw_Data_Daily!$B:$B, "Variant", Raw_Data_Daily!$A:$A, $A12, Raw_Data_Daily!$C:$C, $C$3),""))</f>
        <v/>
      </c>
      <c r="AB12" s="244" t="str">
        <f t="shared" si="9"/>
        <v/>
      </c>
      <c r="AC12" s="248" t="str">
        <f>IF($A12="","",IFERROR(SUMPRODUCT((Raw_Data_Daily!$B$2:$B$9999="Control")*(Raw_Data_Daily!$A$2:$A$9999=$A12)*(Raw_Data_Daily!$C$2:$C$9999=$C$3)*Raw_Data_Daily!$D$2:$D$9999*Raw_Data_Daily!$M$2:$M$9999)/SUMIFS(Raw_Data_Daily!$D:$D, Raw_Data_Daily!$B:$B, "Control", Raw_Data_Daily!$A:$A, $A12, Raw_Data_Daily!$C:$C, $C$3),""))</f>
        <v/>
      </c>
      <c r="AD12" s="248" t="str">
        <f>IF($A12="","",IFERROR(SUMPRODUCT((Raw_Data_Daily!$B$2:$B$9999="Variant")*(Raw_Data_Daily!$A$2:$A$9999=$A12)*(Raw_Data_Daily!$C$2:$C$9999=$C$3)*Raw_Data_Daily!$D$2:$D$9999*Raw_Data_Daily!$M$2:$M$9999)/SUMIFS(Raw_Data_Daily!$D:$D, Raw_Data_Daily!$B:$B, "Variant", Raw_Data_Daily!$A:$A, $A12, Raw_Data_Daily!$C:$C, $C$3),""))</f>
        <v/>
      </c>
      <c r="AE12" s="249" t="str">
        <f t="shared" si="10"/>
        <v/>
      </c>
      <c r="AF12" s="248" t="str">
        <f>IF($A12="","",IFERROR(SUMPRODUCT((Raw_Data_Daily!$B$2:$B$9999="Control")*(Raw_Data_Daily!$A$2:$A$9999=$A12)*(Raw_Data_Daily!$C$2:$C$9999=$C$3)*Raw_Data_Daily!$D$2:$D$9999*Raw_Data_Daily!$N$2:$N$9999)/SUMIFS(Raw_Data_Daily!$D:$D, Raw_Data_Daily!$B:$B, "Control", Raw_Data_Daily!$A:$A, $A12, Raw_Data_Daily!$C:$C, $C$3),""))</f>
        <v/>
      </c>
      <c r="AG12" s="248" t="str">
        <f>IF($A12="","",IFERROR(SUMPRODUCT((Raw_Data_Daily!$B$2:$B$9999="Variant")*(Raw_Data_Daily!$A$2:$A$9999=$A12)*(Raw_Data_Daily!$C$2:$C$9999=$C$3)*Raw_Data_Daily!$D$2:$D$9999*Raw_Data_Daily!$N$2:$N$9999)/SUMIFS(Raw_Data_Daily!$D:$D, Raw_Data_Daily!$B:$B, "Variant", Raw_Data_Daily!$A:$A, $A12, Raw_Data_Daily!$C:$C, $C$3),""))</f>
        <v/>
      </c>
      <c r="AH12" s="249" t="str">
        <f t="shared" si="11"/>
        <v/>
      </c>
      <c r="AI12" s="248" t="str">
        <f>IF($A12="","",IFERROR(SUMPRODUCT((Raw_Data_Daily!$B$2:$B$9999="Control")*(Raw_Data_Daily!$A$2:$A$9999=$A12)*(Raw_Data_Daily!$C$2:$C$9999=$C$3)*Raw_Data_Daily!$D$2:$D$9999*Raw_Data_Daily!$O$2:$O$9999)/SUMIFS(Raw_Data_Daily!$D:$D, Raw_Data_Daily!$B:$B, "Control", Raw_Data_Daily!$A:$A, $A12, Raw_Data_Daily!$C:$C, $C$3),""))</f>
        <v/>
      </c>
      <c r="AJ12" s="248" t="str">
        <f>IF($A12="","",IFERROR(SUMPRODUCT((Raw_Data_Daily!$B$2:$B$9999="Variant")*(Raw_Data_Daily!$A$2:$A$9999=$A12)*(Raw_Data_Daily!$C$2:$C$9999=$C$3)*Raw_Data_Daily!$D$2:$D$9999*Raw_Data_Daily!$O$2:$O$9999)/SUMIFS(Raw_Data_Daily!$D:$D, Raw_Data_Daily!$B:$B, "Variant", Raw_Data_Daily!$A:$A, $A12, Raw_Data_Daily!$C:$C, $C$3),""))</f>
        <v/>
      </c>
      <c r="AK12" s="244" t="str">
        <f t="shared" si="12"/>
        <v/>
      </c>
      <c r="AL12" s="246" t="str">
        <f>IF($A12="","",IFERROR(SUMPRODUCT((Raw_Data_Daily!$B$2:$B$9999="Control")*(Raw_Data_Daily!$A$2:$A$9999=$A12)*(Raw_Data_Daily!$C$2:$C$9999=$C$3)*Raw_Data_Daily!$D$2:$D$9999*Raw_Data_Daily!$P$2:$P$9999)/SUMIFS(Raw_Data_Daily!$D:$D, Raw_Data_Daily!$B:$B, "Control", Raw_Data_Daily!$A:$A, $A12, Raw_Data_Daily!$C:$C, $C$3),""))</f>
        <v/>
      </c>
      <c r="AM12" s="246" t="str">
        <f>IF($A12="","",IFERROR(SUMPRODUCT((Raw_Data_Daily!$B$2:$B$9999="Variant")*(Raw_Data_Daily!$A$2:$A$9999=$A12)*(Raw_Data_Daily!$C$2:$C$9999=$C$3)*Raw_Data_Daily!$D$2:$D$9999*Raw_Data_Daily!$P$2:$P$9999)/SUMIFS(Raw_Data_Daily!$D:$D, Raw_Data_Daily!$B:$B, "Variant", Raw_Data_Daily!$A:$A, $A12, Raw_Data_Daily!$C:$C, $C$3),""))</f>
        <v/>
      </c>
      <c r="AN12" s="244" t="str">
        <f t="shared" si="13"/>
        <v/>
      </c>
      <c r="AO12" s="246" t="str">
        <f>IF($A12="","",IFERROR(SUMPRODUCT((Raw_Data_Daily!$B$2:$B$9999="Control")*(Raw_Data_Daily!$A$2:$A$9999=$A12)*(Raw_Data_Daily!$C$2:$C$9999=$C$3)*Raw_Data_Daily!$D$2:$D$9999*Raw_Data_Daily!$Q$2:$Q$9999)/SUMIFS(Raw_Data_Daily!$D:$D, Raw_Data_Daily!$B:$B, "Control", Raw_Data_Daily!$A:$A, $A12, Raw_Data_Daily!$C:$C, $C$3),""))</f>
        <v/>
      </c>
      <c r="AP12" s="246" t="str">
        <f>IF($A12="","",IFERROR(SUMPRODUCT((Raw_Data_Daily!$B$2:$B$9999="Variant")*(Raw_Data_Daily!$A$2:$A$9999=$A12)*(Raw_Data_Daily!$C$2:$C$9999=$C$3)*Raw_Data_Daily!$D$2:$D$9999*Raw_Data_Daily!$Q$2:$Q$9999)/SUMIFS(Raw_Data_Daily!$D:$D, Raw_Data_Daily!$B:$B, "Variant", Raw_Data_Daily!$A:$A, $A12, Raw_Data_Daily!$C:$C, $C$3),""))</f>
        <v/>
      </c>
      <c r="AQ12" s="241" t="str">
        <f t="shared" si="14"/>
        <v/>
      </c>
      <c r="AR12" s="246" t="str">
        <f>IF($A12="","",IFERROR(SUMPRODUCT((Raw_Data_Daily!$B$2:$B$9999="Control")*(Raw_Data_Daily!$A$2:$A$9999=$A12)*(Raw_Data_Daily!$C$2:$C$9999=$C$3)*Raw_Data_Daily!$D$2:$D$9999*Raw_Data_Daily!$R$2:$R$9999)/SUMIFS(Raw_Data_Daily!$D:$D, Raw_Data_Daily!$B:$B, "Control", Raw_Data_Daily!$A:$A, $A12, Raw_Data_Daily!$C:$C, $C$3),""))</f>
        <v/>
      </c>
      <c r="AS12" s="246" t="str">
        <f>IF($A12="","",IFERROR(SUMPRODUCT((Raw_Data_Daily!$B$2:$B$9999="Variant")*(Raw_Data_Daily!$A$2:$A$9999=$A12)*(Raw_Data_Daily!$C$2:$C$9999=$C$3)*Raw_Data_Daily!$D$2:$D$9999*Raw_Data_Daily!$R$2:$R$9999)/SUMIFS(Raw_Data_Daily!$D:$D, Raw_Data_Daily!$B:$B, "Variant", Raw_Data_Daily!$A:$A, $A12, Raw_Data_Daily!$C:$C, $C$3),""))</f>
        <v/>
      </c>
      <c r="AT12" s="241" t="str">
        <f t="shared" si="15"/>
        <v/>
      </c>
      <c r="AU12" s="246" t="str">
        <f>IF($A12="","",IFERROR(SUMPRODUCT((Raw_Data_Daily!$B$2:$B$9999="Control")*(Raw_Data_Daily!$A$2:$A$9999=$A12)*(Raw_Data_Daily!$C$2:$C$9999=$C$3)*Raw_Data_Daily!$D$2:$D$9999*Raw_Data_Daily!$S$2:$S$9999)/SUMIFS(Raw_Data_Daily!$D:$D, Raw_Data_Daily!$B:$B, "Control", Raw_Data_Daily!$A:$A, $A12, Raw_Data_Daily!$C:$C, $C$3),""))</f>
        <v/>
      </c>
      <c r="AV12" s="246" t="str">
        <f>IF($A12="","",IFERROR(SUMPRODUCT((Raw_Data_Daily!$B$2:$B$9999="Variant")*(Raw_Data_Daily!$A$2:$A$9999=$A12)*(Raw_Data_Daily!$C$2:$C$9999=$C$3)*Raw_Data_Daily!$D$2:$D$9999*Raw_Data_Daily!$S$2:$S$9999)/SUMIFS(Raw_Data_Daily!$D:$D, Raw_Data_Daily!$B:$B, "Variant", Raw_Data_Daily!$A:$A, $A12, Raw_Data_Daily!$C:$C, $C$3),""))</f>
        <v/>
      </c>
      <c r="AW12" s="241" t="str">
        <f t="shared" si="16"/>
        <v/>
      </c>
      <c r="AX12" s="246" t="str">
        <f>IF($A12="","",IFERROR(SUMPRODUCT((Raw_Data_Daily!$B$2:$B$9999="Control")*(Raw_Data_Daily!$A$2:$A$9999=$A12)*(Raw_Data_Daily!$C$2:$C$9999=$C$3)*Raw_Data_Daily!$D$2:$D$9999*Raw_Data_Daily!$T$2:$T$9999)/SUMIFS(Raw_Data_Daily!$D:$D, Raw_Data_Daily!$B:$B, "Control", Raw_Data_Daily!$A:$A, $A12, Raw_Data_Daily!$C:$C, $C$3),""))</f>
        <v/>
      </c>
      <c r="AY12" s="246" t="str">
        <f>IF($A12="","",IFERROR(SUMPRODUCT((Raw_Data_Daily!$B$2:$B$9999="Variant")*(Raw_Data_Daily!$A$2:$A$9999=$A12)*(Raw_Data_Daily!$C$2:$C$9999=$C$3)*Raw_Data_Daily!$D$2:$D$9999*Raw_Data_Daily!$T$2:$T$9999)/SUMIFS(Raw_Data_Daily!$D:$D, Raw_Data_Daily!$B:$B, "Variant", Raw_Data_Daily!$A:$A, $A12, Raw_Data_Daily!$C:$C, $C$3),""))</f>
        <v/>
      </c>
      <c r="AZ12" s="244" t="str">
        <f t="shared" si="17"/>
        <v/>
      </c>
      <c r="BA12" s="246" t="str">
        <f>IF($A12="","",IFERROR(SUMPRODUCT((Raw_Data_Daily!$B$2:$B$9999="Control")*(Raw_Data_Daily!$A$2:$A$9999=$A12)*(Raw_Data_Daily!$C$2:$C$9999=$C$3)*Raw_Data_Daily!$D$2:$D$9999*Raw_Data_Daily!$U$2:$U$9999)/SUMIFS(Raw_Data_Daily!$D:$D, Raw_Data_Daily!$B:$B, "Control", Raw_Data_Daily!$A:$A, $A12, Raw_Data_Daily!$C:$C, $C$3),""))</f>
        <v/>
      </c>
      <c r="BB12" s="246" t="str">
        <f>IF($A12="","",IFERROR(SUMPRODUCT((Raw_Data_Daily!$B$2:$B$9999="Variant")*(Raw_Data_Daily!$A$2:$A$9999=$A12)*(Raw_Data_Daily!$C$2:$C$9999=$C$3)*Raw_Data_Daily!$D$2:$D$9999*Raw_Data_Daily!$U$2:$U$9999)/SUMIFS(Raw_Data_Daily!$D:$D, Raw_Data_Daily!$B:$B, "Variant", Raw_Data_Daily!$A:$A, $A12, Raw_Data_Daily!$C:$C, $C$3),""))</f>
        <v/>
      </c>
      <c r="BC12" s="241" t="str">
        <f t="shared" si="18"/>
        <v/>
      </c>
      <c r="BD12" s="246" t="str">
        <f>IF($A12="","",IFERROR(SUMPRODUCT((Raw_Data_Daily!$B$2:$B$9999="Control")*(Raw_Data_Daily!$A$2:$A$9999=$A12)*(Raw_Data_Daily!$C$2:$C$9999=$C$3)*Raw_Data_Daily!$D$2:$D$9999*Raw_Data_Daily!$V$2:$V$9999)/SUMIFS(Raw_Data_Daily!$D:$D, Raw_Data_Daily!$B:$B, "Control", Raw_Data_Daily!$A:$A, $A12, Raw_Data_Daily!$C:$C, $C$3),""))</f>
        <v/>
      </c>
      <c r="BE12" s="246" t="str">
        <f>IF($A12="","",IFERROR(SUMPRODUCT((Raw_Data_Daily!$B$2:$B$9999="Variant")*(Raw_Data_Daily!$A$2:$A$9999=$A12)*(Raw_Data_Daily!$C$2:$C$9999=$C$3)*Raw_Data_Daily!$D$2:$D$9999*Raw_Data_Daily!$V$2:$V$9999)/SUMIFS(Raw_Data_Daily!$D:$D, Raw_Data_Daily!$B:$B, "Variant", Raw_Data_Daily!$A:$A, $A12, Raw_Data_Daily!$C:$C, $C$3),""))</f>
        <v/>
      </c>
      <c r="BF12" s="251" t="str">
        <f t="shared" si="19"/>
        <v/>
      </c>
      <c r="BG12" s="252" t="str">
        <f>IF($A12="","",IFERROR(SUMPRODUCT((Raw_Data_Daily!$B$2:$B$9999="Control")*(Raw_Data_Daily!$A$2:$A$9999=$A12)*(Raw_Data_Daily!$C$2:$C$9999=$C$3)*Raw_Data_Daily!$D$2:$D$9999*(Raw_Data_Daily!$Q$2:$Q$9999-Raw_Data_Daily!$V$2:$V$9999))/SUMIFS(Raw_Data_Daily!$D:$D, Raw_Data_Daily!$B:$B, "Control", Raw_Data_Daily!$A:$A, $A12, Raw_Data_Daily!$C:$C, $C$3),""))</f>
        <v/>
      </c>
      <c r="BH12" s="246" t="str">
        <f>IF($A12="","",IFERROR(SUMPRODUCT((Raw_Data_Daily!$B$2:$B$9999="Variant")*(Raw_Data_Daily!$A$2:$A$9999=$A12)*(Raw_Data_Daily!$C$2:$C$9999=$C$3)*Raw_Data_Daily!$D$2:$D$9999*(Raw_Data_Daily!$Q$2:$Q$9999-Raw_Data_Daily!$V$2:$V$9999))/SUMIFS(Raw_Data_Daily!$D:$D, Raw_Data_Daily!$B:$B, "Variant", Raw_Data_Daily!$A:$A, $A12, Raw_Data_Daily!$C:$C, $C$3),""))</f>
        <v/>
      </c>
      <c r="BI12" s="253" t="str">
        <f t="shared" si="20"/>
        <v/>
      </c>
      <c r="BJ12" s="254" t="str">
        <f>IF($A12="","",IFERROR(SUMPRODUCT((Raw_Data_Daily!$B$2:$B$9999="Control")*(Raw_Data_Daily!$A$2:$A$9999=$A12)*(Raw_Data_Daily!$C$2:$C$9999=$C$3)*Raw_Data_Daily!$D$2:$D$9999*Raw_Data_Daily!$W$2:$W$9999)/SUMIFS(Raw_Data_Daily!$D:$D, Raw_Data_Daily!$B:$B, "Control", Raw_Data_Daily!$A:$A, $A12, Raw_Data_Daily!$C:$C, $C$3),""))</f>
        <v/>
      </c>
      <c r="BK12" s="246" t="str">
        <f>IF($A12="","",IFERROR(SUMPRODUCT((Raw_Data_Daily!$B$2:$B$9999="Variant")*(Raw_Data_Daily!$A$2:$A$9999=$A12)*(Raw_Data_Daily!$C$2:$C$9999=$C$3)*Raw_Data_Daily!$D$2:$D$9999*Raw_Data_Daily!$W$2:$W$9999)/SUMIFS(Raw_Data_Daily!$D:$D, Raw_Data_Daily!$B:$B, "Variant", Raw_Data_Daily!$A:$A, $A12, Raw_Data_Daily!$C:$C, $C$3),""))</f>
        <v/>
      </c>
      <c r="BL12" s="241" t="str">
        <f t="shared" si="21"/>
        <v/>
      </c>
      <c r="BM12" s="248" t="str">
        <f>IF($A12="","",IFERROR(SUMPRODUCT((Raw_Data_Daily!$B$2:$B$9999="Control")*(Raw_Data_Daily!$A$2:$A$9999=$A12)*(Raw_Data_Daily!$C$2:$C$9999=$C$3)*Raw_Data_Daily!$D$2:$D$9999*Raw_Data_Daily!$X$2:$X$9999)/SUMIFS(Raw_Data_Daily!$D:$D, Raw_Data_Daily!$B:$B, "Control", Raw_Data_Daily!$A:$A, $A12, Raw_Data_Daily!$C:$C, $C$3),""))</f>
        <v/>
      </c>
      <c r="BN12" s="248" t="str">
        <f>IF($A12="","",IFERROR(SUMPRODUCT((Raw_Data_Daily!$B$2:$B$9999="Variant")*(Raw_Data_Daily!$A$2:$A$9999=$A12)*(Raw_Data_Daily!$C$2:$C$9999=$C$3)*Raw_Data_Daily!$D$2:$D$9999*Raw_Data_Daily!$X$2:$X$9999)/SUMIFS(Raw_Data_Daily!$D:$D, Raw_Data_Daily!$B:$B, "Variant", Raw_Data_Daily!$A:$A, $A12, Raw_Data_Daily!$C:$C, $C$3),""))</f>
        <v/>
      </c>
      <c r="BO12" s="244" t="str">
        <f t="shared" si="22"/>
        <v/>
      </c>
      <c r="BP12" s="240" t="str">
        <f>IF($A12="","",IFERROR(SUMPRODUCT((Raw_Data_Daily!$B$2:$B$9999="Control")*(Raw_Data_Daily!$A$2:$A$9999=$A12)*(Raw_Data_Daily!$C$2:$C$9999=$C$3)*Raw_Data_Daily!$D$2:$D$9999*Raw_Data_Daily!$Y$2:$Y$9999)/SUMIFS(Raw_Data_Daily!$D:$D, Raw_Data_Daily!$B:$B, "Control", Raw_Data_Daily!$A:$A, $A12, Raw_Data_Daily!$C:$C, $C$3),""))</f>
        <v/>
      </c>
      <c r="BQ12" s="240" t="str">
        <f>IF($A12="","",IFERROR(SUMPRODUCT((Raw_Data_Daily!$B$2:$B$9999="Variant")*(Raw_Data_Daily!$A$2:$A$9999=$A12)*(Raw_Data_Daily!$C$2:$C$9999=$C$3)*Raw_Data_Daily!$D$2:$D$9999*Raw_Data_Daily!$Y$2:$Y$9999)/SUMIFS(Raw_Data_Daily!$D:$D, Raw_Data_Daily!$B:$B, "Variant", Raw_Data_Daily!$A:$A, $A12, Raw_Data_Daily!$C:$C, $C$3),""))</f>
        <v/>
      </c>
      <c r="BR12" s="241" t="str">
        <f t="shared" si="23"/>
        <v/>
      </c>
      <c r="BS12" s="240" t="str">
        <f>IF($A12="","",IFERROR(SUMPRODUCT((Raw_Data_Daily!$B$2:$B$9999="Control")*(Raw_Data_Daily!$A$2:$A$9999=$A12)*(Raw_Data_Daily!$C$2:$C$9999=$C$3)*Raw_Data_Daily!$D$2:$D$9999*Raw_Data_Daily!$Z$2:$Z$9999)/SUMIFS(Raw_Data_Daily!$D:$D, Raw_Data_Daily!$B:$B, "Control", Raw_Data_Daily!$A:$A, $A12, Raw_Data_Daily!$C:$C, $C$3),""))</f>
        <v/>
      </c>
      <c r="BT12" s="240" t="str">
        <f>IF($A12="","",IFERROR(SUMPRODUCT((Raw_Data_Daily!$B$2:$B$9999="Variant")*(Raw_Data_Daily!$A$2:$A$9999=$A12)*(Raw_Data_Daily!$C$2:$C$9999=$C$3)*Raw_Data_Daily!$D$2:$D$9999*Raw_Data_Daily!$Z$2:$Z$9999)/SUMIFS(Raw_Data_Daily!$D:$D, Raw_Data_Daily!$B:$B, "Variant", Raw_Data_Daily!$A:$A, $A12, Raw_Data_Daily!$C:$C, $C$3),""))</f>
        <v/>
      </c>
      <c r="BU12" s="241" t="str">
        <f t="shared" si="24"/>
        <v/>
      </c>
      <c r="BV12" s="240" t="str">
        <f>IF($A12="","",IFERROR(SUMPRODUCT((Raw_Data_Daily!$B$2:$B$9999="Control")*(Raw_Data_Daily!$A$2:$A$9999=$A12)*(Raw_Data_Daily!$C$2:$C$9999=$C$3)*Raw_Data_Daily!$D$2:$D$9999*Raw_Data_Daily!$AA$2:$AA$9999)/SUMIFS(Raw_Data_Daily!$D:$D, Raw_Data_Daily!$B:$B, "Control", Raw_Data_Daily!$A:$A, $A12, Raw_Data_Daily!$C:$C, $C$3),""))</f>
        <v/>
      </c>
      <c r="BW12" s="240" t="str">
        <f>IF($A12="","",IFERROR(SUMPRODUCT((Raw_Data_Daily!$B$2:$B$9999="Variant")*(Raw_Data_Daily!$A$2:$A$9999=$A12)*(Raw_Data_Daily!$C$2:$C$9999=$C$3)*Raw_Data_Daily!$D$2:$D$9999*Raw_Data_Daily!$AA$2:$AA$9999)/SUMIFS(Raw_Data_Daily!$D:$D, Raw_Data_Daily!$B:$B, "Variant", Raw_Data_Daily!$A:$A, $A12, Raw_Data_Daily!$C:$C, $C$3),""))</f>
        <v/>
      </c>
      <c r="BX12" s="241" t="str">
        <f t="shared" si="25"/>
        <v/>
      </c>
      <c r="BY12" s="246" t="str">
        <f>IF($A12="","",IFERROR(SUMPRODUCT((Raw_Data_Daily!$B$2:$B$9999="Control")*(Raw_Data_Daily!$A$2:$A$9999=$A12)*(Raw_Data_Daily!$C$2:$C$9999=$C$3)*Raw_Data_Daily!$D$2:$D$9999*Raw_Data_Daily!$AB$2:$AB$9999)/SUMIFS(Raw_Data_Daily!$D:$D, Raw_Data_Daily!$B:$B, "Control", Raw_Data_Daily!$A:$A, $A12, Raw_Data_Daily!$C:$C, $C$3),""))</f>
        <v/>
      </c>
      <c r="BZ12" s="246" t="str">
        <f>IF($A12="","",IFERROR(SUMPRODUCT((Raw_Data_Daily!$B$2:$B$9999="Variant")*(Raw_Data_Daily!$A$2:$A$9999=$A12)*(Raw_Data_Daily!$C$2:$C$9999=$C$3)*Raw_Data_Daily!$D$2:$D$9999*Raw_Data_Daily!$AB$2:$AB$9999)/SUMIFS(Raw_Data_Daily!$D:$D, Raw_Data_Daily!$B:$B, "Variant", Raw_Data_Daily!$A:$A, $A12, Raw_Data_Daily!$C:$C, $C$3),""))</f>
        <v/>
      </c>
      <c r="CA12" s="244" t="str">
        <f t="shared" si="26"/>
        <v/>
      </c>
      <c r="CB12" s="246" t="str">
        <f>IF($A12="","",IFERROR(SUMPRODUCT((Raw_Data_Daily!$B$2:$B$9999="Control")*(Raw_Data_Daily!$A$2:$A$9999=$A12)*(Raw_Data_Daily!$C$2:$C$9999=$C$3)*Raw_Data_Daily!$D$2:$D$9999*Raw_Data_Daily!$AC$2:$AC$9999)/SUMIFS(Raw_Data_Daily!$D:$D, Raw_Data_Daily!$B:$B, "Control", Raw_Data_Daily!$A:$A, $A12, Raw_Data_Daily!$C:$C, $C$3),""))</f>
        <v/>
      </c>
      <c r="CC12" s="246" t="str">
        <f>IF($A12="","",IFERROR(SUMPRODUCT((Raw_Data_Daily!$B$2:$B$9999="Variant")*(Raw_Data_Daily!$A$2:$A$9999=$A12)*(Raw_Data_Daily!$C$2:$C$9999=$C$3)*Raw_Data_Daily!$D$2:$D$9999*Raw_Data_Daily!$AC$2:$AC$9999)/SUMIFS(Raw_Data_Daily!$D:$D, Raw_Data_Daily!$B:$B, "Variant", Raw_Data_Daily!$A:$A, $A12, Raw_Data_Daily!$C:$C, $C$3),""))</f>
        <v/>
      </c>
      <c r="CD12" s="244" t="str">
        <f t="shared" si="27"/>
        <v/>
      </c>
      <c r="CE12" s="246" t="str">
        <f>IF($A12="","",IFERROR(SUMPRODUCT((Raw_Data_Daily!$B$2:$B$9999="Control")*(Raw_Data_Daily!$A$2:$A$9999=$A12)*(Raw_Data_Daily!$C$2:$C$9999=$C$3)*Raw_Data_Daily!$D$2:$D$9999*Raw_Data_Daily!$AD$2:$AD$9999)/SUMIFS(Raw_Data_Daily!$D:$D, Raw_Data_Daily!$B:$B, "Control", Raw_Data_Daily!$A:$A, $A12, Raw_Data_Daily!$C:$C, $C$3),""))</f>
        <v/>
      </c>
      <c r="CF12" s="246" t="str">
        <f>IF($A12="","",IFERROR(SUMPRODUCT((Raw_Data_Daily!$B$2:$B$9999="Variant")*(Raw_Data_Daily!$A$2:$A$9999=$A12)*(Raw_Data_Daily!$C$2:$C$9999=$C$3)*Raw_Data_Daily!$D$2:$D$9999*Raw_Data_Daily!$AD$2:$AD$9999)/SUMIFS(Raw_Data_Daily!$D:$D, Raw_Data_Daily!$B:$B, "Variant", Raw_Data_Daily!$A:$A, $A12, Raw_Data_Daily!$C:$C, $C$3),""))</f>
        <v/>
      </c>
      <c r="CG12" s="244" t="str">
        <f t="shared" si="28"/>
        <v/>
      </c>
      <c r="CH12" s="246" t="str">
        <f>IF($A12="","",IFERROR(SUMPRODUCT((Raw_Data_Daily!$B$2:$B$9999="Control")*(Raw_Data_Daily!$A$2:$A$9999=$A12)*(Raw_Data_Daily!$C$2:$C$9999=$C$3)*Raw_Data_Daily!$D$2:$D$9999*Raw_Data_Daily!$AE$2:$AE$9999)/SUMIFS(Raw_Data_Daily!$D:$D, Raw_Data_Daily!$B:$B, "Control", Raw_Data_Daily!$A:$A, $A12, Raw_Data_Daily!$C:$C, $C$3),""))</f>
        <v/>
      </c>
      <c r="CI12" s="246" t="str">
        <f>IF($A12="","",IFERROR(SUMPRODUCT((Raw_Data_Daily!$B$2:$B$9999="Variant")*(Raw_Data_Daily!$A$2:$A$9999=$A12)*(Raw_Data_Daily!$C$2:$C$9999=$C$3)*Raw_Data_Daily!$D$2:$D$9999*Raw_Data_Daily!$AE$2:$AE$9999)/SUMIFS(Raw_Data_Daily!$D:$D, Raw_Data_Daily!$B:$B, "Variant", Raw_Data_Daily!$A:$A, $A12, Raw_Data_Daily!$C:$C, $C$3),""))</f>
        <v/>
      </c>
      <c r="CJ12" s="244" t="str">
        <f t="shared" si="29"/>
        <v/>
      </c>
      <c r="CK12" s="246" t="str">
        <f>IF($A12="","",IFERROR(SUMPRODUCT((Raw_Data_Daily!$B$2:$B$9999="Control")*(Raw_Data_Daily!$A$2:$A$9999=$A12)*(Raw_Data_Daily!$C$2:$C$9999=$C$3)*Raw_Data_Daily!$D$2:$D$9999*Raw_Data_Daily!$AF$2:$AF$9999)/SUMIFS(Raw_Data_Daily!$D:$D, Raw_Data_Daily!$B:$B, "Control", Raw_Data_Daily!$A:$A, $A12, Raw_Data_Daily!$C:$C, $C$3),""))</f>
        <v/>
      </c>
      <c r="CL12" s="246" t="str">
        <f>IF($A12="","",IFERROR(SUMPRODUCT((Raw_Data_Daily!$B$2:$B$9999="Variant")*(Raw_Data_Daily!$A$2:$A$9999=$A12)*(Raw_Data_Daily!$C$2:$C$9999=$C$3)*Raw_Data_Daily!$D$2:$D$9999*Raw_Data_Daily!$AF$2:$AF$9999)/SUMIFS(Raw_Data_Daily!$D:$D, Raw_Data_Daily!$B:$B, "Variant", Raw_Data_Daily!$A:$A, $A12, Raw_Data_Daily!$C:$C, $C$3),""))</f>
        <v/>
      </c>
      <c r="CM12" s="244" t="str">
        <f t="shared" si="30"/>
        <v/>
      </c>
      <c r="CN12" s="246" t="str">
        <f>IF($A12="","",IFERROR(SUMPRODUCT((Raw_Data_Daily!$B$2:$B$9999="Control")*(Raw_Data_Daily!$A$2:$A$9999=$A12)*(Raw_Data_Daily!$C$2:$C$9999=$C$3)*Raw_Data_Daily!$D$2:$D$9999*Raw_Data_Daily!$AG$2:$AG$9999)/SUMIFS(Raw_Data_Daily!$D:$D, Raw_Data_Daily!$B:$B, "Control", Raw_Data_Daily!$A:$A, $A12, Raw_Data_Daily!$C:$C, $C$3),""))</f>
        <v/>
      </c>
      <c r="CO12" s="246" t="str">
        <f>IF($A12="","",IFERROR(SUMPRODUCT((Raw_Data_Daily!$B$2:$B$9999="Variant")*(Raw_Data_Daily!$A$2:$A$9999=$A12)*(Raw_Data_Daily!$C$2:$C$9999=$C$3)*Raw_Data_Daily!$D$2:$D$9999*Raw_Data_Daily!$AG$2:$AG$9999)/SUMIFS(Raw_Data_Daily!$D:$D, Raw_Data_Daily!$B:$B, "Variant", Raw_Data_Daily!$A:$A, $A12, Raw_Data_Daily!$C:$C, $C$3),""))</f>
        <v/>
      </c>
      <c r="CP12" s="244" t="str">
        <f t="shared" si="31"/>
        <v/>
      </c>
      <c r="CQ12" s="246" t="str">
        <f>IF($A12="","",IFERROR(SUMPRODUCT((Raw_Data_Daily!$B$2:$B$9999="Control")*(Raw_Data_Daily!$A$2:$A$9999=$A12)*(Raw_Data_Daily!$C$2:$C$9999=$C$3)*Raw_Data_Daily!$D$2:$D$9999*Raw_Data_Daily!$AH$2:$AH$9999)/SUMIFS(Raw_Data_Daily!$D:$D, Raw_Data_Daily!$B:$B, "Control", Raw_Data_Daily!$A:$A, $A12, Raw_Data_Daily!$C:$C, $C$3),""))</f>
        <v/>
      </c>
      <c r="CR12" s="246" t="str">
        <f>IF($A12="","",IFERROR(SUMPRODUCT((Raw_Data_Daily!$B$2:$B$9999="Variant")*(Raw_Data_Daily!$A$2:$A$9999=$A12)*(Raw_Data_Daily!$C$2:$C$9999=$C$3)*Raw_Data_Daily!$D$2:$D$9999*Raw_Data_Daily!$AH$2:$AH$9999)/SUMIFS(Raw_Data_Daily!$D:$D, Raw_Data_Daily!$B:$B, "Variant", Raw_Data_Daily!$A:$A, $A12, Raw_Data_Daily!$C:$C, $C$3),""))</f>
        <v/>
      </c>
      <c r="CS12" s="244" t="str">
        <f t="shared" si="32"/>
        <v/>
      </c>
      <c r="CT12" s="242" t="str">
        <f>IF($A12="","",IFERROR(SUMPRODUCT((Raw_Data_Daily!$B$2:$B$9999="Control")*(Raw_Data_Daily!$A$2:$A$9999=$A12)*(Raw_Data_Daily!$C$2:$C$9999=$C$3)*Raw_Data_Daily!$D$2:$D$9999*Raw_Data_Daily!$AI$2:$AI$9999)/SUMIFS(Raw_Data_Daily!$D:$D, Raw_Data_Daily!$B:$B, "Control", Raw_Data_Daily!$A:$A, $A12, Raw_Data_Daily!$C:$C, $C$3),""))</f>
        <v/>
      </c>
      <c r="CU12" s="242" t="str">
        <f>IF($A12="","",IFERROR(SUMPRODUCT((Raw_Data_Daily!$B$2:$B$9999="Variant")*(Raw_Data_Daily!$A$2:$A$9999=$A12)*(Raw_Data_Daily!$C$2:$C$9999=$C$3)*Raw_Data_Daily!$D$2:$D$9999*Raw_Data_Daily!$AI$2:$AI$9999)/SUMIFS(Raw_Data_Daily!$D:$D, Raw_Data_Daily!$B:$B, "Variant", Raw_Data_Daily!$A:$A, $A12, Raw_Data_Daily!$C:$C, $C$3),""))</f>
        <v/>
      </c>
      <c r="CV12" s="249" t="str">
        <f t="shared" si="33"/>
        <v/>
      </c>
      <c r="CW12" s="242" t="str">
        <f>IF($A12="","",IFERROR(SUMPRODUCT((Raw_Data_Daily!$B$2:$B$9999="Control")*(Raw_Data_Daily!$A$2:$A$9999=$A12)*(Raw_Data_Daily!$C$2:$C$9999=$C$3)*Raw_Data_Daily!$D$2:$D$9999*Raw_Data_Daily!$AJ$2:$AJ$9999)/SUMIFS(Raw_Data_Daily!$D:$D, Raw_Data_Daily!$B:$B, "Control", Raw_Data_Daily!$A:$A, $A12, Raw_Data_Daily!$C:$C, $C$3),""))</f>
        <v/>
      </c>
      <c r="CX12" s="242" t="str">
        <f>IF($A12="","",IFERROR(SUMPRODUCT((Raw_Data_Daily!$B$2:$B$9999="Variant")*(Raw_Data_Daily!$A$2:$A$9999=$A12)*(Raw_Data_Daily!$C$2:$C$9999=$C$3)*Raw_Data_Daily!$D$2:$D$9999*Raw_Data_Daily!$AJ$2:$AJ$9999)/SUMIFS(Raw_Data_Daily!$D:$D, Raw_Data_Daily!$B:$B, "Variant", Raw_Data_Daily!$A:$A, $A12, Raw_Data_Daily!$C:$C, $C$3),""))</f>
        <v/>
      </c>
      <c r="CY12" s="249" t="str">
        <f t="shared" si="34"/>
        <v/>
      </c>
      <c r="CZ12" s="242" t="str">
        <f>IF($A12="","",IFERROR(SUMPRODUCT((Raw_Data_Daily!$B$2:$B$9999="Control")*(Raw_Data_Daily!$A$2:$A$9999=$A12)*(Raw_Data_Daily!$C$2:$C$9999=$C$3)*Raw_Data_Daily!$D$2:$D$9999*Raw_Data_Daily!$AK$2:$AK$9999)/SUMIFS(Raw_Data_Daily!$D:$D, Raw_Data_Daily!$B:$B, "Control", Raw_Data_Daily!$A:$A, $A12, Raw_Data_Daily!$C:$C, $C$3),""))</f>
        <v/>
      </c>
      <c r="DA12" s="242" t="str">
        <f>IF($A12="","",IFERROR(SUMPRODUCT((Raw_Data_Daily!$B$2:$B$9999="Variant")*(Raw_Data_Daily!$A$2:$A$9999=$A12)*(Raw_Data_Daily!$C$2:$C$9999=$C$3)*Raw_Data_Daily!$D$2:$D$9999*Raw_Data_Daily!$AK$2:$AK$9999)/SUMIFS(Raw_Data_Daily!$D:$D, Raw_Data_Daily!$B:$B, "Variant", Raw_Data_Daily!$A:$A, $A12, Raw_Data_Daily!$C:$C, $C$3),""))</f>
        <v/>
      </c>
      <c r="DB12" s="244" t="str">
        <f t="shared" si="35"/>
        <v/>
      </c>
      <c r="DC12" s="248" t="str">
        <f>IF($A12="","",IFERROR(SUMPRODUCT((Raw_Data_Daily!$B$2:$B$9999="Control")*(Raw_Data_Daily!$A$2:$A$9999=$A12)*(Raw_Data_Daily!$C$2:$C$9999=$C$3)*Raw_Data_Daily!$D$2:$D$9999*Raw_Data_Daily!$AL$2:$AL$9999)/SUMIFS(Raw_Data_Daily!$D:$D, Raw_Data_Daily!$B:$B, "Control", Raw_Data_Daily!$A:$A, $A12, Raw_Data_Daily!$C:$C, $C$3),""))</f>
        <v/>
      </c>
      <c r="DD12" s="248" t="str">
        <f>IF($A12="","",IFERROR(SUMPRODUCT((Raw_Data_Daily!$B$2:$B$9999="Variant")*(Raw_Data_Daily!$A$2:$A$9999=$A12)*(Raw_Data_Daily!$C$2:$C$9999=$C$3)*Raw_Data_Daily!$D$2:$D$9999*Raw_Data_Daily!$AL$2:$AL$9999)/SUMIFS(Raw_Data_Daily!$D:$D, Raw_Data_Daily!$B:$B, "Variant", Raw_Data_Daily!$A:$A, $A12, Raw_Data_Daily!$C:$C, $C$3),""))</f>
        <v/>
      </c>
      <c r="DE12" s="249" t="str">
        <f t="shared" si="36"/>
        <v/>
      </c>
      <c r="DF12" s="255"/>
      <c r="DG12" s="242" t="str">
        <f>IF($A12="","",IFERROR(SUMPRODUCT((Raw_Data_Daily!$B$2:$B$9999="Variant")*(Raw_Data_Daily!$A$2:$A$9999=$A12)*(Raw_Data_Daily!$C$2:$C$9999=$C$3)*Raw_Data_Daily!$D$2:$D$9999*Raw_Data_Daily!$AM$2:$AM$9999)/SUMIFS(Raw_Data_Daily!$D:$D, Raw_Data_Daily!$B:$B, "Variant", Raw_Data_Daily!$A:$A, $A12, Raw_Data_Daily!$C:$C, $C$3),""))</f>
        <v/>
      </c>
      <c r="DH12" s="256"/>
      <c r="DI12" s="255"/>
      <c r="DJ12" s="242" t="str">
        <f>IF($A12="","",IFERROR(SUMPRODUCT((Raw_Data_Daily!$B$2:$B$9999="Variant")*(Raw_Data_Daily!$A$2:$A$9999=$A12)*(Raw_Data_Daily!$C$2:$C$9999=$C$3)*Raw_Data_Daily!$D$2:$D$9999*Raw_Data_Daily!$AN$2:$AN$9999)/SUMIFS(Raw_Data_Daily!$D:$D, Raw_Data_Daily!$B:$B, "Variant", Raw_Data_Daily!$A:$A, $A12, Raw_Data_Daily!$C:$C, $C$3),""))</f>
        <v/>
      </c>
      <c r="DK12" s="256"/>
      <c r="DL12" s="255"/>
      <c r="DM12" s="242" t="str">
        <f>IF($A12="","",IFERROR(SUMPRODUCT((Raw_Data_Daily!$B$2:$B$9999="Variant")*(Raw_Data_Daily!$A$2:$A$9999=$A12)*(Raw_Data_Daily!$C$2:$C$9999=$C$3)*Raw_Data_Daily!$D$2:$D$9999*Raw_Data_Daily!$AO$2:$AO$9999)/SUMIFS(Raw_Data_Daily!$D:$D, Raw_Data_Daily!$B:$B, "Variant", Raw_Data_Daily!$A:$A, $A12, Raw_Data_Daily!$C:$C, $C$3),""))</f>
        <v/>
      </c>
      <c r="DN12" s="256"/>
      <c r="DO12" s="255"/>
      <c r="DP12" s="242" t="str">
        <f>IF($A12="","",IFERROR(SUMPRODUCT((Raw_Data_Daily!$B$2:$B$9999="Variant")*(Raw_Data_Daily!$A$2:$A$9999=$A12)*(Raw_Data_Daily!$C$2:$C$9999=$C$3)*Raw_Data_Daily!$D$2:$D$9999*Raw_Data_Daily!$AP$2:$AP$9999)/SUMIFS(Raw_Data_Daily!$D:$D, Raw_Data_Daily!$B:$B, "Variant", Raw_Data_Daily!$A:$A, $A12, Raw_Data_Daily!$C:$C, $C$3),""))</f>
        <v/>
      </c>
      <c r="DQ12" s="256"/>
      <c r="DR12" s="248" t="str">
        <f>IF($A12="","",IFERROR(SUMPRODUCT((Raw_Data_Daily!$B$2:$B$9999="Control")*(Raw_Data_Daily!$A$2:$A$9999=$A12)*(Raw_Data_Daily!$C$2:$C$9999=$C$3)*Raw_Data_Daily!$D$2:$D$9999*Raw_Data_Daily!$AQ$2:$AQ$9999)/SUMIFS(Raw_Data_Daily!$D:$D, Raw_Data_Daily!$B:$B, "Control", Raw_Data_Daily!$A:$A, $A12, Raw_Data_Daily!$C:$C, $C$3),""))</f>
        <v/>
      </c>
      <c r="DS12" s="248" t="str">
        <f>IF($A12="","",IFERROR(SUMPRODUCT((Raw_Data_Daily!$B$2:$B$9999="Variant")*(Raw_Data_Daily!$A$2:$A$9999=$A12)*(Raw_Data_Daily!$C$2:$C$9999=$C$3)*Raw_Data_Daily!$D$2:$D$9999*Raw_Data_Daily!$AQ$2:$AQ$9999)/SUMIFS(Raw_Data_Daily!$D:$D, Raw_Data_Daily!$B:$B, "Variant", Raw_Data_Daily!$A:$A, $A12, Raw_Data_Daily!$C:$C, $C$3),""))</f>
        <v/>
      </c>
      <c r="DT12" s="257" t="str">
        <f t="shared" si="37"/>
        <v/>
      </c>
      <c r="DU12" s="248" t="str">
        <f>IF($A12="","",IFERROR(SUMPRODUCT((Raw_Data_Daily!$B$2:$B$9999="Control")*(Raw_Data_Daily!$A$2:$A$9999=$A12)*(Raw_Data_Daily!$C$2:$C$9999=$C$3)*Raw_Data_Daily!$D$2:$D$9999*Raw_Data_Daily!$AR$2:$AR$9999)/SUMIFS(Raw_Data_Daily!$D:$D, Raw_Data_Daily!$B:$B, "Control", Raw_Data_Daily!$A:$A, $A12, Raw_Data_Daily!$C:$C, $C$3),""))</f>
        <v/>
      </c>
      <c r="DV12" s="248" t="str">
        <f>IF($A12="","",IFERROR(SUMPRODUCT((Raw_Data_Daily!$B$2:$B$9999="Variant")*(Raw_Data_Daily!$A$2:$A$9999=$A12)*(Raw_Data_Daily!$C$2:$C$9999=$C$3)*Raw_Data_Daily!$D$2:$D$9999*Raw_Data_Daily!$AR$2:$AR$9999)/SUMIFS(Raw_Data_Daily!$D:$D, Raw_Data_Daily!$B:$B, "Variant", Raw_Data_Daily!$A:$A, $A12, Raw_Data_Daily!$C:$C, $C$3),""))</f>
        <v/>
      </c>
      <c r="DW12" s="257" t="str">
        <f t="shared" si="38"/>
        <v/>
      </c>
      <c r="DX12" s="248" t="str">
        <f>IF($A12="","",IFERROR(SUMPRODUCT((Raw_Data_Daily!$B$2:$B$9999="Control")*(Raw_Data_Daily!$A$2:$A$9999=$A12)*(Raw_Data_Daily!$C$2:$C$9999=$C$3)*Raw_Data_Daily!$D$2:$D$9999*Raw_Data_Daily!$AS$2:$AS$9999)/SUMIFS(Raw_Data_Daily!$D:$D, Raw_Data_Daily!$B:$B, "Control", Raw_Data_Daily!$A:$A, $A12, Raw_Data_Daily!$C:$C, $C$3),""))</f>
        <v/>
      </c>
      <c r="DY12" s="248" t="str">
        <f>IF($A12="","",IFERROR(SUMPRODUCT((Raw_Data_Daily!$B$2:$B$9999="Variant")*(Raw_Data_Daily!$A$2:$A$9999=$A12)*(Raw_Data_Daily!$C$2:$C$9999=$C$3)*Raw_Data_Daily!$D$2:$D$9999*Raw_Data_Daily!$AS$2:$AS$9999)/SUMIFS(Raw_Data_Daily!$D:$D, Raw_Data_Daily!$B:$B, "Variant", Raw_Data_Daily!$A:$A, $A12, Raw_Data_Daily!$C:$C, $C$3),""))</f>
        <v/>
      </c>
      <c r="DZ12" s="257" t="str">
        <f t="shared" si="39"/>
        <v/>
      </c>
      <c r="EA12" s="248" t="str">
        <f>IF($A12="","",IFERROR(SUMPRODUCT((Raw_Data_Daily!$B$2:$B$9999="Control")*(Raw_Data_Daily!$A$2:$A$9999=$A12)*(Raw_Data_Daily!$C$2:$C$9999=$C$3)*Raw_Data_Daily!$D$2:$D$9999*Raw_Data_Daily!$AT$2:$AT$9999)/SUMIFS(Raw_Data_Daily!$D:$D, Raw_Data_Daily!$B:$B, "Control", Raw_Data_Daily!$A:$A, $A12, Raw_Data_Daily!$C:$C, $C$3),""))</f>
        <v/>
      </c>
      <c r="EB12" s="248" t="str">
        <f>IF($A12="","",IFERROR(SUMPRODUCT((Raw_Data_Daily!$B$2:$B$9999="Variant")*(Raw_Data_Daily!$A$2:$A$9999=$A12)*(Raw_Data_Daily!$C$2:$C$9999=$C$3)*Raw_Data_Daily!$D$2:$D$9999*Raw_Data_Daily!$AT$2:$AT$9999)/SUMIFS(Raw_Data_Daily!$D:$D, Raw_Data_Daily!$B:$B, "Variant", Raw_Data_Daily!$A:$A, $A12, Raw_Data_Daily!$C:$C, $C$3),""))</f>
        <v/>
      </c>
      <c r="EC12" s="257" t="str">
        <f t="shared" si="40"/>
        <v/>
      </c>
      <c r="ED12" s="248" t="str">
        <f>IF($A12="","",IFERROR(SUMPRODUCT((Raw_Data_Daily!$B$2:$B$9999="Control")*(Raw_Data_Daily!$A$2:$A$9999=$A12)*(Raw_Data_Daily!$C$2:$C$9999=$C$3)*Raw_Data_Daily!$D$2:$D$9999*(Raw_Data_Daily!$AQ$2:$AQ$9999-Raw_Data_Daily!$AT$2:$AT$9999))/SUMIFS(Raw_Data_Daily!$D:$D, Raw_Data_Daily!$B:$B, "Control", Raw_Data_Daily!$A:$A, $A12, Raw_Data_Daily!$C:$C, $C$3),""))</f>
        <v/>
      </c>
      <c r="EE12" s="248" t="str">
        <f>IF($A12="","",IFERROR(SUMPRODUCT((Raw_Data_Daily!$B$2:$B$9999="Variant")*(Raw_Data_Daily!$A$2:$A$9999=$A12)*(Raw_Data_Daily!$C$2:$C$9999=$C$3)*Raw_Data_Daily!$D$2:$D$9999*(Raw_Data_Daily!$AQ$2:$AQ$9999-Raw_Data_Daily!$AT$2:$AT$9999))/SUMIFS(Raw_Data_Daily!$D:$D, Raw_Data_Daily!$B:$B, "Variant", Raw_Data_Daily!$A:$A, $A12, Raw_Data_Daily!$C:$C, $C$3),""))</f>
        <v/>
      </c>
      <c r="EF12" s="257" t="str">
        <f t="shared" si="41"/>
        <v/>
      </c>
      <c r="EG12" s="248" t="str">
        <f>IF($A12="","",IFERROR(SUMPRODUCT((Raw_Data_Daily!$B$2:$B$9999="Control")*(Raw_Data_Daily!$A$2:$A$9999=$A12)*(Raw_Data_Daily!$C$2:$C$9999=$C$3)*Raw_Data_Daily!$D$2:$D$9999*Raw_Data_Daily!$AU$2:$AU$9999)/SUMIFS(Raw_Data_Daily!$D:$D, Raw_Data_Daily!$B:$B, "Control", Raw_Data_Daily!$A:$A, $A12, Raw_Data_Daily!$C:$C, $C$3),""))</f>
        <v/>
      </c>
      <c r="EH12" s="248" t="str">
        <f>IF($A12="","",IFERROR(SUMPRODUCT((Raw_Data_Daily!$B$2:$B$9999="Variant")*(Raw_Data_Daily!$A$2:$A$9999=$A12)*(Raw_Data_Daily!$C$2:$C$9999=$C$3)*Raw_Data_Daily!$D$2:$D$9999*Raw_Data_Daily!$AU$2:$AU$9999)/SUMIFS(Raw_Data_Daily!$D:$D, Raw_Data_Daily!$B:$B, "Variant", Raw_Data_Daily!$A:$A, $A12, Raw_Data_Daily!$C:$C, $C$3),""))</f>
        <v/>
      </c>
      <c r="EI12" s="257" t="str">
        <f t="shared" si="42"/>
        <v/>
      </c>
    </row>
    <row r="13" ht="15.75" customHeight="1">
      <c r="A13" s="239">
        <v>46236.0</v>
      </c>
      <c r="B13" s="240">
        <f>IF($A13="","",SUMIFS(Raw_Data_Daily!$D:$D, Raw_Data_Daily!$B:$B, "Control", Raw_Data_Daily!$A:$A, $A13, Raw_Data_Daily!$C:$C, $C$3))</f>
        <v>0</v>
      </c>
      <c r="C13" s="240">
        <f>IF($A13="","",SUMIFS(Raw_Data_Daily!$D:$D, Raw_Data_Daily!$B:$B, "Variant", Raw_Data_Daily!$A:$A, $A13, Raw_Data_Daily!$C:$C, $C$3))</f>
        <v>0</v>
      </c>
      <c r="D13" s="241" t="str">
        <f t="shared" si="1"/>
        <v/>
      </c>
      <c r="E13" s="242" t="str">
        <f>IF($A13="","",IFERROR(SUMPRODUCT((Raw_Data_Daily!$B$2:$B$9999="Control")*(Raw_Data_Daily!$A$2:$A$9999=$A13)*(Raw_Data_Daily!$C$2:$C$9999=$C$3)*Raw_Data_Daily!$D$2:$D$9999*Raw_Data_Daily!$E$2:$E$9999)/SUMIFS(Raw_Data_Daily!$D:$D, Raw_Data_Daily!$B:$B, "Control", Raw_Data_Daily!$A:$A, $A13, Raw_Data_Daily!$C:$C, $C$3),""))</f>
        <v/>
      </c>
      <c r="F13" s="242" t="str">
        <f>IF($A13="","",IFERROR(SUMPRODUCT((Raw_Data_Daily!$B$2:$B$9999="Variant")*(Raw_Data_Daily!$A$2:$A$9999=$A13)*(Raw_Data_Daily!$C$2:$C$9999=$C$3)*Raw_Data_Daily!$D$2:$D$9999*Raw_Data_Daily!$E$2:$E$9999)/SUMIFS(Raw_Data_Daily!$D:$D, Raw_Data_Daily!$B:$B, "Variant", Raw_Data_Daily!$A:$A, $A13, Raw_Data_Daily!$C:$C, $C$3),""))</f>
        <v/>
      </c>
      <c r="G13" s="241" t="str">
        <f t="shared" si="2"/>
        <v/>
      </c>
      <c r="H13" s="243">
        <f>IF($A13="","",SUMIFS(Raw_Data_Daily!$F:$F, Raw_Data_Daily!$B:$B, "Control", Raw_Data_Daily!$A:$A, $A13, Raw_Data_Daily!$C:$C, $C$3))</f>
        <v>0</v>
      </c>
      <c r="I13" s="243">
        <f>IF($A13="","",SUMIFS(Raw_Data_Daily!$F:$F, Raw_Data_Daily!$B:$B, "Variant", Raw_Data_Daily!$A:$A, $A13, Raw_Data_Daily!$C:$C, $C$3))</f>
        <v>0</v>
      </c>
      <c r="J13" s="244" t="str">
        <f t="shared" si="3"/>
        <v/>
      </c>
      <c r="K13" s="245" t="str">
        <f>IF($A13="","",IFERROR(SUMIFS(Raw_Data_Daily!$F:$F, Raw_Data_Daily!$B:$B, "Control", Raw_Data_Daily!$A:$A, $A13, Raw_Data_Daily!$C:$C, $C$3)/SUMIFS(Raw_Data_Daily!$D:$D, Raw_Data_Daily!$B:$B, "Control", Raw_Data_Daily!$A:$A, $A13, Raw_Data_Daily!$C:$C, $C$3),""))</f>
        <v/>
      </c>
      <c r="L13" s="245" t="str">
        <f>IF($A13="","",IFERROR(SUMIFS(Raw_Data_Daily!$F:$F, Raw_Data_Daily!$B:$B, "Variant", Raw_Data_Daily!$A:$A, $A13, Raw_Data_Daily!$C:$C, $C$3)/SUMIFS(Raw_Data_Daily!$D:$D, Raw_Data_Daily!$B:$B, "Variant", Raw_Data_Daily!$A:$A, $A13, Raw_Data_Daily!$C:$C, $C$3),""))</f>
        <v/>
      </c>
      <c r="M13" s="244" t="str">
        <f t="shared" si="4"/>
        <v/>
      </c>
      <c r="N13" s="242" t="str">
        <f>IF($A13="","",IFERROR(SUMPRODUCT((Raw_Data_Daily!$B$2:$B$9999="Control")*(Raw_Data_Daily!$A$2:$A$9999=$A13)*(Raw_Data_Daily!$C$2:$C$9999=$C$3)*Raw_Data_Daily!$D$2:$D$9999*Raw_Data_Daily!$H$2:$H$9999/100)/SUMIFS(Raw_Data_Daily!$D:$D, Raw_Data_Daily!$B:$B, "Control", Raw_Data_Daily!$A:$A, $A13, Raw_Data_Daily!$C:$C, $C$3)*100,""))</f>
        <v/>
      </c>
      <c r="O13" s="242" t="str">
        <f>IF($A13="","",IFERROR(SUMPRODUCT((Raw_Data_Daily!$B$2:$B$9999="Variant")*(Raw_Data_Daily!$A$2:$A$9999=$A13)*(Raw_Data_Daily!$C$2:$C$9999=$C$3)*Raw_Data_Daily!$D$2:$D$9999*Raw_Data_Daily!$H$2:$H$9999/100)/SUMIFS(Raw_Data_Daily!$D:$D, Raw_Data_Daily!$B:$B, "Variant", Raw_Data_Daily!$A:$A, $A13, Raw_Data_Daily!$C:$C, $C$3)*100,""))</f>
        <v/>
      </c>
      <c r="P13" s="244" t="str">
        <f t="shared" si="5"/>
        <v/>
      </c>
      <c r="Q13" s="245" t="str">
        <f>IF($A13="","",IFERROR(SUMIFS(Raw_Data_Daily!$F:$F, Raw_Data_Daily!$B:$B, "Control", Raw_Data_Daily!$A:$A, $A13, Raw_Data_Daily!$C:$C, $C$3)/SUMPRODUCT((Raw_Data_Daily!$B$2:$B$9999="Control")*(Raw_Data_Daily!$A$2:$A$9999=$A13)*(Raw_Data_Daily!$C$2:$C$9999=$C$3)*Raw_Data_Daily!$D$2:$D$9999*Raw_Data_Daily!$H$2:$H$9999/100),""))</f>
        <v/>
      </c>
      <c r="R13" s="245" t="str">
        <f>IF($A13="","",IFERROR(SUMIFS(Raw_Data_Daily!$F:$F, Raw_Data_Daily!$B:$B, "Variant", Raw_Data_Daily!$A:$A, $A13, Raw_Data_Daily!$C:$C, $C$3)/SUMPRODUCT((Raw_Data_Daily!$B$2:$B$9999="Variant")*(Raw_Data_Daily!$A$2:$A$9999=$A13)*(Raw_Data_Daily!$C$2:$C$9999=$C$3)*Raw_Data_Daily!$D$2:$D$9999*Raw_Data_Daily!$H$2:$H$9999/100),""))</f>
        <v/>
      </c>
      <c r="S13" s="244" t="str">
        <f t="shared" si="6"/>
        <v/>
      </c>
      <c r="T13" s="246" t="str">
        <f>IF($A13="","",IFERROR(SUMPRODUCT((Raw_Data_Daily!$B$2:$B$9999="Control")*(Raw_Data_Daily!$A$2:$A$9999=$A13)*(Raw_Data_Daily!$C$2:$C$9999=$C$3)*Raw_Data_Daily!$D$2:$D$9999*Raw_Data_Daily!$J$2:$J$9999)/SUMIFS(Raw_Data_Daily!$D:$D, Raw_Data_Daily!$B:$B, "Control", Raw_Data_Daily!$A:$A, $A13, Raw_Data_Daily!$C:$C, $C$3),""))</f>
        <v/>
      </c>
      <c r="U13" s="246" t="str">
        <f>IF($A13="","",IFERROR(SUMPRODUCT((Raw_Data_Daily!$B$2:$B$9999="Variant")*(Raw_Data_Daily!$A$2:$A$9999=$A13)*(Raw_Data_Daily!$C$2:$C$9999=$C$3)*Raw_Data_Daily!$D$2:$D$9999*Raw_Data_Daily!$J$2:$J$9999)/SUMIFS(Raw_Data_Daily!$D:$D, Raw_Data_Daily!$B:$B, "Variant", Raw_Data_Daily!$A:$A, $A13, Raw_Data_Daily!$C:$C, $C$3),""))</f>
        <v/>
      </c>
      <c r="V13" s="244" t="str">
        <f t="shared" si="7"/>
        <v/>
      </c>
      <c r="W13" s="246" t="str">
        <f>IF($A13="","",IFERROR(SUMPRODUCT((Raw_Data_Daily!$B$2:$B$9999="Control")*(Raw_Data_Daily!$A$2:$A$9999=$A13)*(Raw_Data_Daily!$C$2:$C$9999=$C$3)*Raw_Data_Daily!$D$2:$D$9999*Raw_Data_Daily!$K$2:$K$9999)/SUMIFS(Raw_Data_Daily!$D:$D, Raw_Data_Daily!$B:$B, "Control", Raw_Data_Daily!$A:$A, $A13, Raw_Data_Daily!$C:$C, $C$3),""))</f>
        <v/>
      </c>
      <c r="X13" s="246" t="str">
        <f>IF($A13="","",IFERROR(SUMPRODUCT((Raw_Data_Daily!$B$2:$B$9999="Variant")*(Raw_Data_Daily!$A$2:$A$9999=$A13)*(Raw_Data_Daily!$C$2:$C$9999=$C$3)*Raw_Data_Daily!$D$2:$D$9999*Raw_Data_Daily!$K$2:$K$9999)/SUMIFS(Raw_Data_Daily!$D:$D, Raw_Data_Daily!$B:$B, "Variant", Raw_Data_Daily!$A:$A, $A13, Raw_Data_Daily!$C:$C, $C$3),""))</f>
        <v/>
      </c>
      <c r="Y13" s="244" t="str">
        <f t="shared" si="8"/>
        <v/>
      </c>
      <c r="Z13" s="246" t="str">
        <f>IF($A13="","",IFERROR(SUMPRODUCT((Raw_Data_Daily!$B$2:$B$9999="Control")*(Raw_Data_Daily!$A$2:$A$9999=$A13)*(Raw_Data_Daily!$C$2:$C$9999=$C$3)*Raw_Data_Daily!$D$2:$D$9999*Raw_Data_Daily!$L$2:$L$9999)/SUMIFS(Raw_Data_Daily!$D:$D, Raw_Data_Daily!$B:$B, "Control", Raw_Data_Daily!$A:$A, $A13, Raw_Data_Daily!$C:$C, $C$3),""))</f>
        <v/>
      </c>
      <c r="AA13" s="246" t="str">
        <f>IF($A13="","",IFERROR(SUMPRODUCT((Raw_Data_Daily!$B$2:$B$9999="Variant")*(Raw_Data_Daily!$A$2:$A$9999=$A13)*(Raw_Data_Daily!$C$2:$C$9999=$C$3)*Raw_Data_Daily!$D$2:$D$9999*Raw_Data_Daily!$L$2:$L$9999)/SUMIFS(Raw_Data_Daily!$D:$D, Raw_Data_Daily!$B:$B, "Variant", Raw_Data_Daily!$A:$A, $A13, Raw_Data_Daily!$C:$C, $C$3),""))</f>
        <v/>
      </c>
      <c r="AB13" s="244" t="str">
        <f t="shared" si="9"/>
        <v/>
      </c>
      <c r="AC13" s="248" t="str">
        <f>IF($A13="","",IFERROR(SUMPRODUCT((Raw_Data_Daily!$B$2:$B$9999="Control")*(Raw_Data_Daily!$A$2:$A$9999=$A13)*(Raw_Data_Daily!$C$2:$C$9999=$C$3)*Raw_Data_Daily!$D$2:$D$9999*Raw_Data_Daily!$M$2:$M$9999)/SUMIFS(Raw_Data_Daily!$D:$D, Raw_Data_Daily!$B:$B, "Control", Raw_Data_Daily!$A:$A, $A13, Raw_Data_Daily!$C:$C, $C$3),""))</f>
        <v/>
      </c>
      <c r="AD13" s="248" t="str">
        <f>IF($A13="","",IFERROR(SUMPRODUCT((Raw_Data_Daily!$B$2:$B$9999="Variant")*(Raw_Data_Daily!$A$2:$A$9999=$A13)*(Raw_Data_Daily!$C$2:$C$9999=$C$3)*Raw_Data_Daily!$D$2:$D$9999*Raw_Data_Daily!$M$2:$M$9999)/SUMIFS(Raw_Data_Daily!$D:$D, Raw_Data_Daily!$B:$B, "Variant", Raw_Data_Daily!$A:$A, $A13, Raw_Data_Daily!$C:$C, $C$3),""))</f>
        <v/>
      </c>
      <c r="AE13" s="249" t="str">
        <f t="shared" si="10"/>
        <v/>
      </c>
      <c r="AF13" s="248" t="str">
        <f>IF($A13="","",IFERROR(SUMPRODUCT((Raw_Data_Daily!$B$2:$B$9999="Control")*(Raw_Data_Daily!$A$2:$A$9999=$A13)*(Raw_Data_Daily!$C$2:$C$9999=$C$3)*Raw_Data_Daily!$D$2:$D$9999*Raw_Data_Daily!$N$2:$N$9999)/SUMIFS(Raw_Data_Daily!$D:$D, Raw_Data_Daily!$B:$B, "Control", Raw_Data_Daily!$A:$A, $A13, Raw_Data_Daily!$C:$C, $C$3),""))</f>
        <v/>
      </c>
      <c r="AG13" s="248" t="str">
        <f>IF($A13="","",IFERROR(SUMPRODUCT((Raw_Data_Daily!$B$2:$B$9999="Variant")*(Raw_Data_Daily!$A$2:$A$9999=$A13)*(Raw_Data_Daily!$C$2:$C$9999=$C$3)*Raw_Data_Daily!$D$2:$D$9999*Raw_Data_Daily!$N$2:$N$9999)/SUMIFS(Raw_Data_Daily!$D:$D, Raw_Data_Daily!$B:$B, "Variant", Raw_Data_Daily!$A:$A, $A13, Raw_Data_Daily!$C:$C, $C$3),""))</f>
        <v/>
      </c>
      <c r="AH13" s="249" t="str">
        <f t="shared" si="11"/>
        <v/>
      </c>
      <c r="AI13" s="248" t="str">
        <f>IF($A13="","",IFERROR(SUMPRODUCT((Raw_Data_Daily!$B$2:$B$9999="Control")*(Raw_Data_Daily!$A$2:$A$9999=$A13)*(Raw_Data_Daily!$C$2:$C$9999=$C$3)*Raw_Data_Daily!$D$2:$D$9999*Raw_Data_Daily!$O$2:$O$9999)/SUMIFS(Raw_Data_Daily!$D:$D, Raw_Data_Daily!$B:$B, "Control", Raw_Data_Daily!$A:$A, $A13, Raw_Data_Daily!$C:$C, $C$3),""))</f>
        <v/>
      </c>
      <c r="AJ13" s="248" t="str">
        <f>IF($A13="","",IFERROR(SUMPRODUCT((Raw_Data_Daily!$B$2:$B$9999="Variant")*(Raw_Data_Daily!$A$2:$A$9999=$A13)*(Raw_Data_Daily!$C$2:$C$9999=$C$3)*Raw_Data_Daily!$D$2:$D$9999*Raw_Data_Daily!$O$2:$O$9999)/SUMIFS(Raw_Data_Daily!$D:$D, Raw_Data_Daily!$B:$B, "Variant", Raw_Data_Daily!$A:$A, $A13, Raw_Data_Daily!$C:$C, $C$3),""))</f>
        <v/>
      </c>
      <c r="AK13" s="244" t="str">
        <f t="shared" si="12"/>
        <v/>
      </c>
      <c r="AL13" s="246" t="str">
        <f>IF($A13="","",IFERROR(SUMPRODUCT((Raw_Data_Daily!$B$2:$B$9999="Control")*(Raw_Data_Daily!$A$2:$A$9999=$A13)*(Raw_Data_Daily!$C$2:$C$9999=$C$3)*Raw_Data_Daily!$D$2:$D$9999*Raw_Data_Daily!$P$2:$P$9999)/SUMIFS(Raw_Data_Daily!$D:$D, Raw_Data_Daily!$B:$B, "Control", Raw_Data_Daily!$A:$A, $A13, Raw_Data_Daily!$C:$C, $C$3),""))</f>
        <v/>
      </c>
      <c r="AM13" s="246" t="str">
        <f>IF($A13="","",IFERROR(SUMPRODUCT((Raw_Data_Daily!$B$2:$B$9999="Variant")*(Raw_Data_Daily!$A$2:$A$9999=$A13)*(Raw_Data_Daily!$C$2:$C$9999=$C$3)*Raw_Data_Daily!$D$2:$D$9999*Raw_Data_Daily!$P$2:$P$9999)/SUMIFS(Raw_Data_Daily!$D:$D, Raw_Data_Daily!$B:$B, "Variant", Raw_Data_Daily!$A:$A, $A13, Raw_Data_Daily!$C:$C, $C$3),""))</f>
        <v/>
      </c>
      <c r="AN13" s="244" t="str">
        <f t="shared" si="13"/>
        <v/>
      </c>
      <c r="AO13" s="246" t="str">
        <f>IF($A13="","",IFERROR(SUMPRODUCT((Raw_Data_Daily!$B$2:$B$9999="Control")*(Raw_Data_Daily!$A$2:$A$9999=$A13)*(Raw_Data_Daily!$C$2:$C$9999=$C$3)*Raw_Data_Daily!$D$2:$D$9999*Raw_Data_Daily!$Q$2:$Q$9999)/SUMIFS(Raw_Data_Daily!$D:$D, Raw_Data_Daily!$B:$B, "Control", Raw_Data_Daily!$A:$A, $A13, Raw_Data_Daily!$C:$C, $C$3),""))</f>
        <v/>
      </c>
      <c r="AP13" s="246" t="str">
        <f>IF($A13="","",IFERROR(SUMPRODUCT((Raw_Data_Daily!$B$2:$B$9999="Variant")*(Raw_Data_Daily!$A$2:$A$9999=$A13)*(Raw_Data_Daily!$C$2:$C$9999=$C$3)*Raw_Data_Daily!$D$2:$D$9999*Raw_Data_Daily!$Q$2:$Q$9999)/SUMIFS(Raw_Data_Daily!$D:$D, Raw_Data_Daily!$B:$B, "Variant", Raw_Data_Daily!$A:$A, $A13, Raw_Data_Daily!$C:$C, $C$3),""))</f>
        <v/>
      </c>
      <c r="AQ13" s="241" t="str">
        <f t="shared" si="14"/>
        <v/>
      </c>
      <c r="AR13" s="246" t="str">
        <f>IF($A13="","",IFERROR(SUMPRODUCT((Raw_Data_Daily!$B$2:$B$9999="Control")*(Raw_Data_Daily!$A$2:$A$9999=$A13)*(Raw_Data_Daily!$C$2:$C$9999=$C$3)*Raw_Data_Daily!$D$2:$D$9999*Raw_Data_Daily!$R$2:$R$9999)/SUMIFS(Raw_Data_Daily!$D:$D, Raw_Data_Daily!$B:$B, "Control", Raw_Data_Daily!$A:$A, $A13, Raw_Data_Daily!$C:$C, $C$3),""))</f>
        <v/>
      </c>
      <c r="AS13" s="246" t="str">
        <f>IF($A13="","",IFERROR(SUMPRODUCT((Raw_Data_Daily!$B$2:$B$9999="Variant")*(Raw_Data_Daily!$A$2:$A$9999=$A13)*(Raw_Data_Daily!$C$2:$C$9999=$C$3)*Raw_Data_Daily!$D$2:$D$9999*Raw_Data_Daily!$R$2:$R$9999)/SUMIFS(Raw_Data_Daily!$D:$D, Raw_Data_Daily!$B:$B, "Variant", Raw_Data_Daily!$A:$A, $A13, Raw_Data_Daily!$C:$C, $C$3),""))</f>
        <v/>
      </c>
      <c r="AT13" s="241" t="str">
        <f t="shared" si="15"/>
        <v/>
      </c>
      <c r="AU13" s="246" t="str">
        <f>IF($A13="","",IFERROR(SUMPRODUCT((Raw_Data_Daily!$B$2:$B$9999="Control")*(Raw_Data_Daily!$A$2:$A$9999=$A13)*(Raw_Data_Daily!$C$2:$C$9999=$C$3)*Raw_Data_Daily!$D$2:$D$9999*Raw_Data_Daily!$S$2:$S$9999)/SUMIFS(Raw_Data_Daily!$D:$D, Raw_Data_Daily!$B:$B, "Control", Raw_Data_Daily!$A:$A, $A13, Raw_Data_Daily!$C:$C, $C$3),""))</f>
        <v/>
      </c>
      <c r="AV13" s="246" t="str">
        <f>IF($A13="","",IFERROR(SUMPRODUCT((Raw_Data_Daily!$B$2:$B$9999="Variant")*(Raw_Data_Daily!$A$2:$A$9999=$A13)*(Raw_Data_Daily!$C$2:$C$9999=$C$3)*Raw_Data_Daily!$D$2:$D$9999*Raw_Data_Daily!$S$2:$S$9999)/SUMIFS(Raw_Data_Daily!$D:$D, Raw_Data_Daily!$B:$B, "Variant", Raw_Data_Daily!$A:$A, $A13, Raw_Data_Daily!$C:$C, $C$3),""))</f>
        <v/>
      </c>
      <c r="AW13" s="241" t="str">
        <f t="shared" si="16"/>
        <v/>
      </c>
      <c r="AX13" s="246" t="str">
        <f>IF($A13="","",IFERROR(SUMPRODUCT((Raw_Data_Daily!$B$2:$B$9999="Control")*(Raw_Data_Daily!$A$2:$A$9999=$A13)*(Raw_Data_Daily!$C$2:$C$9999=$C$3)*Raw_Data_Daily!$D$2:$D$9999*Raw_Data_Daily!$T$2:$T$9999)/SUMIFS(Raw_Data_Daily!$D:$D, Raw_Data_Daily!$B:$B, "Control", Raw_Data_Daily!$A:$A, $A13, Raw_Data_Daily!$C:$C, $C$3),""))</f>
        <v/>
      </c>
      <c r="AY13" s="246" t="str">
        <f>IF($A13="","",IFERROR(SUMPRODUCT((Raw_Data_Daily!$B$2:$B$9999="Variant")*(Raw_Data_Daily!$A$2:$A$9999=$A13)*(Raw_Data_Daily!$C$2:$C$9999=$C$3)*Raw_Data_Daily!$D$2:$D$9999*Raw_Data_Daily!$T$2:$T$9999)/SUMIFS(Raw_Data_Daily!$D:$D, Raw_Data_Daily!$B:$B, "Variant", Raw_Data_Daily!$A:$A, $A13, Raw_Data_Daily!$C:$C, $C$3),""))</f>
        <v/>
      </c>
      <c r="AZ13" s="244" t="str">
        <f t="shared" si="17"/>
        <v/>
      </c>
      <c r="BA13" s="246" t="str">
        <f>IF($A13="","",IFERROR(SUMPRODUCT((Raw_Data_Daily!$B$2:$B$9999="Control")*(Raw_Data_Daily!$A$2:$A$9999=$A13)*(Raw_Data_Daily!$C$2:$C$9999=$C$3)*Raw_Data_Daily!$D$2:$D$9999*Raw_Data_Daily!$U$2:$U$9999)/SUMIFS(Raw_Data_Daily!$D:$D, Raw_Data_Daily!$B:$B, "Control", Raw_Data_Daily!$A:$A, $A13, Raw_Data_Daily!$C:$C, $C$3),""))</f>
        <v/>
      </c>
      <c r="BB13" s="246" t="str">
        <f>IF($A13="","",IFERROR(SUMPRODUCT((Raw_Data_Daily!$B$2:$B$9999="Variant")*(Raw_Data_Daily!$A$2:$A$9999=$A13)*(Raw_Data_Daily!$C$2:$C$9999=$C$3)*Raw_Data_Daily!$D$2:$D$9999*Raw_Data_Daily!$U$2:$U$9999)/SUMIFS(Raw_Data_Daily!$D:$D, Raw_Data_Daily!$B:$B, "Variant", Raw_Data_Daily!$A:$A, $A13, Raw_Data_Daily!$C:$C, $C$3),""))</f>
        <v/>
      </c>
      <c r="BC13" s="241" t="str">
        <f t="shared" si="18"/>
        <v/>
      </c>
      <c r="BD13" s="246" t="str">
        <f>IF($A13="","",IFERROR(SUMPRODUCT((Raw_Data_Daily!$B$2:$B$9999="Control")*(Raw_Data_Daily!$A$2:$A$9999=$A13)*(Raw_Data_Daily!$C$2:$C$9999=$C$3)*Raw_Data_Daily!$D$2:$D$9999*Raw_Data_Daily!$V$2:$V$9999)/SUMIFS(Raw_Data_Daily!$D:$D, Raw_Data_Daily!$B:$B, "Control", Raw_Data_Daily!$A:$A, $A13, Raw_Data_Daily!$C:$C, $C$3),""))</f>
        <v/>
      </c>
      <c r="BE13" s="246" t="str">
        <f>IF($A13="","",IFERROR(SUMPRODUCT((Raw_Data_Daily!$B$2:$B$9999="Variant")*(Raw_Data_Daily!$A$2:$A$9999=$A13)*(Raw_Data_Daily!$C$2:$C$9999=$C$3)*Raw_Data_Daily!$D$2:$D$9999*Raw_Data_Daily!$V$2:$V$9999)/SUMIFS(Raw_Data_Daily!$D:$D, Raw_Data_Daily!$B:$B, "Variant", Raw_Data_Daily!$A:$A, $A13, Raw_Data_Daily!$C:$C, $C$3),""))</f>
        <v/>
      </c>
      <c r="BF13" s="251" t="str">
        <f t="shared" si="19"/>
        <v/>
      </c>
      <c r="BG13" s="252" t="str">
        <f>IF($A13="","",IFERROR(SUMPRODUCT((Raw_Data_Daily!$B$2:$B$9999="Control")*(Raw_Data_Daily!$A$2:$A$9999=$A13)*(Raw_Data_Daily!$C$2:$C$9999=$C$3)*Raw_Data_Daily!$D$2:$D$9999*(Raw_Data_Daily!$Q$2:$Q$9999-Raw_Data_Daily!$V$2:$V$9999))/SUMIFS(Raw_Data_Daily!$D:$D, Raw_Data_Daily!$B:$B, "Control", Raw_Data_Daily!$A:$A, $A13, Raw_Data_Daily!$C:$C, $C$3),""))</f>
        <v/>
      </c>
      <c r="BH13" s="246" t="str">
        <f>IF($A13="","",IFERROR(SUMPRODUCT((Raw_Data_Daily!$B$2:$B$9999="Variant")*(Raw_Data_Daily!$A$2:$A$9999=$A13)*(Raw_Data_Daily!$C$2:$C$9999=$C$3)*Raw_Data_Daily!$D$2:$D$9999*(Raw_Data_Daily!$Q$2:$Q$9999-Raw_Data_Daily!$V$2:$V$9999))/SUMIFS(Raw_Data_Daily!$D:$D, Raw_Data_Daily!$B:$B, "Variant", Raw_Data_Daily!$A:$A, $A13, Raw_Data_Daily!$C:$C, $C$3),""))</f>
        <v/>
      </c>
      <c r="BI13" s="253" t="str">
        <f t="shared" si="20"/>
        <v/>
      </c>
      <c r="BJ13" s="254" t="str">
        <f>IF($A13="","",IFERROR(SUMPRODUCT((Raw_Data_Daily!$B$2:$B$9999="Control")*(Raw_Data_Daily!$A$2:$A$9999=$A13)*(Raw_Data_Daily!$C$2:$C$9999=$C$3)*Raw_Data_Daily!$D$2:$D$9999*Raw_Data_Daily!$W$2:$W$9999)/SUMIFS(Raw_Data_Daily!$D:$D, Raw_Data_Daily!$B:$B, "Control", Raw_Data_Daily!$A:$A, $A13, Raw_Data_Daily!$C:$C, $C$3),""))</f>
        <v/>
      </c>
      <c r="BK13" s="246" t="str">
        <f>IF($A13="","",IFERROR(SUMPRODUCT((Raw_Data_Daily!$B$2:$B$9999="Variant")*(Raw_Data_Daily!$A$2:$A$9999=$A13)*(Raw_Data_Daily!$C$2:$C$9999=$C$3)*Raw_Data_Daily!$D$2:$D$9999*Raw_Data_Daily!$W$2:$W$9999)/SUMIFS(Raw_Data_Daily!$D:$D, Raw_Data_Daily!$B:$B, "Variant", Raw_Data_Daily!$A:$A, $A13, Raw_Data_Daily!$C:$C, $C$3),""))</f>
        <v/>
      </c>
      <c r="BL13" s="241" t="str">
        <f t="shared" si="21"/>
        <v/>
      </c>
      <c r="BM13" s="248" t="str">
        <f>IF($A13="","",IFERROR(SUMPRODUCT((Raw_Data_Daily!$B$2:$B$9999="Control")*(Raw_Data_Daily!$A$2:$A$9999=$A13)*(Raw_Data_Daily!$C$2:$C$9999=$C$3)*Raw_Data_Daily!$D$2:$D$9999*Raw_Data_Daily!$X$2:$X$9999)/SUMIFS(Raw_Data_Daily!$D:$D, Raw_Data_Daily!$B:$B, "Control", Raw_Data_Daily!$A:$A, $A13, Raw_Data_Daily!$C:$C, $C$3),""))</f>
        <v/>
      </c>
      <c r="BN13" s="248" t="str">
        <f>IF($A13="","",IFERROR(SUMPRODUCT((Raw_Data_Daily!$B$2:$B$9999="Variant")*(Raw_Data_Daily!$A$2:$A$9999=$A13)*(Raw_Data_Daily!$C$2:$C$9999=$C$3)*Raw_Data_Daily!$D$2:$D$9999*Raw_Data_Daily!$X$2:$X$9999)/SUMIFS(Raw_Data_Daily!$D:$D, Raw_Data_Daily!$B:$B, "Variant", Raw_Data_Daily!$A:$A, $A13, Raw_Data_Daily!$C:$C, $C$3),""))</f>
        <v/>
      </c>
      <c r="BO13" s="244" t="str">
        <f t="shared" si="22"/>
        <v/>
      </c>
      <c r="BP13" s="240" t="str">
        <f>IF($A13="","",IFERROR(SUMPRODUCT((Raw_Data_Daily!$B$2:$B$9999="Control")*(Raw_Data_Daily!$A$2:$A$9999=$A13)*(Raw_Data_Daily!$C$2:$C$9999=$C$3)*Raw_Data_Daily!$D$2:$D$9999*Raw_Data_Daily!$Y$2:$Y$9999)/SUMIFS(Raw_Data_Daily!$D:$D, Raw_Data_Daily!$B:$B, "Control", Raw_Data_Daily!$A:$A, $A13, Raw_Data_Daily!$C:$C, $C$3),""))</f>
        <v/>
      </c>
      <c r="BQ13" s="240" t="str">
        <f>IF($A13="","",IFERROR(SUMPRODUCT((Raw_Data_Daily!$B$2:$B$9999="Variant")*(Raw_Data_Daily!$A$2:$A$9999=$A13)*(Raw_Data_Daily!$C$2:$C$9999=$C$3)*Raw_Data_Daily!$D$2:$D$9999*Raw_Data_Daily!$Y$2:$Y$9999)/SUMIFS(Raw_Data_Daily!$D:$D, Raw_Data_Daily!$B:$B, "Variant", Raw_Data_Daily!$A:$A, $A13, Raw_Data_Daily!$C:$C, $C$3),""))</f>
        <v/>
      </c>
      <c r="BR13" s="241" t="str">
        <f t="shared" si="23"/>
        <v/>
      </c>
      <c r="BS13" s="240" t="str">
        <f>IF($A13="","",IFERROR(SUMPRODUCT((Raw_Data_Daily!$B$2:$B$9999="Control")*(Raw_Data_Daily!$A$2:$A$9999=$A13)*(Raw_Data_Daily!$C$2:$C$9999=$C$3)*Raw_Data_Daily!$D$2:$D$9999*Raw_Data_Daily!$Z$2:$Z$9999)/SUMIFS(Raw_Data_Daily!$D:$D, Raw_Data_Daily!$B:$B, "Control", Raw_Data_Daily!$A:$A, $A13, Raw_Data_Daily!$C:$C, $C$3),""))</f>
        <v/>
      </c>
      <c r="BT13" s="240" t="str">
        <f>IF($A13="","",IFERROR(SUMPRODUCT((Raw_Data_Daily!$B$2:$B$9999="Variant")*(Raw_Data_Daily!$A$2:$A$9999=$A13)*(Raw_Data_Daily!$C$2:$C$9999=$C$3)*Raw_Data_Daily!$D$2:$D$9999*Raw_Data_Daily!$Z$2:$Z$9999)/SUMIFS(Raw_Data_Daily!$D:$D, Raw_Data_Daily!$B:$B, "Variant", Raw_Data_Daily!$A:$A, $A13, Raw_Data_Daily!$C:$C, $C$3),""))</f>
        <v/>
      </c>
      <c r="BU13" s="241" t="str">
        <f t="shared" si="24"/>
        <v/>
      </c>
      <c r="BV13" s="240" t="str">
        <f>IF($A13="","",IFERROR(SUMPRODUCT((Raw_Data_Daily!$B$2:$B$9999="Control")*(Raw_Data_Daily!$A$2:$A$9999=$A13)*(Raw_Data_Daily!$C$2:$C$9999=$C$3)*Raw_Data_Daily!$D$2:$D$9999*Raw_Data_Daily!$AA$2:$AA$9999)/SUMIFS(Raw_Data_Daily!$D:$D, Raw_Data_Daily!$B:$B, "Control", Raw_Data_Daily!$A:$A, $A13, Raw_Data_Daily!$C:$C, $C$3),""))</f>
        <v/>
      </c>
      <c r="BW13" s="240" t="str">
        <f>IF($A13="","",IFERROR(SUMPRODUCT((Raw_Data_Daily!$B$2:$B$9999="Variant")*(Raw_Data_Daily!$A$2:$A$9999=$A13)*(Raw_Data_Daily!$C$2:$C$9999=$C$3)*Raw_Data_Daily!$D$2:$D$9999*Raw_Data_Daily!$AA$2:$AA$9999)/SUMIFS(Raw_Data_Daily!$D:$D, Raw_Data_Daily!$B:$B, "Variant", Raw_Data_Daily!$A:$A, $A13, Raw_Data_Daily!$C:$C, $C$3),""))</f>
        <v/>
      </c>
      <c r="BX13" s="241" t="str">
        <f t="shared" si="25"/>
        <v/>
      </c>
      <c r="BY13" s="246" t="str">
        <f>IF($A13="","",IFERROR(SUMPRODUCT((Raw_Data_Daily!$B$2:$B$9999="Control")*(Raw_Data_Daily!$A$2:$A$9999=$A13)*(Raw_Data_Daily!$C$2:$C$9999=$C$3)*Raw_Data_Daily!$D$2:$D$9999*Raw_Data_Daily!$AB$2:$AB$9999)/SUMIFS(Raw_Data_Daily!$D:$D, Raw_Data_Daily!$B:$B, "Control", Raw_Data_Daily!$A:$A, $A13, Raw_Data_Daily!$C:$C, $C$3),""))</f>
        <v/>
      </c>
      <c r="BZ13" s="246" t="str">
        <f>IF($A13="","",IFERROR(SUMPRODUCT((Raw_Data_Daily!$B$2:$B$9999="Variant")*(Raw_Data_Daily!$A$2:$A$9999=$A13)*(Raw_Data_Daily!$C$2:$C$9999=$C$3)*Raw_Data_Daily!$D$2:$D$9999*Raw_Data_Daily!$AB$2:$AB$9999)/SUMIFS(Raw_Data_Daily!$D:$D, Raw_Data_Daily!$B:$B, "Variant", Raw_Data_Daily!$A:$A, $A13, Raw_Data_Daily!$C:$C, $C$3),""))</f>
        <v/>
      </c>
      <c r="CA13" s="244" t="str">
        <f t="shared" si="26"/>
        <v/>
      </c>
      <c r="CB13" s="246" t="str">
        <f>IF($A13="","",IFERROR(SUMPRODUCT((Raw_Data_Daily!$B$2:$B$9999="Control")*(Raw_Data_Daily!$A$2:$A$9999=$A13)*(Raw_Data_Daily!$C$2:$C$9999=$C$3)*Raw_Data_Daily!$D$2:$D$9999*Raw_Data_Daily!$AC$2:$AC$9999)/SUMIFS(Raw_Data_Daily!$D:$D, Raw_Data_Daily!$B:$B, "Control", Raw_Data_Daily!$A:$A, $A13, Raw_Data_Daily!$C:$C, $C$3),""))</f>
        <v/>
      </c>
      <c r="CC13" s="246" t="str">
        <f>IF($A13="","",IFERROR(SUMPRODUCT((Raw_Data_Daily!$B$2:$B$9999="Variant")*(Raw_Data_Daily!$A$2:$A$9999=$A13)*(Raw_Data_Daily!$C$2:$C$9999=$C$3)*Raw_Data_Daily!$D$2:$D$9999*Raw_Data_Daily!$AC$2:$AC$9999)/SUMIFS(Raw_Data_Daily!$D:$D, Raw_Data_Daily!$B:$B, "Variant", Raw_Data_Daily!$A:$A, $A13, Raw_Data_Daily!$C:$C, $C$3),""))</f>
        <v/>
      </c>
      <c r="CD13" s="244" t="str">
        <f t="shared" si="27"/>
        <v/>
      </c>
      <c r="CE13" s="246" t="str">
        <f>IF($A13="","",IFERROR(SUMPRODUCT((Raw_Data_Daily!$B$2:$B$9999="Control")*(Raw_Data_Daily!$A$2:$A$9999=$A13)*(Raw_Data_Daily!$C$2:$C$9999=$C$3)*Raw_Data_Daily!$D$2:$D$9999*Raw_Data_Daily!$AD$2:$AD$9999)/SUMIFS(Raw_Data_Daily!$D:$D, Raw_Data_Daily!$B:$B, "Control", Raw_Data_Daily!$A:$A, $A13, Raw_Data_Daily!$C:$C, $C$3),""))</f>
        <v/>
      </c>
      <c r="CF13" s="246" t="str">
        <f>IF($A13="","",IFERROR(SUMPRODUCT((Raw_Data_Daily!$B$2:$B$9999="Variant")*(Raw_Data_Daily!$A$2:$A$9999=$A13)*(Raw_Data_Daily!$C$2:$C$9999=$C$3)*Raw_Data_Daily!$D$2:$D$9999*Raw_Data_Daily!$AD$2:$AD$9999)/SUMIFS(Raw_Data_Daily!$D:$D, Raw_Data_Daily!$B:$B, "Variant", Raw_Data_Daily!$A:$A, $A13, Raw_Data_Daily!$C:$C, $C$3),""))</f>
        <v/>
      </c>
      <c r="CG13" s="244" t="str">
        <f t="shared" si="28"/>
        <v/>
      </c>
      <c r="CH13" s="246" t="str">
        <f>IF($A13="","",IFERROR(SUMPRODUCT((Raw_Data_Daily!$B$2:$B$9999="Control")*(Raw_Data_Daily!$A$2:$A$9999=$A13)*(Raw_Data_Daily!$C$2:$C$9999=$C$3)*Raw_Data_Daily!$D$2:$D$9999*Raw_Data_Daily!$AE$2:$AE$9999)/SUMIFS(Raw_Data_Daily!$D:$D, Raw_Data_Daily!$B:$B, "Control", Raw_Data_Daily!$A:$A, $A13, Raw_Data_Daily!$C:$C, $C$3),""))</f>
        <v/>
      </c>
      <c r="CI13" s="246" t="str">
        <f>IF($A13="","",IFERROR(SUMPRODUCT((Raw_Data_Daily!$B$2:$B$9999="Variant")*(Raw_Data_Daily!$A$2:$A$9999=$A13)*(Raw_Data_Daily!$C$2:$C$9999=$C$3)*Raw_Data_Daily!$D$2:$D$9999*Raw_Data_Daily!$AE$2:$AE$9999)/SUMIFS(Raw_Data_Daily!$D:$D, Raw_Data_Daily!$B:$B, "Variant", Raw_Data_Daily!$A:$A, $A13, Raw_Data_Daily!$C:$C, $C$3),""))</f>
        <v/>
      </c>
      <c r="CJ13" s="244" t="str">
        <f t="shared" si="29"/>
        <v/>
      </c>
      <c r="CK13" s="246" t="str">
        <f>IF($A13="","",IFERROR(SUMPRODUCT((Raw_Data_Daily!$B$2:$B$9999="Control")*(Raw_Data_Daily!$A$2:$A$9999=$A13)*(Raw_Data_Daily!$C$2:$C$9999=$C$3)*Raw_Data_Daily!$D$2:$D$9999*Raw_Data_Daily!$AF$2:$AF$9999)/SUMIFS(Raw_Data_Daily!$D:$D, Raw_Data_Daily!$B:$B, "Control", Raw_Data_Daily!$A:$A, $A13, Raw_Data_Daily!$C:$C, $C$3),""))</f>
        <v/>
      </c>
      <c r="CL13" s="246" t="str">
        <f>IF($A13="","",IFERROR(SUMPRODUCT((Raw_Data_Daily!$B$2:$B$9999="Variant")*(Raw_Data_Daily!$A$2:$A$9999=$A13)*(Raw_Data_Daily!$C$2:$C$9999=$C$3)*Raw_Data_Daily!$D$2:$D$9999*Raw_Data_Daily!$AF$2:$AF$9999)/SUMIFS(Raw_Data_Daily!$D:$D, Raw_Data_Daily!$B:$B, "Variant", Raw_Data_Daily!$A:$A, $A13, Raw_Data_Daily!$C:$C, $C$3),""))</f>
        <v/>
      </c>
      <c r="CM13" s="244" t="str">
        <f t="shared" si="30"/>
        <v/>
      </c>
      <c r="CN13" s="246" t="str">
        <f>IF($A13="","",IFERROR(SUMPRODUCT((Raw_Data_Daily!$B$2:$B$9999="Control")*(Raw_Data_Daily!$A$2:$A$9999=$A13)*(Raw_Data_Daily!$C$2:$C$9999=$C$3)*Raw_Data_Daily!$D$2:$D$9999*Raw_Data_Daily!$AG$2:$AG$9999)/SUMIFS(Raw_Data_Daily!$D:$D, Raw_Data_Daily!$B:$B, "Control", Raw_Data_Daily!$A:$A, $A13, Raw_Data_Daily!$C:$C, $C$3),""))</f>
        <v/>
      </c>
      <c r="CO13" s="246" t="str">
        <f>IF($A13="","",IFERROR(SUMPRODUCT((Raw_Data_Daily!$B$2:$B$9999="Variant")*(Raw_Data_Daily!$A$2:$A$9999=$A13)*(Raw_Data_Daily!$C$2:$C$9999=$C$3)*Raw_Data_Daily!$D$2:$D$9999*Raw_Data_Daily!$AG$2:$AG$9999)/SUMIFS(Raw_Data_Daily!$D:$D, Raw_Data_Daily!$B:$B, "Variant", Raw_Data_Daily!$A:$A, $A13, Raw_Data_Daily!$C:$C, $C$3),""))</f>
        <v/>
      </c>
      <c r="CP13" s="244" t="str">
        <f t="shared" si="31"/>
        <v/>
      </c>
      <c r="CQ13" s="246" t="str">
        <f>IF($A13="","",IFERROR(SUMPRODUCT((Raw_Data_Daily!$B$2:$B$9999="Control")*(Raw_Data_Daily!$A$2:$A$9999=$A13)*(Raw_Data_Daily!$C$2:$C$9999=$C$3)*Raw_Data_Daily!$D$2:$D$9999*Raw_Data_Daily!$AH$2:$AH$9999)/SUMIFS(Raw_Data_Daily!$D:$D, Raw_Data_Daily!$B:$B, "Control", Raw_Data_Daily!$A:$A, $A13, Raw_Data_Daily!$C:$C, $C$3),""))</f>
        <v/>
      </c>
      <c r="CR13" s="246" t="str">
        <f>IF($A13="","",IFERROR(SUMPRODUCT((Raw_Data_Daily!$B$2:$B$9999="Variant")*(Raw_Data_Daily!$A$2:$A$9999=$A13)*(Raw_Data_Daily!$C$2:$C$9999=$C$3)*Raw_Data_Daily!$D$2:$D$9999*Raw_Data_Daily!$AH$2:$AH$9999)/SUMIFS(Raw_Data_Daily!$D:$D, Raw_Data_Daily!$B:$B, "Variant", Raw_Data_Daily!$A:$A, $A13, Raw_Data_Daily!$C:$C, $C$3),""))</f>
        <v/>
      </c>
      <c r="CS13" s="244" t="str">
        <f t="shared" si="32"/>
        <v/>
      </c>
      <c r="CT13" s="242" t="str">
        <f>IF($A13="","",IFERROR(SUMPRODUCT((Raw_Data_Daily!$B$2:$B$9999="Control")*(Raw_Data_Daily!$A$2:$A$9999=$A13)*(Raw_Data_Daily!$C$2:$C$9999=$C$3)*Raw_Data_Daily!$D$2:$D$9999*Raw_Data_Daily!$AI$2:$AI$9999)/SUMIFS(Raw_Data_Daily!$D:$D, Raw_Data_Daily!$B:$B, "Control", Raw_Data_Daily!$A:$A, $A13, Raw_Data_Daily!$C:$C, $C$3),""))</f>
        <v/>
      </c>
      <c r="CU13" s="242" t="str">
        <f>IF($A13="","",IFERROR(SUMPRODUCT((Raw_Data_Daily!$B$2:$B$9999="Variant")*(Raw_Data_Daily!$A$2:$A$9999=$A13)*(Raw_Data_Daily!$C$2:$C$9999=$C$3)*Raw_Data_Daily!$D$2:$D$9999*Raw_Data_Daily!$AI$2:$AI$9999)/SUMIFS(Raw_Data_Daily!$D:$D, Raw_Data_Daily!$B:$B, "Variant", Raw_Data_Daily!$A:$A, $A13, Raw_Data_Daily!$C:$C, $C$3),""))</f>
        <v/>
      </c>
      <c r="CV13" s="249" t="str">
        <f t="shared" si="33"/>
        <v/>
      </c>
      <c r="CW13" s="242" t="str">
        <f>IF($A13="","",IFERROR(SUMPRODUCT((Raw_Data_Daily!$B$2:$B$9999="Control")*(Raw_Data_Daily!$A$2:$A$9999=$A13)*(Raw_Data_Daily!$C$2:$C$9999=$C$3)*Raw_Data_Daily!$D$2:$D$9999*Raw_Data_Daily!$AJ$2:$AJ$9999)/SUMIFS(Raw_Data_Daily!$D:$D, Raw_Data_Daily!$B:$B, "Control", Raw_Data_Daily!$A:$A, $A13, Raw_Data_Daily!$C:$C, $C$3),""))</f>
        <v/>
      </c>
      <c r="CX13" s="242" t="str">
        <f>IF($A13="","",IFERROR(SUMPRODUCT((Raw_Data_Daily!$B$2:$B$9999="Variant")*(Raw_Data_Daily!$A$2:$A$9999=$A13)*(Raw_Data_Daily!$C$2:$C$9999=$C$3)*Raw_Data_Daily!$D$2:$D$9999*Raw_Data_Daily!$AJ$2:$AJ$9999)/SUMIFS(Raw_Data_Daily!$D:$D, Raw_Data_Daily!$B:$B, "Variant", Raw_Data_Daily!$A:$A, $A13, Raw_Data_Daily!$C:$C, $C$3),""))</f>
        <v/>
      </c>
      <c r="CY13" s="249" t="str">
        <f t="shared" si="34"/>
        <v/>
      </c>
      <c r="CZ13" s="242" t="str">
        <f>IF($A13="","",IFERROR(SUMPRODUCT((Raw_Data_Daily!$B$2:$B$9999="Control")*(Raw_Data_Daily!$A$2:$A$9999=$A13)*(Raw_Data_Daily!$C$2:$C$9999=$C$3)*Raw_Data_Daily!$D$2:$D$9999*Raw_Data_Daily!$AK$2:$AK$9999)/SUMIFS(Raw_Data_Daily!$D:$D, Raw_Data_Daily!$B:$B, "Control", Raw_Data_Daily!$A:$A, $A13, Raw_Data_Daily!$C:$C, $C$3),""))</f>
        <v/>
      </c>
      <c r="DA13" s="242" t="str">
        <f>IF($A13="","",IFERROR(SUMPRODUCT((Raw_Data_Daily!$B$2:$B$9999="Variant")*(Raw_Data_Daily!$A$2:$A$9999=$A13)*(Raw_Data_Daily!$C$2:$C$9999=$C$3)*Raw_Data_Daily!$D$2:$D$9999*Raw_Data_Daily!$AK$2:$AK$9999)/SUMIFS(Raw_Data_Daily!$D:$D, Raw_Data_Daily!$B:$B, "Variant", Raw_Data_Daily!$A:$A, $A13, Raw_Data_Daily!$C:$C, $C$3),""))</f>
        <v/>
      </c>
      <c r="DB13" s="244" t="str">
        <f t="shared" si="35"/>
        <v/>
      </c>
      <c r="DC13" s="248" t="str">
        <f>IF($A13="","",IFERROR(SUMPRODUCT((Raw_Data_Daily!$B$2:$B$9999="Control")*(Raw_Data_Daily!$A$2:$A$9999=$A13)*(Raw_Data_Daily!$C$2:$C$9999=$C$3)*Raw_Data_Daily!$D$2:$D$9999*Raw_Data_Daily!$AL$2:$AL$9999)/SUMIFS(Raw_Data_Daily!$D:$D, Raw_Data_Daily!$B:$B, "Control", Raw_Data_Daily!$A:$A, $A13, Raw_Data_Daily!$C:$C, $C$3),""))</f>
        <v/>
      </c>
      <c r="DD13" s="248" t="str">
        <f>IF($A13="","",IFERROR(SUMPRODUCT((Raw_Data_Daily!$B$2:$B$9999="Variant")*(Raw_Data_Daily!$A$2:$A$9999=$A13)*(Raw_Data_Daily!$C$2:$C$9999=$C$3)*Raw_Data_Daily!$D$2:$D$9999*Raw_Data_Daily!$AL$2:$AL$9999)/SUMIFS(Raw_Data_Daily!$D:$D, Raw_Data_Daily!$B:$B, "Variant", Raw_Data_Daily!$A:$A, $A13, Raw_Data_Daily!$C:$C, $C$3),""))</f>
        <v/>
      </c>
      <c r="DE13" s="249" t="str">
        <f t="shared" si="36"/>
        <v/>
      </c>
      <c r="DF13" s="255"/>
      <c r="DG13" s="242" t="str">
        <f>IF($A13="","",IFERROR(SUMPRODUCT((Raw_Data_Daily!$B$2:$B$9999="Variant")*(Raw_Data_Daily!$A$2:$A$9999=$A13)*(Raw_Data_Daily!$C$2:$C$9999=$C$3)*Raw_Data_Daily!$D$2:$D$9999*Raw_Data_Daily!$AM$2:$AM$9999)/SUMIFS(Raw_Data_Daily!$D:$D, Raw_Data_Daily!$B:$B, "Variant", Raw_Data_Daily!$A:$A, $A13, Raw_Data_Daily!$C:$C, $C$3),""))</f>
        <v/>
      </c>
      <c r="DH13" s="256"/>
      <c r="DI13" s="255"/>
      <c r="DJ13" s="242" t="str">
        <f>IF($A13="","",IFERROR(SUMPRODUCT((Raw_Data_Daily!$B$2:$B$9999="Variant")*(Raw_Data_Daily!$A$2:$A$9999=$A13)*(Raw_Data_Daily!$C$2:$C$9999=$C$3)*Raw_Data_Daily!$D$2:$D$9999*Raw_Data_Daily!$AN$2:$AN$9999)/SUMIFS(Raw_Data_Daily!$D:$D, Raw_Data_Daily!$B:$B, "Variant", Raw_Data_Daily!$A:$A, $A13, Raw_Data_Daily!$C:$C, $C$3),""))</f>
        <v/>
      </c>
      <c r="DK13" s="256"/>
      <c r="DL13" s="255"/>
      <c r="DM13" s="242" t="str">
        <f>IF($A13="","",IFERROR(SUMPRODUCT((Raw_Data_Daily!$B$2:$B$9999="Variant")*(Raw_Data_Daily!$A$2:$A$9999=$A13)*(Raw_Data_Daily!$C$2:$C$9999=$C$3)*Raw_Data_Daily!$D$2:$D$9999*Raw_Data_Daily!$AO$2:$AO$9999)/SUMIFS(Raw_Data_Daily!$D:$D, Raw_Data_Daily!$B:$B, "Variant", Raw_Data_Daily!$A:$A, $A13, Raw_Data_Daily!$C:$C, $C$3),""))</f>
        <v/>
      </c>
      <c r="DN13" s="256"/>
      <c r="DO13" s="255"/>
      <c r="DP13" s="242" t="str">
        <f>IF($A13="","",IFERROR(SUMPRODUCT((Raw_Data_Daily!$B$2:$B$9999="Variant")*(Raw_Data_Daily!$A$2:$A$9999=$A13)*(Raw_Data_Daily!$C$2:$C$9999=$C$3)*Raw_Data_Daily!$D$2:$D$9999*Raw_Data_Daily!$AP$2:$AP$9999)/SUMIFS(Raw_Data_Daily!$D:$D, Raw_Data_Daily!$B:$B, "Variant", Raw_Data_Daily!$A:$A, $A13, Raw_Data_Daily!$C:$C, $C$3),""))</f>
        <v/>
      </c>
      <c r="DQ13" s="256"/>
      <c r="DR13" s="248" t="str">
        <f>IF($A13="","",IFERROR(SUMPRODUCT((Raw_Data_Daily!$B$2:$B$9999="Control")*(Raw_Data_Daily!$A$2:$A$9999=$A13)*(Raw_Data_Daily!$C$2:$C$9999=$C$3)*Raw_Data_Daily!$D$2:$D$9999*Raw_Data_Daily!$AQ$2:$AQ$9999)/SUMIFS(Raw_Data_Daily!$D:$D, Raw_Data_Daily!$B:$B, "Control", Raw_Data_Daily!$A:$A, $A13, Raw_Data_Daily!$C:$C, $C$3),""))</f>
        <v/>
      </c>
      <c r="DS13" s="248" t="str">
        <f>IF($A13="","",IFERROR(SUMPRODUCT((Raw_Data_Daily!$B$2:$B$9999="Variant")*(Raw_Data_Daily!$A$2:$A$9999=$A13)*(Raw_Data_Daily!$C$2:$C$9999=$C$3)*Raw_Data_Daily!$D$2:$D$9999*Raw_Data_Daily!$AQ$2:$AQ$9999)/SUMIFS(Raw_Data_Daily!$D:$D, Raw_Data_Daily!$B:$B, "Variant", Raw_Data_Daily!$A:$A, $A13, Raw_Data_Daily!$C:$C, $C$3),""))</f>
        <v/>
      </c>
      <c r="DT13" s="257" t="str">
        <f t="shared" si="37"/>
        <v/>
      </c>
      <c r="DU13" s="248" t="str">
        <f>IF($A13="","",IFERROR(SUMPRODUCT((Raw_Data_Daily!$B$2:$B$9999="Control")*(Raw_Data_Daily!$A$2:$A$9999=$A13)*(Raw_Data_Daily!$C$2:$C$9999=$C$3)*Raw_Data_Daily!$D$2:$D$9999*Raw_Data_Daily!$AR$2:$AR$9999)/SUMIFS(Raw_Data_Daily!$D:$D, Raw_Data_Daily!$B:$B, "Control", Raw_Data_Daily!$A:$A, $A13, Raw_Data_Daily!$C:$C, $C$3),""))</f>
        <v/>
      </c>
      <c r="DV13" s="248" t="str">
        <f>IF($A13="","",IFERROR(SUMPRODUCT((Raw_Data_Daily!$B$2:$B$9999="Variant")*(Raw_Data_Daily!$A$2:$A$9999=$A13)*(Raw_Data_Daily!$C$2:$C$9999=$C$3)*Raw_Data_Daily!$D$2:$D$9999*Raw_Data_Daily!$AR$2:$AR$9999)/SUMIFS(Raw_Data_Daily!$D:$D, Raw_Data_Daily!$B:$B, "Variant", Raw_Data_Daily!$A:$A, $A13, Raw_Data_Daily!$C:$C, $C$3),""))</f>
        <v/>
      </c>
      <c r="DW13" s="257" t="str">
        <f t="shared" si="38"/>
        <v/>
      </c>
      <c r="DX13" s="248" t="str">
        <f>IF($A13="","",IFERROR(SUMPRODUCT((Raw_Data_Daily!$B$2:$B$9999="Control")*(Raw_Data_Daily!$A$2:$A$9999=$A13)*(Raw_Data_Daily!$C$2:$C$9999=$C$3)*Raw_Data_Daily!$D$2:$D$9999*Raw_Data_Daily!$AS$2:$AS$9999)/SUMIFS(Raw_Data_Daily!$D:$D, Raw_Data_Daily!$B:$B, "Control", Raw_Data_Daily!$A:$A, $A13, Raw_Data_Daily!$C:$C, $C$3),""))</f>
        <v/>
      </c>
      <c r="DY13" s="248" t="str">
        <f>IF($A13="","",IFERROR(SUMPRODUCT((Raw_Data_Daily!$B$2:$B$9999="Variant")*(Raw_Data_Daily!$A$2:$A$9999=$A13)*(Raw_Data_Daily!$C$2:$C$9999=$C$3)*Raw_Data_Daily!$D$2:$D$9999*Raw_Data_Daily!$AS$2:$AS$9999)/SUMIFS(Raw_Data_Daily!$D:$D, Raw_Data_Daily!$B:$B, "Variant", Raw_Data_Daily!$A:$A, $A13, Raw_Data_Daily!$C:$C, $C$3),""))</f>
        <v/>
      </c>
      <c r="DZ13" s="257" t="str">
        <f t="shared" si="39"/>
        <v/>
      </c>
      <c r="EA13" s="248" t="str">
        <f>IF($A13="","",IFERROR(SUMPRODUCT((Raw_Data_Daily!$B$2:$B$9999="Control")*(Raw_Data_Daily!$A$2:$A$9999=$A13)*(Raw_Data_Daily!$C$2:$C$9999=$C$3)*Raw_Data_Daily!$D$2:$D$9999*Raw_Data_Daily!$AT$2:$AT$9999)/SUMIFS(Raw_Data_Daily!$D:$D, Raw_Data_Daily!$B:$B, "Control", Raw_Data_Daily!$A:$A, $A13, Raw_Data_Daily!$C:$C, $C$3),""))</f>
        <v/>
      </c>
      <c r="EB13" s="248" t="str">
        <f>IF($A13="","",IFERROR(SUMPRODUCT((Raw_Data_Daily!$B$2:$B$9999="Variant")*(Raw_Data_Daily!$A$2:$A$9999=$A13)*(Raw_Data_Daily!$C$2:$C$9999=$C$3)*Raw_Data_Daily!$D$2:$D$9999*Raw_Data_Daily!$AT$2:$AT$9999)/SUMIFS(Raw_Data_Daily!$D:$D, Raw_Data_Daily!$B:$B, "Variant", Raw_Data_Daily!$A:$A, $A13, Raw_Data_Daily!$C:$C, $C$3),""))</f>
        <v/>
      </c>
      <c r="EC13" s="257" t="str">
        <f t="shared" si="40"/>
        <v/>
      </c>
      <c r="ED13" s="248" t="str">
        <f>IF($A13="","",IFERROR(SUMPRODUCT((Raw_Data_Daily!$B$2:$B$9999="Control")*(Raw_Data_Daily!$A$2:$A$9999=$A13)*(Raw_Data_Daily!$C$2:$C$9999=$C$3)*Raw_Data_Daily!$D$2:$D$9999*(Raw_Data_Daily!$AQ$2:$AQ$9999-Raw_Data_Daily!$AT$2:$AT$9999))/SUMIFS(Raw_Data_Daily!$D:$D, Raw_Data_Daily!$B:$B, "Control", Raw_Data_Daily!$A:$A, $A13, Raw_Data_Daily!$C:$C, $C$3),""))</f>
        <v/>
      </c>
      <c r="EE13" s="248" t="str">
        <f>IF($A13="","",IFERROR(SUMPRODUCT((Raw_Data_Daily!$B$2:$B$9999="Variant")*(Raw_Data_Daily!$A$2:$A$9999=$A13)*(Raw_Data_Daily!$C$2:$C$9999=$C$3)*Raw_Data_Daily!$D$2:$D$9999*(Raw_Data_Daily!$AQ$2:$AQ$9999-Raw_Data_Daily!$AT$2:$AT$9999))/SUMIFS(Raw_Data_Daily!$D:$D, Raw_Data_Daily!$B:$B, "Variant", Raw_Data_Daily!$A:$A, $A13, Raw_Data_Daily!$C:$C, $C$3),""))</f>
        <v/>
      </c>
      <c r="EF13" s="257" t="str">
        <f t="shared" si="41"/>
        <v/>
      </c>
      <c r="EG13" s="248" t="str">
        <f>IF($A13="","",IFERROR(SUMPRODUCT((Raw_Data_Daily!$B$2:$B$9999="Control")*(Raw_Data_Daily!$A$2:$A$9999=$A13)*(Raw_Data_Daily!$C$2:$C$9999=$C$3)*Raw_Data_Daily!$D$2:$D$9999*Raw_Data_Daily!$AU$2:$AU$9999)/SUMIFS(Raw_Data_Daily!$D:$D, Raw_Data_Daily!$B:$B, "Control", Raw_Data_Daily!$A:$A, $A13, Raw_Data_Daily!$C:$C, $C$3),""))</f>
        <v/>
      </c>
      <c r="EH13" s="248" t="str">
        <f>IF($A13="","",IFERROR(SUMPRODUCT((Raw_Data_Daily!$B$2:$B$9999="Variant")*(Raw_Data_Daily!$A$2:$A$9999=$A13)*(Raw_Data_Daily!$C$2:$C$9999=$C$3)*Raw_Data_Daily!$D$2:$D$9999*Raw_Data_Daily!$AU$2:$AU$9999)/SUMIFS(Raw_Data_Daily!$D:$D, Raw_Data_Daily!$B:$B, "Variant", Raw_Data_Daily!$A:$A, $A13, Raw_Data_Daily!$C:$C, $C$3),""))</f>
        <v/>
      </c>
      <c r="EI13" s="257" t="str">
        <f t="shared" si="42"/>
        <v/>
      </c>
    </row>
    <row r="14" ht="15.75" customHeight="1">
      <c r="A14" s="126">
        <v>46237.0</v>
      </c>
      <c r="B14" s="128">
        <f>IF($A14="","",SUMIFS(Raw_Data_Daily!$D:$D, Raw_Data_Daily!$B:$B, "Control", Raw_Data_Daily!$A:$A, $A14, Raw_Data_Daily!$C:$C, $C$3))</f>
        <v>0</v>
      </c>
      <c r="C14" s="128">
        <f>IF($A14="","",SUMIFS(Raw_Data_Daily!$D:$D, Raw_Data_Daily!$B:$B, "Variant", Raw_Data_Daily!$A:$A, $A14, Raw_Data_Daily!$C:$C, $C$3))</f>
        <v>0</v>
      </c>
      <c r="D14" s="129" t="str">
        <f t="shared" si="1"/>
        <v/>
      </c>
      <c r="E14" s="130" t="str">
        <f>IF($A14="","",IFERROR(SUMPRODUCT((Raw_Data_Daily!$B$2:$B$9999="Control")*(Raw_Data_Daily!$A$2:$A$9999=$A14)*(Raw_Data_Daily!$C$2:$C$9999=$C$3)*Raw_Data_Daily!$D$2:$D$9999*Raw_Data_Daily!$E$2:$E$9999)/SUMIFS(Raw_Data_Daily!$D:$D, Raw_Data_Daily!$B:$B, "Control", Raw_Data_Daily!$A:$A, $A14, Raw_Data_Daily!$C:$C, $C$3),""))</f>
        <v/>
      </c>
      <c r="F14" s="130" t="str">
        <f>IF($A14="","",IFERROR(SUMPRODUCT((Raw_Data_Daily!$B$2:$B$9999="Variant")*(Raw_Data_Daily!$A$2:$A$9999=$A14)*(Raw_Data_Daily!$C$2:$C$9999=$C$3)*Raw_Data_Daily!$D$2:$D$9999*Raw_Data_Daily!$E$2:$E$9999)/SUMIFS(Raw_Data_Daily!$D:$D, Raw_Data_Daily!$B:$B, "Variant", Raw_Data_Daily!$A:$A, $A14, Raw_Data_Daily!$C:$C, $C$3),""))</f>
        <v/>
      </c>
      <c r="G14" s="129" t="str">
        <f t="shared" si="2"/>
        <v/>
      </c>
      <c r="H14" s="131">
        <f>IF($A14="","",SUMIFS(Raw_Data_Daily!$F:$F, Raw_Data_Daily!$B:$B, "Control", Raw_Data_Daily!$A:$A, $A14, Raw_Data_Daily!$C:$C, $C$3))</f>
        <v>0</v>
      </c>
      <c r="I14" s="131">
        <f>IF($A14="","",SUMIFS(Raw_Data_Daily!$F:$F, Raw_Data_Daily!$B:$B, "Variant", Raw_Data_Daily!$A:$A, $A14, Raw_Data_Daily!$C:$C, $C$3))</f>
        <v>0</v>
      </c>
      <c r="J14" s="132" t="str">
        <f t="shared" si="3"/>
        <v/>
      </c>
      <c r="K14" s="134" t="str">
        <f>IF($A14="","",IFERROR(SUMIFS(Raw_Data_Daily!$F:$F, Raw_Data_Daily!$B:$B, "Control", Raw_Data_Daily!$A:$A, $A14, Raw_Data_Daily!$C:$C, $C$3)/SUMIFS(Raw_Data_Daily!$D:$D, Raw_Data_Daily!$B:$B, "Control", Raw_Data_Daily!$A:$A, $A14, Raw_Data_Daily!$C:$C, $C$3),""))</f>
        <v/>
      </c>
      <c r="L14" s="134" t="str">
        <f>IF($A14="","",IFERROR(SUMIFS(Raw_Data_Daily!$F:$F, Raw_Data_Daily!$B:$B, "Variant", Raw_Data_Daily!$A:$A, $A14, Raw_Data_Daily!$C:$C, $C$3)/SUMIFS(Raw_Data_Daily!$D:$D, Raw_Data_Daily!$B:$B, "Variant", Raw_Data_Daily!$A:$A, $A14, Raw_Data_Daily!$C:$C, $C$3),""))</f>
        <v/>
      </c>
      <c r="M14" s="132" t="str">
        <f t="shared" si="4"/>
        <v/>
      </c>
      <c r="N14" s="130" t="str">
        <f>IF($A14="","",IFERROR(SUMPRODUCT((Raw_Data_Daily!$B$2:$B$9999="Control")*(Raw_Data_Daily!$A$2:$A$9999=$A14)*(Raw_Data_Daily!$C$2:$C$9999=$C$3)*Raw_Data_Daily!$D$2:$D$9999*Raw_Data_Daily!$H$2:$H$9999/100)/SUMIFS(Raw_Data_Daily!$D:$D, Raw_Data_Daily!$B:$B, "Control", Raw_Data_Daily!$A:$A, $A14, Raw_Data_Daily!$C:$C, $C$3)*100,""))</f>
        <v/>
      </c>
      <c r="O14" s="130" t="str">
        <f>IF($A14="","",IFERROR(SUMPRODUCT((Raw_Data_Daily!$B$2:$B$9999="Variant")*(Raw_Data_Daily!$A$2:$A$9999=$A14)*(Raw_Data_Daily!$C$2:$C$9999=$C$3)*Raw_Data_Daily!$D$2:$D$9999*Raw_Data_Daily!$H$2:$H$9999/100)/SUMIFS(Raw_Data_Daily!$D:$D, Raw_Data_Daily!$B:$B, "Variant", Raw_Data_Daily!$A:$A, $A14, Raw_Data_Daily!$C:$C, $C$3)*100,""))</f>
        <v/>
      </c>
      <c r="P14" s="132" t="str">
        <f t="shared" si="5"/>
        <v/>
      </c>
      <c r="Q14" s="134" t="str">
        <f>IF($A14="","",IFERROR(SUMIFS(Raw_Data_Daily!$F:$F, Raw_Data_Daily!$B:$B, "Control", Raw_Data_Daily!$A:$A, $A14, Raw_Data_Daily!$C:$C, $C$3)/SUMPRODUCT((Raw_Data_Daily!$B$2:$B$9999="Control")*(Raw_Data_Daily!$A$2:$A$9999=$A14)*(Raw_Data_Daily!$C$2:$C$9999=$C$3)*Raw_Data_Daily!$D$2:$D$9999*Raw_Data_Daily!$H$2:$H$9999/100),""))</f>
        <v/>
      </c>
      <c r="R14" s="134" t="str">
        <f>IF($A14="","",IFERROR(SUMIFS(Raw_Data_Daily!$F:$F, Raw_Data_Daily!$B:$B, "Variant", Raw_Data_Daily!$A:$A, $A14, Raw_Data_Daily!$C:$C, $C$3)/SUMPRODUCT((Raw_Data_Daily!$B$2:$B$9999="Variant")*(Raw_Data_Daily!$A$2:$A$9999=$A14)*(Raw_Data_Daily!$C$2:$C$9999=$C$3)*Raw_Data_Daily!$D$2:$D$9999*Raw_Data_Daily!$H$2:$H$9999/100),""))</f>
        <v/>
      </c>
      <c r="S14" s="132" t="str">
        <f t="shared" si="6"/>
        <v/>
      </c>
      <c r="T14" s="137" t="str">
        <f>IF($A14="","",IFERROR(SUMPRODUCT((Raw_Data_Daily!$B$2:$B$9999="Control")*(Raw_Data_Daily!$A$2:$A$9999=$A14)*(Raw_Data_Daily!$C$2:$C$9999=$C$3)*Raw_Data_Daily!$D$2:$D$9999*Raw_Data_Daily!$J$2:$J$9999)/SUMIFS(Raw_Data_Daily!$D:$D, Raw_Data_Daily!$B:$B, "Control", Raw_Data_Daily!$A:$A, $A14, Raw_Data_Daily!$C:$C, $C$3),""))</f>
        <v/>
      </c>
      <c r="U14" s="137" t="str">
        <f>IF($A14="","",IFERROR(SUMPRODUCT((Raw_Data_Daily!$B$2:$B$9999="Variant")*(Raw_Data_Daily!$A$2:$A$9999=$A14)*(Raw_Data_Daily!$C$2:$C$9999=$C$3)*Raw_Data_Daily!$D$2:$D$9999*Raw_Data_Daily!$J$2:$J$9999)/SUMIFS(Raw_Data_Daily!$D:$D, Raw_Data_Daily!$B:$B, "Variant", Raw_Data_Daily!$A:$A, $A14, Raw_Data_Daily!$C:$C, $C$3),""))</f>
        <v/>
      </c>
      <c r="V14" s="132" t="str">
        <f t="shared" si="7"/>
        <v/>
      </c>
      <c r="W14" s="137" t="str">
        <f>IF($A14="","",IFERROR(SUMPRODUCT((Raw_Data_Daily!$B$2:$B$9999="Control")*(Raw_Data_Daily!$A$2:$A$9999=$A14)*(Raw_Data_Daily!$C$2:$C$9999=$C$3)*Raw_Data_Daily!$D$2:$D$9999*Raw_Data_Daily!$K$2:$K$9999)/SUMIFS(Raw_Data_Daily!$D:$D, Raw_Data_Daily!$B:$B, "Control", Raw_Data_Daily!$A:$A, $A14, Raw_Data_Daily!$C:$C, $C$3),""))</f>
        <v/>
      </c>
      <c r="X14" s="137" t="str">
        <f>IF($A14="","",IFERROR(SUMPRODUCT((Raw_Data_Daily!$B$2:$B$9999="Variant")*(Raw_Data_Daily!$A$2:$A$9999=$A14)*(Raw_Data_Daily!$C$2:$C$9999=$C$3)*Raw_Data_Daily!$D$2:$D$9999*Raw_Data_Daily!$K$2:$K$9999)/SUMIFS(Raw_Data_Daily!$D:$D, Raw_Data_Daily!$B:$B, "Variant", Raw_Data_Daily!$A:$A, $A14, Raw_Data_Daily!$C:$C, $C$3),""))</f>
        <v/>
      </c>
      <c r="Y14" s="132" t="str">
        <f t="shared" si="8"/>
        <v/>
      </c>
      <c r="Z14" s="137" t="str">
        <f>IF($A14="","",IFERROR(SUMPRODUCT((Raw_Data_Daily!$B$2:$B$9999="Control")*(Raw_Data_Daily!$A$2:$A$9999=$A14)*(Raw_Data_Daily!$C$2:$C$9999=$C$3)*Raw_Data_Daily!$D$2:$D$9999*Raw_Data_Daily!$L$2:$L$9999)/SUMIFS(Raw_Data_Daily!$D:$D, Raw_Data_Daily!$B:$B, "Control", Raw_Data_Daily!$A:$A, $A14, Raw_Data_Daily!$C:$C, $C$3),""))</f>
        <v/>
      </c>
      <c r="AA14" s="137" t="str">
        <f>IF($A14="","",IFERROR(SUMPRODUCT((Raw_Data_Daily!$B$2:$B$9999="Variant")*(Raw_Data_Daily!$A$2:$A$9999=$A14)*(Raw_Data_Daily!$C$2:$C$9999=$C$3)*Raw_Data_Daily!$D$2:$D$9999*Raw_Data_Daily!$L$2:$L$9999)/SUMIFS(Raw_Data_Daily!$D:$D, Raw_Data_Daily!$B:$B, "Variant", Raw_Data_Daily!$A:$A, $A14, Raw_Data_Daily!$C:$C, $C$3),""))</f>
        <v/>
      </c>
      <c r="AB14" s="132" t="str">
        <f t="shared" si="9"/>
        <v/>
      </c>
      <c r="AC14" s="139" t="str">
        <f>IF($A14="","",IFERROR(SUMPRODUCT((Raw_Data_Daily!$B$2:$B$9999="Control")*(Raw_Data_Daily!$A$2:$A$9999=$A14)*(Raw_Data_Daily!$C$2:$C$9999=$C$3)*Raw_Data_Daily!$D$2:$D$9999*Raw_Data_Daily!$M$2:$M$9999)/SUMIFS(Raw_Data_Daily!$D:$D, Raw_Data_Daily!$B:$B, "Control", Raw_Data_Daily!$A:$A, $A14, Raw_Data_Daily!$C:$C, $C$3),""))</f>
        <v/>
      </c>
      <c r="AD14" s="139" t="str">
        <f>IF($A14="","",IFERROR(SUMPRODUCT((Raw_Data_Daily!$B$2:$B$9999="Variant")*(Raw_Data_Daily!$A$2:$A$9999=$A14)*(Raw_Data_Daily!$C$2:$C$9999=$C$3)*Raw_Data_Daily!$D$2:$D$9999*Raw_Data_Daily!$M$2:$M$9999)/SUMIFS(Raw_Data_Daily!$D:$D, Raw_Data_Daily!$B:$B, "Variant", Raw_Data_Daily!$A:$A, $A14, Raw_Data_Daily!$C:$C, $C$3),""))</f>
        <v/>
      </c>
      <c r="AE14" s="140" t="str">
        <f t="shared" si="10"/>
        <v/>
      </c>
      <c r="AF14" s="139" t="str">
        <f>IF($A14="","",IFERROR(SUMPRODUCT((Raw_Data_Daily!$B$2:$B$9999="Control")*(Raw_Data_Daily!$A$2:$A$9999=$A14)*(Raw_Data_Daily!$C$2:$C$9999=$C$3)*Raw_Data_Daily!$D$2:$D$9999*Raw_Data_Daily!$N$2:$N$9999)/SUMIFS(Raw_Data_Daily!$D:$D, Raw_Data_Daily!$B:$B, "Control", Raw_Data_Daily!$A:$A, $A14, Raw_Data_Daily!$C:$C, $C$3),""))</f>
        <v/>
      </c>
      <c r="AG14" s="139" t="str">
        <f>IF($A14="","",IFERROR(SUMPRODUCT((Raw_Data_Daily!$B$2:$B$9999="Variant")*(Raw_Data_Daily!$A$2:$A$9999=$A14)*(Raw_Data_Daily!$C$2:$C$9999=$C$3)*Raw_Data_Daily!$D$2:$D$9999*Raw_Data_Daily!$N$2:$N$9999)/SUMIFS(Raw_Data_Daily!$D:$D, Raw_Data_Daily!$B:$B, "Variant", Raw_Data_Daily!$A:$A, $A14, Raw_Data_Daily!$C:$C, $C$3),""))</f>
        <v/>
      </c>
      <c r="AH14" s="140" t="str">
        <f t="shared" si="11"/>
        <v/>
      </c>
      <c r="AI14" s="139" t="str">
        <f>IF($A14="","",IFERROR(SUMPRODUCT((Raw_Data_Daily!$B$2:$B$9999="Control")*(Raw_Data_Daily!$A$2:$A$9999=$A14)*(Raw_Data_Daily!$C$2:$C$9999=$C$3)*Raw_Data_Daily!$D$2:$D$9999*Raw_Data_Daily!$O$2:$O$9999)/SUMIFS(Raw_Data_Daily!$D:$D, Raw_Data_Daily!$B:$B, "Control", Raw_Data_Daily!$A:$A, $A14, Raw_Data_Daily!$C:$C, $C$3),""))</f>
        <v/>
      </c>
      <c r="AJ14" s="139" t="str">
        <f>IF($A14="","",IFERROR(SUMPRODUCT((Raw_Data_Daily!$B$2:$B$9999="Variant")*(Raw_Data_Daily!$A$2:$A$9999=$A14)*(Raw_Data_Daily!$C$2:$C$9999=$C$3)*Raw_Data_Daily!$D$2:$D$9999*Raw_Data_Daily!$O$2:$O$9999)/SUMIFS(Raw_Data_Daily!$D:$D, Raw_Data_Daily!$B:$B, "Variant", Raw_Data_Daily!$A:$A, $A14, Raw_Data_Daily!$C:$C, $C$3),""))</f>
        <v/>
      </c>
      <c r="AK14" s="132" t="str">
        <f t="shared" si="12"/>
        <v/>
      </c>
      <c r="AL14" s="137" t="str">
        <f>IF($A14="","",IFERROR(SUMPRODUCT((Raw_Data_Daily!$B$2:$B$9999="Control")*(Raw_Data_Daily!$A$2:$A$9999=$A14)*(Raw_Data_Daily!$C$2:$C$9999=$C$3)*Raw_Data_Daily!$D$2:$D$9999*Raw_Data_Daily!$P$2:$P$9999)/SUMIFS(Raw_Data_Daily!$D:$D, Raw_Data_Daily!$B:$B, "Control", Raw_Data_Daily!$A:$A, $A14, Raw_Data_Daily!$C:$C, $C$3),""))</f>
        <v/>
      </c>
      <c r="AM14" s="137" t="str">
        <f>IF($A14="","",IFERROR(SUMPRODUCT((Raw_Data_Daily!$B$2:$B$9999="Variant")*(Raw_Data_Daily!$A$2:$A$9999=$A14)*(Raw_Data_Daily!$C$2:$C$9999=$C$3)*Raw_Data_Daily!$D$2:$D$9999*Raw_Data_Daily!$P$2:$P$9999)/SUMIFS(Raw_Data_Daily!$D:$D, Raw_Data_Daily!$B:$B, "Variant", Raw_Data_Daily!$A:$A, $A14, Raw_Data_Daily!$C:$C, $C$3),""))</f>
        <v/>
      </c>
      <c r="AN14" s="132" t="str">
        <f t="shared" si="13"/>
        <v/>
      </c>
      <c r="AO14" s="137" t="str">
        <f>IF($A14="","",IFERROR(SUMPRODUCT((Raw_Data_Daily!$B$2:$B$9999="Control")*(Raw_Data_Daily!$A$2:$A$9999=$A14)*(Raw_Data_Daily!$C$2:$C$9999=$C$3)*Raw_Data_Daily!$D$2:$D$9999*Raw_Data_Daily!$Q$2:$Q$9999)/SUMIFS(Raw_Data_Daily!$D:$D, Raw_Data_Daily!$B:$B, "Control", Raw_Data_Daily!$A:$A, $A14, Raw_Data_Daily!$C:$C, $C$3),""))</f>
        <v/>
      </c>
      <c r="AP14" s="137" t="str">
        <f>IF($A14="","",IFERROR(SUMPRODUCT((Raw_Data_Daily!$B$2:$B$9999="Variant")*(Raw_Data_Daily!$A$2:$A$9999=$A14)*(Raw_Data_Daily!$C$2:$C$9999=$C$3)*Raw_Data_Daily!$D$2:$D$9999*Raw_Data_Daily!$Q$2:$Q$9999)/SUMIFS(Raw_Data_Daily!$D:$D, Raw_Data_Daily!$B:$B, "Variant", Raw_Data_Daily!$A:$A, $A14, Raw_Data_Daily!$C:$C, $C$3),""))</f>
        <v/>
      </c>
      <c r="AQ14" s="129" t="str">
        <f t="shared" si="14"/>
        <v/>
      </c>
      <c r="AR14" s="137" t="str">
        <f>IF($A14="","",IFERROR(SUMPRODUCT((Raw_Data_Daily!$B$2:$B$9999="Control")*(Raw_Data_Daily!$A$2:$A$9999=$A14)*(Raw_Data_Daily!$C$2:$C$9999=$C$3)*Raw_Data_Daily!$D$2:$D$9999*Raw_Data_Daily!$R$2:$R$9999)/SUMIFS(Raw_Data_Daily!$D:$D, Raw_Data_Daily!$B:$B, "Control", Raw_Data_Daily!$A:$A, $A14, Raw_Data_Daily!$C:$C, $C$3),""))</f>
        <v/>
      </c>
      <c r="AS14" s="137" t="str">
        <f>IF($A14="","",IFERROR(SUMPRODUCT((Raw_Data_Daily!$B$2:$B$9999="Variant")*(Raw_Data_Daily!$A$2:$A$9999=$A14)*(Raw_Data_Daily!$C$2:$C$9999=$C$3)*Raw_Data_Daily!$D$2:$D$9999*Raw_Data_Daily!$R$2:$R$9999)/SUMIFS(Raw_Data_Daily!$D:$D, Raw_Data_Daily!$B:$B, "Variant", Raw_Data_Daily!$A:$A, $A14, Raw_Data_Daily!$C:$C, $C$3),""))</f>
        <v/>
      </c>
      <c r="AT14" s="129" t="str">
        <f t="shared" si="15"/>
        <v/>
      </c>
      <c r="AU14" s="137" t="str">
        <f>IF($A14="","",IFERROR(SUMPRODUCT((Raw_Data_Daily!$B$2:$B$9999="Control")*(Raw_Data_Daily!$A$2:$A$9999=$A14)*(Raw_Data_Daily!$C$2:$C$9999=$C$3)*Raw_Data_Daily!$D$2:$D$9999*Raw_Data_Daily!$S$2:$S$9999)/SUMIFS(Raw_Data_Daily!$D:$D, Raw_Data_Daily!$B:$B, "Control", Raw_Data_Daily!$A:$A, $A14, Raw_Data_Daily!$C:$C, $C$3),""))</f>
        <v/>
      </c>
      <c r="AV14" s="137" t="str">
        <f>IF($A14="","",IFERROR(SUMPRODUCT((Raw_Data_Daily!$B$2:$B$9999="Variant")*(Raw_Data_Daily!$A$2:$A$9999=$A14)*(Raw_Data_Daily!$C$2:$C$9999=$C$3)*Raw_Data_Daily!$D$2:$D$9999*Raw_Data_Daily!$S$2:$S$9999)/SUMIFS(Raw_Data_Daily!$D:$D, Raw_Data_Daily!$B:$B, "Variant", Raw_Data_Daily!$A:$A, $A14, Raw_Data_Daily!$C:$C, $C$3),""))</f>
        <v/>
      </c>
      <c r="AW14" s="129" t="str">
        <f t="shared" si="16"/>
        <v/>
      </c>
      <c r="AX14" s="137" t="str">
        <f>IF($A14="","",IFERROR(SUMPRODUCT((Raw_Data_Daily!$B$2:$B$9999="Control")*(Raw_Data_Daily!$A$2:$A$9999=$A14)*(Raw_Data_Daily!$C$2:$C$9999=$C$3)*Raw_Data_Daily!$D$2:$D$9999*Raw_Data_Daily!$T$2:$T$9999)/SUMIFS(Raw_Data_Daily!$D:$D, Raw_Data_Daily!$B:$B, "Control", Raw_Data_Daily!$A:$A, $A14, Raw_Data_Daily!$C:$C, $C$3),""))</f>
        <v/>
      </c>
      <c r="AY14" s="137" t="str">
        <f>IF($A14="","",IFERROR(SUMPRODUCT((Raw_Data_Daily!$B$2:$B$9999="Variant")*(Raw_Data_Daily!$A$2:$A$9999=$A14)*(Raw_Data_Daily!$C$2:$C$9999=$C$3)*Raw_Data_Daily!$D$2:$D$9999*Raw_Data_Daily!$T$2:$T$9999)/SUMIFS(Raw_Data_Daily!$D:$D, Raw_Data_Daily!$B:$B, "Variant", Raw_Data_Daily!$A:$A, $A14, Raw_Data_Daily!$C:$C, $C$3),""))</f>
        <v/>
      </c>
      <c r="AZ14" s="132" t="str">
        <f t="shared" si="17"/>
        <v/>
      </c>
      <c r="BA14" s="137" t="str">
        <f>IF($A14="","",IFERROR(SUMPRODUCT((Raw_Data_Daily!$B$2:$B$9999="Control")*(Raw_Data_Daily!$A$2:$A$9999=$A14)*(Raw_Data_Daily!$C$2:$C$9999=$C$3)*Raw_Data_Daily!$D$2:$D$9999*Raw_Data_Daily!$U$2:$U$9999)/SUMIFS(Raw_Data_Daily!$D:$D, Raw_Data_Daily!$B:$B, "Control", Raw_Data_Daily!$A:$A, $A14, Raw_Data_Daily!$C:$C, $C$3),""))</f>
        <v/>
      </c>
      <c r="BB14" s="137" t="str">
        <f>IF($A14="","",IFERROR(SUMPRODUCT((Raw_Data_Daily!$B$2:$B$9999="Variant")*(Raw_Data_Daily!$A$2:$A$9999=$A14)*(Raw_Data_Daily!$C$2:$C$9999=$C$3)*Raw_Data_Daily!$D$2:$D$9999*Raw_Data_Daily!$U$2:$U$9999)/SUMIFS(Raw_Data_Daily!$D:$D, Raw_Data_Daily!$B:$B, "Variant", Raw_Data_Daily!$A:$A, $A14, Raw_Data_Daily!$C:$C, $C$3),""))</f>
        <v/>
      </c>
      <c r="BC14" s="129" t="str">
        <f t="shared" si="18"/>
        <v/>
      </c>
      <c r="BD14" s="137" t="str">
        <f>IF($A14="","",IFERROR(SUMPRODUCT((Raw_Data_Daily!$B$2:$B$9999="Control")*(Raw_Data_Daily!$A$2:$A$9999=$A14)*(Raw_Data_Daily!$C$2:$C$9999=$C$3)*Raw_Data_Daily!$D$2:$D$9999*Raw_Data_Daily!$V$2:$V$9999)/SUMIFS(Raw_Data_Daily!$D:$D, Raw_Data_Daily!$B:$B, "Control", Raw_Data_Daily!$A:$A, $A14, Raw_Data_Daily!$C:$C, $C$3),""))</f>
        <v/>
      </c>
      <c r="BE14" s="137" t="str">
        <f>IF($A14="","",IFERROR(SUMPRODUCT((Raw_Data_Daily!$B$2:$B$9999="Variant")*(Raw_Data_Daily!$A$2:$A$9999=$A14)*(Raw_Data_Daily!$C$2:$C$9999=$C$3)*Raw_Data_Daily!$D$2:$D$9999*Raw_Data_Daily!$V$2:$V$9999)/SUMIFS(Raw_Data_Daily!$D:$D, Raw_Data_Daily!$B:$B, "Variant", Raw_Data_Daily!$A:$A, $A14, Raw_Data_Daily!$C:$C, $C$3),""))</f>
        <v/>
      </c>
      <c r="BF14" s="148" t="str">
        <f t="shared" si="19"/>
        <v/>
      </c>
      <c r="BG14" s="149" t="str">
        <f>IF($A14="","",IFERROR(SUMPRODUCT((Raw_Data_Daily!$B$2:$B$9999="Control")*(Raw_Data_Daily!$A$2:$A$9999=$A14)*(Raw_Data_Daily!$C$2:$C$9999=$C$3)*Raw_Data_Daily!$D$2:$D$9999*(Raw_Data_Daily!$Q$2:$Q$9999-Raw_Data_Daily!$V$2:$V$9999))/SUMIFS(Raw_Data_Daily!$D:$D, Raw_Data_Daily!$B:$B, "Control", Raw_Data_Daily!$A:$A, $A14, Raw_Data_Daily!$C:$C, $C$3),""))</f>
        <v/>
      </c>
      <c r="BH14" s="137" t="str">
        <f>IF($A14="","",IFERROR(SUMPRODUCT((Raw_Data_Daily!$B$2:$B$9999="Variant")*(Raw_Data_Daily!$A$2:$A$9999=$A14)*(Raw_Data_Daily!$C$2:$C$9999=$C$3)*Raw_Data_Daily!$D$2:$D$9999*(Raw_Data_Daily!$Q$2:$Q$9999-Raw_Data_Daily!$V$2:$V$9999))/SUMIFS(Raw_Data_Daily!$D:$D, Raw_Data_Daily!$B:$B, "Variant", Raw_Data_Daily!$A:$A, $A14, Raw_Data_Daily!$C:$C, $C$3),""))</f>
        <v/>
      </c>
      <c r="BI14" s="155" t="str">
        <f t="shared" si="20"/>
        <v/>
      </c>
      <c r="BJ14" s="156" t="str">
        <f>IF($A14="","",IFERROR(SUMPRODUCT((Raw_Data_Daily!$B$2:$B$9999="Control")*(Raw_Data_Daily!$A$2:$A$9999=$A14)*(Raw_Data_Daily!$C$2:$C$9999=$C$3)*Raw_Data_Daily!$D$2:$D$9999*Raw_Data_Daily!$W$2:$W$9999)/SUMIFS(Raw_Data_Daily!$D:$D, Raw_Data_Daily!$B:$B, "Control", Raw_Data_Daily!$A:$A, $A14, Raw_Data_Daily!$C:$C, $C$3),""))</f>
        <v/>
      </c>
      <c r="BK14" s="137" t="str">
        <f>IF($A14="","",IFERROR(SUMPRODUCT((Raw_Data_Daily!$B$2:$B$9999="Variant")*(Raw_Data_Daily!$A$2:$A$9999=$A14)*(Raw_Data_Daily!$C$2:$C$9999=$C$3)*Raw_Data_Daily!$D$2:$D$9999*Raw_Data_Daily!$W$2:$W$9999)/SUMIFS(Raw_Data_Daily!$D:$D, Raw_Data_Daily!$B:$B, "Variant", Raw_Data_Daily!$A:$A, $A14, Raw_Data_Daily!$C:$C, $C$3),""))</f>
        <v/>
      </c>
      <c r="BL14" s="129" t="str">
        <f t="shared" si="21"/>
        <v/>
      </c>
      <c r="BM14" s="139" t="str">
        <f>IF($A14="","",IFERROR(SUMPRODUCT((Raw_Data_Daily!$B$2:$B$9999="Control")*(Raw_Data_Daily!$A$2:$A$9999=$A14)*(Raw_Data_Daily!$C$2:$C$9999=$C$3)*Raw_Data_Daily!$D$2:$D$9999*Raw_Data_Daily!$X$2:$X$9999)/SUMIFS(Raw_Data_Daily!$D:$D, Raw_Data_Daily!$B:$B, "Control", Raw_Data_Daily!$A:$A, $A14, Raw_Data_Daily!$C:$C, $C$3),""))</f>
        <v/>
      </c>
      <c r="BN14" s="139" t="str">
        <f>IF($A14="","",IFERROR(SUMPRODUCT((Raw_Data_Daily!$B$2:$B$9999="Variant")*(Raw_Data_Daily!$A$2:$A$9999=$A14)*(Raw_Data_Daily!$C$2:$C$9999=$C$3)*Raw_Data_Daily!$D$2:$D$9999*Raw_Data_Daily!$X$2:$X$9999)/SUMIFS(Raw_Data_Daily!$D:$D, Raw_Data_Daily!$B:$B, "Variant", Raw_Data_Daily!$A:$A, $A14, Raw_Data_Daily!$C:$C, $C$3),""))</f>
        <v/>
      </c>
      <c r="BO14" s="132" t="str">
        <f t="shared" si="22"/>
        <v/>
      </c>
      <c r="BP14" s="128" t="str">
        <f>IF($A14="","",IFERROR(SUMPRODUCT((Raw_Data_Daily!$B$2:$B$9999="Control")*(Raw_Data_Daily!$A$2:$A$9999=$A14)*(Raw_Data_Daily!$C$2:$C$9999=$C$3)*Raw_Data_Daily!$D$2:$D$9999*Raw_Data_Daily!$Y$2:$Y$9999)/SUMIFS(Raw_Data_Daily!$D:$D, Raw_Data_Daily!$B:$B, "Control", Raw_Data_Daily!$A:$A, $A14, Raw_Data_Daily!$C:$C, $C$3),""))</f>
        <v/>
      </c>
      <c r="BQ14" s="128" t="str">
        <f>IF($A14="","",IFERROR(SUMPRODUCT((Raw_Data_Daily!$B$2:$B$9999="Variant")*(Raw_Data_Daily!$A$2:$A$9999=$A14)*(Raw_Data_Daily!$C$2:$C$9999=$C$3)*Raw_Data_Daily!$D$2:$D$9999*Raw_Data_Daily!$Y$2:$Y$9999)/SUMIFS(Raw_Data_Daily!$D:$D, Raw_Data_Daily!$B:$B, "Variant", Raw_Data_Daily!$A:$A, $A14, Raw_Data_Daily!$C:$C, $C$3),""))</f>
        <v/>
      </c>
      <c r="BR14" s="129" t="str">
        <f t="shared" si="23"/>
        <v/>
      </c>
      <c r="BS14" s="128" t="str">
        <f>IF($A14="","",IFERROR(SUMPRODUCT((Raw_Data_Daily!$B$2:$B$9999="Control")*(Raw_Data_Daily!$A$2:$A$9999=$A14)*(Raw_Data_Daily!$C$2:$C$9999=$C$3)*Raw_Data_Daily!$D$2:$D$9999*Raw_Data_Daily!$Z$2:$Z$9999)/SUMIFS(Raw_Data_Daily!$D:$D, Raw_Data_Daily!$B:$B, "Control", Raw_Data_Daily!$A:$A, $A14, Raw_Data_Daily!$C:$C, $C$3),""))</f>
        <v/>
      </c>
      <c r="BT14" s="128" t="str">
        <f>IF($A14="","",IFERROR(SUMPRODUCT((Raw_Data_Daily!$B$2:$B$9999="Variant")*(Raw_Data_Daily!$A$2:$A$9999=$A14)*(Raw_Data_Daily!$C$2:$C$9999=$C$3)*Raw_Data_Daily!$D$2:$D$9999*Raw_Data_Daily!$Z$2:$Z$9999)/SUMIFS(Raw_Data_Daily!$D:$D, Raw_Data_Daily!$B:$B, "Variant", Raw_Data_Daily!$A:$A, $A14, Raw_Data_Daily!$C:$C, $C$3),""))</f>
        <v/>
      </c>
      <c r="BU14" s="129" t="str">
        <f t="shared" si="24"/>
        <v/>
      </c>
      <c r="BV14" s="128" t="str">
        <f>IF($A14="","",IFERROR(SUMPRODUCT((Raw_Data_Daily!$B$2:$B$9999="Control")*(Raw_Data_Daily!$A$2:$A$9999=$A14)*(Raw_Data_Daily!$C$2:$C$9999=$C$3)*Raw_Data_Daily!$D$2:$D$9999*Raw_Data_Daily!$AA$2:$AA$9999)/SUMIFS(Raw_Data_Daily!$D:$D, Raw_Data_Daily!$B:$B, "Control", Raw_Data_Daily!$A:$A, $A14, Raw_Data_Daily!$C:$C, $C$3),""))</f>
        <v/>
      </c>
      <c r="BW14" s="128" t="str">
        <f>IF($A14="","",IFERROR(SUMPRODUCT((Raw_Data_Daily!$B$2:$B$9999="Variant")*(Raw_Data_Daily!$A$2:$A$9999=$A14)*(Raw_Data_Daily!$C$2:$C$9999=$C$3)*Raw_Data_Daily!$D$2:$D$9999*Raw_Data_Daily!$AA$2:$AA$9999)/SUMIFS(Raw_Data_Daily!$D:$D, Raw_Data_Daily!$B:$B, "Variant", Raw_Data_Daily!$A:$A, $A14, Raw_Data_Daily!$C:$C, $C$3),""))</f>
        <v/>
      </c>
      <c r="BX14" s="129" t="str">
        <f t="shared" si="25"/>
        <v/>
      </c>
      <c r="BY14" s="137" t="str">
        <f>IF($A14="","",IFERROR(SUMPRODUCT((Raw_Data_Daily!$B$2:$B$9999="Control")*(Raw_Data_Daily!$A$2:$A$9999=$A14)*(Raw_Data_Daily!$C$2:$C$9999=$C$3)*Raw_Data_Daily!$D$2:$D$9999*Raw_Data_Daily!$AB$2:$AB$9999)/SUMIFS(Raw_Data_Daily!$D:$D, Raw_Data_Daily!$B:$B, "Control", Raw_Data_Daily!$A:$A, $A14, Raw_Data_Daily!$C:$C, $C$3),""))</f>
        <v/>
      </c>
      <c r="BZ14" s="137" t="str">
        <f>IF($A14="","",IFERROR(SUMPRODUCT((Raw_Data_Daily!$B$2:$B$9999="Variant")*(Raw_Data_Daily!$A$2:$A$9999=$A14)*(Raw_Data_Daily!$C$2:$C$9999=$C$3)*Raw_Data_Daily!$D$2:$D$9999*Raw_Data_Daily!$AB$2:$AB$9999)/SUMIFS(Raw_Data_Daily!$D:$D, Raw_Data_Daily!$B:$B, "Variant", Raw_Data_Daily!$A:$A, $A14, Raw_Data_Daily!$C:$C, $C$3),""))</f>
        <v/>
      </c>
      <c r="CA14" s="132" t="str">
        <f t="shared" si="26"/>
        <v/>
      </c>
      <c r="CB14" s="137" t="str">
        <f>IF($A14="","",IFERROR(SUMPRODUCT((Raw_Data_Daily!$B$2:$B$9999="Control")*(Raw_Data_Daily!$A$2:$A$9999=$A14)*(Raw_Data_Daily!$C$2:$C$9999=$C$3)*Raw_Data_Daily!$D$2:$D$9999*Raw_Data_Daily!$AC$2:$AC$9999)/SUMIFS(Raw_Data_Daily!$D:$D, Raw_Data_Daily!$B:$B, "Control", Raw_Data_Daily!$A:$A, $A14, Raw_Data_Daily!$C:$C, $C$3),""))</f>
        <v/>
      </c>
      <c r="CC14" s="137" t="str">
        <f>IF($A14="","",IFERROR(SUMPRODUCT((Raw_Data_Daily!$B$2:$B$9999="Variant")*(Raw_Data_Daily!$A$2:$A$9999=$A14)*(Raw_Data_Daily!$C$2:$C$9999=$C$3)*Raw_Data_Daily!$D$2:$D$9999*Raw_Data_Daily!$AC$2:$AC$9999)/SUMIFS(Raw_Data_Daily!$D:$D, Raw_Data_Daily!$B:$B, "Variant", Raw_Data_Daily!$A:$A, $A14, Raw_Data_Daily!$C:$C, $C$3),""))</f>
        <v/>
      </c>
      <c r="CD14" s="132" t="str">
        <f t="shared" si="27"/>
        <v/>
      </c>
      <c r="CE14" s="137" t="str">
        <f>IF($A14="","",IFERROR(SUMPRODUCT((Raw_Data_Daily!$B$2:$B$9999="Control")*(Raw_Data_Daily!$A$2:$A$9999=$A14)*(Raw_Data_Daily!$C$2:$C$9999=$C$3)*Raw_Data_Daily!$D$2:$D$9999*Raw_Data_Daily!$AD$2:$AD$9999)/SUMIFS(Raw_Data_Daily!$D:$D, Raw_Data_Daily!$B:$B, "Control", Raw_Data_Daily!$A:$A, $A14, Raw_Data_Daily!$C:$C, $C$3),""))</f>
        <v/>
      </c>
      <c r="CF14" s="137" t="str">
        <f>IF($A14="","",IFERROR(SUMPRODUCT((Raw_Data_Daily!$B$2:$B$9999="Variant")*(Raw_Data_Daily!$A$2:$A$9999=$A14)*(Raw_Data_Daily!$C$2:$C$9999=$C$3)*Raw_Data_Daily!$D$2:$D$9999*Raw_Data_Daily!$AD$2:$AD$9999)/SUMIFS(Raw_Data_Daily!$D:$D, Raw_Data_Daily!$B:$B, "Variant", Raw_Data_Daily!$A:$A, $A14, Raw_Data_Daily!$C:$C, $C$3),""))</f>
        <v/>
      </c>
      <c r="CG14" s="132" t="str">
        <f t="shared" si="28"/>
        <v/>
      </c>
      <c r="CH14" s="137" t="str">
        <f>IF($A14="","",IFERROR(SUMPRODUCT((Raw_Data_Daily!$B$2:$B$9999="Control")*(Raw_Data_Daily!$A$2:$A$9999=$A14)*(Raw_Data_Daily!$C$2:$C$9999=$C$3)*Raw_Data_Daily!$D$2:$D$9999*Raw_Data_Daily!$AE$2:$AE$9999)/SUMIFS(Raw_Data_Daily!$D:$D, Raw_Data_Daily!$B:$B, "Control", Raw_Data_Daily!$A:$A, $A14, Raw_Data_Daily!$C:$C, $C$3),""))</f>
        <v/>
      </c>
      <c r="CI14" s="137" t="str">
        <f>IF($A14="","",IFERROR(SUMPRODUCT((Raw_Data_Daily!$B$2:$B$9999="Variant")*(Raw_Data_Daily!$A$2:$A$9999=$A14)*(Raw_Data_Daily!$C$2:$C$9999=$C$3)*Raw_Data_Daily!$D$2:$D$9999*Raw_Data_Daily!$AE$2:$AE$9999)/SUMIFS(Raw_Data_Daily!$D:$D, Raw_Data_Daily!$B:$B, "Variant", Raw_Data_Daily!$A:$A, $A14, Raw_Data_Daily!$C:$C, $C$3),""))</f>
        <v/>
      </c>
      <c r="CJ14" s="132" t="str">
        <f t="shared" si="29"/>
        <v/>
      </c>
      <c r="CK14" s="137" t="str">
        <f>IF($A14="","",IFERROR(SUMPRODUCT((Raw_Data_Daily!$B$2:$B$9999="Control")*(Raw_Data_Daily!$A$2:$A$9999=$A14)*(Raw_Data_Daily!$C$2:$C$9999=$C$3)*Raw_Data_Daily!$D$2:$D$9999*Raw_Data_Daily!$AF$2:$AF$9999)/SUMIFS(Raw_Data_Daily!$D:$D, Raw_Data_Daily!$B:$B, "Control", Raw_Data_Daily!$A:$A, $A14, Raw_Data_Daily!$C:$C, $C$3),""))</f>
        <v/>
      </c>
      <c r="CL14" s="137" t="str">
        <f>IF($A14="","",IFERROR(SUMPRODUCT((Raw_Data_Daily!$B$2:$B$9999="Variant")*(Raw_Data_Daily!$A$2:$A$9999=$A14)*(Raw_Data_Daily!$C$2:$C$9999=$C$3)*Raw_Data_Daily!$D$2:$D$9999*Raw_Data_Daily!$AF$2:$AF$9999)/SUMIFS(Raw_Data_Daily!$D:$D, Raw_Data_Daily!$B:$B, "Variant", Raw_Data_Daily!$A:$A, $A14, Raw_Data_Daily!$C:$C, $C$3),""))</f>
        <v/>
      </c>
      <c r="CM14" s="132" t="str">
        <f t="shared" si="30"/>
        <v/>
      </c>
      <c r="CN14" s="137" t="str">
        <f>IF($A14="","",IFERROR(SUMPRODUCT((Raw_Data_Daily!$B$2:$B$9999="Control")*(Raw_Data_Daily!$A$2:$A$9999=$A14)*(Raw_Data_Daily!$C$2:$C$9999=$C$3)*Raw_Data_Daily!$D$2:$D$9999*Raw_Data_Daily!$AG$2:$AG$9999)/SUMIFS(Raw_Data_Daily!$D:$D, Raw_Data_Daily!$B:$B, "Control", Raw_Data_Daily!$A:$A, $A14, Raw_Data_Daily!$C:$C, $C$3),""))</f>
        <v/>
      </c>
      <c r="CO14" s="137" t="str">
        <f>IF($A14="","",IFERROR(SUMPRODUCT((Raw_Data_Daily!$B$2:$B$9999="Variant")*(Raw_Data_Daily!$A$2:$A$9999=$A14)*(Raw_Data_Daily!$C$2:$C$9999=$C$3)*Raw_Data_Daily!$D$2:$D$9999*Raw_Data_Daily!$AG$2:$AG$9999)/SUMIFS(Raw_Data_Daily!$D:$D, Raw_Data_Daily!$B:$B, "Variant", Raw_Data_Daily!$A:$A, $A14, Raw_Data_Daily!$C:$C, $C$3),""))</f>
        <v/>
      </c>
      <c r="CP14" s="132" t="str">
        <f t="shared" si="31"/>
        <v/>
      </c>
      <c r="CQ14" s="137" t="str">
        <f>IF($A14="","",IFERROR(SUMPRODUCT((Raw_Data_Daily!$B$2:$B$9999="Control")*(Raw_Data_Daily!$A$2:$A$9999=$A14)*(Raw_Data_Daily!$C$2:$C$9999=$C$3)*Raw_Data_Daily!$D$2:$D$9999*Raw_Data_Daily!$AH$2:$AH$9999)/SUMIFS(Raw_Data_Daily!$D:$D, Raw_Data_Daily!$B:$B, "Control", Raw_Data_Daily!$A:$A, $A14, Raw_Data_Daily!$C:$C, $C$3),""))</f>
        <v/>
      </c>
      <c r="CR14" s="137" t="str">
        <f>IF($A14="","",IFERROR(SUMPRODUCT((Raw_Data_Daily!$B$2:$B$9999="Variant")*(Raw_Data_Daily!$A$2:$A$9999=$A14)*(Raw_Data_Daily!$C$2:$C$9999=$C$3)*Raw_Data_Daily!$D$2:$D$9999*Raw_Data_Daily!$AH$2:$AH$9999)/SUMIFS(Raw_Data_Daily!$D:$D, Raw_Data_Daily!$B:$B, "Variant", Raw_Data_Daily!$A:$A, $A14, Raw_Data_Daily!$C:$C, $C$3),""))</f>
        <v/>
      </c>
      <c r="CS14" s="132" t="str">
        <f t="shared" si="32"/>
        <v/>
      </c>
      <c r="CT14" s="130" t="str">
        <f>IF($A14="","",IFERROR(SUMPRODUCT((Raw_Data_Daily!$B$2:$B$9999="Control")*(Raw_Data_Daily!$A$2:$A$9999=$A14)*(Raw_Data_Daily!$C$2:$C$9999=$C$3)*Raw_Data_Daily!$D$2:$D$9999*Raw_Data_Daily!$AI$2:$AI$9999)/SUMIFS(Raw_Data_Daily!$D:$D, Raw_Data_Daily!$B:$B, "Control", Raw_Data_Daily!$A:$A, $A14, Raw_Data_Daily!$C:$C, $C$3),""))</f>
        <v/>
      </c>
      <c r="CU14" s="130" t="str">
        <f>IF($A14="","",IFERROR(SUMPRODUCT((Raw_Data_Daily!$B$2:$B$9999="Variant")*(Raw_Data_Daily!$A$2:$A$9999=$A14)*(Raw_Data_Daily!$C$2:$C$9999=$C$3)*Raw_Data_Daily!$D$2:$D$9999*Raw_Data_Daily!$AI$2:$AI$9999)/SUMIFS(Raw_Data_Daily!$D:$D, Raw_Data_Daily!$B:$B, "Variant", Raw_Data_Daily!$A:$A, $A14, Raw_Data_Daily!$C:$C, $C$3),""))</f>
        <v/>
      </c>
      <c r="CV14" s="140" t="str">
        <f t="shared" si="33"/>
        <v/>
      </c>
      <c r="CW14" s="130" t="str">
        <f>IF($A14="","",IFERROR(SUMPRODUCT((Raw_Data_Daily!$B$2:$B$9999="Control")*(Raw_Data_Daily!$A$2:$A$9999=$A14)*(Raw_Data_Daily!$C$2:$C$9999=$C$3)*Raw_Data_Daily!$D$2:$D$9999*Raw_Data_Daily!$AJ$2:$AJ$9999)/SUMIFS(Raw_Data_Daily!$D:$D, Raw_Data_Daily!$B:$B, "Control", Raw_Data_Daily!$A:$A, $A14, Raw_Data_Daily!$C:$C, $C$3),""))</f>
        <v/>
      </c>
      <c r="CX14" s="130" t="str">
        <f>IF($A14="","",IFERROR(SUMPRODUCT((Raw_Data_Daily!$B$2:$B$9999="Variant")*(Raw_Data_Daily!$A$2:$A$9999=$A14)*(Raw_Data_Daily!$C$2:$C$9999=$C$3)*Raw_Data_Daily!$D$2:$D$9999*Raw_Data_Daily!$AJ$2:$AJ$9999)/SUMIFS(Raw_Data_Daily!$D:$D, Raw_Data_Daily!$B:$B, "Variant", Raw_Data_Daily!$A:$A, $A14, Raw_Data_Daily!$C:$C, $C$3),""))</f>
        <v/>
      </c>
      <c r="CY14" s="140" t="str">
        <f t="shared" si="34"/>
        <v/>
      </c>
      <c r="CZ14" s="130" t="str">
        <f>IF($A14="","",IFERROR(SUMPRODUCT((Raw_Data_Daily!$B$2:$B$9999="Control")*(Raw_Data_Daily!$A$2:$A$9999=$A14)*(Raw_Data_Daily!$C$2:$C$9999=$C$3)*Raw_Data_Daily!$D$2:$D$9999*Raw_Data_Daily!$AK$2:$AK$9999)/SUMIFS(Raw_Data_Daily!$D:$D, Raw_Data_Daily!$B:$B, "Control", Raw_Data_Daily!$A:$A, $A14, Raw_Data_Daily!$C:$C, $C$3),""))</f>
        <v/>
      </c>
      <c r="DA14" s="130" t="str">
        <f>IF($A14="","",IFERROR(SUMPRODUCT((Raw_Data_Daily!$B$2:$B$9999="Variant")*(Raw_Data_Daily!$A$2:$A$9999=$A14)*(Raw_Data_Daily!$C$2:$C$9999=$C$3)*Raw_Data_Daily!$D$2:$D$9999*Raw_Data_Daily!$AK$2:$AK$9999)/SUMIFS(Raw_Data_Daily!$D:$D, Raw_Data_Daily!$B:$B, "Variant", Raw_Data_Daily!$A:$A, $A14, Raw_Data_Daily!$C:$C, $C$3),""))</f>
        <v/>
      </c>
      <c r="DB14" s="132" t="str">
        <f t="shared" si="35"/>
        <v/>
      </c>
      <c r="DC14" s="139" t="str">
        <f>IF($A14="","",IFERROR(SUMPRODUCT((Raw_Data_Daily!$B$2:$B$9999="Control")*(Raw_Data_Daily!$A$2:$A$9999=$A14)*(Raw_Data_Daily!$C$2:$C$9999=$C$3)*Raw_Data_Daily!$D$2:$D$9999*Raw_Data_Daily!$AL$2:$AL$9999)/SUMIFS(Raw_Data_Daily!$D:$D, Raw_Data_Daily!$B:$B, "Control", Raw_Data_Daily!$A:$A, $A14, Raw_Data_Daily!$C:$C, $C$3),""))</f>
        <v/>
      </c>
      <c r="DD14" s="139" t="str">
        <f>IF($A14="","",IFERROR(SUMPRODUCT((Raw_Data_Daily!$B$2:$B$9999="Variant")*(Raw_Data_Daily!$A$2:$A$9999=$A14)*(Raw_Data_Daily!$C$2:$C$9999=$C$3)*Raw_Data_Daily!$D$2:$D$9999*Raw_Data_Daily!$AL$2:$AL$9999)/SUMIFS(Raw_Data_Daily!$D:$D, Raw_Data_Daily!$B:$B, "Variant", Raw_Data_Daily!$A:$A, $A14, Raw_Data_Daily!$C:$C, $C$3),""))</f>
        <v/>
      </c>
      <c r="DE14" s="140" t="str">
        <f t="shared" si="36"/>
        <v/>
      </c>
      <c r="DF14" s="165"/>
      <c r="DG14" s="130" t="str">
        <f>IF($A14="","",IFERROR(SUMPRODUCT((Raw_Data_Daily!$B$2:$B$9999="Variant")*(Raw_Data_Daily!$A$2:$A$9999=$A14)*(Raw_Data_Daily!$C$2:$C$9999=$C$3)*Raw_Data_Daily!$D$2:$D$9999*Raw_Data_Daily!$AM$2:$AM$9999)/SUMIFS(Raw_Data_Daily!$D:$D, Raw_Data_Daily!$B:$B, "Variant", Raw_Data_Daily!$A:$A, $A14, Raw_Data_Daily!$C:$C, $C$3),""))</f>
        <v/>
      </c>
      <c r="DH14" s="166"/>
      <c r="DI14" s="165"/>
      <c r="DJ14" s="130" t="str">
        <f>IF($A14="","",IFERROR(SUMPRODUCT((Raw_Data_Daily!$B$2:$B$9999="Variant")*(Raw_Data_Daily!$A$2:$A$9999=$A14)*(Raw_Data_Daily!$C$2:$C$9999=$C$3)*Raw_Data_Daily!$D$2:$D$9999*Raw_Data_Daily!$AN$2:$AN$9999)/SUMIFS(Raw_Data_Daily!$D:$D, Raw_Data_Daily!$B:$B, "Variant", Raw_Data_Daily!$A:$A, $A14, Raw_Data_Daily!$C:$C, $C$3),""))</f>
        <v/>
      </c>
      <c r="DK14" s="166"/>
      <c r="DL14" s="165"/>
      <c r="DM14" s="130" t="str">
        <f>IF($A14="","",IFERROR(SUMPRODUCT((Raw_Data_Daily!$B$2:$B$9999="Variant")*(Raw_Data_Daily!$A$2:$A$9999=$A14)*(Raw_Data_Daily!$C$2:$C$9999=$C$3)*Raw_Data_Daily!$D$2:$D$9999*Raw_Data_Daily!$AO$2:$AO$9999)/SUMIFS(Raw_Data_Daily!$D:$D, Raw_Data_Daily!$B:$B, "Variant", Raw_Data_Daily!$A:$A, $A14, Raw_Data_Daily!$C:$C, $C$3),""))</f>
        <v/>
      </c>
      <c r="DN14" s="166"/>
      <c r="DO14" s="165"/>
      <c r="DP14" s="130" t="str">
        <f>IF($A14="","",IFERROR(SUMPRODUCT((Raw_Data_Daily!$B$2:$B$9999="Variant")*(Raw_Data_Daily!$A$2:$A$9999=$A14)*(Raw_Data_Daily!$C$2:$C$9999=$C$3)*Raw_Data_Daily!$D$2:$D$9999*Raw_Data_Daily!$AP$2:$AP$9999)/SUMIFS(Raw_Data_Daily!$D:$D, Raw_Data_Daily!$B:$B, "Variant", Raw_Data_Daily!$A:$A, $A14, Raw_Data_Daily!$C:$C, $C$3),""))</f>
        <v/>
      </c>
      <c r="DQ14" s="166"/>
      <c r="DR14" s="139" t="str">
        <f>IF($A14="","",IFERROR(SUMPRODUCT((Raw_Data_Daily!$B$2:$B$9999="Control")*(Raw_Data_Daily!$A$2:$A$9999=$A14)*(Raw_Data_Daily!$C$2:$C$9999=$C$3)*Raw_Data_Daily!$D$2:$D$9999*Raw_Data_Daily!$AQ$2:$AQ$9999)/SUMIFS(Raw_Data_Daily!$D:$D, Raw_Data_Daily!$B:$B, "Control", Raw_Data_Daily!$A:$A, $A14, Raw_Data_Daily!$C:$C, $C$3),""))</f>
        <v/>
      </c>
      <c r="DS14" s="139" t="str">
        <f>IF($A14="","",IFERROR(SUMPRODUCT((Raw_Data_Daily!$B$2:$B$9999="Variant")*(Raw_Data_Daily!$A$2:$A$9999=$A14)*(Raw_Data_Daily!$C$2:$C$9999=$C$3)*Raw_Data_Daily!$D$2:$D$9999*Raw_Data_Daily!$AQ$2:$AQ$9999)/SUMIFS(Raw_Data_Daily!$D:$D, Raw_Data_Daily!$B:$B, "Variant", Raw_Data_Daily!$A:$A, $A14, Raw_Data_Daily!$C:$C, $C$3),""))</f>
        <v/>
      </c>
      <c r="DT14" s="167" t="str">
        <f t="shared" si="37"/>
        <v/>
      </c>
      <c r="DU14" s="139" t="str">
        <f>IF($A14="","",IFERROR(SUMPRODUCT((Raw_Data_Daily!$B$2:$B$9999="Control")*(Raw_Data_Daily!$A$2:$A$9999=$A14)*(Raw_Data_Daily!$C$2:$C$9999=$C$3)*Raw_Data_Daily!$D$2:$D$9999*Raw_Data_Daily!$AR$2:$AR$9999)/SUMIFS(Raw_Data_Daily!$D:$D, Raw_Data_Daily!$B:$B, "Control", Raw_Data_Daily!$A:$A, $A14, Raw_Data_Daily!$C:$C, $C$3),""))</f>
        <v/>
      </c>
      <c r="DV14" s="139" t="str">
        <f>IF($A14="","",IFERROR(SUMPRODUCT((Raw_Data_Daily!$B$2:$B$9999="Variant")*(Raw_Data_Daily!$A$2:$A$9999=$A14)*(Raw_Data_Daily!$C$2:$C$9999=$C$3)*Raw_Data_Daily!$D$2:$D$9999*Raw_Data_Daily!$AR$2:$AR$9999)/SUMIFS(Raw_Data_Daily!$D:$D, Raw_Data_Daily!$B:$B, "Variant", Raw_Data_Daily!$A:$A, $A14, Raw_Data_Daily!$C:$C, $C$3),""))</f>
        <v/>
      </c>
      <c r="DW14" s="167" t="str">
        <f t="shared" si="38"/>
        <v/>
      </c>
      <c r="DX14" s="139" t="str">
        <f>IF($A14="","",IFERROR(SUMPRODUCT((Raw_Data_Daily!$B$2:$B$9999="Control")*(Raw_Data_Daily!$A$2:$A$9999=$A14)*(Raw_Data_Daily!$C$2:$C$9999=$C$3)*Raw_Data_Daily!$D$2:$D$9999*Raw_Data_Daily!$AS$2:$AS$9999)/SUMIFS(Raw_Data_Daily!$D:$D, Raw_Data_Daily!$B:$B, "Control", Raw_Data_Daily!$A:$A, $A14, Raw_Data_Daily!$C:$C, $C$3),""))</f>
        <v/>
      </c>
      <c r="DY14" s="139" t="str">
        <f>IF($A14="","",IFERROR(SUMPRODUCT((Raw_Data_Daily!$B$2:$B$9999="Variant")*(Raw_Data_Daily!$A$2:$A$9999=$A14)*(Raw_Data_Daily!$C$2:$C$9999=$C$3)*Raw_Data_Daily!$D$2:$D$9999*Raw_Data_Daily!$AS$2:$AS$9999)/SUMIFS(Raw_Data_Daily!$D:$D, Raw_Data_Daily!$B:$B, "Variant", Raw_Data_Daily!$A:$A, $A14, Raw_Data_Daily!$C:$C, $C$3),""))</f>
        <v/>
      </c>
      <c r="DZ14" s="168" t="str">
        <f t="shared" si="39"/>
        <v/>
      </c>
      <c r="EA14" s="139" t="str">
        <f>IF($A14="","",IFERROR(SUMPRODUCT((Raw_Data_Daily!$B$2:$B$9999="Control")*(Raw_Data_Daily!$A$2:$A$9999=$A14)*(Raw_Data_Daily!$C$2:$C$9999=$C$3)*Raw_Data_Daily!$D$2:$D$9999*Raw_Data_Daily!$AT$2:$AT$9999)/SUMIFS(Raw_Data_Daily!$D:$D, Raw_Data_Daily!$B:$B, "Control", Raw_Data_Daily!$A:$A, $A14, Raw_Data_Daily!$C:$C, $C$3),""))</f>
        <v/>
      </c>
      <c r="EB14" s="139" t="str">
        <f>IF($A14="","",IFERROR(SUMPRODUCT((Raw_Data_Daily!$B$2:$B$9999="Variant")*(Raw_Data_Daily!$A$2:$A$9999=$A14)*(Raw_Data_Daily!$C$2:$C$9999=$C$3)*Raw_Data_Daily!$D$2:$D$9999*Raw_Data_Daily!$AT$2:$AT$9999)/SUMIFS(Raw_Data_Daily!$D:$D, Raw_Data_Daily!$B:$B, "Variant", Raw_Data_Daily!$A:$A, $A14, Raw_Data_Daily!$C:$C, $C$3),""))</f>
        <v/>
      </c>
      <c r="EC14" s="167" t="str">
        <f t="shared" si="40"/>
        <v/>
      </c>
      <c r="ED14" s="139" t="str">
        <f>IF($A14="","",IFERROR(SUMPRODUCT((Raw_Data_Daily!$B$2:$B$9999="Control")*(Raw_Data_Daily!$A$2:$A$9999=$A14)*(Raw_Data_Daily!$C$2:$C$9999=$C$3)*Raw_Data_Daily!$D$2:$D$9999*(Raw_Data_Daily!$AQ$2:$AQ$9999-Raw_Data_Daily!$AT$2:$AT$9999))/SUMIFS(Raw_Data_Daily!$D:$D, Raw_Data_Daily!$B:$B, "Control", Raw_Data_Daily!$A:$A, $A14, Raw_Data_Daily!$C:$C, $C$3),""))</f>
        <v/>
      </c>
      <c r="EE14" s="139" t="str">
        <f>IF($A14="","",IFERROR(SUMPRODUCT((Raw_Data_Daily!$B$2:$B$9999="Variant")*(Raw_Data_Daily!$A$2:$A$9999=$A14)*(Raw_Data_Daily!$C$2:$C$9999=$C$3)*Raw_Data_Daily!$D$2:$D$9999*(Raw_Data_Daily!$AQ$2:$AQ$9999-Raw_Data_Daily!$AT$2:$AT$9999))/SUMIFS(Raw_Data_Daily!$D:$D, Raw_Data_Daily!$B:$B, "Variant", Raw_Data_Daily!$A:$A, $A14, Raw_Data_Daily!$C:$C, $C$3),""))</f>
        <v/>
      </c>
      <c r="EF14" s="168" t="str">
        <f t="shared" si="41"/>
        <v/>
      </c>
      <c r="EG14" s="139" t="str">
        <f>IF($A14="","",IFERROR(SUMPRODUCT((Raw_Data_Daily!$B$2:$B$9999="Control")*(Raw_Data_Daily!$A$2:$A$9999=$A14)*(Raw_Data_Daily!$C$2:$C$9999=$C$3)*Raw_Data_Daily!$D$2:$D$9999*Raw_Data_Daily!$AU$2:$AU$9999)/SUMIFS(Raw_Data_Daily!$D:$D, Raw_Data_Daily!$B:$B, "Control", Raw_Data_Daily!$A:$A, $A14, Raw_Data_Daily!$C:$C, $C$3),""))</f>
        <v/>
      </c>
      <c r="EH14" s="139" t="str">
        <f>IF($A14="","",IFERROR(SUMPRODUCT((Raw_Data_Daily!$B$2:$B$9999="Variant")*(Raw_Data_Daily!$A$2:$A$9999=$A14)*(Raw_Data_Daily!$C$2:$C$9999=$C$3)*Raw_Data_Daily!$D$2:$D$9999*Raw_Data_Daily!$AU$2:$AU$9999)/SUMIFS(Raw_Data_Daily!$D:$D, Raw_Data_Daily!$B:$B, "Variant", Raw_Data_Daily!$A:$A, $A14, Raw_Data_Daily!$C:$C, $C$3),""))</f>
        <v/>
      </c>
      <c r="EI14" s="167" t="str">
        <f t="shared" si="42"/>
        <v/>
      </c>
    </row>
    <row r="15" ht="15.75" customHeight="1">
      <c r="A15" s="126">
        <v>46238.0</v>
      </c>
      <c r="B15" s="128">
        <f>IF($A15="","",SUMIFS(Raw_Data_Daily!$D:$D, Raw_Data_Daily!$B:$B, "Control", Raw_Data_Daily!$A:$A, $A15, Raw_Data_Daily!$C:$C, $C$3))</f>
        <v>0</v>
      </c>
      <c r="C15" s="128">
        <f>IF($A15="","",SUMIFS(Raw_Data_Daily!$D:$D, Raw_Data_Daily!$B:$B, "Variant", Raw_Data_Daily!$A:$A, $A15, Raw_Data_Daily!$C:$C, $C$3))</f>
        <v>0</v>
      </c>
      <c r="D15" s="129" t="str">
        <f t="shared" si="1"/>
        <v/>
      </c>
      <c r="E15" s="130" t="str">
        <f>IF($A15="","",IFERROR(SUMPRODUCT((Raw_Data_Daily!$B$2:$B$9999="Control")*(Raw_Data_Daily!$A$2:$A$9999=$A15)*(Raw_Data_Daily!$C$2:$C$9999=$C$3)*Raw_Data_Daily!$D$2:$D$9999*Raw_Data_Daily!$E$2:$E$9999)/SUMIFS(Raw_Data_Daily!$D:$D, Raw_Data_Daily!$B:$B, "Control", Raw_Data_Daily!$A:$A, $A15, Raw_Data_Daily!$C:$C, $C$3),""))</f>
        <v/>
      </c>
      <c r="F15" s="130" t="str">
        <f>IF($A15="","",IFERROR(SUMPRODUCT((Raw_Data_Daily!$B$2:$B$9999="Variant")*(Raw_Data_Daily!$A$2:$A$9999=$A15)*(Raw_Data_Daily!$C$2:$C$9999=$C$3)*Raw_Data_Daily!$D$2:$D$9999*Raw_Data_Daily!$E$2:$E$9999)/SUMIFS(Raw_Data_Daily!$D:$D, Raw_Data_Daily!$B:$B, "Variant", Raw_Data_Daily!$A:$A, $A15, Raw_Data_Daily!$C:$C, $C$3),""))</f>
        <v/>
      </c>
      <c r="G15" s="129" t="str">
        <f t="shared" si="2"/>
        <v/>
      </c>
      <c r="H15" s="131">
        <f>IF($A15="","",SUMIFS(Raw_Data_Daily!$F:$F, Raw_Data_Daily!$B:$B, "Control", Raw_Data_Daily!$A:$A, $A15, Raw_Data_Daily!$C:$C, $C$3))</f>
        <v>0</v>
      </c>
      <c r="I15" s="131">
        <f>IF($A15="","",SUMIFS(Raw_Data_Daily!$F:$F, Raw_Data_Daily!$B:$B, "Variant", Raw_Data_Daily!$A:$A, $A15, Raw_Data_Daily!$C:$C, $C$3))</f>
        <v>0</v>
      </c>
      <c r="J15" s="132" t="str">
        <f t="shared" si="3"/>
        <v/>
      </c>
      <c r="K15" s="134" t="str">
        <f>IF($A15="","",IFERROR(SUMIFS(Raw_Data_Daily!$F:$F, Raw_Data_Daily!$B:$B, "Control", Raw_Data_Daily!$A:$A, $A15, Raw_Data_Daily!$C:$C, $C$3)/SUMIFS(Raw_Data_Daily!$D:$D, Raw_Data_Daily!$B:$B, "Control", Raw_Data_Daily!$A:$A, $A15, Raw_Data_Daily!$C:$C, $C$3),""))</f>
        <v/>
      </c>
      <c r="L15" s="134" t="str">
        <f>IF($A15="","",IFERROR(SUMIFS(Raw_Data_Daily!$F:$F, Raw_Data_Daily!$B:$B, "Variant", Raw_Data_Daily!$A:$A, $A15, Raw_Data_Daily!$C:$C, $C$3)/SUMIFS(Raw_Data_Daily!$D:$D, Raw_Data_Daily!$B:$B, "Variant", Raw_Data_Daily!$A:$A, $A15, Raw_Data_Daily!$C:$C, $C$3),""))</f>
        <v/>
      </c>
      <c r="M15" s="132" t="str">
        <f t="shared" si="4"/>
        <v/>
      </c>
      <c r="N15" s="130" t="str">
        <f>IF($A15="","",IFERROR(SUMPRODUCT((Raw_Data_Daily!$B$2:$B$9999="Control")*(Raw_Data_Daily!$A$2:$A$9999=$A15)*(Raw_Data_Daily!$C$2:$C$9999=$C$3)*Raw_Data_Daily!$D$2:$D$9999*Raw_Data_Daily!$H$2:$H$9999/100)/SUMIFS(Raw_Data_Daily!$D:$D, Raw_Data_Daily!$B:$B, "Control", Raw_Data_Daily!$A:$A, $A15, Raw_Data_Daily!$C:$C, $C$3)*100,""))</f>
        <v/>
      </c>
      <c r="O15" s="130" t="str">
        <f>IF($A15="","",IFERROR(SUMPRODUCT((Raw_Data_Daily!$B$2:$B$9999="Variant")*(Raw_Data_Daily!$A$2:$A$9999=$A15)*(Raw_Data_Daily!$C$2:$C$9999=$C$3)*Raw_Data_Daily!$D$2:$D$9999*Raw_Data_Daily!$H$2:$H$9999/100)/SUMIFS(Raw_Data_Daily!$D:$D, Raw_Data_Daily!$B:$B, "Variant", Raw_Data_Daily!$A:$A, $A15, Raw_Data_Daily!$C:$C, $C$3)*100,""))</f>
        <v/>
      </c>
      <c r="P15" s="132" t="str">
        <f t="shared" si="5"/>
        <v/>
      </c>
      <c r="Q15" s="134" t="str">
        <f>IF($A15="","",IFERROR(SUMIFS(Raw_Data_Daily!$F:$F, Raw_Data_Daily!$B:$B, "Control", Raw_Data_Daily!$A:$A, $A15, Raw_Data_Daily!$C:$C, $C$3)/SUMPRODUCT((Raw_Data_Daily!$B$2:$B$9999="Control")*(Raw_Data_Daily!$A$2:$A$9999=$A15)*(Raw_Data_Daily!$C$2:$C$9999=$C$3)*Raw_Data_Daily!$D$2:$D$9999*Raw_Data_Daily!$H$2:$H$9999/100),""))</f>
        <v/>
      </c>
      <c r="R15" s="134" t="str">
        <f>IF($A15="","",IFERROR(SUMIFS(Raw_Data_Daily!$F:$F, Raw_Data_Daily!$B:$B, "Variant", Raw_Data_Daily!$A:$A, $A15, Raw_Data_Daily!$C:$C, $C$3)/SUMPRODUCT((Raw_Data_Daily!$B$2:$B$9999="Variant")*(Raw_Data_Daily!$A$2:$A$9999=$A15)*(Raw_Data_Daily!$C$2:$C$9999=$C$3)*Raw_Data_Daily!$D$2:$D$9999*Raw_Data_Daily!$H$2:$H$9999/100),""))</f>
        <v/>
      </c>
      <c r="S15" s="132" t="str">
        <f t="shared" si="6"/>
        <v/>
      </c>
      <c r="T15" s="137" t="str">
        <f>IF($A15="","",IFERROR(SUMPRODUCT((Raw_Data_Daily!$B$2:$B$9999="Control")*(Raw_Data_Daily!$A$2:$A$9999=$A15)*(Raw_Data_Daily!$C$2:$C$9999=$C$3)*Raw_Data_Daily!$D$2:$D$9999*Raw_Data_Daily!$J$2:$J$9999)/SUMIFS(Raw_Data_Daily!$D:$D, Raw_Data_Daily!$B:$B, "Control", Raw_Data_Daily!$A:$A, $A15, Raw_Data_Daily!$C:$C, $C$3),""))</f>
        <v/>
      </c>
      <c r="U15" s="137" t="str">
        <f>IF($A15="","",IFERROR(SUMPRODUCT((Raw_Data_Daily!$B$2:$B$9999="Variant")*(Raw_Data_Daily!$A$2:$A$9999=$A15)*(Raw_Data_Daily!$C$2:$C$9999=$C$3)*Raw_Data_Daily!$D$2:$D$9999*Raw_Data_Daily!$J$2:$J$9999)/SUMIFS(Raw_Data_Daily!$D:$D, Raw_Data_Daily!$B:$B, "Variant", Raw_Data_Daily!$A:$A, $A15, Raw_Data_Daily!$C:$C, $C$3),""))</f>
        <v/>
      </c>
      <c r="V15" s="132" t="str">
        <f t="shared" si="7"/>
        <v/>
      </c>
      <c r="W15" s="137" t="str">
        <f>IF($A15="","",IFERROR(SUMPRODUCT((Raw_Data_Daily!$B$2:$B$9999="Control")*(Raw_Data_Daily!$A$2:$A$9999=$A15)*(Raw_Data_Daily!$C$2:$C$9999=$C$3)*Raw_Data_Daily!$D$2:$D$9999*Raw_Data_Daily!$K$2:$K$9999)/SUMIFS(Raw_Data_Daily!$D:$D, Raw_Data_Daily!$B:$B, "Control", Raw_Data_Daily!$A:$A, $A15, Raw_Data_Daily!$C:$C, $C$3),""))</f>
        <v/>
      </c>
      <c r="X15" s="137" t="str">
        <f>IF($A15="","",IFERROR(SUMPRODUCT((Raw_Data_Daily!$B$2:$B$9999="Variant")*(Raw_Data_Daily!$A$2:$A$9999=$A15)*(Raw_Data_Daily!$C$2:$C$9999=$C$3)*Raw_Data_Daily!$D$2:$D$9999*Raw_Data_Daily!$K$2:$K$9999)/SUMIFS(Raw_Data_Daily!$D:$D, Raw_Data_Daily!$B:$B, "Variant", Raw_Data_Daily!$A:$A, $A15, Raw_Data_Daily!$C:$C, $C$3),""))</f>
        <v/>
      </c>
      <c r="Y15" s="132" t="str">
        <f t="shared" si="8"/>
        <v/>
      </c>
      <c r="Z15" s="137" t="str">
        <f>IF($A15="","",IFERROR(SUMPRODUCT((Raw_Data_Daily!$B$2:$B$9999="Control")*(Raw_Data_Daily!$A$2:$A$9999=$A15)*(Raw_Data_Daily!$C$2:$C$9999=$C$3)*Raw_Data_Daily!$D$2:$D$9999*Raw_Data_Daily!$L$2:$L$9999)/SUMIFS(Raw_Data_Daily!$D:$D, Raw_Data_Daily!$B:$B, "Control", Raw_Data_Daily!$A:$A, $A15, Raw_Data_Daily!$C:$C, $C$3),""))</f>
        <v/>
      </c>
      <c r="AA15" s="137" t="str">
        <f>IF($A15="","",IFERROR(SUMPRODUCT((Raw_Data_Daily!$B$2:$B$9999="Variant")*(Raw_Data_Daily!$A$2:$A$9999=$A15)*(Raw_Data_Daily!$C$2:$C$9999=$C$3)*Raw_Data_Daily!$D$2:$D$9999*Raw_Data_Daily!$L$2:$L$9999)/SUMIFS(Raw_Data_Daily!$D:$D, Raw_Data_Daily!$B:$B, "Variant", Raw_Data_Daily!$A:$A, $A15, Raw_Data_Daily!$C:$C, $C$3),""))</f>
        <v/>
      </c>
      <c r="AB15" s="132" t="str">
        <f t="shared" si="9"/>
        <v/>
      </c>
      <c r="AC15" s="139" t="str">
        <f>IF($A15="","",IFERROR(SUMPRODUCT((Raw_Data_Daily!$B$2:$B$9999="Control")*(Raw_Data_Daily!$A$2:$A$9999=$A15)*(Raw_Data_Daily!$C$2:$C$9999=$C$3)*Raw_Data_Daily!$D$2:$D$9999*Raw_Data_Daily!$M$2:$M$9999)/SUMIFS(Raw_Data_Daily!$D:$D, Raw_Data_Daily!$B:$B, "Control", Raw_Data_Daily!$A:$A, $A15, Raw_Data_Daily!$C:$C, $C$3),""))</f>
        <v/>
      </c>
      <c r="AD15" s="139" t="str">
        <f>IF($A15="","",IFERROR(SUMPRODUCT((Raw_Data_Daily!$B$2:$B$9999="Variant")*(Raw_Data_Daily!$A$2:$A$9999=$A15)*(Raw_Data_Daily!$C$2:$C$9999=$C$3)*Raw_Data_Daily!$D$2:$D$9999*Raw_Data_Daily!$M$2:$M$9999)/SUMIFS(Raw_Data_Daily!$D:$D, Raw_Data_Daily!$B:$B, "Variant", Raw_Data_Daily!$A:$A, $A15, Raw_Data_Daily!$C:$C, $C$3),""))</f>
        <v/>
      </c>
      <c r="AE15" s="140" t="str">
        <f t="shared" si="10"/>
        <v/>
      </c>
      <c r="AF15" s="139" t="str">
        <f>IF($A15="","",IFERROR(SUMPRODUCT((Raw_Data_Daily!$B$2:$B$9999="Control")*(Raw_Data_Daily!$A$2:$A$9999=$A15)*(Raw_Data_Daily!$C$2:$C$9999=$C$3)*Raw_Data_Daily!$D$2:$D$9999*Raw_Data_Daily!$N$2:$N$9999)/SUMIFS(Raw_Data_Daily!$D:$D, Raw_Data_Daily!$B:$B, "Control", Raw_Data_Daily!$A:$A, $A15, Raw_Data_Daily!$C:$C, $C$3),""))</f>
        <v/>
      </c>
      <c r="AG15" s="139" t="str">
        <f>IF($A15="","",IFERROR(SUMPRODUCT((Raw_Data_Daily!$B$2:$B$9999="Variant")*(Raw_Data_Daily!$A$2:$A$9999=$A15)*(Raw_Data_Daily!$C$2:$C$9999=$C$3)*Raw_Data_Daily!$D$2:$D$9999*Raw_Data_Daily!$N$2:$N$9999)/SUMIFS(Raw_Data_Daily!$D:$D, Raw_Data_Daily!$B:$B, "Variant", Raw_Data_Daily!$A:$A, $A15, Raw_Data_Daily!$C:$C, $C$3),""))</f>
        <v/>
      </c>
      <c r="AH15" s="140" t="str">
        <f t="shared" si="11"/>
        <v/>
      </c>
      <c r="AI15" s="139" t="str">
        <f>IF($A15="","",IFERROR(SUMPRODUCT((Raw_Data_Daily!$B$2:$B$9999="Control")*(Raw_Data_Daily!$A$2:$A$9999=$A15)*(Raw_Data_Daily!$C$2:$C$9999=$C$3)*Raw_Data_Daily!$D$2:$D$9999*Raw_Data_Daily!$O$2:$O$9999)/SUMIFS(Raw_Data_Daily!$D:$D, Raw_Data_Daily!$B:$B, "Control", Raw_Data_Daily!$A:$A, $A15, Raw_Data_Daily!$C:$C, $C$3),""))</f>
        <v/>
      </c>
      <c r="AJ15" s="139" t="str">
        <f>IF($A15="","",IFERROR(SUMPRODUCT((Raw_Data_Daily!$B$2:$B$9999="Variant")*(Raw_Data_Daily!$A$2:$A$9999=$A15)*(Raw_Data_Daily!$C$2:$C$9999=$C$3)*Raw_Data_Daily!$D$2:$D$9999*Raw_Data_Daily!$O$2:$O$9999)/SUMIFS(Raw_Data_Daily!$D:$D, Raw_Data_Daily!$B:$B, "Variant", Raw_Data_Daily!$A:$A, $A15, Raw_Data_Daily!$C:$C, $C$3),""))</f>
        <v/>
      </c>
      <c r="AK15" s="132" t="str">
        <f t="shared" si="12"/>
        <v/>
      </c>
      <c r="AL15" s="137" t="str">
        <f>IF($A15="","",IFERROR(SUMPRODUCT((Raw_Data_Daily!$B$2:$B$9999="Control")*(Raw_Data_Daily!$A$2:$A$9999=$A15)*(Raw_Data_Daily!$C$2:$C$9999=$C$3)*Raw_Data_Daily!$D$2:$D$9999*Raw_Data_Daily!$P$2:$P$9999)/SUMIFS(Raw_Data_Daily!$D:$D, Raw_Data_Daily!$B:$B, "Control", Raw_Data_Daily!$A:$A, $A15, Raw_Data_Daily!$C:$C, $C$3),""))</f>
        <v/>
      </c>
      <c r="AM15" s="137" t="str">
        <f>IF($A15="","",IFERROR(SUMPRODUCT((Raw_Data_Daily!$B$2:$B$9999="Variant")*(Raw_Data_Daily!$A$2:$A$9999=$A15)*(Raw_Data_Daily!$C$2:$C$9999=$C$3)*Raw_Data_Daily!$D$2:$D$9999*Raw_Data_Daily!$P$2:$P$9999)/SUMIFS(Raw_Data_Daily!$D:$D, Raw_Data_Daily!$B:$B, "Variant", Raw_Data_Daily!$A:$A, $A15, Raw_Data_Daily!$C:$C, $C$3),""))</f>
        <v/>
      </c>
      <c r="AN15" s="132" t="str">
        <f t="shared" si="13"/>
        <v/>
      </c>
      <c r="AO15" s="137" t="str">
        <f>IF($A15="","",IFERROR(SUMPRODUCT((Raw_Data_Daily!$B$2:$B$9999="Control")*(Raw_Data_Daily!$A$2:$A$9999=$A15)*(Raw_Data_Daily!$C$2:$C$9999=$C$3)*Raw_Data_Daily!$D$2:$D$9999*Raw_Data_Daily!$Q$2:$Q$9999)/SUMIFS(Raw_Data_Daily!$D:$D, Raw_Data_Daily!$B:$B, "Control", Raw_Data_Daily!$A:$A, $A15, Raw_Data_Daily!$C:$C, $C$3),""))</f>
        <v/>
      </c>
      <c r="AP15" s="137" t="str">
        <f>IF($A15="","",IFERROR(SUMPRODUCT((Raw_Data_Daily!$B$2:$B$9999="Variant")*(Raw_Data_Daily!$A$2:$A$9999=$A15)*(Raw_Data_Daily!$C$2:$C$9999=$C$3)*Raw_Data_Daily!$D$2:$D$9999*Raw_Data_Daily!$Q$2:$Q$9999)/SUMIFS(Raw_Data_Daily!$D:$D, Raw_Data_Daily!$B:$B, "Variant", Raw_Data_Daily!$A:$A, $A15, Raw_Data_Daily!$C:$C, $C$3),""))</f>
        <v/>
      </c>
      <c r="AQ15" s="129" t="str">
        <f t="shared" si="14"/>
        <v/>
      </c>
      <c r="AR15" s="137" t="str">
        <f>IF($A15="","",IFERROR(SUMPRODUCT((Raw_Data_Daily!$B$2:$B$9999="Control")*(Raw_Data_Daily!$A$2:$A$9999=$A15)*(Raw_Data_Daily!$C$2:$C$9999=$C$3)*Raw_Data_Daily!$D$2:$D$9999*Raw_Data_Daily!$R$2:$R$9999)/SUMIFS(Raw_Data_Daily!$D:$D, Raw_Data_Daily!$B:$B, "Control", Raw_Data_Daily!$A:$A, $A15, Raw_Data_Daily!$C:$C, $C$3),""))</f>
        <v/>
      </c>
      <c r="AS15" s="137" t="str">
        <f>IF($A15="","",IFERROR(SUMPRODUCT((Raw_Data_Daily!$B$2:$B$9999="Variant")*(Raw_Data_Daily!$A$2:$A$9999=$A15)*(Raw_Data_Daily!$C$2:$C$9999=$C$3)*Raw_Data_Daily!$D$2:$D$9999*Raw_Data_Daily!$R$2:$R$9999)/SUMIFS(Raw_Data_Daily!$D:$D, Raw_Data_Daily!$B:$B, "Variant", Raw_Data_Daily!$A:$A, $A15, Raw_Data_Daily!$C:$C, $C$3),""))</f>
        <v/>
      </c>
      <c r="AT15" s="129" t="str">
        <f t="shared" si="15"/>
        <v/>
      </c>
      <c r="AU15" s="137" t="str">
        <f>IF($A15="","",IFERROR(SUMPRODUCT((Raw_Data_Daily!$B$2:$B$9999="Control")*(Raw_Data_Daily!$A$2:$A$9999=$A15)*(Raw_Data_Daily!$C$2:$C$9999=$C$3)*Raw_Data_Daily!$D$2:$D$9999*Raw_Data_Daily!$S$2:$S$9999)/SUMIFS(Raw_Data_Daily!$D:$D, Raw_Data_Daily!$B:$B, "Control", Raw_Data_Daily!$A:$A, $A15, Raw_Data_Daily!$C:$C, $C$3),""))</f>
        <v/>
      </c>
      <c r="AV15" s="137" t="str">
        <f>IF($A15="","",IFERROR(SUMPRODUCT((Raw_Data_Daily!$B$2:$B$9999="Variant")*(Raw_Data_Daily!$A$2:$A$9999=$A15)*(Raw_Data_Daily!$C$2:$C$9999=$C$3)*Raw_Data_Daily!$D$2:$D$9999*Raw_Data_Daily!$S$2:$S$9999)/SUMIFS(Raw_Data_Daily!$D:$D, Raw_Data_Daily!$B:$B, "Variant", Raw_Data_Daily!$A:$A, $A15, Raw_Data_Daily!$C:$C, $C$3),""))</f>
        <v/>
      </c>
      <c r="AW15" s="129" t="str">
        <f t="shared" si="16"/>
        <v/>
      </c>
      <c r="AX15" s="137" t="str">
        <f>IF($A15="","",IFERROR(SUMPRODUCT((Raw_Data_Daily!$B$2:$B$9999="Control")*(Raw_Data_Daily!$A$2:$A$9999=$A15)*(Raw_Data_Daily!$C$2:$C$9999=$C$3)*Raw_Data_Daily!$D$2:$D$9999*Raw_Data_Daily!$T$2:$T$9999)/SUMIFS(Raw_Data_Daily!$D:$D, Raw_Data_Daily!$B:$B, "Control", Raw_Data_Daily!$A:$A, $A15, Raw_Data_Daily!$C:$C, $C$3),""))</f>
        <v/>
      </c>
      <c r="AY15" s="137" t="str">
        <f>IF($A15="","",IFERROR(SUMPRODUCT((Raw_Data_Daily!$B$2:$B$9999="Variant")*(Raw_Data_Daily!$A$2:$A$9999=$A15)*(Raw_Data_Daily!$C$2:$C$9999=$C$3)*Raw_Data_Daily!$D$2:$D$9999*Raw_Data_Daily!$T$2:$T$9999)/SUMIFS(Raw_Data_Daily!$D:$D, Raw_Data_Daily!$B:$B, "Variant", Raw_Data_Daily!$A:$A, $A15, Raw_Data_Daily!$C:$C, $C$3),""))</f>
        <v/>
      </c>
      <c r="AZ15" s="132" t="str">
        <f t="shared" si="17"/>
        <v/>
      </c>
      <c r="BA15" s="137" t="str">
        <f>IF($A15="","",IFERROR(SUMPRODUCT((Raw_Data_Daily!$B$2:$B$9999="Control")*(Raw_Data_Daily!$A$2:$A$9999=$A15)*(Raw_Data_Daily!$C$2:$C$9999=$C$3)*Raw_Data_Daily!$D$2:$D$9999*Raw_Data_Daily!$U$2:$U$9999)/SUMIFS(Raw_Data_Daily!$D:$D, Raw_Data_Daily!$B:$B, "Control", Raw_Data_Daily!$A:$A, $A15, Raw_Data_Daily!$C:$C, $C$3),""))</f>
        <v/>
      </c>
      <c r="BB15" s="137" t="str">
        <f>IF($A15="","",IFERROR(SUMPRODUCT((Raw_Data_Daily!$B$2:$B$9999="Variant")*(Raw_Data_Daily!$A$2:$A$9999=$A15)*(Raw_Data_Daily!$C$2:$C$9999=$C$3)*Raw_Data_Daily!$D$2:$D$9999*Raw_Data_Daily!$U$2:$U$9999)/SUMIFS(Raw_Data_Daily!$D:$D, Raw_Data_Daily!$B:$B, "Variant", Raw_Data_Daily!$A:$A, $A15, Raw_Data_Daily!$C:$C, $C$3),""))</f>
        <v/>
      </c>
      <c r="BC15" s="129" t="str">
        <f t="shared" si="18"/>
        <v/>
      </c>
      <c r="BD15" s="137" t="str">
        <f>IF($A15="","",IFERROR(SUMPRODUCT((Raw_Data_Daily!$B$2:$B$9999="Control")*(Raw_Data_Daily!$A$2:$A$9999=$A15)*(Raw_Data_Daily!$C$2:$C$9999=$C$3)*Raw_Data_Daily!$D$2:$D$9999*Raw_Data_Daily!$V$2:$V$9999)/SUMIFS(Raw_Data_Daily!$D:$D, Raw_Data_Daily!$B:$B, "Control", Raw_Data_Daily!$A:$A, $A15, Raw_Data_Daily!$C:$C, $C$3),""))</f>
        <v/>
      </c>
      <c r="BE15" s="137" t="str">
        <f>IF($A15="","",IFERROR(SUMPRODUCT((Raw_Data_Daily!$B$2:$B$9999="Variant")*(Raw_Data_Daily!$A$2:$A$9999=$A15)*(Raw_Data_Daily!$C$2:$C$9999=$C$3)*Raw_Data_Daily!$D$2:$D$9999*Raw_Data_Daily!$V$2:$V$9999)/SUMIFS(Raw_Data_Daily!$D:$D, Raw_Data_Daily!$B:$B, "Variant", Raw_Data_Daily!$A:$A, $A15, Raw_Data_Daily!$C:$C, $C$3),""))</f>
        <v/>
      </c>
      <c r="BF15" s="148" t="str">
        <f t="shared" si="19"/>
        <v/>
      </c>
      <c r="BG15" s="149" t="str">
        <f>IF($A15="","",IFERROR(SUMPRODUCT((Raw_Data_Daily!$B$2:$B$9999="Control")*(Raw_Data_Daily!$A$2:$A$9999=$A15)*(Raw_Data_Daily!$C$2:$C$9999=$C$3)*Raw_Data_Daily!$D$2:$D$9999*(Raw_Data_Daily!$Q$2:$Q$9999-Raw_Data_Daily!$V$2:$V$9999))/SUMIFS(Raw_Data_Daily!$D:$D, Raw_Data_Daily!$B:$B, "Control", Raw_Data_Daily!$A:$A, $A15, Raw_Data_Daily!$C:$C, $C$3),""))</f>
        <v/>
      </c>
      <c r="BH15" s="137" t="str">
        <f>IF($A15="","",IFERROR(SUMPRODUCT((Raw_Data_Daily!$B$2:$B$9999="Variant")*(Raw_Data_Daily!$A$2:$A$9999=$A15)*(Raw_Data_Daily!$C$2:$C$9999=$C$3)*Raw_Data_Daily!$D$2:$D$9999*(Raw_Data_Daily!$Q$2:$Q$9999-Raw_Data_Daily!$V$2:$V$9999))/SUMIFS(Raw_Data_Daily!$D:$D, Raw_Data_Daily!$B:$B, "Variant", Raw_Data_Daily!$A:$A, $A15, Raw_Data_Daily!$C:$C, $C$3),""))</f>
        <v/>
      </c>
      <c r="BI15" s="155" t="str">
        <f t="shared" si="20"/>
        <v/>
      </c>
      <c r="BJ15" s="156" t="str">
        <f>IF($A15="","",IFERROR(SUMPRODUCT((Raw_Data_Daily!$B$2:$B$9999="Control")*(Raw_Data_Daily!$A$2:$A$9999=$A15)*(Raw_Data_Daily!$C$2:$C$9999=$C$3)*Raw_Data_Daily!$D$2:$D$9999*Raw_Data_Daily!$W$2:$W$9999)/SUMIFS(Raw_Data_Daily!$D:$D, Raw_Data_Daily!$B:$B, "Control", Raw_Data_Daily!$A:$A, $A15, Raw_Data_Daily!$C:$C, $C$3),""))</f>
        <v/>
      </c>
      <c r="BK15" s="137" t="str">
        <f>IF($A15="","",IFERROR(SUMPRODUCT((Raw_Data_Daily!$B$2:$B$9999="Variant")*(Raw_Data_Daily!$A$2:$A$9999=$A15)*(Raw_Data_Daily!$C$2:$C$9999=$C$3)*Raw_Data_Daily!$D$2:$D$9999*Raw_Data_Daily!$W$2:$W$9999)/SUMIFS(Raw_Data_Daily!$D:$D, Raw_Data_Daily!$B:$B, "Variant", Raw_Data_Daily!$A:$A, $A15, Raw_Data_Daily!$C:$C, $C$3),""))</f>
        <v/>
      </c>
      <c r="BL15" s="129" t="str">
        <f t="shared" si="21"/>
        <v/>
      </c>
      <c r="BM15" s="139" t="str">
        <f>IF($A15="","",IFERROR(SUMPRODUCT((Raw_Data_Daily!$B$2:$B$9999="Control")*(Raw_Data_Daily!$A$2:$A$9999=$A15)*(Raw_Data_Daily!$C$2:$C$9999=$C$3)*Raw_Data_Daily!$D$2:$D$9999*Raw_Data_Daily!$X$2:$X$9999)/SUMIFS(Raw_Data_Daily!$D:$D, Raw_Data_Daily!$B:$B, "Control", Raw_Data_Daily!$A:$A, $A15, Raw_Data_Daily!$C:$C, $C$3),""))</f>
        <v/>
      </c>
      <c r="BN15" s="139" t="str">
        <f>IF($A15="","",IFERROR(SUMPRODUCT((Raw_Data_Daily!$B$2:$B$9999="Variant")*(Raw_Data_Daily!$A$2:$A$9999=$A15)*(Raw_Data_Daily!$C$2:$C$9999=$C$3)*Raw_Data_Daily!$D$2:$D$9999*Raw_Data_Daily!$X$2:$X$9999)/SUMIFS(Raw_Data_Daily!$D:$D, Raw_Data_Daily!$B:$B, "Variant", Raw_Data_Daily!$A:$A, $A15, Raw_Data_Daily!$C:$C, $C$3),""))</f>
        <v/>
      </c>
      <c r="BO15" s="132" t="str">
        <f t="shared" si="22"/>
        <v/>
      </c>
      <c r="BP15" s="128" t="str">
        <f>IF($A15="","",IFERROR(SUMPRODUCT((Raw_Data_Daily!$B$2:$B$9999="Control")*(Raw_Data_Daily!$A$2:$A$9999=$A15)*(Raw_Data_Daily!$C$2:$C$9999=$C$3)*Raw_Data_Daily!$D$2:$D$9999*Raw_Data_Daily!$Y$2:$Y$9999)/SUMIFS(Raw_Data_Daily!$D:$D, Raw_Data_Daily!$B:$B, "Control", Raw_Data_Daily!$A:$A, $A15, Raw_Data_Daily!$C:$C, $C$3),""))</f>
        <v/>
      </c>
      <c r="BQ15" s="128" t="str">
        <f>IF($A15="","",IFERROR(SUMPRODUCT((Raw_Data_Daily!$B$2:$B$9999="Variant")*(Raw_Data_Daily!$A$2:$A$9999=$A15)*(Raw_Data_Daily!$C$2:$C$9999=$C$3)*Raw_Data_Daily!$D$2:$D$9999*Raw_Data_Daily!$Y$2:$Y$9999)/SUMIFS(Raw_Data_Daily!$D:$D, Raw_Data_Daily!$B:$B, "Variant", Raw_Data_Daily!$A:$A, $A15, Raw_Data_Daily!$C:$C, $C$3),""))</f>
        <v/>
      </c>
      <c r="BR15" s="129" t="str">
        <f t="shared" si="23"/>
        <v/>
      </c>
      <c r="BS15" s="128" t="str">
        <f>IF($A15="","",IFERROR(SUMPRODUCT((Raw_Data_Daily!$B$2:$B$9999="Control")*(Raw_Data_Daily!$A$2:$A$9999=$A15)*(Raw_Data_Daily!$C$2:$C$9999=$C$3)*Raw_Data_Daily!$D$2:$D$9999*Raw_Data_Daily!$Z$2:$Z$9999)/SUMIFS(Raw_Data_Daily!$D:$D, Raw_Data_Daily!$B:$B, "Control", Raw_Data_Daily!$A:$A, $A15, Raw_Data_Daily!$C:$C, $C$3),""))</f>
        <v/>
      </c>
      <c r="BT15" s="128" t="str">
        <f>IF($A15="","",IFERROR(SUMPRODUCT((Raw_Data_Daily!$B$2:$B$9999="Variant")*(Raw_Data_Daily!$A$2:$A$9999=$A15)*(Raw_Data_Daily!$C$2:$C$9999=$C$3)*Raw_Data_Daily!$D$2:$D$9999*Raw_Data_Daily!$Z$2:$Z$9999)/SUMIFS(Raw_Data_Daily!$D:$D, Raw_Data_Daily!$B:$B, "Variant", Raw_Data_Daily!$A:$A, $A15, Raw_Data_Daily!$C:$C, $C$3),""))</f>
        <v/>
      </c>
      <c r="BU15" s="129" t="str">
        <f t="shared" si="24"/>
        <v/>
      </c>
      <c r="BV15" s="128" t="str">
        <f>IF($A15="","",IFERROR(SUMPRODUCT((Raw_Data_Daily!$B$2:$B$9999="Control")*(Raw_Data_Daily!$A$2:$A$9999=$A15)*(Raw_Data_Daily!$C$2:$C$9999=$C$3)*Raw_Data_Daily!$D$2:$D$9999*Raw_Data_Daily!$AA$2:$AA$9999)/SUMIFS(Raw_Data_Daily!$D:$D, Raw_Data_Daily!$B:$B, "Control", Raw_Data_Daily!$A:$A, $A15, Raw_Data_Daily!$C:$C, $C$3),""))</f>
        <v/>
      </c>
      <c r="BW15" s="128" t="str">
        <f>IF($A15="","",IFERROR(SUMPRODUCT((Raw_Data_Daily!$B$2:$B$9999="Variant")*(Raw_Data_Daily!$A$2:$A$9999=$A15)*(Raw_Data_Daily!$C$2:$C$9999=$C$3)*Raw_Data_Daily!$D$2:$D$9999*Raw_Data_Daily!$AA$2:$AA$9999)/SUMIFS(Raw_Data_Daily!$D:$D, Raw_Data_Daily!$B:$B, "Variant", Raw_Data_Daily!$A:$A, $A15, Raw_Data_Daily!$C:$C, $C$3),""))</f>
        <v/>
      </c>
      <c r="BX15" s="129" t="str">
        <f t="shared" si="25"/>
        <v/>
      </c>
      <c r="BY15" s="137" t="str">
        <f>IF($A15="","",IFERROR(SUMPRODUCT((Raw_Data_Daily!$B$2:$B$9999="Control")*(Raw_Data_Daily!$A$2:$A$9999=$A15)*(Raw_Data_Daily!$C$2:$C$9999=$C$3)*Raw_Data_Daily!$D$2:$D$9999*Raw_Data_Daily!$AB$2:$AB$9999)/SUMIFS(Raw_Data_Daily!$D:$D, Raw_Data_Daily!$B:$B, "Control", Raw_Data_Daily!$A:$A, $A15, Raw_Data_Daily!$C:$C, $C$3),""))</f>
        <v/>
      </c>
      <c r="BZ15" s="137" t="str">
        <f>IF($A15="","",IFERROR(SUMPRODUCT((Raw_Data_Daily!$B$2:$B$9999="Variant")*(Raw_Data_Daily!$A$2:$A$9999=$A15)*(Raw_Data_Daily!$C$2:$C$9999=$C$3)*Raw_Data_Daily!$D$2:$D$9999*Raw_Data_Daily!$AB$2:$AB$9999)/SUMIFS(Raw_Data_Daily!$D:$D, Raw_Data_Daily!$B:$B, "Variant", Raw_Data_Daily!$A:$A, $A15, Raw_Data_Daily!$C:$C, $C$3),""))</f>
        <v/>
      </c>
      <c r="CA15" s="132" t="str">
        <f t="shared" si="26"/>
        <v/>
      </c>
      <c r="CB15" s="137" t="str">
        <f>IF($A15="","",IFERROR(SUMPRODUCT((Raw_Data_Daily!$B$2:$B$9999="Control")*(Raw_Data_Daily!$A$2:$A$9999=$A15)*(Raw_Data_Daily!$C$2:$C$9999=$C$3)*Raw_Data_Daily!$D$2:$D$9999*Raw_Data_Daily!$AC$2:$AC$9999)/SUMIFS(Raw_Data_Daily!$D:$D, Raw_Data_Daily!$B:$B, "Control", Raw_Data_Daily!$A:$A, $A15, Raw_Data_Daily!$C:$C, $C$3),""))</f>
        <v/>
      </c>
      <c r="CC15" s="137" t="str">
        <f>IF($A15="","",IFERROR(SUMPRODUCT((Raw_Data_Daily!$B$2:$B$9999="Variant")*(Raw_Data_Daily!$A$2:$A$9999=$A15)*(Raw_Data_Daily!$C$2:$C$9999=$C$3)*Raw_Data_Daily!$D$2:$D$9999*Raw_Data_Daily!$AC$2:$AC$9999)/SUMIFS(Raw_Data_Daily!$D:$D, Raw_Data_Daily!$B:$B, "Variant", Raw_Data_Daily!$A:$A, $A15, Raw_Data_Daily!$C:$C, $C$3),""))</f>
        <v/>
      </c>
      <c r="CD15" s="132" t="str">
        <f t="shared" si="27"/>
        <v/>
      </c>
      <c r="CE15" s="137" t="str">
        <f>IF($A15="","",IFERROR(SUMPRODUCT((Raw_Data_Daily!$B$2:$B$9999="Control")*(Raw_Data_Daily!$A$2:$A$9999=$A15)*(Raw_Data_Daily!$C$2:$C$9999=$C$3)*Raw_Data_Daily!$D$2:$D$9999*Raw_Data_Daily!$AD$2:$AD$9999)/SUMIFS(Raw_Data_Daily!$D:$D, Raw_Data_Daily!$B:$B, "Control", Raw_Data_Daily!$A:$A, $A15, Raw_Data_Daily!$C:$C, $C$3),""))</f>
        <v/>
      </c>
      <c r="CF15" s="137" t="str">
        <f>IF($A15="","",IFERROR(SUMPRODUCT((Raw_Data_Daily!$B$2:$B$9999="Variant")*(Raw_Data_Daily!$A$2:$A$9999=$A15)*(Raw_Data_Daily!$C$2:$C$9999=$C$3)*Raw_Data_Daily!$D$2:$D$9999*Raw_Data_Daily!$AD$2:$AD$9999)/SUMIFS(Raw_Data_Daily!$D:$D, Raw_Data_Daily!$B:$B, "Variant", Raw_Data_Daily!$A:$A, $A15, Raw_Data_Daily!$C:$C, $C$3),""))</f>
        <v/>
      </c>
      <c r="CG15" s="132" t="str">
        <f t="shared" si="28"/>
        <v/>
      </c>
      <c r="CH15" s="137" t="str">
        <f>IF($A15="","",IFERROR(SUMPRODUCT((Raw_Data_Daily!$B$2:$B$9999="Control")*(Raw_Data_Daily!$A$2:$A$9999=$A15)*(Raw_Data_Daily!$C$2:$C$9999=$C$3)*Raw_Data_Daily!$D$2:$D$9999*Raw_Data_Daily!$AE$2:$AE$9999)/SUMIFS(Raw_Data_Daily!$D:$D, Raw_Data_Daily!$B:$B, "Control", Raw_Data_Daily!$A:$A, $A15, Raw_Data_Daily!$C:$C, $C$3),""))</f>
        <v/>
      </c>
      <c r="CI15" s="137" t="str">
        <f>IF($A15="","",IFERROR(SUMPRODUCT((Raw_Data_Daily!$B$2:$B$9999="Variant")*(Raw_Data_Daily!$A$2:$A$9999=$A15)*(Raw_Data_Daily!$C$2:$C$9999=$C$3)*Raw_Data_Daily!$D$2:$D$9999*Raw_Data_Daily!$AE$2:$AE$9999)/SUMIFS(Raw_Data_Daily!$D:$D, Raw_Data_Daily!$B:$B, "Variant", Raw_Data_Daily!$A:$A, $A15, Raw_Data_Daily!$C:$C, $C$3),""))</f>
        <v/>
      </c>
      <c r="CJ15" s="132" t="str">
        <f t="shared" si="29"/>
        <v/>
      </c>
      <c r="CK15" s="137" t="str">
        <f>IF($A15="","",IFERROR(SUMPRODUCT((Raw_Data_Daily!$B$2:$B$9999="Control")*(Raw_Data_Daily!$A$2:$A$9999=$A15)*(Raw_Data_Daily!$C$2:$C$9999=$C$3)*Raw_Data_Daily!$D$2:$D$9999*Raw_Data_Daily!$AF$2:$AF$9999)/SUMIFS(Raw_Data_Daily!$D:$D, Raw_Data_Daily!$B:$B, "Control", Raw_Data_Daily!$A:$A, $A15, Raw_Data_Daily!$C:$C, $C$3),""))</f>
        <v/>
      </c>
      <c r="CL15" s="137" t="str">
        <f>IF($A15="","",IFERROR(SUMPRODUCT((Raw_Data_Daily!$B$2:$B$9999="Variant")*(Raw_Data_Daily!$A$2:$A$9999=$A15)*(Raw_Data_Daily!$C$2:$C$9999=$C$3)*Raw_Data_Daily!$D$2:$D$9999*Raw_Data_Daily!$AF$2:$AF$9999)/SUMIFS(Raw_Data_Daily!$D:$D, Raw_Data_Daily!$B:$B, "Variant", Raw_Data_Daily!$A:$A, $A15, Raw_Data_Daily!$C:$C, $C$3),""))</f>
        <v/>
      </c>
      <c r="CM15" s="132" t="str">
        <f t="shared" si="30"/>
        <v/>
      </c>
      <c r="CN15" s="137" t="str">
        <f>IF($A15="","",IFERROR(SUMPRODUCT((Raw_Data_Daily!$B$2:$B$9999="Control")*(Raw_Data_Daily!$A$2:$A$9999=$A15)*(Raw_Data_Daily!$C$2:$C$9999=$C$3)*Raw_Data_Daily!$D$2:$D$9999*Raw_Data_Daily!$AG$2:$AG$9999)/SUMIFS(Raw_Data_Daily!$D:$D, Raw_Data_Daily!$B:$B, "Control", Raw_Data_Daily!$A:$A, $A15, Raw_Data_Daily!$C:$C, $C$3),""))</f>
        <v/>
      </c>
      <c r="CO15" s="137" t="str">
        <f>IF($A15="","",IFERROR(SUMPRODUCT((Raw_Data_Daily!$B$2:$B$9999="Variant")*(Raw_Data_Daily!$A$2:$A$9999=$A15)*(Raw_Data_Daily!$C$2:$C$9999=$C$3)*Raw_Data_Daily!$D$2:$D$9999*Raw_Data_Daily!$AG$2:$AG$9999)/SUMIFS(Raw_Data_Daily!$D:$D, Raw_Data_Daily!$B:$B, "Variant", Raw_Data_Daily!$A:$A, $A15, Raw_Data_Daily!$C:$C, $C$3),""))</f>
        <v/>
      </c>
      <c r="CP15" s="132" t="str">
        <f t="shared" si="31"/>
        <v/>
      </c>
      <c r="CQ15" s="137" t="str">
        <f>IF($A15="","",IFERROR(SUMPRODUCT((Raw_Data_Daily!$B$2:$B$9999="Control")*(Raw_Data_Daily!$A$2:$A$9999=$A15)*(Raw_Data_Daily!$C$2:$C$9999=$C$3)*Raw_Data_Daily!$D$2:$D$9999*Raw_Data_Daily!$AH$2:$AH$9999)/SUMIFS(Raw_Data_Daily!$D:$D, Raw_Data_Daily!$B:$B, "Control", Raw_Data_Daily!$A:$A, $A15, Raw_Data_Daily!$C:$C, $C$3),""))</f>
        <v/>
      </c>
      <c r="CR15" s="137" t="str">
        <f>IF($A15="","",IFERROR(SUMPRODUCT((Raw_Data_Daily!$B$2:$B$9999="Variant")*(Raw_Data_Daily!$A$2:$A$9999=$A15)*(Raw_Data_Daily!$C$2:$C$9999=$C$3)*Raw_Data_Daily!$D$2:$D$9999*Raw_Data_Daily!$AH$2:$AH$9999)/SUMIFS(Raw_Data_Daily!$D:$D, Raw_Data_Daily!$B:$B, "Variant", Raw_Data_Daily!$A:$A, $A15, Raw_Data_Daily!$C:$C, $C$3),""))</f>
        <v/>
      </c>
      <c r="CS15" s="132" t="str">
        <f t="shared" si="32"/>
        <v/>
      </c>
      <c r="CT15" s="130" t="str">
        <f>IF($A15="","",IFERROR(SUMPRODUCT((Raw_Data_Daily!$B$2:$B$9999="Control")*(Raw_Data_Daily!$A$2:$A$9999=$A15)*(Raw_Data_Daily!$C$2:$C$9999=$C$3)*Raw_Data_Daily!$D$2:$D$9999*Raw_Data_Daily!$AI$2:$AI$9999)/SUMIFS(Raw_Data_Daily!$D:$D, Raw_Data_Daily!$B:$B, "Control", Raw_Data_Daily!$A:$A, $A15, Raw_Data_Daily!$C:$C, $C$3),""))</f>
        <v/>
      </c>
      <c r="CU15" s="130" t="str">
        <f>IF($A15="","",IFERROR(SUMPRODUCT((Raw_Data_Daily!$B$2:$B$9999="Variant")*(Raw_Data_Daily!$A$2:$A$9999=$A15)*(Raw_Data_Daily!$C$2:$C$9999=$C$3)*Raw_Data_Daily!$D$2:$D$9999*Raw_Data_Daily!$AI$2:$AI$9999)/SUMIFS(Raw_Data_Daily!$D:$D, Raw_Data_Daily!$B:$B, "Variant", Raw_Data_Daily!$A:$A, $A15, Raw_Data_Daily!$C:$C, $C$3),""))</f>
        <v/>
      </c>
      <c r="CV15" s="140" t="str">
        <f t="shared" si="33"/>
        <v/>
      </c>
      <c r="CW15" s="130" t="str">
        <f>IF($A15="","",IFERROR(SUMPRODUCT((Raw_Data_Daily!$B$2:$B$9999="Control")*(Raw_Data_Daily!$A$2:$A$9999=$A15)*(Raw_Data_Daily!$C$2:$C$9999=$C$3)*Raw_Data_Daily!$D$2:$D$9999*Raw_Data_Daily!$AJ$2:$AJ$9999)/SUMIFS(Raw_Data_Daily!$D:$D, Raw_Data_Daily!$B:$B, "Control", Raw_Data_Daily!$A:$A, $A15, Raw_Data_Daily!$C:$C, $C$3),""))</f>
        <v/>
      </c>
      <c r="CX15" s="130" t="str">
        <f>IF($A15="","",IFERROR(SUMPRODUCT((Raw_Data_Daily!$B$2:$B$9999="Variant")*(Raw_Data_Daily!$A$2:$A$9999=$A15)*(Raw_Data_Daily!$C$2:$C$9999=$C$3)*Raw_Data_Daily!$D$2:$D$9999*Raw_Data_Daily!$AJ$2:$AJ$9999)/SUMIFS(Raw_Data_Daily!$D:$D, Raw_Data_Daily!$B:$B, "Variant", Raw_Data_Daily!$A:$A, $A15, Raw_Data_Daily!$C:$C, $C$3),""))</f>
        <v/>
      </c>
      <c r="CY15" s="140" t="str">
        <f t="shared" si="34"/>
        <v/>
      </c>
      <c r="CZ15" s="130" t="str">
        <f>IF($A15="","",IFERROR(SUMPRODUCT((Raw_Data_Daily!$B$2:$B$9999="Control")*(Raw_Data_Daily!$A$2:$A$9999=$A15)*(Raw_Data_Daily!$C$2:$C$9999=$C$3)*Raw_Data_Daily!$D$2:$D$9999*Raw_Data_Daily!$AK$2:$AK$9999)/SUMIFS(Raw_Data_Daily!$D:$D, Raw_Data_Daily!$B:$B, "Control", Raw_Data_Daily!$A:$A, $A15, Raw_Data_Daily!$C:$C, $C$3),""))</f>
        <v/>
      </c>
      <c r="DA15" s="130" t="str">
        <f>IF($A15="","",IFERROR(SUMPRODUCT((Raw_Data_Daily!$B$2:$B$9999="Variant")*(Raw_Data_Daily!$A$2:$A$9999=$A15)*(Raw_Data_Daily!$C$2:$C$9999=$C$3)*Raw_Data_Daily!$D$2:$D$9999*Raw_Data_Daily!$AK$2:$AK$9999)/SUMIFS(Raw_Data_Daily!$D:$D, Raw_Data_Daily!$B:$B, "Variant", Raw_Data_Daily!$A:$A, $A15, Raw_Data_Daily!$C:$C, $C$3),""))</f>
        <v/>
      </c>
      <c r="DB15" s="132" t="str">
        <f t="shared" si="35"/>
        <v/>
      </c>
      <c r="DC15" s="139" t="str">
        <f>IF($A15="","",IFERROR(SUMPRODUCT((Raw_Data_Daily!$B$2:$B$9999="Control")*(Raw_Data_Daily!$A$2:$A$9999=$A15)*(Raw_Data_Daily!$C$2:$C$9999=$C$3)*Raw_Data_Daily!$D$2:$D$9999*Raw_Data_Daily!$AL$2:$AL$9999)/SUMIFS(Raw_Data_Daily!$D:$D, Raw_Data_Daily!$B:$B, "Control", Raw_Data_Daily!$A:$A, $A15, Raw_Data_Daily!$C:$C, $C$3),""))</f>
        <v/>
      </c>
      <c r="DD15" s="139" t="str">
        <f>IF($A15="","",IFERROR(SUMPRODUCT((Raw_Data_Daily!$B$2:$B$9999="Variant")*(Raw_Data_Daily!$A$2:$A$9999=$A15)*(Raw_Data_Daily!$C$2:$C$9999=$C$3)*Raw_Data_Daily!$D$2:$D$9999*Raw_Data_Daily!$AL$2:$AL$9999)/SUMIFS(Raw_Data_Daily!$D:$D, Raw_Data_Daily!$B:$B, "Variant", Raw_Data_Daily!$A:$A, $A15, Raw_Data_Daily!$C:$C, $C$3),""))</f>
        <v/>
      </c>
      <c r="DE15" s="140" t="str">
        <f t="shared" si="36"/>
        <v/>
      </c>
      <c r="DF15" s="165"/>
      <c r="DG15" s="130" t="str">
        <f>IF($A15="","",IFERROR(SUMPRODUCT((Raw_Data_Daily!$B$2:$B$9999="Variant")*(Raw_Data_Daily!$A$2:$A$9999=$A15)*(Raw_Data_Daily!$C$2:$C$9999=$C$3)*Raw_Data_Daily!$D$2:$D$9999*Raw_Data_Daily!$AM$2:$AM$9999)/SUMIFS(Raw_Data_Daily!$D:$D, Raw_Data_Daily!$B:$B, "Variant", Raw_Data_Daily!$A:$A, $A15, Raw_Data_Daily!$C:$C, $C$3),""))</f>
        <v/>
      </c>
      <c r="DH15" s="166"/>
      <c r="DI15" s="165"/>
      <c r="DJ15" s="130" t="str">
        <f>IF($A15="","",IFERROR(SUMPRODUCT((Raw_Data_Daily!$B$2:$B$9999="Variant")*(Raw_Data_Daily!$A$2:$A$9999=$A15)*(Raw_Data_Daily!$C$2:$C$9999=$C$3)*Raw_Data_Daily!$D$2:$D$9999*Raw_Data_Daily!$AN$2:$AN$9999)/SUMIFS(Raw_Data_Daily!$D:$D, Raw_Data_Daily!$B:$B, "Variant", Raw_Data_Daily!$A:$A, $A15, Raw_Data_Daily!$C:$C, $C$3),""))</f>
        <v/>
      </c>
      <c r="DK15" s="166"/>
      <c r="DL15" s="165"/>
      <c r="DM15" s="130" t="str">
        <f>IF($A15="","",IFERROR(SUMPRODUCT((Raw_Data_Daily!$B$2:$B$9999="Variant")*(Raw_Data_Daily!$A$2:$A$9999=$A15)*(Raw_Data_Daily!$C$2:$C$9999=$C$3)*Raw_Data_Daily!$D$2:$D$9999*Raw_Data_Daily!$AO$2:$AO$9999)/SUMIFS(Raw_Data_Daily!$D:$D, Raw_Data_Daily!$B:$B, "Variant", Raw_Data_Daily!$A:$A, $A15, Raw_Data_Daily!$C:$C, $C$3),""))</f>
        <v/>
      </c>
      <c r="DN15" s="166"/>
      <c r="DO15" s="165"/>
      <c r="DP15" s="130" t="str">
        <f>IF($A15="","",IFERROR(SUMPRODUCT((Raw_Data_Daily!$B$2:$B$9999="Variant")*(Raw_Data_Daily!$A$2:$A$9999=$A15)*(Raw_Data_Daily!$C$2:$C$9999=$C$3)*Raw_Data_Daily!$D$2:$D$9999*Raw_Data_Daily!$AP$2:$AP$9999)/SUMIFS(Raw_Data_Daily!$D:$D, Raw_Data_Daily!$B:$B, "Variant", Raw_Data_Daily!$A:$A, $A15, Raw_Data_Daily!$C:$C, $C$3),""))</f>
        <v/>
      </c>
      <c r="DQ15" s="166"/>
      <c r="DR15" s="139" t="str">
        <f>IF($A15="","",IFERROR(SUMPRODUCT((Raw_Data_Daily!$B$2:$B$9999="Control")*(Raw_Data_Daily!$A$2:$A$9999=$A15)*(Raw_Data_Daily!$C$2:$C$9999=$C$3)*Raw_Data_Daily!$D$2:$D$9999*Raw_Data_Daily!$AQ$2:$AQ$9999)/SUMIFS(Raw_Data_Daily!$D:$D, Raw_Data_Daily!$B:$B, "Control", Raw_Data_Daily!$A:$A, $A15, Raw_Data_Daily!$C:$C, $C$3),""))</f>
        <v/>
      </c>
      <c r="DS15" s="139" t="str">
        <f>IF($A15="","",IFERROR(SUMPRODUCT((Raw_Data_Daily!$B$2:$B$9999="Variant")*(Raw_Data_Daily!$A$2:$A$9999=$A15)*(Raw_Data_Daily!$C$2:$C$9999=$C$3)*Raw_Data_Daily!$D$2:$D$9999*Raw_Data_Daily!$AQ$2:$AQ$9999)/SUMIFS(Raw_Data_Daily!$D:$D, Raw_Data_Daily!$B:$B, "Variant", Raw_Data_Daily!$A:$A, $A15, Raw_Data_Daily!$C:$C, $C$3),""))</f>
        <v/>
      </c>
      <c r="DT15" s="167" t="str">
        <f t="shared" si="37"/>
        <v/>
      </c>
      <c r="DU15" s="139" t="str">
        <f>IF($A15="","",IFERROR(SUMPRODUCT((Raw_Data_Daily!$B$2:$B$9999="Control")*(Raw_Data_Daily!$A$2:$A$9999=$A15)*(Raw_Data_Daily!$C$2:$C$9999=$C$3)*Raw_Data_Daily!$D$2:$D$9999*Raw_Data_Daily!$AR$2:$AR$9999)/SUMIFS(Raw_Data_Daily!$D:$D, Raw_Data_Daily!$B:$B, "Control", Raw_Data_Daily!$A:$A, $A15, Raw_Data_Daily!$C:$C, $C$3),""))</f>
        <v/>
      </c>
      <c r="DV15" s="139" t="str">
        <f>IF($A15="","",IFERROR(SUMPRODUCT((Raw_Data_Daily!$B$2:$B$9999="Variant")*(Raw_Data_Daily!$A$2:$A$9999=$A15)*(Raw_Data_Daily!$C$2:$C$9999=$C$3)*Raw_Data_Daily!$D$2:$D$9999*Raw_Data_Daily!$AR$2:$AR$9999)/SUMIFS(Raw_Data_Daily!$D:$D, Raw_Data_Daily!$B:$B, "Variant", Raw_Data_Daily!$A:$A, $A15, Raw_Data_Daily!$C:$C, $C$3),""))</f>
        <v/>
      </c>
      <c r="DW15" s="167" t="str">
        <f t="shared" si="38"/>
        <v/>
      </c>
      <c r="DX15" s="139" t="str">
        <f>IF($A15="","",IFERROR(SUMPRODUCT((Raw_Data_Daily!$B$2:$B$9999="Control")*(Raw_Data_Daily!$A$2:$A$9999=$A15)*(Raw_Data_Daily!$C$2:$C$9999=$C$3)*Raw_Data_Daily!$D$2:$D$9999*Raw_Data_Daily!$AS$2:$AS$9999)/SUMIFS(Raw_Data_Daily!$D:$D, Raw_Data_Daily!$B:$B, "Control", Raw_Data_Daily!$A:$A, $A15, Raw_Data_Daily!$C:$C, $C$3),""))</f>
        <v/>
      </c>
      <c r="DY15" s="139" t="str">
        <f>IF($A15="","",IFERROR(SUMPRODUCT((Raw_Data_Daily!$B$2:$B$9999="Variant")*(Raw_Data_Daily!$A$2:$A$9999=$A15)*(Raw_Data_Daily!$C$2:$C$9999=$C$3)*Raw_Data_Daily!$D$2:$D$9999*Raw_Data_Daily!$AS$2:$AS$9999)/SUMIFS(Raw_Data_Daily!$D:$D, Raw_Data_Daily!$B:$B, "Variant", Raw_Data_Daily!$A:$A, $A15, Raw_Data_Daily!$C:$C, $C$3),""))</f>
        <v/>
      </c>
      <c r="DZ15" s="168" t="str">
        <f t="shared" si="39"/>
        <v/>
      </c>
      <c r="EA15" s="139" t="str">
        <f>IF($A15="","",IFERROR(SUMPRODUCT((Raw_Data_Daily!$B$2:$B$9999="Control")*(Raw_Data_Daily!$A$2:$A$9999=$A15)*(Raw_Data_Daily!$C$2:$C$9999=$C$3)*Raw_Data_Daily!$D$2:$D$9999*Raw_Data_Daily!$AT$2:$AT$9999)/SUMIFS(Raw_Data_Daily!$D:$D, Raw_Data_Daily!$B:$B, "Control", Raw_Data_Daily!$A:$A, $A15, Raw_Data_Daily!$C:$C, $C$3),""))</f>
        <v/>
      </c>
      <c r="EB15" s="139" t="str">
        <f>IF($A15="","",IFERROR(SUMPRODUCT((Raw_Data_Daily!$B$2:$B$9999="Variant")*(Raw_Data_Daily!$A$2:$A$9999=$A15)*(Raw_Data_Daily!$C$2:$C$9999=$C$3)*Raw_Data_Daily!$D$2:$D$9999*Raw_Data_Daily!$AT$2:$AT$9999)/SUMIFS(Raw_Data_Daily!$D:$D, Raw_Data_Daily!$B:$B, "Variant", Raw_Data_Daily!$A:$A, $A15, Raw_Data_Daily!$C:$C, $C$3),""))</f>
        <v/>
      </c>
      <c r="EC15" s="167" t="str">
        <f t="shared" si="40"/>
        <v/>
      </c>
      <c r="ED15" s="139" t="str">
        <f>IF($A15="","",IFERROR(SUMPRODUCT((Raw_Data_Daily!$B$2:$B$9999="Control")*(Raw_Data_Daily!$A$2:$A$9999=$A15)*(Raw_Data_Daily!$C$2:$C$9999=$C$3)*Raw_Data_Daily!$D$2:$D$9999*(Raw_Data_Daily!$AQ$2:$AQ$9999-Raw_Data_Daily!$AT$2:$AT$9999))/SUMIFS(Raw_Data_Daily!$D:$D, Raw_Data_Daily!$B:$B, "Control", Raw_Data_Daily!$A:$A, $A15, Raw_Data_Daily!$C:$C, $C$3),""))</f>
        <v/>
      </c>
      <c r="EE15" s="139" t="str">
        <f>IF($A15="","",IFERROR(SUMPRODUCT((Raw_Data_Daily!$B$2:$B$9999="Variant")*(Raw_Data_Daily!$A$2:$A$9999=$A15)*(Raw_Data_Daily!$C$2:$C$9999=$C$3)*Raw_Data_Daily!$D$2:$D$9999*(Raw_Data_Daily!$AQ$2:$AQ$9999-Raw_Data_Daily!$AT$2:$AT$9999))/SUMIFS(Raw_Data_Daily!$D:$D, Raw_Data_Daily!$B:$B, "Variant", Raw_Data_Daily!$A:$A, $A15, Raw_Data_Daily!$C:$C, $C$3),""))</f>
        <v/>
      </c>
      <c r="EF15" s="168" t="str">
        <f t="shared" si="41"/>
        <v/>
      </c>
      <c r="EG15" s="139" t="str">
        <f>IF($A15="","",IFERROR(SUMPRODUCT((Raw_Data_Daily!$B$2:$B$9999="Control")*(Raw_Data_Daily!$A$2:$A$9999=$A15)*(Raw_Data_Daily!$C$2:$C$9999=$C$3)*Raw_Data_Daily!$D$2:$D$9999*Raw_Data_Daily!$AU$2:$AU$9999)/SUMIFS(Raw_Data_Daily!$D:$D, Raw_Data_Daily!$B:$B, "Control", Raw_Data_Daily!$A:$A, $A15, Raw_Data_Daily!$C:$C, $C$3),""))</f>
        <v/>
      </c>
      <c r="EH15" s="139" t="str">
        <f>IF($A15="","",IFERROR(SUMPRODUCT((Raw_Data_Daily!$B$2:$B$9999="Variant")*(Raw_Data_Daily!$A$2:$A$9999=$A15)*(Raw_Data_Daily!$C$2:$C$9999=$C$3)*Raw_Data_Daily!$D$2:$D$9999*Raw_Data_Daily!$AU$2:$AU$9999)/SUMIFS(Raw_Data_Daily!$D:$D, Raw_Data_Daily!$B:$B, "Variant", Raw_Data_Daily!$A:$A, $A15, Raw_Data_Daily!$C:$C, $C$3),""))</f>
        <v/>
      </c>
      <c r="EI15" s="167" t="str">
        <f t="shared" si="42"/>
        <v/>
      </c>
    </row>
    <row r="16" ht="15.75" customHeight="1">
      <c r="A16" s="126">
        <v>46239.0</v>
      </c>
      <c r="B16" s="128">
        <f>IF($A16="","",SUMIFS(Raw_Data_Daily!$D:$D, Raw_Data_Daily!$B:$B, "Control", Raw_Data_Daily!$A:$A, $A16, Raw_Data_Daily!$C:$C, $C$3))</f>
        <v>0</v>
      </c>
      <c r="C16" s="128">
        <f>IF($A16="","",SUMIFS(Raw_Data_Daily!$D:$D, Raw_Data_Daily!$B:$B, "Variant", Raw_Data_Daily!$A:$A, $A16, Raw_Data_Daily!$C:$C, $C$3))</f>
        <v>0</v>
      </c>
      <c r="D16" s="129" t="str">
        <f t="shared" si="1"/>
        <v/>
      </c>
      <c r="E16" s="130" t="str">
        <f>IF($A16="","",IFERROR(SUMPRODUCT((Raw_Data_Daily!$B$2:$B$9999="Control")*(Raw_Data_Daily!$A$2:$A$9999=$A16)*(Raw_Data_Daily!$C$2:$C$9999=$C$3)*Raw_Data_Daily!$D$2:$D$9999*Raw_Data_Daily!$E$2:$E$9999)/SUMIFS(Raw_Data_Daily!$D:$D, Raw_Data_Daily!$B:$B, "Control", Raw_Data_Daily!$A:$A, $A16, Raw_Data_Daily!$C:$C, $C$3),""))</f>
        <v/>
      </c>
      <c r="F16" s="130" t="str">
        <f>IF($A16="","",IFERROR(SUMPRODUCT((Raw_Data_Daily!$B$2:$B$9999="Variant")*(Raw_Data_Daily!$A$2:$A$9999=$A16)*(Raw_Data_Daily!$C$2:$C$9999=$C$3)*Raw_Data_Daily!$D$2:$D$9999*Raw_Data_Daily!$E$2:$E$9999)/SUMIFS(Raw_Data_Daily!$D:$D, Raw_Data_Daily!$B:$B, "Variant", Raw_Data_Daily!$A:$A, $A16, Raw_Data_Daily!$C:$C, $C$3),""))</f>
        <v/>
      </c>
      <c r="G16" s="129" t="str">
        <f t="shared" si="2"/>
        <v/>
      </c>
      <c r="H16" s="131">
        <f>IF($A16="","",SUMIFS(Raw_Data_Daily!$F:$F, Raw_Data_Daily!$B:$B, "Control", Raw_Data_Daily!$A:$A, $A16, Raw_Data_Daily!$C:$C, $C$3))</f>
        <v>0</v>
      </c>
      <c r="I16" s="131">
        <f>IF($A16="","",SUMIFS(Raw_Data_Daily!$F:$F, Raw_Data_Daily!$B:$B, "Variant", Raw_Data_Daily!$A:$A, $A16, Raw_Data_Daily!$C:$C, $C$3))</f>
        <v>0</v>
      </c>
      <c r="J16" s="132" t="str">
        <f t="shared" si="3"/>
        <v/>
      </c>
      <c r="K16" s="134" t="str">
        <f>IF($A16="","",IFERROR(SUMIFS(Raw_Data_Daily!$F:$F, Raw_Data_Daily!$B:$B, "Control", Raw_Data_Daily!$A:$A, $A16, Raw_Data_Daily!$C:$C, $C$3)/SUMIFS(Raw_Data_Daily!$D:$D, Raw_Data_Daily!$B:$B, "Control", Raw_Data_Daily!$A:$A, $A16, Raw_Data_Daily!$C:$C, $C$3),""))</f>
        <v/>
      </c>
      <c r="L16" s="134" t="str">
        <f>IF($A16="","",IFERROR(SUMIFS(Raw_Data_Daily!$F:$F, Raw_Data_Daily!$B:$B, "Variant", Raw_Data_Daily!$A:$A, $A16, Raw_Data_Daily!$C:$C, $C$3)/SUMIFS(Raw_Data_Daily!$D:$D, Raw_Data_Daily!$B:$B, "Variant", Raw_Data_Daily!$A:$A, $A16, Raw_Data_Daily!$C:$C, $C$3),""))</f>
        <v/>
      </c>
      <c r="M16" s="132" t="str">
        <f t="shared" si="4"/>
        <v/>
      </c>
      <c r="N16" s="130" t="str">
        <f>IF($A16="","",IFERROR(SUMPRODUCT((Raw_Data_Daily!$B$2:$B$9999="Control")*(Raw_Data_Daily!$A$2:$A$9999=$A16)*(Raw_Data_Daily!$C$2:$C$9999=$C$3)*Raw_Data_Daily!$D$2:$D$9999*Raw_Data_Daily!$H$2:$H$9999/100)/SUMIFS(Raw_Data_Daily!$D:$D, Raw_Data_Daily!$B:$B, "Control", Raw_Data_Daily!$A:$A, $A16, Raw_Data_Daily!$C:$C, $C$3)*100,""))</f>
        <v/>
      </c>
      <c r="O16" s="130" t="str">
        <f>IF($A16="","",IFERROR(SUMPRODUCT((Raw_Data_Daily!$B$2:$B$9999="Variant")*(Raw_Data_Daily!$A$2:$A$9999=$A16)*(Raw_Data_Daily!$C$2:$C$9999=$C$3)*Raw_Data_Daily!$D$2:$D$9999*Raw_Data_Daily!$H$2:$H$9999/100)/SUMIFS(Raw_Data_Daily!$D:$D, Raw_Data_Daily!$B:$B, "Variant", Raw_Data_Daily!$A:$A, $A16, Raw_Data_Daily!$C:$C, $C$3)*100,""))</f>
        <v/>
      </c>
      <c r="P16" s="132" t="str">
        <f t="shared" si="5"/>
        <v/>
      </c>
      <c r="Q16" s="134" t="str">
        <f>IF($A16="","",IFERROR(SUMIFS(Raw_Data_Daily!$F:$F, Raw_Data_Daily!$B:$B, "Control", Raw_Data_Daily!$A:$A, $A16, Raw_Data_Daily!$C:$C, $C$3)/SUMPRODUCT((Raw_Data_Daily!$B$2:$B$9999="Control")*(Raw_Data_Daily!$A$2:$A$9999=$A16)*(Raw_Data_Daily!$C$2:$C$9999=$C$3)*Raw_Data_Daily!$D$2:$D$9999*Raw_Data_Daily!$H$2:$H$9999/100),""))</f>
        <v/>
      </c>
      <c r="R16" s="134" t="str">
        <f>IF($A16="","",IFERROR(SUMIFS(Raw_Data_Daily!$F:$F, Raw_Data_Daily!$B:$B, "Variant", Raw_Data_Daily!$A:$A, $A16, Raw_Data_Daily!$C:$C, $C$3)/SUMPRODUCT((Raw_Data_Daily!$B$2:$B$9999="Variant")*(Raw_Data_Daily!$A$2:$A$9999=$A16)*(Raw_Data_Daily!$C$2:$C$9999=$C$3)*Raw_Data_Daily!$D$2:$D$9999*Raw_Data_Daily!$H$2:$H$9999/100),""))</f>
        <v/>
      </c>
      <c r="S16" s="132" t="str">
        <f t="shared" si="6"/>
        <v/>
      </c>
      <c r="T16" s="137" t="str">
        <f>IF($A16="","",IFERROR(SUMPRODUCT((Raw_Data_Daily!$B$2:$B$9999="Control")*(Raw_Data_Daily!$A$2:$A$9999=$A16)*(Raw_Data_Daily!$C$2:$C$9999=$C$3)*Raw_Data_Daily!$D$2:$D$9999*Raw_Data_Daily!$J$2:$J$9999)/SUMIFS(Raw_Data_Daily!$D:$D, Raw_Data_Daily!$B:$B, "Control", Raw_Data_Daily!$A:$A, $A16, Raw_Data_Daily!$C:$C, $C$3),""))</f>
        <v/>
      </c>
      <c r="U16" s="137" t="str">
        <f>IF($A16="","",IFERROR(SUMPRODUCT((Raw_Data_Daily!$B$2:$B$9999="Variant")*(Raw_Data_Daily!$A$2:$A$9999=$A16)*(Raw_Data_Daily!$C$2:$C$9999=$C$3)*Raw_Data_Daily!$D$2:$D$9999*Raw_Data_Daily!$J$2:$J$9999)/SUMIFS(Raw_Data_Daily!$D:$D, Raw_Data_Daily!$B:$B, "Variant", Raw_Data_Daily!$A:$A, $A16, Raw_Data_Daily!$C:$C, $C$3),""))</f>
        <v/>
      </c>
      <c r="V16" s="132" t="str">
        <f t="shared" si="7"/>
        <v/>
      </c>
      <c r="W16" s="137" t="str">
        <f>IF($A16="","",IFERROR(SUMPRODUCT((Raw_Data_Daily!$B$2:$B$9999="Control")*(Raw_Data_Daily!$A$2:$A$9999=$A16)*(Raw_Data_Daily!$C$2:$C$9999=$C$3)*Raw_Data_Daily!$D$2:$D$9999*Raw_Data_Daily!$K$2:$K$9999)/SUMIFS(Raw_Data_Daily!$D:$D, Raw_Data_Daily!$B:$B, "Control", Raw_Data_Daily!$A:$A, $A16, Raw_Data_Daily!$C:$C, $C$3),""))</f>
        <v/>
      </c>
      <c r="X16" s="137" t="str">
        <f>IF($A16="","",IFERROR(SUMPRODUCT((Raw_Data_Daily!$B$2:$B$9999="Variant")*(Raw_Data_Daily!$A$2:$A$9999=$A16)*(Raw_Data_Daily!$C$2:$C$9999=$C$3)*Raw_Data_Daily!$D$2:$D$9999*Raw_Data_Daily!$K$2:$K$9999)/SUMIFS(Raw_Data_Daily!$D:$D, Raw_Data_Daily!$B:$B, "Variant", Raw_Data_Daily!$A:$A, $A16, Raw_Data_Daily!$C:$C, $C$3),""))</f>
        <v/>
      </c>
      <c r="Y16" s="132" t="str">
        <f t="shared" si="8"/>
        <v/>
      </c>
      <c r="Z16" s="137" t="str">
        <f>IF($A16="","",IFERROR(SUMPRODUCT((Raw_Data_Daily!$B$2:$B$9999="Control")*(Raw_Data_Daily!$A$2:$A$9999=$A16)*(Raw_Data_Daily!$C$2:$C$9999=$C$3)*Raw_Data_Daily!$D$2:$D$9999*Raw_Data_Daily!$L$2:$L$9999)/SUMIFS(Raw_Data_Daily!$D:$D, Raw_Data_Daily!$B:$B, "Control", Raw_Data_Daily!$A:$A, $A16, Raw_Data_Daily!$C:$C, $C$3),""))</f>
        <v/>
      </c>
      <c r="AA16" s="137" t="str">
        <f>IF($A16="","",IFERROR(SUMPRODUCT((Raw_Data_Daily!$B$2:$B$9999="Variant")*(Raw_Data_Daily!$A$2:$A$9999=$A16)*(Raw_Data_Daily!$C$2:$C$9999=$C$3)*Raw_Data_Daily!$D$2:$D$9999*Raw_Data_Daily!$L$2:$L$9999)/SUMIFS(Raw_Data_Daily!$D:$D, Raw_Data_Daily!$B:$B, "Variant", Raw_Data_Daily!$A:$A, $A16, Raw_Data_Daily!$C:$C, $C$3),""))</f>
        <v/>
      </c>
      <c r="AB16" s="132" t="str">
        <f t="shared" si="9"/>
        <v/>
      </c>
      <c r="AC16" s="139" t="str">
        <f>IF($A16="","",IFERROR(SUMPRODUCT((Raw_Data_Daily!$B$2:$B$9999="Control")*(Raw_Data_Daily!$A$2:$A$9999=$A16)*(Raw_Data_Daily!$C$2:$C$9999=$C$3)*Raw_Data_Daily!$D$2:$D$9999*Raw_Data_Daily!$M$2:$M$9999)/SUMIFS(Raw_Data_Daily!$D:$D, Raw_Data_Daily!$B:$B, "Control", Raw_Data_Daily!$A:$A, $A16, Raw_Data_Daily!$C:$C, $C$3),""))</f>
        <v/>
      </c>
      <c r="AD16" s="139" t="str">
        <f>IF($A16="","",IFERROR(SUMPRODUCT((Raw_Data_Daily!$B$2:$B$9999="Variant")*(Raw_Data_Daily!$A$2:$A$9999=$A16)*(Raw_Data_Daily!$C$2:$C$9999=$C$3)*Raw_Data_Daily!$D$2:$D$9999*Raw_Data_Daily!$M$2:$M$9999)/SUMIFS(Raw_Data_Daily!$D:$D, Raw_Data_Daily!$B:$B, "Variant", Raw_Data_Daily!$A:$A, $A16, Raw_Data_Daily!$C:$C, $C$3),""))</f>
        <v/>
      </c>
      <c r="AE16" s="140" t="str">
        <f t="shared" si="10"/>
        <v/>
      </c>
      <c r="AF16" s="139" t="str">
        <f>IF($A16="","",IFERROR(SUMPRODUCT((Raw_Data_Daily!$B$2:$B$9999="Control")*(Raw_Data_Daily!$A$2:$A$9999=$A16)*(Raw_Data_Daily!$C$2:$C$9999=$C$3)*Raw_Data_Daily!$D$2:$D$9999*Raw_Data_Daily!$N$2:$N$9999)/SUMIFS(Raw_Data_Daily!$D:$D, Raw_Data_Daily!$B:$B, "Control", Raw_Data_Daily!$A:$A, $A16, Raw_Data_Daily!$C:$C, $C$3),""))</f>
        <v/>
      </c>
      <c r="AG16" s="139" t="str">
        <f>IF($A16="","",IFERROR(SUMPRODUCT((Raw_Data_Daily!$B$2:$B$9999="Variant")*(Raw_Data_Daily!$A$2:$A$9999=$A16)*(Raw_Data_Daily!$C$2:$C$9999=$C$3)*Raw_Data_Daily!$D$2:$D$9999*Raw_Data_Daily!$N$2:$N$9999)/SUMIFS(Raw_Data_Daily!$D:$D, Raw_Data_Daily!$B:$B, "Variant", Raw_Data_Daily!$A:$A, $A16, Raw_Data_Daily!$C:$C, $C$3),""))</f>
        <v/>
      </c>
      <c r="AH16" s="140" t="str">
        <f t="shared" si="11"/>
        <v/>
      </c>
      <c r="AI16" s="139" t="str">
        <f>IF($A16="","",IFERROR(SUMPRODUCT((Raw_Data_Daily!$B$2:$B$9999="Control")*(Raw_Data_Daily!$A$2:$A$9999=$A16)*(Raw_Data_Daily!$C$2:$C$9999=$C$3)*Raw_Data_Daily!$D$2:$D$9999*Raw_Data_Daily!$O$2:$O$9999)/SUMIFS(Raw_Data_Daily!$D:$D, Raw_Data_Daily!$B:$B, "Control", Raw_Data_Daily!$A:$A, $A16, Raw_Data_Daily!$C:$C, $C$3),""))</f>
        <v/>
      </c>
      <c r="AJ16" s="139" t="str">
        <f>IF($A16="","",IFERROR(SUMPRODUCT((Raw_Data_Daily!$B$2:$B$9999="Variant")*(Raw_Data_Daily!$A$2:$A$9999=$A16)*(Raw_Data_Daily!$C$2:$C$9999=$C$3)*Raw_Data_Daily!$D$2:$D$9999*Raw_Data_Daily!$O$2:$O$9999)/SUMIFS(Raw_Data_Daily!$D:$D, Raw_Data_Daily!$B:$B, "Variant", Raw_Data_Daily!$A:$A, $A16, Raw_Data_Daily!$C:$C, $C$3),""))</f>
        <v/>
      </c>
      <c r="AK16" s="132" t="str">
        <f t="shared" si="12"/>
        <v/>
      </c>
      <c r="AL16" s="137" t="str">
        <f>IF($A16="","",IFERROR(SUMPRODUCT((Raw_Data_Daily!$B$2:$B$9999="Control")*(Raw_Data_Daily!$A$2:$A$9999=$A16)*(Raw_Data_Daily!$C$2:$C$9999=$C$3)*Raw_Data_Daily!$D$2:$D$9999*Raw_Data_Daily!$P$2:$P$9999)/SUMIFS(Raw_Data_Daily!$D:$D, Raw_Data_Daily!$B:$B, "Control", Raw_Data_Daily!$A:$A, $A16, Raw_Data_Daily!$C:$C, $C$3),""))</f>
        <v/>
      </c>
      <c r="AM16" s="137" t="str">
        <f>IF($A16="","",IFERROR(SUMPRODUCT((Raw_Data_Daily!$B$2:$B$9999="Variant")*(Raw_Data_Daily!$A$2:$A$9999=$A16)*(Raw_Data_Daily!$C$2:$C$9999=$C$3)*Raw_Data_Daily!$D$2:$D$9999*Raw_Data_Daily!$P$2:$P$9999)/SUMIFS(Raw_Data_Daily!$D:$D, Raw_Data_Daily!$B:$B, "Variant", Raw_Data_Daily!$A:$A, $A16, Raw_Data_Daily!$C:$C, $C$3),""))</f>
        <v/>
      </c>
      <c r="AN16" s="132" t="str">
        <f t="shared" si="13"/>
        <v/>
      </c>
      <c r="AO16" s="137" t="str">
        <f>IF($A16="","",IFERROR(SUMPRODUCT((Raw_Data_Daily!$B$2:$B$9999="Control")*(Raw_Data_Daily!$A$2:$A$9999=$A16)*(Raw_Data_Daily!$C$2:$C$9999=$C$3)*Raw_Data_Daily!$D$2:$D$9999*Raw_Data_Daily!$Q$2:$Q$9999)/SUMIFS(Raw_Data_Daily!$D:$D, Raw_Data_Daily!$B:$B, "Control", Raw_Data_Daily!$A:$A, $A16, Raw_Data_Daily!$C:$C, $C$3),""))</f>
        <v/>
      </c>
      <c r="AP16" s="137" t="str">
        <f>IF($A16="","",IFERROR(SUMPRODUCT((Raw_Data_Daily!$B$2:$B$9999="Variant")*(Raw_Data_Daily!$A$2:$A$9999=$A16)*(Raw_Data_Daily!$C$2:$C$9999=$C$3)*Raw_Data_Daily!$D$2:$D$9999*Raw_Data_Daily!$Q$2:$Q$9999)/SUMIFS(Raw_Data_Daily!$D:$D, Raw_Data_Daily!$B:$B, "Variant", Raw_Data_Daily!$A:$A, $A16, Raw_Data_Daily!$C:$C, $C$3),""))</f>
        <v/>
      </c>
      <c r="AQ16" s="129" t="str">
        <f t="shared" si="14"/>
        <v/>
      </c>
      <c r="AR16" s="137" t="str">
        <f>IF($A16="","",IFERROR(SUMPRODUCT((Raw_Data_Daily!$B$2:$B$9999="Control")*(Raw_Data_Daily!$A$2:$A$9999=$A16)*(Raw_Data_Daily!$C$2:$C$9999=$C$3)*Raw_Data_Daily!$D$2:$D$9999*Raw_Data_Daily!$R$2:$R$9999)/SUMIFS(Raw_Data_Daily!$D:$D, Raw_Data_Daily!$B:$B, "Control", Raw_Data_Daily!$A:$A, $A16, Raw_Data_Daily!$C:$C, $C$3),""))</f>
        <v/>
      </c>
      <c r="AS16" s="137" t="str">
        <f>IF($A16="","",IFERROR(SUMPRODUCT((Raw_Data_Daily!$B$2:$B$9999="Variant")*(Raw_Data_Daily!$A$2:$A$9999=$A16)*(Raw_Data_Daily!$C$2:$C$9999=$C$3)*Raw_Data_Daily!$D$2:$D$9999*Raw_Data_Daily!$R$2:$R$9999)/SUMIFS(Raw_Data_Daily!$D:$D, Raw_Data_Daily!$B:$B, "Variant", Raw_Data_Daily!$A:$A, $A16, Raw_Data_Daily!$C:$C, $C$3),""))</f>
        <v/>
      </c>
      <c r="AT16" s="129" t="str">
        <f t="shared" si="15"/>
        <v/>
      </c>
      <c r="AU16" s="137" t="str">
        <f>IF($A16="","",IFERROR(SUMPRODUCT((Raw_Data_Daily!$B$2:$B$9999="Control")*(Raw_Data_Daily!$A$2:$A$9999=$A16)*(Raw_Data_Daily!$C$2:$C$9999=$C$3)*Raw_Data_Daily!$D$2:$D$9999*Raw_Data_Daily!$S$2:$S$9999)/SUMIFS(Raw_Data_Daily!$D:$D, Raw_Data_Daily!$B:$B, "Control", Raw_Data_Daily!$A:$A, $A16, Raw_Data_Daily!$C:$C, $C$3),""))</f>
        <v/>
      </c>
      <c r="AV16" s="137" t="str">
        <f>IF($A16="","",IFERROR(SUMPRODUCT((Raw_Data_Daily!$B$2:$B$9999="Variant")*(Raw_Data_Daily!$A$2:$A$9999=$A16)*(Raw_Data_Daily!$C$2:$C$9999=$C$3)*Raw_Data_Daily!$D$2:$D$9999*Raw_Data_Daily!$S$2:$S$9999)/SUMIFS(Raw_Data_Daily!$D:$D, Raw_Data_Daily!$B:$B, "Variant", Raw_Data_Daily!$A:$A, $A16, Raw_Data_Daily!$C:$C, $C$3),""))</f>
        <v/>
      </c>
      <c r="AW16" s="129" t="str">
        <f t="shared" si="16"/>
        <v/>
      </c>
      <c r="AX16" s="137" t="str">
        <f>IF($A16="","",IFERROR(SUMPRODUCT((Raw_Data_Daily!$B$2:$B$9999="Control")*(Raw_Data_Daily!$A$2:$A$9999=$A16)*(Raw_Data_Daily!$C$2:$C$9999=$C$3)*Raw_Data_Daily!$D$2:$D$9999*Raw_Data_Daily!$T$2:$T$9999)/SUMIFS(Raw_Data_Daily!$D:$D, Raw_Data_Daily!$B:$B, "Control", Raw_Data_Daily!$A:$A, $A16, Raw_Data_Daily!$C:$C, $C$3),""))</f>
        <v/>
      </c>
      <c r="AY16" s="137" t="str">
        <f>IF($A16="","",IFERROR(SUMPRODUCT((Raw_Data_Daily!$B$2:$B$9999="Variant")*(Raw_Data_Daily!$A$2:$A$9999=$A16)*(Raw_Data_Daily!$C$2:$C$9999=$C$3)*Raw_Data_Daily!$D$2:$D$9999*Raw_Data_Daily!$T$2:$T$9999)/SUMIFS(Raw_Data_Daily!$D:$D, Raw_Data_Daily!$B:$B, "Variant", Raw_Data_Daily!$A:$A, $A16, Raw_Data_Daily!$C:$C, $C$3),""))</f>
        <v/>
      </c>
      <c r="AZ16" s="132" t="str">
        <f t="shared" si="17"/>
        <v/>
      </c>
      <c r="BA16" s="137" t="str">
        <f>IF($A16="","",IFERROR(SUMPRODUCT((Raw_Data_Daily!$B$2:$B$9999="Control")*(Raw_Data_Daily!$A$2:$A$9999=$A16)*(Raw_Data_Daily!$C$2:$C$9999=$C$3)*Raw_Data_Daily!$D$2:$D$9999*Raw_Data_Daily!$U$2:$U$9999)/SUMIFS(Raw_Data_Daily!$D:$D, Raw_Data_Daily!$B:$B, "Control", Raw_Data_Daily!$A:$A, $A16, Raw_Data_Daily!$C:$C, $C$3),""))</f>
        <v/>
      </c>
      <c r="BB16" s="137" t="str">
        <f>IF($A16="","",IFERROR(SUMPRODUCT((Raw_Data_Daily!$B$2:$B$9999="Variant")*(Raw_Data_Daily!$A$2:$A$9999=$A16)*(Raw_Data_Daily!$C$2:$C$9999=$C$3)*Raw_Data_Daily!$D$2:$D$9999*Raw_Data_Daily!$U$2:$U$9999)/SUMIFS(Raw_Data_Daily!$D:$D, Raw_Data_Daily!$B:$B, "Variant", Raw_Data_Daily!$A:$A, $A16, Raw_Data_Daily!$C:$C, $C$3),""))</f>
        <v/>
      </c>
      <c r="BC16" s="129" t="str">
        <f t="shared" si="18"/>
        <v/>
      </c>
      <c r="BD16" s="137" t="str">
        <f>IF($A16="","",IFERROR(SUMPRODUCT((Raw_Data_Daily!$B$2:$B$9999="Control")*(Raw_Data_Daily!$A$2:$A$9999=$A16)*(Raw_Data_Daily!$C$2:$C$9999=$C$3)*Raw_Data_Daily!$D$2:$D$9999*Raw_Data_Daily!$V$2:$V$9999)/SUMIFS(Raw_Data_Daily!$D:$D, Raw_Data_Daily!$B:$B, "Control", Raw_Data_Daily!$A:$A, $A16, Raw_Data_Daily!$C:$C, $C$3),""))</f>
        <v/>
      </c>
      <c r="BE16" s="137" t="str">
        <f>IF($A16="","",IFERROR(SUMPRODUCT((Raw_Data_Daily!$B$2:$B$9999="Variant")*(Raw_Data_Daily!$A$2:$A$9999=$A16)*(Raw_Data_Daily!$C$2:$C$9999=$C$3)*Raw_Data_Daily!$D$2:$D$9999*Raw_Data_Daily!$V$2:$V$9999)/SUMIFS(Raw_Data_Daily!$D:$D, Raw_Data_Daily!$B:$B, "Variant", Raw_Data_Daily!$A:$A, $A16, Raw_Data_Daily!$C:$C, $C$3),""))</f>
        <v/>
      </c>
      <c r="BF16" s="148" t="str">
        <f t="shared" si="19"/>
        <v/>
      </c>
      <c r="BG16" s="149" t="str">
        <f>IF($A16="","",IFERROR(SUMPRODUCT((Raw_Data_Daily!$B$2:$B$9999="Control")*(Raw_Data_Daily!$A$2:$A$9999=$A16)*(Raw_Data_Daily!$C$2:$C$9999=$C$3)*Raw_Data_Daily!$D$2:$D$9999*(Raw_Data_Daily!$Q$2:$Q$9999-Raw_Data_Daily!$V$2:$V$9999))/SUMIFS(Raw_Data_Daily!$D:$D, Raw_Data_Daily!$B:$B, "Control", Raw_Data_Daily!$A:$A, $A16, Raw_Data_Daily!$C:$C, $C$3),""))</f>
        <v/>
      </c>
      <c r="BH16" s="137" t="str">
        <f>IF($A16="","",IFERROR(SUMPRODUCT((Raw_Data_Daily!$B$2:$B$9999="Variant")*(Raw_Data_Daily!$A$2:$A$9999=$A16)*(Raw_Data_Daily!$C$2:$C$9999=$C$3)*Raw_Data_Daily!$D$2:$D$9999*(Raw_Data_Daily!$Q$2:$Q$9999-Raw_Data_Daily!$V$2:$V$9999))/SUMIFS(Raw_Data_Daily!$D:$D, Raw_Data_Daily!$B:$B, "Variant", Raw_Data_Daily!$A:$A, $A16, Raw_Data_Daily!$C:$C, $C$3),""))</f>
        <v/>
      </c>
      <c r="BI16" s="155" t="str">
        <f t="shared" si="20"/>
        <v/>
      </c>
      <c r="BJ16" s="156" t="str">
        <f>IF($A16="","",IFERROR(SUMPRODUCT((Raw_Data_Daily!$B$2:$B$9999="Control")*(Raw_Data_Daily!$A$2:$A$9999=$A16)*(Raw_Data_Daily!$C$2:$C$9999=$C$3)*Raw_Data_Daily!$D$2:$D$9999*Raw_Data_Daily!$W$2:$W$9999)/SUMIFS(Raw_Data_Daily!$D:$D, Raw_Data_Daily!$B:$B, "Control", Raw_Data_Daily!$A:$A, $A16, Raw_Data_Daily!$C:$C, $C$3),""))</f>
        <v/>
      </c>
      <c r="BK16" s="137" t="str">
        <f>IF($A16="","",IFERROR(SUMPRODUCT((Raw_Data_Daily!$B$2:$B$9999="Variant")*(Raw_Data_Daily!$A$2:$A$9999=$A16)*(Raw_Data_Daily!$C$2:$C$9999=$C$3)*Raw_Data_Daily!$D$2:$D$9999*Raw_Data_Daily!$W$2:$W$9999)/SUMIFS(Raw_Data_Daily!$D:$D, Raw_Data_Daily!$B:$B, "Variant", Raw_Data_Daily!$A:$A, $A16, Raw_Data_Daily!$C:$C, $C$3),""))</f>
        <v/>
      </c>
      <c r="BL16" s="129" t="str">
        <f t="shared" si="21"/>
        <v/>
      </c>
      <c r="BM16" s="139" t="str">
        <f>IF($A16="","",IFERROR(SUMPRODUCT((Raw_Data_Daily!$B$2:$B$9999="Control")*(Raw_Data_Daily!$A$2:$A$9999=$A16)*(Raw_Data_Daily!$C$2:$C$9999=$C$3)*Raw_Data_Daily!$D$2:$D$9999*Raw_Data_Daily!$X$2:$X$9999)/SUMIFS(Raw_Data_Daily!$D:$D, Raw_Data_Daily!$B:$B, "Control", Raw_Data_Daily!$A:$A, $A16, Raw_Data_Daily!$C:$C, $C$3),""))</f>
        <v/>
      </c>
      <c r="BN16" s="139" t="str">
        <f>IF($A16="","",IFERROR(SUMPRODUCT((Raw_Data_Daily!$B$2:$B$9999="Variant")*(Raw_Data_Daily!$A$2:$A$9999=$A16)*(Raw_Data_Daily!$C$2:$C$9999=$C$3)*Raw_Data_Daily!$D$2:$D$9999*Raw_Data_Daily!$X$2:$X$9999)/SUMIFS(Raw_Data_Daily!$D:$D, Raw_Data_Daily!$B:$B, "Variant", Raw_Data_Daily!$A:$A, $A16, Raw_Data_Daily!$C:$C, $C$3),""))</f>
        <v/>
      </c>
      <c r="BO16" s="132" t="str">
        <f t="shared" si="22"/>
        <v/>
      </c>
      <c r="BP16" s="128" t="str">
        <f>IF($A16="","",IFERROR(SUMPRODUCT((Raw_Data_Daily!$B$2:$B$9999="Control")*(Raw_Data_Daily!$A$2:$A$9999=$A16)*(Raw_Data_Daily!$C$2:$C$9999=$C$3)*Raw_Data_Daily!$D$2:$D$9999*Raw_Data_Daily!$Y$2:$Y$9999)/SUMIFS(Raw_Data_Daily!$D:$D, Raw_Data_Daily!$B:$B, "Control", Raw_Data_Daily!$A:$A, $A16, Raw_Data_Daily!$C:$C, $C$3),""))</f>
        <v/>
      </c>
      <c r="BQ16" s="128" t="str">
        <f>IF($A16="","",IFERROR(SUMPRODUCT((Raw_Data_Daily!$B$2:$B$9999="Variant")*(Raw_Data_Daily!$A$2:$A$9999=$A16)*(Raw_Data_Daily!$C$2:$C$9999=$C$3)*Raw_Data_Daily!$D$2:$D$9999*Raw_Data_Daily!$Y$2:$Y$9999)/SUMIFS(Raw_Data_Daily!$D:$D, Raw_Data_Daily!$B:$B, "Variant", Raw_Data_Daily!$A:$A, $A16, Raw_Data_Daily!$C:$C, $C$3),""))</f>
        <v/>
      </c>
      <c r="BR16" s="129" t="str">
        <f t="shared" si="23"/>
        <v/>
      </c>
      <c r="BS16" s="128" t="str">
        <f>IF($A16="","",IFERROR(SUMPRODUCT((Raw_Data_Daily!$B$2:$B$9999="Control")*(Raw_Data_Daily!$A$2:$A$9999=$A16)*(Raw_Data_Daily!$C$2:$C$9999=$C$3)*Raw_Data_Daily!$D$2:$D$9999*Raw_Data_Daily!$Z$2:$Z$9999)/SUMIFS(Raw_Data_Daily!$D:$D, Raw_Data_Daily!$B:$B, "Control", Raw_Data_Daily!$A:$A, $A16, Raw_Data_Daily!$C:$C, $C$3),""))</f>
        <v/>
      </c>
      <c r="BT16" s="128" t="str">
        <f>IF($A16="","",IFERROR(SUMPRODUCT((Raw_Data_Daily!$B$2:$B$9999="Variant")*(Raw_Data_Daily!$A$2:$A$9999=$A16)*(Raw_Data_Daily!$C$2:$C$9999=$C$3)*Raw_Data_Daily!$D$2:$D$9999*Raw_Data_Daily!$Z$2:$Z$9999)/SUMIFS(Raw_Data_Daily!$D:$D, Raw_Data_Daily!$B:$B, "Variant", Raw_Data_Daily!$A:$A, $A16, Raw_Data_Daily!$C:$C, $C$3),""))</f>
        <v/>
      </c>
      <c r="BU16" s="129" t="str">
        <f t="shared" si="24"/>
        <v/>
      </c>
      <c r="BV16" s="128" t="str">
        <f>IF($A16="","",IFERROR(SUMPRODUCT((Raw_Data_Daily!$B$2:$B$9999="Control")*(Raw_Data_Daily!$A$2:$A$9999=$A16)*(Raw_Data_Daily!$C$2:$C$9999=$C$3)*Raw_Data_Daily!$D$2:$D$9999*Raw_Data_Daily!$AA$2:$AA$9999)/SUMIFS(Raw_Data_Daily!$D:$D, Raw_Data_Daily!$B:$B, "Control", Raw_Data_Daily!$A:$A, $A16, Raw_Data_Daily!$C:$C, $C$3),""))</f>
        <v/>
      </c>
      <c r="BW16" s="128" t="str">
        <f>IF($A16="","",IFERROR(SUMPRODUCT((Raw_Data_Daily!$B$2:$B$9999="Variant")*(Raw_Data_Daily!$A$2:$A$9999=$A16)*(Raw_Data_Daily!$C$2:$C$9999=$C$3)*Raw_Data_Daily!$D$2:$D$9999*Raw_Data_Daily!$AA$2:$AA$9999)/SUMIFS(Raw_Data_Daily!$D:$D, Raw_Data_Daily!$B:$B, "Variant", Raw_Data_Daily!$A:$A, $A16, Raw_Data_Daily!$C:$C, $C$3),""))</f>
        <v/>
      </c>
      <c r="BX16" s="129" t="str">
        <f t="shared" si="25"/>
        <v/>
      </c>
      <c r="BY16" s="137" t="str">
        <f>IF($A16="","",IFERROR(SUMPRODUCT((Raw_Data_Daily!$B$2:$B$9999="Control")*(Raw_Data_Daily!$A$2:$A$9999=$A16)*(Raw_Data_Daily!$C$2:$C$9999=$C$3)*Raw_Data_Daily!$D$2:$D$9999*Raw_Data_Daily!$AB$2:$AB$9999)/SUMIFS(Raw_Data_Daily!$D:$D, Raw_Data_Daily!$B:$B, "Control", Raw_Data_Daily!$A:$A, $A16, Raw_Data_Daily!$C:$C, $C$3),""))</f>
        <v/>
      </c>
      <c r="BZ16" s="137" t="str">
        <f>IF($A16="","",IFERROR(SUMPRODUCT((Raw_Data_Daily!$B$2:$B$9999="Variant")*(Raw_Data_Daily!$A$2:$A$9999=$A16)*(Raw_Data_Daily!$C$2:$C$9999=$C$3)*Raw_Data_Daily!$D$2:$D$9999*Raw_Data_Daily!$AB$2:$AB$9999)/SUMIFS(Raw_Data_Daily!$D:$D, Raw_Data_Daily!$B:$B, "Variant", Raw_Data_Daily!$A:$A, $A16, Raw_Data_Daily!$C:$C, $C$3),""))</f>
        <v/>
      </c>
      <c r="CA16" s="132" t="str">
        <f t="shared" si="26"/>
        <v/>
      </c>
      <c r="CB16" s="137" t="str">
        <f>IF($A16="","",IFERROR(SUMPRODUCT((Raw_Data_Daily!$B$2:$B$9999="Control")*(Raw_Data_Daily!$A$2:$A$9999=$A16)*(Raw_Data_Daily!$C$2:$C$9999=$C$3)*Raw_Data_Daily!$D$2:$D$9999*Raw_Data_Daily!$AC$2:$AC$9999)/SUMIFS(Raw_Data_Daily!$D:$D, Raw_Data_Daily!$B:$B, "Control", Raw_Data_Daily!$A:$A, $A16, Raw_Data_Daily!$C:$C, $C$3),""))</f>
        <v/>
      </c>
      <c r="CC16" s="137" t="str">
        <f>IF($A16="","",IFERROR(SUMPRODUCT((Raw_Data_Daily!$B$2:$B$9999="Variant")*(Raw_Data_Daily!$A$2:$A$9999=$A16)*(Raw_Data_Daily!$C$2:$C$9999=$C$3)*Raw_Data_Daily!$D$2:$D$9999*Raw_Data_Daily!$AC$2:$AC$9999)/SUMIFS(Raw_Data_Daily!$D:$D, Raw_Data_Daily!$B:$B, "Variant", Raw_Data_Daily!$A:$A, $A16, Raw_Data_Daily!$C:$C, $C$3),""))</f>
        <v/>
      </c>
      <c r="CD16" s="132" t="str">
        <f t="shared" si="27"/>
        <v/>
      </c>
      <c r="CE16" s="137" t="str">
        <f>IF($A16="","",IFERROR(SUMPRODUCT((Raw_Data_Daily!$B$2:$B$9999="Control")*(Raw_Data_Daily!$A$2:$A$9999=$A16)*(Raw_Data_Daily!$C$2:$C$9999=$C$3)*Raw_Data_Daily!$D$2:$D$9999*Raw_Data_Daily!$AD$2:$AD$9999)/SUMIFS(Raw_Data_Daily!$D:$D, Raw_Data_Daily!$B:$B, "Control", Raw_Data_Daily!$A:$A, $A16, Raw_Data_Daily!$C:$C, $C$3),""))</f>
        <v/>
      </c>
      <c r="CF16" s="137" t="str">
        <f>IF($A16="","",IFERROR(SUMPRODUCT((Raw_Data_Daily!$B$2:$B$9999="Variant")*(Raw_Data_Daily!$A$2:$A$9999=$A16)*(Raw_Data_Daily!$C$2:$C$9999=$C$3)*Raw_Data_Daily!$D$2:$D$9999*Raw_Data_Daily!$AD$2:$AD$9999)/SUMIFS(Raw_Data_Daily!$D:$D, Raw_Data_Daily!$B:$B, "Variant", Raw_Data_Daily!$A:$A, $A16, Raw_Data_Daily!$C:$C, $C$3),""))</f>
        <v/>
      </c>
      <c r="CG16" s="132" t="str">
        <f t="shared" si="28"/>
        <v/>
      </c>
      <c r="CH16" s="137" t="str">
        <f>IF($A16="","",IFERROR(SUMPRODUCT((Raw_Data_Daily!$B$2:$B$9999="Control")*(Raw_Data_Daily!$A$2:$A$9999=$A16)*(Raw_Data_Daily!$C$2:$C$9999=$C$3)*Raw_Data_Daily!$D$2:$D$9999*Raw_Data_Daily!$AE$2:$AE$9999)/SUMIFS(Raw_Data_Daily!$D:$D, Raw_Data_Daily!$B:$B, "Control", Raw_Data_Daily!$A:$A, $A16, Raw_Data_Daily!$C:$C, $C$3),""))</f>
        <v/>
      </c>
      <c r="CI16" s="137" t="str">
        <f>IF($A16="","",IFERROR(SUMPRODUCT((Raw_Data_Daily!$B$2:$B$9999="Variant")*(Raw_Data_Daily!$A$2:$A$9999=$A16)*(Raw_Data_Daily!$C$2:$C$9999=$C$3)*Raw_Data_Daily!$D$2:$D$9999*Raw_Data_Daily!$AE$2:$AE$9999)/SUMIFS(Raw_Data_Daily!$D:$D, Raw_Data_Daily!$B:$B, "Variant", Raw_Data_Daily!$A:$A, $A16, Raw_Data_Daily!$C:$C, $C$3),""))</f>
        <v/>
      </c>
      <c r="CJ16" s="132" t="str">
        <f t="shared" si="29"/>
        <v/>
      </c>
      <c r="CK16" s="137" t="str">
        <f>IF($A16="","",IFERROR(SUMPRODUCT((Raw_Data_Daily!$B$2:$B$9999="Control")*(Raw_Data_Daily!$A$2:$A$9999=$A16)*(Raw_Data_Daily!$C$2:$C$9999=$C$3)*Raw_Data_Daily!$D$2:$D$9999*Raw_Data_Daily!$AF$2:$AF$9999)/SUMIFS(Raw_Data_Daily!$D:$D, Raw_Data_Daily!$B:$B, "Control", Raw_Data_Daily!$A:$A, $A16, Raw_Data_Daily!$C:$C, $C$3),""))</f>
        <v/>
      </c>
      <c r="CL16" s="137" t="str">
        <f>IF($A16="","",IFERROR(SUMPRODUCT((Raw_Data_Daily!$B$2:$B$9999="Variant")*(Raw_Data_Daily!$A$2:$A$9999=$A16)*(Raw_Data_Daily!$C$2:$C$9999=$C$3)*Raw_Data_Daily!$D$2:$D$9999*Raw_Data_Daily!$AF$2:$AF$9999)/SUMIFS(Raw_Data_Daily!$D:$D, Raw_Data_Daily!$B:$B, "Variant", Raw_Data_Daily!$A:$A, $A16, Raw_Data_Daily!$C:$C, $C$3),""))</f>
        <v/>
      </c>
      <c r="CM16" s="132" t="str">
        <f t="shared" si="30"/>
        <v/>
      </c>
      <c r="CN16" s="137" t="str">
        <f>IF($A16="","",IFERROR(SUMPRODUCT((Raw_Data_Daily!$B$2:$B$9999="Control")*(Raw_Data_Daily!$A$2:$A$9999=$A16)*(Raw_Data_Daily!$C$2:$C$9999=$C$3)*Raw_Data_Daily!$D$2:$D$9999*Raw_Data_Daily!$AG$2:$AG$9999)/SUMIFS(Raw_Data_Daily!$D:$D, Raw_Data_Daily!$B:$B, "Control", Raw_Data_Daily!$A:$A, $A16, Raw_Data_Daily!$C:$C, $C$3),""))</f>
        <v/>
      </c>
      <c r="CO16" s="137" t="str">
        <f>IF($A16="","",IFERROR(SUMPRODUCT((Raw_Data_Daily!$B$2:$B$9999="Variant")*(Raw_Data_Daily!$A$2:$A$9999=$A16)*(Raw_Data_Daily!$C$2:$C$9999=$C$3)*Raw_Data_Daily!$D$2:$D$9999*Raw_Data_Daily!$AG$2:$AG$9999)/SUMIFS(Raw_Data_Daily!$D:$D, Raw_Data_Daily!$B:$B, "Variant", Raw_Data_Daily!$A:$A, $A16, Raw_Data_Daily!$C:$C, $C$3),""))</f>
        <v/>
      </c>
      <c r="CP16" s="132" t="str">
        <f t="shared" si="31"/>
        <v/>
      </c>
      <c r="CQ16" s="137" t="str">
        <f>IF($A16="","",IFERROR(SUMPRODUCT((Raw_Data_Daily!$B$2:$B$9999="Control")*(Raw_Data_Daily!$A$2:$A$9999=$A16)*(Raw_Data_Daily!$C$2:$C$9999=$C$3)*Raw_Data_Daily!$D$2:$D$9999*Raw_Data_Daily!$AH$2:$AH$9999)/SUMIFS(Raw_Data_Daily!$D:$D, Raw_Data_Daily!$B:$B, "Control", Raw_Data_Daily!$A:$A, $A16, Raw_Data_Daily!$C:$C, $C$3),""))</f>
        <v/>
      </c>
      <c r="CR16" s="137" t="str">
        <f>IF($A16="","",IFERROR(SUMPRODUCT((Raw_Data_Daily!$B$2:$B$9999="Variant")*(Raw_Data_Daily!$A$2:$A$9999=$A16)*(Raw_Data_Daily!$C$2:$C$9999=$C$3)*Raw_Data_Daily!$D$2:$D$9999*Raw_Data_Daily!$AH$2:$AH$9999)/SUMIFS(Raw_Data_Daily!$D:$D, Raw_Data_Daily!$B:$B, "Variant", Raw_Data_Daily!$A:$A, $A16, Raw_Data_Daily!$C:$C, $C$3),""))</f>
        <v/>
      </c>
      <c r="CS16" s="132" t="str">
        <f t="shared" si="32"/>
        <v/>
      </c>
      <c r="CT16" s="130" t="str">
        <f>IF($A16="","",IFERROR(SUMPRODUCT((Raw_Data_Daily!$B$2:$B$9999="Control")*(Raw_Data_Daily!$A$2:$A$9999=$A16)*(Raw_Data_Daily!$C$2:$C$9999=$C$3)*Raw_Data_Daily!$D$2:$D$9999*Raw_Data_Daily!$AI$2:$AI$9999)/SUMIFS(Raw_Data_Daily!$D:$D, Raw_Data_Daily!$B:$B, "Control", Raw_Data_Daily!$A:$A, $A16, Raw_Data_Daily!$C:$C, $C$3),""))</f>
        <v/>
      </c>
      <c r="CU16" s="130" t="str">
        <f>IF($A16="","",IFERROR(SUMPRODUCT((Raw_Data_Daily!$B$2:$B$9999="Variant")*(Raw_Data_Daily!$A$2:$A$9999=$A16)*(Raw_Data_Daily!$C$2:$C$9999=$C$3)*Raw_Data_Daily!$D$2:$D$9999*Raw_Data_Daily!$AI$2:$AI$9999)/SUMIFS(Raw_Data_Daily!$D:$D, Raw_Data_Daily!$B:$B, "Variant", Raw_Data_Daily!$A:$A, $A16, Raw_Data_Daily!$C:$C, $C$3),""))</f>
        <v/>
      </c>
      <c r="CV16" s="140" t="str">
        <f t="shared" si="33"/>
        <v/>
      </c>
      <c r="CW16" s="130" t="str">
        <f>IF($A16="","",IFERROR(SUMPRODUCT((Raw_Data_Daily!$B$2:$B$9999="Control")*(Raw_Data_Daily!$A$2:$A$9999=$A16)*(Raw_Data_Daily!$C$2:$C$9999=$C$3)*Raw_Data_Daily!$D$2:$D$9999*Raw_Data_Daily!$AJ$2:$AJ$9999)/SUMIFS(Raw_Data_Daily!$D:$D, Raw_Data_Daily!$B:$B, "Control", Raw_Data_Daily!$A:$A, $A16, Raw_Data_Daily!$C:$C, $C$3),""))</f>
        <v/>
      </c>
      <c r="CX16" s="130" t="str">
        <f>IF($A16="","",IFERROR(SUMPRODUCT((Raw_Data_Daily!$B$2:$B$9999="Variant")*(Raw_Data_Daily!$A$2:$A$9999=$A16)*(Raw_Data_Daily!$C$2:$C$9999=$C$3)*Raw_Data_Daily!$D$2:$D$9999*Raw_Data_Daily!$AJ$2:$AJ$9999)/SUMIFS(Raw_Data_Daily!$D:$D, Raw_Data_Daily!$B:$B, "Variant", Raw_Data_Daily!$A:$A, $A16, Raw_Data_Daily!$C:$C, $C$3),""))</f>
        <v/>
      </c>
      <c r="CY16" s="140" t="str">
        <f t="shared" si="34"/>
        <v/>
      </c>
      <c r="CZ16" s="130" t="str">
        <f>IF($A16="","",IFERROR(SUMPRODUCT((Raw_Data_Daily!$B$2:$B$9999="Control")*(Raw_Data_Daily!$A$2:$A$9999=$A16)*(Raw_Data_Daily!$C$2:$C$9999=$C$3)*Raw_Data_Daily!$D$2:$D$9999*Raw_Data_Daily!$AK$2:$AK$9999)/SUMIFS(Raw_Data_Daily!$D:$D, Raw_Data_Daily!$B:$B, "Control", Raw_Data_Daily!$A:$A, $A16, Raw_Data_Daily!$C:$C, $C$3),""))</f>
        <v/>
      </c>
      <c r="DA16" s="130" t="str">
        <f>IF($A16="","",IFERROR(SUMPRODUCT((Raw_Data_Daily!$B$2:$B$9999="Variant")*(Raw_Data_Daily!$A$2:$A$9999=$A16)*(Raw_Data_Daily!$C$2:$C$9999=$C$3)*Raw_Data_Daily!$D$2:$D$9999*Raw_Data_Daily!$AK$2:$AK$9999)/SUMIFS(Raw_Data_Daily!$D:$D, Raw_Data_Daily!$B:$B, "Variant", Raw_Data_Daily!$A:$A, $A16, Raw_Data_Daily!$C:$C, $C$3),""))</f>
        <v/>
      </c>
      <c r="DB16" s="132" t="str">
        <f t="shared" si="35"/>
        <v/>
      </c>
      <c r="DC16" s="139" t="str">
        <f>IF($A16="","",IFERROR(SUMPRODUCT((Raw_Data_Daily!$B$2:$B$9999="Control")*(Raw_Data_Daily!$A$2:$A$9999=$A16)*(Raw_Data_Daily!$C$2:$C$9999=$C$3)*Raw_Data_Daily!$D$2:$D$9999*Raw_Data_Daily!$AL$2:$AL$9999)/SUMIFS(Raw_Data_Daily!$D:$D, Raw_Data_Daily!$B:$B, "Control", Raw_Data_Daily!$A:$A, $A16, Raw_Data_Daily!$C:$C, $C$3),""))</f>
        <v/>
      </c>
      <c r="DD16" s="139" t="str">
        <f>IF($A16="","",IFERROR(SUMPRODUCT((Raw_Data_Daily!$B$2:$B$9999="Variant")*(Raw_Data_Daily!$A$2:$A$9999=$A16)*(Raw_Data_Daily!$C$2:$C$9999=$C$3)*Raw_Data_Daily!$D$2:$D$9999*Raw_Data_Daily!$AL$2:$AL$9999)/SUMIFS(Raw_Data_Daily!$D:$D, Raw_Data_Daily!$B:$B, "Variant", Raw_Data_Daily!$A:$A, $A16, Raw_Data_Daily!$C:$C, $C$3),""))</f>
        <v/>
      </c>
      <c r="DE16" s="140" t="str">
        <f t="shared" si="36"/>
        <v/>
      </c>
      <c r="DF16" s="165"/>
      <c r="DG16" s="130" t="str">
        <f>IF($A16="","",IFERROR(SUMPRODUCT((Raw_Data_Daily!$B$2:$B$9999="Variant")*(Raw_Data_Daily!$A$2:$A$9999=$A16)*(Raw_Data_Daily!$C$2:$C$9999=$C$3)*Raw_Data_Daily!$D$2:$D$9999*Raw_Data_Daily!$AM$2:$AM$9999)/SUMIFS(Raw_Data_Daily!$D:$D, Raw_Data_Daily!$B:$B, "Variant", Raw_Data_Daily!$A:$A, $A16, Raw_Data_Daily!$C:$C, $C$3),""))</f>
        <v/>
      </c>
      <c r="DH16" s="166"/>
      <c r="DI16" s="165"/>
      <c r="DJ16" s="130" t="str">
        <f>IF($A16="","",IFERROR(SUMPRODUCT((Raw_Data_Daily!$B$2:$B$9999="Variant")*(Raw_Data_Daily!$A$2:$A$9999=$A16)*(Raw_Data_Daily!$C$2:$C$9999=$C$3)*Raw_Data_Daily!$D$2:$D$9999*Raw_Data_Daily!$AN$2:$AN$9999)/SUMIFS(Raw_Data_Daily!$D:$D, Raw_Data_Daily!$B:$B, "Variant", Raw_Data_Daily!$A:$A, $A16, Raw_Data_Daily!$C:$C, $C$3),""))</f>
        <v/>
      </c>
      <c r="DK16" s="166"/>
      <c r="DL16" s="165"/>
      <c r="DM16" s="130" t="str">
        <f>IF($A16="","",IFERROR(SUMPRODUCT((Raw_Data_Daily!$B$2:$B$9999="Variant")*(Raw_Data_Daily!$A$2:$A$9999=$A16)*(Raw_Data_Daily!$C$2:$C$9999=$C$3)*Raw_Data_Daily!$D$2:$D$9999*Raw_Data_Daily!$AO$2:$AO$9999)/SUMIFS(Raw_Data_Daily!$D:$D, Raw_Data_Daily!$B:$B, "Variant", Raw_Data_Daily!$A:$A, $A16, Raw_Data_Daily!$C:$C, $C$3),""))</f>
        <v/>
      </c>
      <c r="DN16" s="166"/>
      <c r="DO16" s="165"/>
      <c r="DP16" s="130" t="str">
        <f>IF($A16="","",IFERROR(SUMPRODUCT((Raw_Data_Daily!$B$2:$B$9999="Variant")*(Raw_Data_Daily!$A$2:$A$9999=$A16)*(Raw_Data_Daily!$C$2:$C$9999=$C$3)*Raw_Data_Daily!$D$2:$D$9999*Raw_Data_Daily!$AP$2:$AP$9999)/SUMIFS(Raw_Data_Daily!$D:$D, Raw_Data_Daily!$B:$B, "Variant", Raw_Data_Daily!$A:$A, $A16, Raw_Data_Daily!$C:$C, $C$3),""))</f>
        <v/>
      </c>
      <c r="DQ16" s="166"/>
      <c r="DR16" s="139" t="str">
        <f>IF($A16="","",IFERROR(SUMPRODUCT((Raw_Data_Daily!$B$2:$B$9999="Control")*(Raw_Data_Daily!$A$2:$A$9999=$A16)*(Raw_Data_Daily!$C$2:$C$9999=$C$3)*Raw_Data_Daily!$D$2:$D$9999*Raw_Data_Daily!$AQ$2:$AQ$9999)/SUMIFS(Raw_Data_Daily!$D:$D, Raw_Data_Daily!$B:$B, "Control", Raw_Data_Daily!$A:$A, $A16, Raw_Data_Daily!$C:$C, $C$3),""))</f>
        <v/>
      </c>
      <c r="DS16" s="139" t="str">
        <f>IF($A16="","",IFERROR(SUMPRODUCT((Raw_Data_Daily!$B$2:$B$9999="Variant")*(Raw_Data_Daily!$A$2:$A$9999=$A16)*(Raw_Data_Daily!$C$2:$C$9999=$C$3)*Raw_Data_Daily!$D$2:$D$9999*Raw_Data_Daily!$AQ$2:$AQ$9999)/SUMIFS(Raw_Data_Daily!$D:$D, Raw_Data_Daily!$B:$B, "Variant", Raw_Data_Daily!$A:$A, $A16, Raw_Data_Daily!$C:$C, $C$3),""))</f>
        <v/>
      </c>
      <c r="DT16" s="167" t="str">
        <f t="shared" si="37"/>
        <v/>
      </c>
      <c r="DU16" s="139" t="str">
        <f>IF($A16="","",IFERROR(SUMPRODUCT((Raw_Data_Daily!$B$2:$B$9999="Control")*(Raw_Data_Daily!$A$2:$A$9999=$A16)*(Raw_Data_Daily!$C$2:$C$9999=$C$3)*Raw_Data_Daily!$D$2:$D$9999*Raw_Data_Daily!$AR$2:$AR$9999)/SUMIFS(Raw_Data_Daily!$D:$D, Raw_Data_Daily!$B:$B, "Control", Raw_Data_Daily!$A:$A, $A16, Raw_Data_Daily!$C:$C, $C$3),""))</f>
        <v/>
      </c>
      <c r="DV16" s="139" t="str">
        <f>IF($A16="","",IFERROR(SUMPRODUCT((Raw_Data_Daily!$B$2:$B$9999="Variant")*(Raw_Data_Daily!$A$2:$A$9999=$A16)*(Raw_Data_Daily!$C$2:$C$9999=$C$3)*Raw_Data_Daily!$D$2:$D$9999*Raw_Data_Daily!$AR$2:$AR$9999)/SUMIFS(Raw_Data_Daily!$D:$D, Raw_Data_Daily!$B:$B, "Variant", Raw_Data_Daily!$A:$A, $A16, Raw_Data_Daily!$C:$C, $C$3),""))</f>
        <v/>
      </c>
      <c r="DW16" s="167" t="str">
        <f t="shared" si="38"/>
        <v/>
      </c>
      <c r="DX16" s="139" t="str">
        <f>IF($A16="","",IFERROR(SUMPRODUCT((Raw_Data_Daily!$B$2:$B$9999="Control")*(Raw_Data_Daily!$A$2:$A$9999=$A16)*(Raw_Data_Daily!$C$2:$C$9999=$C$3)*Raw_Data_Daily!$D$2:$D$9999*Raw_Data_Daily!$AS$2:$AS$9999)/SUMIFS(Raw_Data_Daily!$D:$D, Raw_Data_Daily!$B:$B, "Control", Raw_Data_Daily!$A:$A, $A16, Raw_Data_Daily!$C:$C, $C$3),""))</f>
        <v/>
      </c>
      <c r="DY16" s="139" t="str">
        <f>IF($A16="","",IFERROR(SUMPRODUCT((Raw_Data_Daily!$B$2:$B$9999="Variant")*(Raw_Data_Daily!$A$2:$A$9999=$A16)*(Raw_Data_Daily!$C$2:$C$9999=$C$3)*Raw_Data_Daily!$D$2:$D$9999*Raw_Data_Daily!$AS$2:$AS$9999)/SUMIFS(Raw_Data_Daily!$D:$D, Raw_Data_Daily!$B:$B, "Variant", Raw_Data_Daily!$A:$A, $A16, Raw_Data_Daily!$C:$C, $C$3),""))</f>
        <v/>
      </c>
      <c r="DZ16" s="168" t="str">
        <f t="shared" si="39"/>
        <v/>
      </c>
      <c r="EA16" s="139" t="str">
        <f>IF($A16="","",IFERROR(SUMPRODUCT((Raw_Data_Daily!$B$2:$B$9999="Control")*(Raw_Data_Daily!$A$2:$A$9999=$A16)*(Raw_Data_Daily!$C$2:$C$9999=$C$3)*Raw_Data_Daily!$D$2:$D$9999*Raw_Data_Daily!$AT$2:$AT$9999)/SUMIFS(Raw_Data_Daily!$D:$D, Raw_Data_Daily!$B:$B, "Control", Raw_Data_Daily!$A:$A, $A16, Raw_Data_Daily!$C:$C, $C$3),""))</f>
        <v/>
      </c>
      <c r="EB16" s="139" t="str">
        <f>IF($A16="","",IFERROR(SUMPRODUCT((Raw_Data_Daily!$B$2:$B$9999="Variant")*(Raw_Data_Daily!$A$2:$A$9999=$A16)*(Raw_Data_Daily!$C$2:$C$9999=$C$3)*Raw_Data_Daily!$D$2:$D$9999*Raw_Data_Daily!$AT$2:$AT$9999)/SUMIFS(Raw_Data_Daily!$D:$D, Raw_Data_Daily!$B:$B, "Variant", Raw_Data_Daily!$A:$A, $A16, Raw_Data_Daily!$C:$C, $C$3),""))</f>
        <v/>
      </c>
      <c r="EC16" s="167" t="str">
        <f t="shared" si="40"/>
        <v/>
      </c>
      <c r="ED16" s="139" t="str">
        <f>IF($A16="","",IFERROR(SUMPRODUCT((Raw_Data_Daily!$B$2:$B$9999="Control")*(Raw_Data_Daily!$A$2:$A$9999=$A16)*(Raw_Data_Daily!$C$2:$C$9999=$C$3)*Raw_Data_Daily!$D$2:$D$9999*(Raw_Data_Daily!$AQ$2:$AQ$9999-Raw_Data_Daily!$AT$2:$AT$9999))/SUMIFS(Raw_Data_Daily!$D:$D, Raw_Data_Daily!$B:$B, "Control", Raw_Data_Daily!$A:$A, $A16, Raw_Data_Daily!$C:$C, $C$3),""))</f>
        <v/>
      </c>
      <c r="EE16" s="139" t="str">
        <f>IF($A16="","",IFERROR(SUMPRODUCT((Raw_Data_Daily!$B$2:$B$9999="Variant")*(Raw_Data_Daily!$A$2:$A$9999=$A16)*(Raw_Data_Daily!$C$2:$C$9999=$C$3)*Raw_Data_Daily!$D$2:$D$9999*(Raw_Data_Daily!$AQ$2:$AQ$9999-Raw_Data_Daily!$AT$2:$AT$9999))/SUMIFS(Raw_Data_Daily!$D:$D, Raw_Data_Daily!$B:$B, "Variant", Raw_Data_Daily!$A:$A, $A16, Raw_Data_Daily!$C:$C, $C$3),""))</f>
        <v/>
      </c>
      <c r="EF16" s="168" t="str">
        <f t="shared" si="41"/>
        <v/>
      </c>
      <c r="EG16" s="139" t="str">
        <f>IF($A16="","",IFERROR(SUMPRODUCT((Raw_Data_Daily!$B$2:$B$9999="Control")*(Raw_Data_Daily!$A$2:$A$9999=$A16)*(Raw_Data_Daily!$C$2:$C$9999=$C$3)*Raw_Data_Daily!$D$2:$D$9999*Raw_Data_Daily!$AU$2:$AU$9999)/SUMIFS(Raw_Data_Daily!$D:$D, Raw_Data_Daily!$B:$B, "Control", Raw_Data_Daily!$A:$A, $A16, Raw_Data_Daily!$C:$C, $C$3),""))</f>
        <v/>
      </c>
      <c r="EH16" s="139" t="str">
        <f>IF($A16="","",IFERROR(SUMPRODUCT((Raw_Data_Daily!$B$2:$B$9999="Variant")*(Raw_Data_Daily!$A$2:$A$9999=$A16)*(Raw_Data_Daily!$C$2:$C$9999=$C$3)*Raw_Data_Daily!$D$2:$D$9999*Raw_Data_Daily!$AU$2:$AU$9999)/SUMIFS(Raw_Data_Daily!$D:$D, Raw_Data_Daily!$B:$B, "Variant", Raw_Data_Daily!$A:$A, $A16, Raw_Data_Daily!$C:$C, $C$3),""))</f>
        <v/>
      </c>
      <c r="EI16" s="167" t="str">
        <f t="shared" si="42"/>
        <v/>
      </c>
    </row>
    <row r="17" ht="15.75" customHeight="1">
      <c r="A17" s="126">
        <v>46240.0</v>
      </c>
      <c r="B17" s="128">
        <f>IF($A17="","",SUMIFS(Raw_Data_Daily!$D:$D, Raw_Data_Daily!$B:$B, "Control", Raw_Data_Daily!$A:$A, $A17, Raw_Data_Daily!$C:$C, $C$3))</f>
        <v>0</v>
      </c>
      <c r="C17" s="128">
        <f>IF($A17="","",SUMIFS(Raw_Data_Daily!$D:$D, Raw_Data_Daily!$B:$B, "Variant", Raw_Data_Daily!$A:$A, $A17, Raw_Data_Daily!$C:$C, $C$3))</f>
        <v>0</v>
      </c>
      <c r="D17" s="129" t="str">
        <f t="shared" si="1"/>
        <v/>
      </c>
      <c r="E17" s="130" t="str">
        <f>IF($A17="","",IFERROR(SUMPRODUCT((Raw_Data_Daily!$B$2:$B$9999="Control")*(Raw_Data_Daily!$A$2:$A$9999=$A17)*(Raw_Data_Daily!$C$2:$C$9999=$C$3)*Raw_Data_Daily!$D$2:$D$9999*Raw_Data_Daily!$E$2:$E$9999)/SUMIFS(Raw_Data_Daily!$D:$D, Raw_Data_Daily!$B:$B, "Control", Raw_Data_Daily!$A:$A, $A17, Raw_Data_Daily!$C:$C, $C$3),""))</f>
        <v/>
      </c>
      <c r="F17" s="130" t="str">
        <f>IF($A17="","",IFERROR(SUMPRODUCT((Raw_Data_Daily!$B$2:$B$9999="Variant")*(Raw_Data_Daily!$A$2:$A$9999=$A17)*(Raw_Data_Daily!$C$2:$C$9999=$C$3)*Raw_Data_Daily!$D$2:$D$9999*Raw_Data_Daily!$E$2:$E$9999)/SUMIFS(Raw_Data_Daily!$D:$D, Raw_Data_Daily!$B:$B, "Variant", Raw_Data_Daily!$A:$A, $A17, Raw_Data_Daily!$C:$C, $C$3),""))</f>
        <v/>
      </c>
      <c r="G17" s="129" t="str">
        <f t="shared" si="2"/>
        <v/>
      </c>
      <c r="H17" s="131">
        <f>IF($A17="","",SUMIFS(Raw_Data_Daily!$F:$F, Raw_Data_Daily!$B:$B, "Control", Raw_Data_Daily!$A:$A, $A17, Raw_Data_Daily!$C:$C, $C$3))</f>
        <v>0</v>
      </c>
      <c r="I17" s="131">
        <f>IF($A17="","",SUMIFS(Raw_Data_Daily!$F:$F, Raw_Data_Daily!$B:$B, "Variant", Raw_Data_Daily!$A:$A, $A17, Raw_Data_Daily!$C:$C, $C$3))</f>
        <v>0</v>
      </c>
      <c r="J17" s="132" t="str">
        <f t="shared" si="3"/>
        <v/>
      </c>
      <c r="K17" s="134" t="str">
        <f>IF($A17="","",IFERROR(SUMIFS(Raw_Data_Daily!$F:$F, Raw_Data_Daily!$B:$B, "Control", Raw_Data_Daily!$A:$A, $A17, Raw_Data_Daily!$C:$C, $C$3)/SUMIFS(Raw_Data_Daily!$D:$D, Raw_Data_Daily!$B:$B, "Control", Raw_Data_Daily!$A:$A, $A17, Raw_Data_Daily!$C:$C, $C$3),""))</f>
        <v/>
      </c>
      <c r="L17" s="134" t="str">
        <f>IF($A17="","",IFERROR(SUMIFS(Raw_Data_Daily!$F:$F, Raw_Data_Daily!$B:$B, "Variant", Raw_Data_Daily!$A:$A, $A17, Raw_Data_Daily!$C:$C, $C$3)/SUMIFS(Raw_Data_Daily!$D:$D, Raw_Data_Daily!$B:$B, "Variant", Raw_Data_Daily!$A:$A, $A17, Raw_Data_Daily!$C:$C, $C$3),""))</f>
        <v/>
      </c>
      <c r="M17" s="132" t="str">
        <f t="shared" si="4"/>
        <v/>
      </c>
      <c r="N17" s="130" t="str">
        <f>IF($A17="","",IFERROR(SUMPRODUCT((Raw_Data_Daily!$B$2:$B$9999="Control")*(Raw_Data_Daily!$A$2:$A$9999=$A17)*(Raw_Data_Daily!$C$2:$C$9999=$C$3)*Raw_Data_Daily!$D$2:$D$9999*Raw_Data_Daily!$H$2:$H$9999/100)/SUMIFS(Raw_Data_Daily!$D:$D, Raw_Data_Daily!$B:$B, "Control", Raw_Data_Daily!$A:$A, $A17, Raw_Data_Daily!$C:$C, $C$3)*100,""))</f>
        <v/>
      </c>
      <c r="O17" s="130" t="str">
        <f>IF($A17="","",IFERROR(SUMPRODUCT((Raw_Data_Daily!$B$2:$B$9999="Variant")*(Raw_Data_Daily!$A$2:$A$9999=$A17)*(Raw_Data_Daily!$C$2:$C$9999=$C$3)*Raw_Data_Daily!$D$2:$D$9999*Raw_Data_Daily!$H$2:$H$9999/100)/SUMIFS(Raw_Data_Daily!$D:$D, Raw_Data_Daily!$B:$B, "Variant", Raw_Data_Daily!$A:$A, $A17, Raw_Data_Daily!$C:$C, $C$3)*100,""))</f>
        <v/>
      </c>
      <c r="P17" s="132" t="str">
        <f t="shared" si="5"/>
        <v/>
      </c>
      <c r="Q17" s="134" t="str">
        <f>IF($A17="","",IFERROR(SUMIFS(Raw_Data_Daily!$F:$F, Raw_Data_Daily!$B:$B, "Control", Raw_Data_Daily!$A:$A, $A17, Raw_Data_Daily!$C:$C, $C$3)/SUMPRODUCT((Raw_Data_Daily!$B$2:$B$9999="Control")*(Raw_Data_Daily!$A$2:$A$9999=$A17)*(Raw_Data_Daily!$C$2:$C$9999=$C$3)*Raw_Data_Daily!$D$2:$D$9999*Raw_Data_Daily!$H$2:$H$9999/100),""))</f>
        <v/>
      </c>
      <c r="R17" s="134" t="str">
        <f>IF($A17="","",IFERROR(SUMIFS(Raw_Data_Daily!$F:$F, Raw_Data_Daily!$B:$B, "Variant", Raw_Data_Daily!$A:$A, $A17, Raw_Data_Daily!$C:$C, $C$3)/SUMPRODUCT((Raw_Data_Daily!$B$2:$B$9999="Variant")*(Raw_Data_Daily!$A$2:$A$9999=$A17)*(Raw_Data_Daily!$C$2:$C$9999=$C$3)*Raw_Data_Daily!$D$2:$D$9999*Raw_Data_Daily!$H$2:$H$9999/100),""))</f>
        <v/>
      </c>
      <c r="S17" s="132" t="str">
        <f t="shared" si="6"/>
        <v/>
      </c>
      <c r="T17" s="137" t="str">
        <f>IF($A17="","",IFERROR(SUMPRODUCT((Raw_Data_Daily!$B$2:$B$9999="Control")*(Raw_Data_Daily!$A$2:$A$9999=$A17)*(Raw_Data_Daily!$C$2:$C$9999=$C$3)*Raw_Data_Daily!$D$2:$D$9999*Raw_Data_Daily!$J$2:$J$9999)/SUMIFS(Raw_Data_Daily!$D:$D, Raw_Data_Daily!$B:$B, "Control", Raw_Data_Daily!$A:$A, $A17, Raw_Data_Daily!$C:$C, $C$3),""))</f>
        <v/>
      </c>
      <c r="U17" s="137" t="str">
        <f>IF($A17="","",IFERROR(SUMPRODUCT((Raw_Data_Daily!$B$2:$B$9999="Variant")*(Raw_Data_Daily!$A$2:$A$9999=$A17)*(Raw_Data_Daily!$C$2:$C$9999=$C$3)*Raw_Data_Daily!$D$2:$D$9999*Raw_Data_Daily!$J$2:$J$9999)/SUMIFS(Raw_Data_Daily!$D:$D, Raw_Data_Daily!$B:$B, "Variant", Raw_Data_Daily!$A:$A, $A17, Raw_Data_Daily!$C:$C, $C$3),""))</f>
        <v/>
      </c>
      <c r="V17" s="132" t="str">
        <f t="shared" si="7"/>
        <v/>
      </c>
      <c r="W17" s="137" t="str">
        <f>IF($A17="","",IFERROR(SUMPRODUCT((Raw_Data_Daily!$B$2:$B$9999="Control")*(Raw_Data_Daily!$A$2:$A$9999=$A17)*(Raw_Data_Daily!$C$2:$C$9999=$C$3)*Raw_Data_Daily!$D$2:$D$9999*Raw_Data_Daily!$K$2:$K$9999)/SUMIFS(Raw_Data_Daily!$D:$D, Raw_Data_Daily!$B:$B, "Control", Raw_Data_Daily!$A:$A, $A17, Raw_Data_Daily!$C:$C, $C$3),""))</f>
        <v/>
      </c>
      <c r="X17" s="137" t="str">
        <f>IF($A17="","",IFERROR(SUMPRODUCT((Raw_Data_Daily!$B$2:$B$9999="Variant")*(Raw_Data_Daily!$A$2:$A$9999=$A17)*(Raw_Data_Daily!$C$2:$C$9999=$C$3)*Raw_Data_Daily!$D$2:$D$9999*Raw_Data_Daily!$K$2:$K$9999)/SUMIFS(Raw_Data_Daily!$D:$D, Raw_Data_Daily!$B:$B, "Variant", Raw_Data_Daily!$A:$A, $A17, Raw_Data_Daily!$C:$C, $C$3),""))</f>
        <v/>
      </c>
      <c r="Y17" s="132" t="str">
        <f t="shared" si="8"/>
        <v/>
      </c>
      <c r="Z17" s="137" t="str">
        <f>IF($A17="","",IFERROR(SUMPRODUCT((Raw_Data_Daily!$B$2:$B$9999="Control")*(Raw_Data_Daily!$A$2:$A$9999=$A17)*(Raw_Data_Daily!$C$2:$C$9999=$C$3)*Raw_Data_Daily!$D$2:$D$9999*Raw_Data_Daily!$L$2:$L$9999)/SUMIFS(Raw_Data_Daily!$D:$D, Raw_Data_Daily!$B:$B, "Control", Raw_Data_Daily!$A:$A, $A17, Raw_Data_Daily!$C:$C, $C$3),""))</f>
        <v/>
      </c>
      <c r="AA17" s="137" t="str">
        <f>IF($A17="","",IFERROR(SUMPRODUCT((Raw_Data_Daily!$B$2:$B$9999="Variant")*(Raw_Data_Daily!$A$2:$A$9999=$A17)*(Raw_Data_Daily!$C$2:$C$9999=$C$3)*Raw_Data_Daily!$D$2:$D$9999*Raw_Data_Daily!$L$2:$L$9999)/SUMIFS(Raw_Data_Daily!$D:$D, Raw_Data_Daily!$B:$B, "Variant", Raw_Data_Daily!$A:$A, $A17, Raw_Data_Daily!$C:$C, $C$3),""))</f>
        <v/>
      </c>
      <c r="AB17" s="132" t="str">
        <f t="shared" si="9"/>
        <v/>
      </c>
      <c r="AC17" s="139" t="str">
        <f>IF($A17="","",IFERROR(SUMPRODUCT((Raw_Data_Daily!$B$2:$B$9999="Control")*(Raw_Data_Daily!$A$2:$A$9999=$A17)*(Raw_Data_Daily!$C$2:$C$9999=$C$3)*Raw_Data_Daily!$D$2:$D$9999*Raw_Data_Daily!$M$2:$M$9999)/SUMIFS(Raw_Data_Daily!$D:$D, Raw_Data_Daily!$B:$B, "Control", Raw_Data_Daily!$A:$A, $A17, Raw_Data_Daily!$C:$C, $C$3),""))</f>
        <v/>
      </c>
      <c r="AD17" s="139" t="str">
        <f>IF($A17="","",IFERROR(SUMPRODUCT((Raw_Data_Daily!$B$2:$B$9999="Variant")*(Raw_Data_Daily!$A$2:$A$9999=$A17)*(Raw_Data_Daily!$C$2:$C$9999=$C$3)*Raw_Data_Daily!$D$2:$D$9999*Raw_Data_Daily!$M$2:$M$9999)/SUMIFS(Raw_Data_Daily!$D:$D, Raw_Data_Daily!$B:$B, "Variant", Raw_Data_Daily!$A:$A, $A17, Raw_Data_Daily!$C:$C, $C$3),""))</f>
        <v/>
      </c>
      <c r="AE17" s="140" t="str">
        <f t="shared" si="10"/>
        <v/>
      </c>
      <c r="AF17" s="139" t="str">
        <f>IF($A17="","",IFERROR(SUMPRODUCT((Raw_Data_Daily!$B$2:$B$9999="Control")*(Raw_Data_Daily!$A$2:$A$9999=$A17)*(Raw_Data_Daily!$C$2:$C$9999=$C$3)*Raw_Data_Daily!$D$2:$D$9999*Raw_Data_Daily!$N$2:$N$9999)/SUMIFS(Raw_Data_Daily!$D:$D, Raw_Data_Daily!$B:$B, "Control", Raw_Data_Daily!$A:$A, $A17, Raw_Data_Daily!$C:$C, $C$3),""))</f>
        <v/>
      </c>
      <c r="AG17" s="139" t="str">
        <f>IF($A17="","",IFERROR(SUMPRODUCT((Raw_Data_Daily!$B$2:$B$9999="Variant")*(Raw_Data_Daily!$A$2:$A$9999=$A17)*(Raw_Data_Daily!$C$2:$C$9999=$C$3)*Raw_Data_Daily!$D$2:$D$9999*Raw_Data_Daily!$N$2:$N$9999)/SUMIFS(Raw_Data_Daily!$D:$D, Raw_Data_Daily!$B:$B, "Variant", Raw_Data_Daily!$A:$A, $A17, Raw_Data_Daily!$C:$C, $C$3),""))</f>
        <v/>
      </c>
      <c r="AH17" s="140" t="str">
        <f t="shared" si="11"/>
        <v/>
      </c>
      <c r="AI17" s="139" t="str">
        <f>IF($A17="","",IFERROR(SUMPRODUCT((Raw_Data_Daily!$B$2:$B$9999="Control")*(Raw_Data_Daily!$A$2:$A$9999=$A17)*(Raw_Data_Daily!$C$2:$C$9999=$C$3)*Raw_Data_Daily!$D$2:$D$9999*Raw_Data_Daily!$O$2:$O$9999)/SUMIFS(Raw_Data_Daily!$D:$D, Raw_Data_Daily!$B:$B, "Control", Raw_Data_Daily!$A:$A, $A17, Raw_Data_Daily!$C:$C, $C$3),""))</f>
        <v/>
      </c>
      <c r="AJ17" s="139" t="str">
        <f>IF($A17="","",IFERROR(SUMPRODUCT((Raw_Data_Daily!$B$2:$B$9999="Variant")*(Raw_Data_Daily!$A$2:$A$9999=$A17)*(Raw_Data_Daily!$C$2:$C$9999=$C$3)*Raw_Data_Daily!$D$2:$D$9999*Raw_Data_Daily!$O$2:$O$9999)/SUMIFS(Raw_Data_Daily!$D:$D, Raw_Data_Daily!$B:$B, "Variant", Raw_Data_Daily!$A:$A, $A17, Raw_Data_Daily!$C:$C, $C$3),""))</f>
        <v/>
      </c>
      <c r="AK17" s="132" t="str">
        <f t="shared" si="12"/>
        <v/>
      </c>
      <c r="AL17" s="137" t="str">
        <f>IF($A17="","",IFERROR(SUMPRODUCT((Raw_Data_Daily!$B$2:$B$9999="Control")*(Raw_Data_Daily!$A$2:$A$9999=$A17)*(Raw_Data_Daily!$C$2:$C$9999=$C$3)*Raw_Data_Daily!$D$2:$D$9999*Raw_Data_Daily!$P$2:$P$9999)/SUMIFS(Raw_Data_Daily!$D:$D, Raw_Data_Daily!$B:$B, "Control", Raw_Data_Daily!$A:$A, $A17, Raw_Data_Daily!$C:$C, $C$3),""))</f>
        <v/>
      </c>
      <c r="AM17" s="137" t="str">
        <f>IF($A17="","",IFERROR(SUMPRODUCT((Raw_Data_Daily!$B$2:$B$9999="Variant")*(Raw_Data_Daily!$A$2:$A$9999=$A17)*(Raw_Data_Daily!$C$2:$C$9999=$C$3)*Raw_Data_Daily!$D$2:$D$9999*Raw_Data_Daily!$P$2:$P$9999)/SUMIFS(Raw_Data_Daily!$D:$D, Raw_Data_Daily!$B:$B, "Variant", Raw_Data_Daily!$A:$A, $A17, Raw_Data_Daily!$C:$C, $C$3),""))</f>
        <v/>
      </c>
      <c r="AN17" s="132" t="str">
        <f t="shared" si="13"/>
        <v/>
      </c>
      <c r="AO17" s="137" t="str">
        <f>IF($A17="","",IFERROR(SUMPRODUCT((Raw_Data_Daily!$B$2:$B$9999="Control")*(Raw_Data_Daily!$A$2:$A$9999=$A17)*(Raw_Data_Daily!$C$2:$C$9999=$C$3)*Raw_Data_Daily!$D$2:$D$9999*Raw_Data_Daily!$Q$2:$Q$9999)/SUMIFS(Raw_Data_Daily!$D:$D, Raw_Data_Daily!$B:$B, "Control", Raw_Data_Daily!$A:$A, $A17, Raw_Data_Daily!$C:$C, $C$3),""))</f>
        <v/>
      </c>
      <c r="AP17" s="137" t="str">
        <f>IF($A17="","",IFERROR(SUMPRODUCT((Raw_Data_Daily!$B$2:$B$9999="Variant")*(Raw_Data_Daily!$A$2:$A$9999=$A17)*(Raw_Data_Daily!$C$2:$C$9999=$C$3)*Raw_Data_Daily!$D$2:$D$9999*Raw_Data_Daily!$Q$2:$Q$9999)/SUMIFS(Raw_Data_Daily!$D:$D, Raw_Data_Daily!$B:$B, "Variant", Raw_Data_Daily!$A:$A, $A17, Raw_Data_Daily!$C:$C, $C$3),""))</f>
        <v/>
      </c>
      <c r="AQ17" s="129" t="str">
        <f t="shared" si="14"/>
        <v/>
      </c>
      <c r="AR17" s="137" t="str">
        <f>IF($A17="","",IFERROR(SUMPRODUCT((Raw_Data_Daily!$B$2:$B$9999="Control")*(Raw_Data_Daily!$A$2:$A$9999=$A17)*(Raw_Data_Daily!$C$2:$C$9999=$C$3)*Raw_Data_Daily!$D$2:$D$9999*Raw_Data_Daily!$R$2:$R$9999)/SUMIFS(Raw_Data_Daily!$D:$D, Raw_Data_Daily!$B:$B, "Control", Raw_Data_Daily!$A:$A, $A17, Raw_Data_Daily!$C:$C, $C$3),""))</f>
        <v/>
      </c>
      <c r="AS17" s="137" t="str">
        <f>IF($A17="","",IFERROR(SUMPRODUCT((Raw_Data_Daily!$B$2:$B$9999="Variant")*(Raw_Data_Daily!$A$2:$A$9999=$A17)*(Raw_Data_Daily!$C$2:$C$9999=$C$3)*Raw_Data_Daily!$D$2:$D$9999*Raw_Data_Daily!$R$2:$R$9999)/SUMIFS(Raw_Data_Daily!$D:$D, Raw_Data_Daily!$B:$B, "Variant", Raw_Data_Daily!$A:$A, $A17, Raw_Data_Daily!$C:$C, $C$3),""))</f>
        <v/>
      </c>
      <c r="AT17" s="129" t="str">
        <f t="shared" si="15"/>
        <v/>
      </c>
      <c r="AU17" s="137" t="str">
        <f>IF($A17="","",IFERROR(SUMPRODUCT((Raw_Data_Daily!$B$2:$B$9999="Control")*(Raw_Data_Daily!$A$2:$A$9999=$A17)*(Raw_Data_Daily!$C$2:$C$9999=$C$3)*Raw_Data_Daily!$D$2:$D$9999*Raw_Data_Daily!$S$2:$S$9999)/SUMIFS(Raw_Data_Daily!$D:$D, Raw_Data_Daily!$B:$B, "Control", Raw_Data_Daily!$A:$A, $A17, Raw_Data_Daily!$C:$C, $C$3),""))</f>
        <v/>
      </c>
      <c r="AV17" s="137" t="str">
        <f>IF($A17="","",IFERROR(SUMPRODUCT((Raw_Data_Daily!$B$2:$B$9999="Variant")*(Raw_Data_Daily!$A$2:$A$9999=$A17)*(Raw_Data_Daily!$C$2:$C$9999=$C$3)*Raw_Data_Daily!$D$2:$D$9999*Raw_Data_Daily!$S$2:$S$9999)/SUMIFS(Raw_Data_Daily!$D:$D, Raw_Data_Daily!$B:$B, "Variant", Raw_Data_Daily!$A:$A, $A17, Raw_Data_Daily!$C:$C, $C$3),""))</f>
        <v/>
      </c>
      <c r="AW17" s="129" t="str">
        <f t="shared" si="16"/>
        <v/>
      </c>
      <c r="AX17" s="137" t="str">
        <f>IF($A17="","",IFERROR(SUMPRODUCT((Raw_Data_Daily!$B$2:$B$9999="Control")*(Raw_Data_Daily!$A$2:$A$9999=$A17)*(Raw_Data_Daily!$C$2:$C$9999=$C$3)*Raw_Data_Daily!$D$2:$D$9999*Raw_Data_Daily!$T$2:$T$9999)/SUMIFS(Raw_Data_Daily!$D:$D, Raw_Data_Daily!$B:$B, "Control", Raw_Data_Daily!$A:$A, $A17, Raw_Data_Daily!$C:$C, $C$3),""))</f>
        <v/>
      </c>
      <c r="AY17" s="137" t="str">
        <f>IF($A17="","",IFERROR(SUMPRODUCT((Raw_Data_Daily!$B$2:$B$9999="Variant")*(Raw_Data_Daily!$A$2:$A$9999=$A17)*(Raw_Data_Daily!$C$2:$C$9999=$C$3)*Raw_Data_Daily!$D$2:$D$9999*Raw_Data_Daily!$T$2:$T$9999)/SUMIFS(Raw_Data_Daily!$D:$D, Raw_Data_Daily!$B:$B, "Variant", Raw_Data_Daily!$A:$A, $A17, Raw_Data_Daily!$C:$C, $C$3),""))</f>
        <v/>
      </c>
      <c r="AZ17" s="132" t="str">
        <f t="shared" si="17"/>
        <v/>
      </c>
      <c r="BA17" s="137" t="str">
        <f>IF($A17="","",IFERROR(SUMPRODUCT((Raw_Data_Daily!$B$2:$B$9999="Control")*(Raw_Data_Daily!$A$2:$A$9999=$A17)*(Raw_Data_Daily!$C$2:$C$9999=$C$3)*Raw_Data_Daily!$D$2:$D$9999*Raw_Data_Daily!$U$2:$U$9999)/SUMIFS(Raw_Data_Daily!$D:$D, Raw_Data_Daily!$B:$B, "Control", Raw_Data_Daily!$A:$A, $A17, Raw_Data_Daily!$C:$C, $C$3),""))</f>
        <v/>
      </c>
      <c r="BB17" s="137" t="str">
        <f>IF($A17="","",IFERROR(SUMPRODUCT((Raw_Data_Daily!$B$2:$B$9999="Variant")*(Raw_Data_Daily!$A$2:$A$9999=$A17)*(Raw_Data_Daily!$C$2:$C$9999=$C$3)*Raw_Data_Daily!$D$2:$D$9999*Raw_Data_Daily!$U$2:$U$9999)/SUMIFS(Raw_Data_Daily!$D:$D, Raw_Data_Daily!$B:$B, "Variant", Raw_Data_Daily!$A:$A, $A17, Raw_Data_Daily!$C:$C, $C$3),""))</f>
        <v/>
      </c>
      <c r="BC17" s="129" t="str">
        <f t="shared" si="18"/>
        <v/>
      </c>
      <c r="BD17" s="137" t="str">
        <f>IF($A17="","",IFERROR(SUMPRODUCT((Raw_Data_Daily!$B$2:$B$9999="Control")*(Raw_Data_Daily!$A$2:$A$9999=$A17)*(Raw_Data_Daily!$C$2:$C$9999=$C$3)*Raw_Data_Daily!$D$2:$D$9999*Raw_Data_Daily!$V$2:$V$9999)/SUMIFS(Raw_Data_Daily!$D:$D, Raw_Data_Daily!$B:$B, "Control", Raw_Data_Daily!$A:$A, $A17, Raw_Data_Daily!$C:$C, $C$3),""))</f>
        <v/>
      </c>
      <c r="BE17" s="137" t="str">
        <f>IF($A17="","",IFERROR(SUMPRODUCT((Raw_Data_Daily!$B$2:$B$9999="Variant")*(Raw_Data_Daily!$A$2:$A$9999=$A17)*(Raw_Data_Daily!$C$2:$C$9999=$C$3)*Raw_Data_Daily!$D$2:$D$9999*Raw_Data_Daily!$V$2:$V$9999)/SUMIFS(Raw_Data_Daily!$D:$D, Raw_Data_Daily!$B:$B, "Variant", Raw_Data_Daily!$A:$A, $A17, Raw_Data_Daily!$C:$C, $C$3),""))</f>
        <v/>
      </c>
      <c r="BF17" s="148" t="str">
        <f t="shared" si="19"/>
        <v/>
      </c>
      <c r="BG17" s="149" t="str">
        <f>IF($A17="","",IFERROR(SUMPRODUCT((Raw_Data_Daily!$B$2:$B$9999="Control")*(Raw_Data_Daily!$A$2:$A$9999=$A17)*(Raw_Data_Daily!$C$2:$C$9999=$C$3)*Raw_Data_Daily!$D$2:$D$9999*(Raw_Data_Daily!$Q$2:$Q$9999-Raw_Data_Daily!$V$2:$V$9999))/SUMIFS(Raw_Data_Daily!$D:$D, Raw_Data_Daily!$B:$B, "Control", Raw_Data_Daily!$A:$A, $A17, Raw_Data_Daily!$C:$C, $C$3),""))</f>
        <v/>
      </c>
      <c r="BH17" s="137" t="str">
        <f>IF($A17="","",IFERROR(SUMPRODUCT((Raw_Data_Daily!$B$2:$B$9999="Variant")*(Raw_Data_Daily!$A$2:$A$9999=$A17)*(Raw_Data_Daily!$C$2:$C$9999=$C$3)*Raw_Data_Daily!$D$2:$D$9999*(Raw_Data_Daily!$Q$2:$Q$9999-Raw_Data_Daily!$V$2:$V$9999))/SUMIFS(Raw_Data_Daily!$D:$D, Raw_Data_Daily!$B:$B, "Variant", Raw_Data_Daily!$A:$A, $A17, Raw_Data_Daily!$C:$C, $C$3),""))</f>
        <v/>
      </c>
      <c r="BI17" s="155" t="str">
        <f t="shared" si="20"/>
        <v/>
      </c>
      <c r="BJ17" s="156" t="str">
        <f>IF($A17="","",IFERROR(SUMPRODUCT((Raw_Data_Daily!$B$2:$B$9999="Control")*(Raw_Data_Daily!$A$2:$A$9999=$A17)*(Raw_Data_Daily!$C$2:$C$9999=$C$3)*Raw_Data_Daily!$D$2:$D$9999*Raw_Data_Daily!$W$2:$W$9999)/SUMIFS(Raw_Data_Daily!$D:$D, Raw_Data_Daily!$B:$B, "Control", Raw_Data_Daily!$A:$A, $A17, Raw_Data_Daily!$C:$C, $C$3),""))</f>
        <v/>
      </c>
      <c r="BK17" s="137" t="str">
        <f>IF($A17="","",IFERROR(SUMPRODUCT((Raw_Data_Daily!$B$2:$B$9999="Variant")*(Raw_Data_Daily!$A$2:$A$9999=$A17)*(Raw_Data_Daily!$C$2:$C$9999=$C$3)*Raw_Data_Daily!$D$2:$D$9999*Raw_Data_Daily!$W$2:$W$9999)/SUMIFS(Raw_Data_Daily!$D:$D, Raw_Data_Daily!$B:$B, "Variant", Raw_Data_Daily!$A:$A, $A17, Raw_Data_Daily!$C:$C, $C$3),""))</f>
        <v/>
      </c>
      <c r="BL17" s="129" t="str">
        <f t="shared" si="21"/>
        <v/>
      </c>
      <c r="BM17" s="139" t="str">
        <f>IF($A17="","",IFERROR(SUMPRODUCT((Raw_Data_Daily!$B$2:$B$9999="Control")*(Raw_Data_Daily!$A$2:$A$9999=$A17)*(Raw_Data_Daily!$C$2:$C$9999=$C$3)*Raw_Data_Daily!$D$2:$D$9999*Raw_Data_Daily!$X$2:$X$9999)/SUMIFS(Raw_Data_Daily!$D:$D, Raw_Data_Daily!$B:$B, "Control", Raw_Data_Daily!$A:$A, $A17, Raw_Data_Daily!$C:$C, $C$3),""))</f>
        <v/>
      </c>
      <c r="BN17" s="139" t="str">
        <f>IF($A17="","",IFERROR(SUMPRODUCT((Raw_Data_Daily!$B$2:$B$9999="Variant")*(Raw_Data_Daily!$A$2:$A$9999=$A17)*(Raw_Data_Daily!$C$2:$C$9999=$C$3)*Raw_Data_Daily!$D$2:$D$9999*Raw_Data_Daily!$X$2:$X$9999)/SUMIFS(Raw_Data_Daily!$D:$D, Raw_Data_Daily!$B:$B, "Variant", Raw_Data_Daily!$A:$A, $A17, Raw_Data_Daily!$C:$C, $C$3),""))</f>
        <v/>
      </c>
      <c r="BO17" s="132" t="str">
        <f t="shared" si="22"/>
        <v/>
      </c>
      <c r="BP17" s="128" t="str">
        <f>IF($A17="","",IFERROR(SUMPRODUCT((Raw_Data_Daily!$B$2:$B$9999="Control")*(Raw_Data_Daily!$A$2:$A$9999=$A17)*(Raw_Data_Daily!$C$2:$C$9999=$C$3)*Raw_Data_Daily!$D$2:$D$9999*Raw_Data_Daily!$Y$2:$Y$9999)/SUMIFS(Raw_Data_Daily!$D:$D, Raw_Data_Daily!$B:$B, "Control", Raw_Data_Daily!$A:$A, $A17, Raw_Data_Daily!$C:$C, $C$3),""))</f>
        <v/>
      </c>
      <c r="BQ17" s="128" t="str">
        <f>IF($A17="","",IFERROR(SUMPRODUCT((Raw_Data_Daily!$B$2:$B$9999="Variant")*(Raw_Data_Daily!$A$2:$A$9999=$A17)*(Raw_Data_Daily!$C$2:$C$9999=$C$3)*Raw_Data_Daily!$D$2:$D$9999*Raw_Data_Daily!$Y$2:$Y$9999)/SUMIFS(Raw_Data_Daily!$D:$D, Raw_Data_Daily!$B:$B, "Variant", Raw_Data_Daily!$A:$A, $A17, Raw_Data_Daily!$C:$C, $C$3),""))</f>
        <v/>
      </c>
      <c r="BR17" s="129" t="str">
        <f t="shared" si="23"/>
        <v/>
      </c>
      <c r="BS17" s="128" t="str">
        <f>IF($A17="","",IFERROR(SUMPRODUCT((Raw_Data_Daily!$B$2:$B$9999="Control")*(Raw_Data_Daily!$A$2:$A$9999=$A17)*(Raw_Data_Daily!$C$2:$C$9999=$C$3)*Raw_Data_Daily!$D$2:$D$9999*Raw_Data_Daily!$Z$2:$Z$9999)/SUMIFS(Raw_Data_Daily!$D:$D, Raw_Data_Daily!$B:$B, "Control", Raw_Data_Daily!$A:$A, $A17, Raw_Data_Daily!$C:$C, $C$3),""))</f>
        <v/>
      </c>
      <c r="BT17" s="128" t="str">
        <f>IF($A17="","",IFERROR(SUMPRODUCT((Raw_Data_Daily!$B$2:$B$9999="Variant")*(Raw_Data_Daily!$A$2:$A$9999=$A17)*(Raw_Data_Daily!$C$2:$C$9999=$C$3)*Raw_Data_Daily!$D$2:$D$9999*Raw_Data_Daily!$Z$2:$Z$9999)/SUMIFS(Raw_Data_Daily!$D:$D, Raw_Data_Daily!$B:$B, "Variant", Raw_Data_Daily!$A:$A, $A17, Raw_Data_Daily!$C:$C, $C$3),""))</f>
        <v/>
      </c>
      <c r="BU17" s="129" t="str">
        <f t="shared" si="24"/>
        <v/>
      </c>
      <c r="BV17" s="128" t="str">
        <f>IF($A17="","",IFERROR(SUMPRODUCT((Raw_Data_Daily!$B$2:$B$9999="Control")*(Raw_Data_Daily!$A$2:$A$9999=$A17)*(Raw_Data_Daily!$C$2:$C$9999=$C$3)*Raw_Data_Daily!$D$2:$D$9999*Raw_Data_Daily!$AA$2:$AA$9999)/SUMIFS(Raw_Data_Daily!$D:$D, Raw_Data_Daily!$B:$B, "Control", Raw_Data_Daily!$A:$A, $A17, Raw_Data_Daily!$C:$C, $C$3),""))</f>
        <v/>
      </c>
      <c r="BW17" s="128" t="str">
        <f>IF($A17="","",IFERROR(SUMPRODUCT((Raw_Data_Daily!$B$2:$B$9999="Variant")*(Raw_Data_Daily!$A$2:$A$9999=$A17)*(Raw_Data_Daily!$C$2:$C$9999=$C$3)*Raw_Data_Daily!$D$2:$D$9999*Raw_Data_Daily!$AA$2:$AA$9999)/SUMIFS(Raw_Data_Daily!$D:$D, Raw_Data_Daily!$B:$B, "Variant", Raw_Data_Daily!$A:$A, $A17, Raw_Data_Daily!$C:$C, $C$3),""))</f>
        <v/>
      </c>
      <c r="BX17" s="129" t="str">
        <f t="shared" si="25"/>
        <v/>
      </c>
      <c r="BY17" s="137" t="str">
        <f>IF($A17="","",IFERROR(SUMPRODUCT((Raw_Data_Daily!$B$2:$B$9999="Control")*(Raw_Data_Daily!$A$2:$A$9999=$A17)*(Raw_Data_Daily!$C$2:$C$9999=$C$3)*Raw_Data_Daily!$D$2:$D$9999*Raw_Data_Daily!$AB$2:$AB$9999)/SUMIFS(Raw_Data_Daily!$D:$D, Raw_Data_Daily!$B:$B, "Control", Raw_Data_Daily!$A:$A, $A17, Raw_Data_Daily!$C:$C, $C$3),""))</f>
        <v/>
      </c>
      <c r="BZ17" s="137" t="str">
        <f>IF($A17="","",IFERROR(SUMPRODUCT((Raw_Data_Daily!$B$2:$B$9999="Variant")*(Raw_Data_Daily!$A$2:$A$9999=$A17)*(Raw_Data_Daily!$C$2:$C$9999=$C$3)*Raw_Data_Daily!$D$2:$D$9999*Raw_Data_Daily!$AB$2:$AB$9999)/SUMIFS(Raw_Data_Daily!$D:$D, Raw_Data_Daily!$B:$B, "Variant", Raw_Data_Daily!$A:$A, $A17, Raw_Data_Daily!$C:$C, $C$3),""))</f>
        <v/>
      </c>
      <c r="CA17" s="132" t="str">
        <f t="shared" si="26"/>
        <v/>
      </c>
      <c r="CB17" s="137" t="str">
        <f>IF($A17="","",IFERROR(SUMPRODUCT((Raw_Data_Daily!$B$2:$B$9999="Control")*(Raw_Data_Daily!$A$2:$A$9999=$A17)*(Raw_Data_Daily!$C$2:$C$9999=$C$3)*Raw_Data_Daily!$D$2:$D$9999*Raw_Data_Daily!$AC$2:$AC$9999)/SUMIFS(Raw_Data_Daily!$D:$D, Raw_Data_Daily!$B:$B, "Control", Raw_Data_Daily!$A:$A, $A17, Raw_Data_Daily!$C:$C, $C$3),""))</f>
        <v/>
      </c>
      <c r="CC17" s="137" t="str">
        <f>IF($A17="","",IFERROR(SUMPRODUCT((Raw_Data_Daily!$B$2:$B$9999="Variant")*(Raw_Data_Daily!$A$2:$A$9999=$A17)*(Raw_Data_Daily!$C$2:$C$9999=$C$3)*Raw_Data_Daily!$D$2:$D$9999*Raw_Data_Daily!$AC$2:$AC$9999)/SUMIFS(Raw_Data_Daily!$D:$D, Raw_Data_Daily!$B:$B, "Variant", Raw_Data_Daily!$A:$A, $A17, Raw_Data_Daily!$C:$C, $C$3),""))</f>
        <v/>
      </c>
      <c r="CD17" s="132" t="str">
        <f t="shared" si="27"/>
        <v/>
      </c>
      <c r="CE17" s="137" t="str">
        <f>IF($A17="","",IFERROR(SUMPRODUCT((Raw_Data_Daily!$B$2:$B$9999="Control")*(Raw_Data_Daily!$A$2:$A$9999=$A17)*(Raw_Data_Daily!$C$2:$C$9999=$C$3)*Raw_Data_Daily!$D$2:$D$9999*Raw_Data_Daily!$AD$2:$AD$9999)/SUMIFS(Raw_Data_Daily!$D:$D, Raw_Data_Daily!$B:$B, "Control", Raw_Data_Daily!$A:$A, $A17, Raw_Data_Daily!$C:$C, $C$3),""))</f>
        <v/>
      </c>
      <c r="CF17" s="137" t="str">
        <f>IF($A17="","",IFERROR(SUMPRODUCT((Raw_Data_Daily!$B$2:$B$9999="Variant")*(Raw_Data_Daily!$A$2:$A$9999=$A17)*(Raw_Data_Daily!$C$2:$C$9999=$C$3)*Raw_Data_Daily!$D$2:$D$9999*Raw_Data_Daily!$AD$2:$AD$9999)/SUMIFS(Raw_Data_Daily!$D:$D, Raw_Data_Daily!$B:$B, "Variant", Raw_Data_Daily!$A:$A, $A17, Raw_Data_Daily!$C:$C, $C$3),""))</f>
        <v/>
      </c>
      <c r="CG17" s="132" t="str">
        <f t="shared" si="28"/>
        <v/>
      </c>
      <c r="CH17" s="137" t="str">
        <f>IF($A17="","",IFERROR(SUMPRODUCT((Raw_Data_Daily!$B$2:$B$9999="Control")*(Raw_Data_Daily!$A$2:$A$9999=$A17)*(Raw_Data_Daily!$C$2:$C$9999=$C$3)*Raw_Data_Daily!$D$2:$D$9999*Raw_Data_Daily!$AE$2:$AE$9999)/SUMIFS(Raw_Data_Daily!$D:$D, Raw_Data_Daily!$B:$B, "Control", Raw_Data_Daily!$A:$A, $A17, Raw_Data_Daily!$C:$C, $C$3),""))</f>
        <v/>
      </c>
      <c r="CI17" s="137" t="str">
        <f>IF($A17="","",IFERROR(SUMPRODUCT((Raw_Data_Daily!$B$2:$B$9999="Variant")*(Raw_Data_Daily!$A$2:$A$9999=$A17)*(Raw_Data_Daily!$C$2:$C$9999=$C$3)*Raw_Data_Daily!$D$2:$D$9999*Raw_Data_Daily!$AE$2:$AE$9999)/SUMIFS(Raw_Data_Daily!$D:$D, Raw_Data_Daily!$B:$B, "Variant", Raw_Data_Daily!$A:$A, $A17, Raw_Data_Daily!$C:$C, $C$3),""))</f>
        <v/>
      </c>
      <c r="CJ17" s="132" t="str">
        <f t="shared" si="29"/>
        <v/>
      </c>
      <c r="CK17" s="137" t="str">
        <f>IF($A17="","",IFERROR(SUMPRODUCT((Raw_Data_Daily!$B$2:$B$9999="Control")*(Raw_Data_Daily!$A$2:$A$9999=$A17)*(Raw_Data_Daily!$C$2:$C$9999=$C$3)*Raw_Data_Daily!$D$2:$D$9999*Raw_Data_Daily!$AF$2:$AF$9999)/SUMIFS(Raw_Data_Daily!$D:$D, Raw_Data_Daily!$B:$B, "Control", Raw_Data_Daily!$A:$A, $A17, Raw_Data_Daily!$C:$C, $C$3),""))</f>
        <v/>
      </c>
      <c r="CL17" s="137" t="str">
        <f>IF($A17="","",IFERROR(SUMPRODUCT((Raw_Data_Daily!$B$2:$B$9999="Variant")*(Raw_Data_Daily!$A$2:$A$9999=$A17)*(Raw_Data_Daily!$C$2:$C$9999=$C$3)*Raw_Data_Daily!$D$2:$D$9999*Raw_Data_Daily!$AF$2:$AF$9999)/SUMIFS(Raw_Data_Daily!$D:$D, Raw_Data_Daily!$B:$B, "Variant", Raw_Data_Daily!$A:$A, $A17, Raw_Data_Daily!$C:$C, $C$3),""))</f>
        <v/>
      </c>
      <c r="CM17" s="132" t="str">
        <f t="shared" si="30"/>
        <v/>
      </c>
      <c r="CN17" s="137" t="str">
        <f>IF($A17="","",IFERROR(SUMPRODUCT((Raw_Data_Daily!$B$2:$B$9999="Control")*(Raw_Data_Daily!$A$2:$A$9999=$A17)*(Raw_Data_Daily!$C$2:$C$9999=$C$3)*Raw_Data_Daily!$D$2:$D$9999*Raw_Data_Daily!$AG$2:$AG$9999)/SUMIFS(Raw_Data_Daily!$D:$D, Raw_Data_Daily!$B:$B, "Control", Raw_Data_Daily!$A:$A, $A17, Raw_Data_Daily!$C:$C, $C$3),""))</f>
        <v/>
      </c>
      <c r="CO17" s="137" t="str">
        <f>IF($A17="","",IFERROR(SUMPRODUCT((Raw_Data_Daily!$B$2:$B$9999="Variant")*(Raw_Data_Daily!$A$2:$A$9999=$A17)*(Raw_Data_Daily!$C$2:$C$9999=$C$3)*Raw_Data_Daily!$D$2:$D$9999*Raw_Data_Daily!$AG$2:$AG$9999)/SUMIFS(Raw_Data_Daily!$D:$D, Raw_Data_Daily!$B:$B, "Variant", Raw_Data_Daily!$A:$A, $A17, Raw_Data_Daily!$C:$C, $C$3),""))</f>
        <v/>
      </c>
      <c r="CP17" s="132" t="str">
        <f t="shared" si="31"/>
        <v/>
      </c>
      <c r="CQ17" s="137" t="str">
        <f>IF($A17="","",IFERROR(SUMPRODUCT((Raw_Data_Daily!$B$2:$B$9999="Control")*(Raw_Data_Daily!$A$2:$A$9999=$A17)*(Raw_Data_Daily!$C$2:$C$9999=$C$3)*Raw_Data_Daily!$D$2:$D$9999*Raw_Data_Daily!$AH$2:$AH$9999)/SUMIFS(Raw_Data_Daily!$D:$D, Raw_Data_Daily!$B:$B, "Control", Raw_Data_Daily!$A:$A, $A17, Raw_Data_Daily!$C:$C, $C$3),""))</f>
        <v/>
      </c>
      <c r="CR17" s="137" t="str">
        <f>IF($A17="","",IFERROR(SUMPRODUCT((Raw_Data_Daily!$B$2:$B$9999="Variant")*(Raw_Data_Daily!$A$2:$A$9999=$A17)*(Raw_Data_Daily!$C$2:$C$9999=$C$3)*Raw_Data_Daily!$D$2:$D$9999*Raw_Data_Daily!$AH$2:$AH$9999)/SUMIFS(Raw_Data_Daily!$D:$D, Raw_Data_Daily!$B:$B, "Variant", Raw_Data_Daily!$A:$A, $A17, Raw_Data_Daily!$C:$C, $C$3),""))</f>
        <v/>
      </c>
      <c r="CS17" s="132" t="str">
        <f t="shared" si="32"/>
        <v/>
      </c>
      <c r="CT17" s="130" t="str">
        <f>IF($A17="","",IFERROR(SUMPRODUCT((Raw_Data_Daily!$B$2:$B$9999="Control")*(Raw_Data_Daily!$A$2:$A$9999=$A17)*(Raw_Data_Daily!$C$2:$C$9999=$C$3)*Raw_Data_Daily!$D$2:$D$9999*Raw_Data_Daily!$AI$2:$AI$9999)/SUMIFS(Raw_Data_Daily!$D:$D, Raw_Data_Daily!$B:$B, "Control", Raw_Data_Daily!$A:$A, $A17, Raw_Data_Daily!$C:$C, $C$3),""))</f>
        <v/>
      </c>
      <c r="CU17" s="130" t="str">
        <f>IF($A17="","",IFERROR(SUMPRODUCT((Raw_Data_Daily!$B$2:$B$9999="Variant")*(Raw_Data_Daily!$A$2:$A$9999=$A17)*(Raw_Data_Daily!$C$2:$C$9999=$C$3)*Raw_Data_Daily!$D$2:$D$9999*Raw_Data_Daily!$AI$2:$AI$9999)/SUMIFS(Raw_Data_Daily!$D:$D, Raw_Data_Daily!$B:$B, "Variant", Raw_Data_Daily!$A:$A, $A17, Raw_Data_Daily!$C:$C, $C$3),""))</f>
        <v/>
      </c>
      <c r="CV17" s="140" t="str">
        <f t="shared" si="33"/>
        <v/>
      </c>
      <c r="CW17" s="130" t="str">
        <f>IF($A17="","",IFERROR(SUMPRODUCT((Raw_Data_Daily!$B$2:$B$9999="Control")*(Raw_Data_Daily!$A$2:$A$9999=$A17)*(Raw_Data_Daily!$C$2:$C$9999=$C$3)*Raw_Data_Daily!$D$2:$D$9999*Raw_Data_Daily!$AJ$2:$AJ$9999)/SUMIFS(Raw_Data_Daily!$D:$D, Raw_Data_Daily!$B:$B, "Control", Raw_Data_Daily!$A:$A, $A17, Raw_Data_Daily!$C:$C, $C$3),""))</f>
        <v/>
      </c>
      <c r="CX17" s="130" t="str">
        <f>IF($A17="","",IFERROR(SUMPRODUCT((Raw_Data_Daily!$B$2:$B$9999="Variant")*(Raw_Data_Daily!$A$2:$A$9999=$A17)*(Raw_Data_Daily!$C$2:$C$9999=$C$3)*Raw_Data_Daily!$D$2:$D$9999*Raw_Data_Daily!$AJ$2:$AJ$9999)/SUMIFS(Raw_Data_Daily!$D:$D, Raw_Data_Daily!$B:$B, "Variant", Raw_Data_Daily!$A:$A, $A17, Raw_Data_Daily!$C:$C, $C$3),""))</f>
        <v/>
      </c>
      <c r="CY17" s="140" t="str">
        <f t="shared" si="34"/>
        <v/>
      </c>
      <c r="CZ17" s="130" t="str">
        <f>IF($A17="","",IFERROR(SUMPRODUCT((Raw_Data_Daily!$B$2:$B$9999="Control")*(Raw_Data_Daily!$A$2:$A$9999=$A17)*(Raw_Data_Daily!$C$2:$C$9999=$C$3)*Raw_Data_Daily!$D$2:$D$9999*Raw_Data_Daily!$AK$2:$AK$9999)/SUMIFS(Raw_Data_Daily!$D:$D, Raw_Data_Daily!$B:$B, "Control", Raw_Data_Daily!$A:$A, $A17, Raw_Data_Daily!$C:$C, $C$3),""))</f>
        <v/>
      </c>
      <c r="DA17" s="130" t="str">
        <f>IF($A17="","",IFERROR(SUMPRODUCT((Raw_Data_Daily!$B$2:$B$9999="Variant")*(Raw_Data_Daily!$A$2:$A$9999=$A17)*(Raw_Data_Daily!$C$2:$C$9999=$C$3)*Raw_Data_Daily!$D$2:$D$9999*Raw_Data_Daily!$AK$2:$AK$9999)/SUMIFS(Raw_Data_Daily!$D:$D, Raw_Data_Daily!$B:$B, "Variant", Raw_Data_Daily!$A:$A, $A17, Raw_Data_Daily!$C:$C, $C$3),""))</f>
        <v/>
      </c>
      <c r="DB17" s="132" t="str">
        <f t="shared" si="35"/>
        <v/>
      </c>
      <c r="DC17" s="139" t="str">
        <f>IF($A17="","",IFERROR(SUMPRODUCT((Raw_Data_Daily!$B$2:$B$9999="Control")*(Raw_Data_Daily!$A$2:$A$9999=$A17)*(Raw_Data_Daily!$C$2:$C$9999=$C$3)*Raw_Data_Daily!$D$2:$D$9999*Raw_Data_Daily!$AL$2:$AL$9999)/SUMIFS(Raw_Data_Daily!$D:$D, Raw_Data_Daily!$B:$B, "Control", Raw_Data_Daily!$A:$A, $A17, Raw_Data_Daily!$C:$C, $C$3),""))</f>
        <v/>
      </c>
      <c r="DD17" s="139" t="str">
        <f>IF($A17="","",IFERROR(SUMPRODUCT((Raw_Data_Daily!$B$2:$B$9999="Variant")*(Raw_Data_Daily!$A$2:$A$9999=$A17)*(Raw_Data_Daily!$C$2:$C$9999=$C$3)*Raw_Data_Daily!$D$2:$D$9999*Raw_Data_Daily!$AL$2:$AL$9999)/SUMIFS(Raw_Data_Daily!$D:$D, Raw_Data_Daily!$B:$B, "Variant", Raw_Data_Daily!$A:$A, $A17, Raw_Data_Daily!$C:$C, $C$3),""))</f>
        <v/>
      </c>
      <c r="DE17" s="140" t="str">
        <f t="shared" si="36"/>
        <v/>
      </c>
      <c r="DF17" s="165"/>
      <c r="DG17" s="130" t="str">
        <f>IF($A17="","",IFERROR(SUMPRODUCT((Raw_Data_Daily!$B$2:$B$9999="Variant")*(Raw_Data_Daily!$A$2:$A$9999=$A17)*(Raw_Data_Daily!$C$2:$C$9999=$C$3)*Raw_Data_Daily!$D$2:$D$9999*Raw_Data_Daily!$AM$2:$AM$9999)/SUMIFS(Raw_Data_Daily!$D:$D, Raw_Data_Daily!$B:$B, "Variant", Raw_Data_Daily!$A:$A, $A17, Raw_Data_Daily!$C:$C, $C$3),""))</f>
        <v/>
      </c>
      <c r="DH17" s="166"/>
      <c r="DI17" s="165"/>
      <c r="DJ17" s="130" t="str">
        <f>IF($A17="","",IFERROR(SUMPRODUCT((Raw_Data_Daily!$B$2:$B$9999="Variant")*(Raw_Data_Daily!$A$2:$A$9999=$A17)*(Raw_Data_Daily!$C$2:$C$9999=$C$3)*Raw_Data_Daily!$D$2:$D$9999*Raw_Data_Daily!$AN$2:$AN$9999)/SUMIFS(Raw_Data_Daily!$D:$D, Raw_Data_Daily!$B:$B, "Variant", Raw_Data_Daily!$A:$A, $A17, Raw_Data_Daily!$C:$C, $C$3),""))</f>
        <v/>
      </c>
      <c r="DK17" s="166"/>
      <c r="DL17" s="165"/>
      <c r="DM17" s="130" t="str">
        <f>IF($A17="","",IFERROR(SUMPRODUCT((Raw_Data_Daily!$B$2:$B$9999="Variant")*(Raw_Data_Daily!$A$2:$A$9999=$A17)*(Raw_Data_Daily!$C$2:$C$9999=$C$3)*Raw_Data_Daily!$D$2:$D$9999*Raw_Data_Daily!$AO$2:$AO$9999)/SUMIFS(Raw_Data_Daily!$D:$D, Raw_Data_Daily!$B:$B, "Variant", Raw_Data_Daily!$A:$A, $A17, Raw_Data_Daily!$C:$C, $C$3),""))</f>
        <v/>
      </c>
      <c r="DN17" s="166"/>
      <c r="DO17" s="165"/>
      <c r="DP17" s="130" t="str">
        <f>IF($A17="","",IFERROR(SUMPRODUCT((Raw_Data_Daily!$B$2:$B$9999="Variant")*(Raw_Data_Daily!$A$2:$A$9999=$A17)*(Raw_Data_Daily!$C$2:$C$9999=$C$3)*Raw_Data_Daily!$D$2:$D$9999*Raw_Data_Daily!$AP$2:$AP$9999)/SUMIFS(Raw_Data_Daily!$D:$D, Raw_Data_Daily!$B:$B, "Variant", Raw_Data_Daily!$A:$A, $A17, Raw_Data_Daily!$C:$C, $C$3),""))</f>
        <v/>
      </c>
      <c r="DQ17" s="166"/>
      <c r="DR17" s="139" t="str">
        <f>IF($A17="","",IFERROR(SUMPRODUCT((Raw_Data_Daily!$B$2:$B$9999="Control")*(Raw_Data_Daily!$A$2:$A$9999=$A17)*(Raw_Data_Daily!$C$2:$C$9999=$C$3)*Raw_Data_Daily!$D$2:$D$9999*Raw_Data_Daily!$AQ$2:$AQ$9999)/SUMIFS(Raw_Data_Daily!$D:$D, Raw_Data_Daily!$B:$B, "Control", Raw_Data_Daily!$A:$A, $A17, Raw_Data_Daily!$C:$C, $C$3),""))</f>
        <v/>
      </c>
      <c r="DS17" s="139" t="str">
        <f>IF($A17="","",IFERROR(SUMPRODUCT((Raw_Data_Daily!$B$2:$B$9999="Variant")*(Raw_Data_Daily!$A$2:$A$9999=$A17)*(Raw_Data_Daily!$C$2:$C$9999=$C$3)*Raw_Data_Daily!$D$2:$D$9999*Raw_Data_Daily!$AQ$2:$AQ$9999)/SUMIFS(Raw_Data_Daily!$D:$D, Raw_Data_Daily!$B:$B, "Variant", Raw_Data_Daily!$A:$A, $A17, Raw_Data_Daily!$C:$C, $C$3),""))</f>
        <v/>
      </c>
      <c r="DT17" s="167" t="str">
        <f t="shared" si="37"/>
        <v/>
      </c>
      <c r="DU17" s="139" t="str">
        <f>IF($A17="","",IFERROR(SUMPRODUCT((Raw_Data_Daily!$B$2:$B$9999="Control")*(Raw_Data_Daily!$A$2:$A$9999=$A17)*(Raw_Data_Daily!$C$2:$C$9999=$C$3)*Raw_Data_Daily!$D$2:$D$9999*Raw_Data_Daily!$AR$2:$AR$9999)/SUMIFS(Raw_Data_Daily!$D:$D, Raw_Data_Daily!$B:$B, "Control", Raw_Data_Daily!$A:$A, $A17, Raw_Data_Daily!$C:$C, $C$3),""))</f>
        <v/>
      </c>
      <c r="DV17" s="139" t="str">
        <f>IF($A17="","",IFERROR(SUMPRODUCT((Raw_Data_Daily!$B$2:$B$9999="Variant")*(Raw_Data_Daily!$A$2:$A$9999=$A17)*(Raw_Data_Daily!$C$2:$C$9999=$C$3)*Raw_Data_Daily!$D$2:$D$9999*Raw_Data_Daily!$AR$2:$AR$9999)/SUMIFS(Raw_Data_Daily!$D:$D, Raw_Data_Daily!$B:$B, "Variant", Raw_Data_Daily!$A:$A, $A17, Raw_Data_Daily!$C:$C, $C$3),""))</f>
        <v/>
      </c>
      <c r="DW17" s="167" t="str">
        <f t="shared" si="38"/>
        <v/>
      </c>
      <c r="DX17" s="139" t="str">
        <f>IF($A17="","",IFERROR(SUMPRODUCT((Raw_Data_Daily!$B$2:$B$9999="Control")*(Raw_Data_Daily!$A$2:$A$9999=$A17)*(Raw_Data_Daily!$C$2:$C$9999=$C$3)*Raw_Data_Daily!$D$2:$D$9999*Raw_Data_Daily!$AS$2:$AS$9999)/SUMIFS(Raw_Data_Daily!$D:$D, Raw_Data_Daily!$B:$B, "Control", Raw_Data_Daily!$A:$A, $A17, Raw_Data_Daily!$C:$C, $C$3),""))</f>
        <v/>
      </c>
      <c r="DY17" s="139" t="str">
        <f>IF($A17="","",IFERROR(SUMPRODUCT((Raw_Data_Daily!$B$2:$B$9999="Variant")*(Raw_Data_Daily!$A$2:$A$9999=$A17)*(Raw_Data_Daily!$C$2:$C$9999=$C$3)*Raw_Data_Daily!$D$2:$D$9999*Raw_Data_Daily!$AS$2:$AS$9999)/SUMIFS(Raw_Data_Daily!$D:$D, Raw_Data_Daily!$B:$B, "Variant", Raw_Data_Daily!$A:$A, $A17, Raw_Data_Daily!$C:$C, $C$3),""))</f>
        <v/>
      </c>
      <c r="DZ17" s="168" t="str">
        <f t="shared" si="39"/>
        <v/>
      </c>
      <c r="EA17" s="139" t="str">
        <f>IF($A17="","",IFERROR(SUMPRODUCT((Raw_Data_Daily!$B$2:$B$9999="Control")*(Raw_Data_Daily!$A$2:$A$9999=$A17)*(Raw_Data_Daily!$C$2:$C$9999=$C$3)*Raw_Data_Daily!$D$2:$D$9999*Raw_Data_Daily!$AT$2:$AT$9999)/SUMIFS(Raw_Data_Daily!$D:$D, Raw_Data_Daily!$B:$B, "Control", Raw_Data_Daily!$A:$A, $A17, Raw_Data_Daily!$C:$C, $C$3),""))</f>
        <v/>
      </c>
      <c r="EB17" s="139" t="str">
        <f>IF($A17="","",IFERROR(SUMPRODUCT((Raw_Data_Daily!$B$2:$B$9999="Variant")*(Raw_Data_Daily!$A$2:$A$9999=$A17)*(Raw_Data_Daily!$C$2:$C$9999=$C$3)*Raw_Data_Daily!$D$2:$D$9999*Raw_Data_Daily!$AT$2:$AT$9999)/SUMIFS(Raw_Data_Daily!$D:$D, Raw_Data_Daily!$B:$B, "Variant", Raw_Data_Daily!$A:$A, $A17, Raw_Data_Daily!$C:$C, $C$3),""))</f>
        <v/>
      </c>
      <c r="EC17" s="167" t="str">
        <f t="shared" si="40"/>
        <v/>
      </c>
      <c r="ED17" s="139" t="str">
        <f>IF($A17="","",IFERROR(SUMPRODUCT((Raw_Data_Daily!$B$2:$B$9999="Control")*(Raw_Data_Daily!$A$2:$A$9999=$A17)*(Raw_Data_Daily!$C$2:$C$9999=$C$3)*Raw_Data_Daily!$D$2:$D$9999*(Raw_Data_Daily!$AQ$2:$AQ$9999-Raw_Data_Daily!$AT$2:$AT$9999))/SUMIFS(Raw_Data_Daily!$D:$D, Raw_Data_Daily!$B:$B, "Control", Raw_Data_Daily!$A:$A, $A17, Raw_Data_Daily!$C:$C, $C$3),""))</f>
        <v/>
      </c>
      <c r="EE17" s="139" t="str">
        <f>IF($A17="","",IFERROR(SUMPRODUCT((Raw_Data_Daily!$B$2:$B$9999="Variant")*(Raw_Data_Daily!$A$2:$A$9999=$A17)*(Raw_Data_Daily!$C$2:$C$9999=$C$3)*Raw_Data_Daily!$D$2:$D$9999*(Raw_Data_Daily!$AQ$2:$AQ$9999-Raw_Data_Daily!$AT$2:$AT$9999))/SUMIFS(Raw_Data_Daily!$D:$D, Raw_Data_Daily!$B:$B, "Variant", Raw_Data_Daily!$A:$A, $A17, Raw_Data_Daily!$C:$C, $C$3),""))</f>
        <v/>
      </c>
      <c r="EF17" s="168" t="str">
        <f t="shared" si="41"/>
        <v/>
      </c>
      <c r="EG17" s="139" t="str">
        <f>IF($A17="","",IFERROR(SUMPRODUCT((Raw_Data_Daily!$B$2:$B$9999="Control")*(Raw_Data_Daily!$A$2:$A$9999=$A17)*(Raw_Data_Daily!$C$2:$C$9999=$C$3)*Raw_Data_Daily!$D$2:$D$9999*Raw_Data_Daily!$AU$2:$AU$9999)/SUMIFS(Raw_Data_Daily!$D:$D, Raw_Data_Daily!$B:$B, "Control", Raw_Data_Daily!$A:$A, $A17, Raw_Data_Daily!$C:$C, $C$3),""))</f>
        <v/>
      </c>
      <c r="EH17" s="139" t="str">
        <f>IF($A17="","",IFERROR(SUMPRODUCT((Raw_Data_Daily!$B$2:$B$9999="Variant")*(Raw_Data_Daily!$A$2:$A$9999=$A17)*(Raw_Data_Daily!$C$2:$C$9999=$C$3)*Raw_Data_Daily!$D$2:$D$9999*Raw_Data_Daily!$AU$2:$AU$9999)/SUMIFS(Raw_Data_Daily!$D:$D, Raw_Data_Daily!$B:$B, "Variant", Raw_Data_Daily!$A:$A, $A17, Raw_Data_Daily!$C:$C, $C$3),""))</f>
        <v/>
      </c>
      <c r="EI17" s="167" t="str">
        <f t="shared" si="42"/>
        <v/>
      </c>
    </row>
    <row r="18" ht="15.75" customHeight="1">
      <c r="A18" s="239">
        <v>46241.0</v>
      </c>
      <c r="B18" s="240">
        <f>IF($A18="","",SUMIFS(Raw_Data_Daily!$D:$D, Raw_Data_Daily!$B:$B, "Control", Raw_Data_Daily!$A:$A, $A18, Raw_Data_Daily!$C:$C, $C$3))</f>
        <v>0</v>
      </c>
      <c r="C18" s="240">
        <f>IF($A18="","",SUMIFS(Raw_Data_Daily!$D:$D, Raw_Data_Daily!$B:$B, "Variant", Raw_Data_Daily!$A:$A, $A18, Raw_Data_Daily!$C:$C, $C$3))</f>
        <v>0</v>
      </c>
      <c r="D18" s="241" t="str">
        <f t="shared" si="1"/>
        <v/>
      </c>
      <c r="E18" s="242" t="str">
        <f>IF($A18="","",IFERROR(SUMPRODUCT((Raw_Data_Daily!$B$2:$B$9999="Control")*(Raw_Data_Daily!$A$2:$A$9999=$A18)*(Raw_Data_Daily!$C$2:$C$9999=$C$3)*Raw_Data_Daily!$D$2:$D$9999*Raw_Data_Daily!$E$2:$E$9999)/SUMIFS(Raw_Data_Daily!$D:$D, Raw_Data_Daily!$B:$B, "Control", Raw_Data_Daily!$A:$A, $A18, Raw_Data_Daily!$C:$C, $C$3),""))</f>
        <v/>
      </c>
      <c r="F18" s="242" t="str">
        <f>IF($A18="","",IFERROR(SUMPRODUCT((Raw_Data_Daily!$B$2:$B$9999="Variant")*(Raw_Data_Daily!$A$2:$A$9999=$A18)*(Raw_Data_Daily!$C$2:$C$9999=$C$3)*Raw_Data_Daily!$D$2:$D$9999*Raw_Data_Daily!$E$2:$E$9999)/SUMIFS(Raw_Data_Daily!$D:$D, Raw_Data_Daily!$B:$B, "Variant", Raw_Data_Daily!$A:$A, $A18, Raw_Data_Daily!$C:$C, $C$3),""))</f>
        <v/>
      </c>
      <c r="G18" s="241" t="str">
        <f t="shared" si="2"/>
        <v/>
      </c>
      <c r="H18" s="243">
        <f>IF($A18="","",SUMIFS(Raw_Data_Daily!$F:$F, Raw_Data_Daily!$B:$B, "Control", Raw_Data_Daily!$A:$A, $A18, Raw_Data_Daily!$C:$C, $C$3))</f>
        <v>0</v>
      </c>
      <c r="I18" s="243">
        <f>IF($A18="","",SUMIFS(Raw_Data_Daily!$F:$F, Raw_Data_Daily!$B:$B, "Variant", Raw_Data_Daily!$A:$A, $A18, Raw_Data_Daily!$C:$C, $C$3))</f>
        <v>0</v>
      </c>
      <c r="J18" s="244" t="str">
        <f t="shared" si="3"/>
        <v/>
      </c>
      <c r="K18" s="245" t="str">
        <f>IF($A18="","",IFERROR(SUMIFS(Raw_Data_Daily!$F:$F, Raw_Data_Daily!$B:$B, "Control", Raw_Data_Daily!$A:$A, $A18, Raw_Data_Daily!$C:$C, $C$3)/SUMIFS(Raw_Data_Daily!$D:$D, Raw_Data_Daily!$B:$B, "Control", Raw_Data_Daily!$A:$A, $A18, Raw_Data_Daily!$C:$C, $C$3),""))</f>
        <v/>
      </c>
      <c r="L18" s="245" t="str">
        <f>IF($A18="","",IFERROR(SUMIFS(Raw_Data_Daily!$F:$F, Raw_Data_Daily!$B:$B, "Variant", Raw_Data_Daily!$A:$A, $A18, Raw_Data_Daily!$C:$C, $C$3)/SUMIFS(Raw_Data_Daily!$D:$D, Raw_Data_Daily!$B:$B, "Variant", Raw_Data_Daily!$A:$A, $A18, Raw_Data_Daily!$C:$C, $C$3),""))</f>
        <v/>
      </c>
      <c r="M18" s="244" t="str">
        <f t="shared" si="4"/>
        <v/>
      </c>
      <c r="N18" s="242" t="str">
        <f>IF($A18="","",IFERROR(SUMPRODUCT((Raw_Data_Daily!$B$2:$B$9999="Control")*(Raw_Data_Daily!$A$2:$A$9999=$A18)*(Raw_Data_Daily!$C$2:$C$9999=$C$3)*Raw_Data_Daily!$D$2:$D$9999*Raw_Data_Daily!$H$2:$H$9999/100)/SUMIFS(Raw_Data_Daily!$D:$D, Raw_Data_Daily!$B:$B, "Control", Raw_Data_Daily!$A:$A, $A18, Raw_Data_Daily!$C:$C, $C$3)*100,""))</f>
        <v/>
      </c>
      <c r="O18" s="242" t="str">
        <f>IF($A18="","",IFERROR(SUMPRODUCT((Raw_Data_Daily!$B$2:$B$9999="Variant")*(Raw_Data_Daily!$A$2:$A$9999=$A18)*(Raw_Data_Daily!$C$2:$C$9999=$C$3)*Raw_Data_Daily!$D$2:$D$9999*Raw_Data_Daily!$H$2:$H$9999/100)/SUMIFS(Raw_Data_Daily!$D:$D, Raw_Data_Daily!$B:$B, "Variant", Raw_Data_Daily!$A:$A, $A18, Raw_Data_Daily!$C:$C, $C$3)*100,""))</f>
        <v/>
      </c>
      <c r="P18" s="244" t="str">
        <f t="shared" si="5"/>
        <v/>
      </c>
      <c r="Q18" s="245" t="str">
        <f>IF($A18="","",IFERROR(SUMIFS(Raw_Data_Daily!$F:$F, Raw_Data_Daily!$B:$B, "Control", Raw_Data_Daily!$A:$A, $A18, Raw_Data_Daily!$C:$C, $C$3)/SUMPRODUCT((Raw_Data_Daily!$B$2:$B$9999="Control")*(Raw_Data_Daily!$A$2:$A$9999=$A18)*(Raw_Data_Daily!$C$2:$C$9999=$C$3)*Raw_Data_Daily!$D$2:$D$9999*Raw_Data_Daily!$H$2:$H$9999/100),""))</f>
        <v/>
      </c>
      <c r="R18" s="245" t="str">
        <f>IF($A18="","",IFERROR(SUMIFS(Raw_Data_Daily!$F:$F, Raw_Data_Daily!$B:$B, "Variant", Raw_Data_Daily!$A:$A, $A18, Raw_Data_Daily!$C:$C, $C$3)/SUMPRODUCT((Raw_Data_Daily!$B$2:$B$9999="Variant")*(Raw_Data_Daily!$A$2:$A$9999=$A18)*(Raw_Data_Daily!$C$2:$C$9999=$C$3)*Raw_Data_Daily!$D$2:$D$9999*Raw_Data_Daily!$H$2:$H$9999/100),""))</f>
        <v/>
      </c>
      <c r="S18" s="244" t="str">
        <f t="shared" si="6"/>
        <v/>
      </c>
      <c r="T18" s="246" t="str">
        <f>IF($A18="","",IFERROR(SUMPRODUCT((Raw_Data_Daily!$B$2:$B$9999="Control")*(Raw_Data_Daily!$A$2:$A$9999=$A18)*(Raw_Data_Daily!$C$2:$C$9999=$C$3)*Raw_Data_Daily!$D$2:$D$9999*Raw_Data_Daily!$J$2:$J$9999)/SUMIFS(Raw_Data_Daily!$D:$D, Raw_Data_Daily!$B:$B, "Control", Raw_Data_Daily!$A:$A, $A18, Raw_Data_Daily!$C:$C, $C$3),""))</f>
        <v/>
      </c>
      <c r="U18" s="246" t="str">
        <f>IF($A18="","",IFERROR(SUMPRODUCT((Raw_Data_Daily!$B$2:$B$9999="Variant")*(Raw_Data_Daily!$A$2:$A$9999=$A18)*(Raw_Data_Daily!$C$2:$C$9999=$C$3)*Raw_Data_Daily!$D$2:$D$9999*Raw_Data_Daily!$J$2:$J$9999)/SUMIFS(Raw_Data_Daily!$D:$D, Raw_Data_Daily!$B:$B, "Variant", Raw_Data_Daily!$A:$A, $A18, Raw_Data_Daily!$C:$C, $C$3),""))</f>
        <v/>
      </c>
      <c r="V18" s="244" t="str">
        <f t="shared" si="7"/>
        <v/>
      </c>
      <c r="W18" s="246" t="str">
        <f>IF($A18="","",IFERROR(SUMPRODUCT((Raw_Data_Daily!$B$2:$B$9999="Control")*(Raw_Data_Daily!$A$2:$A$9999=$A18)*(Raw_Data_Daily!$C$2:$C$9999=$C$3)*Raw_Data_Daily!$D$2:$D$9999*Raw_Data_Daily!$K$2:$K$9999)/SUMIFS(Raw_Data_Daily!$D:$D, Raw_Data_Daily!$B:$B, "Control", Raw_Data_Daily!$A:$A, $A18, Raw_Data_Daily!$C:$C, $C$3),""))</f>
        <v/>
      </c>
      <c r="X18" s="246" t="str">
        <f>IF($A18="","",IFERROR(SUMPRODUCT((Raw_Data_Daily!$B$2:$B$9999="Variant")*(Raw_Data_Daily!$A$2:$A$9999=$A18)*(Raw_Data_Daily!$C$2:$C$9999=$C$3)*Raw_Data_Daily!$D$2:$D$9999*Raw_Data_Daily!$K$2:$K$9999)/SUMIFS(Raw_Data_Daily!$D:$D, Raw_Data_Daily!$B:$B, "Variant", Raw_Data_Daily!$A:$A, $A18, Raw_Data_Daily!$C:$C, $C$3),""))</f>
        <v/>
      </c>
      <c r="Y18" s="244" t="str">
        <f t="shared" si="8"/>
        <v/>
      </c>
      <c r="Z18" s="246" t="str">
        <f>IF($A18="","",IFERROR(SUMPRODUCT((Raw_Data_Daily!$B$2:$B$9999="Control")*(Raw_Data_Daily!$A$2:$A$9999=$A18)*(Raw_Data_Daily!$C$2:$C$9999=$C$3)*Raw_Data_Daily!$D$2:$D$9999*Raw_Data_Daily!$L$2:$L$9999)/SUMIFS(Raw_Data_Daily!$D:$D, Raw_Data_Daily!$B:$B, "Control", Raw_Data_Daily!$A:$A, $A18, Raw_Data_Daily!$C:$C, $C$3),""))</f>
        <v/>
      </c>
      <c r="AA18" s="246" t="str">
        <f>IF($A18="","",IFERROR(SUMPRODUCT((Raw_Data_Daily!$B$2:$B$9999="Variant")*(Raw_Data_Daily!$A$2:$A$9999=$A18)*(Raw_Data_Daily!$C$2:$C$9999=$C$3)*Raw_Data_Daily!$D$2:$D$9999*Raw_Data_Daily!$L$2:$L$9999)/SUMIFS(Raw_Data_Daily!$D:$D, Raw_Data_Daily!$B:$B, "Variant", Raw_Data_Daily!$A:$A, $A18, Raw_Data_Daily!$C:$C, $C$3),""))</f>
        <v/>
      </c>
      <c r="AB18" s="244" t="str">
        <f t="shared" si="9"/>
        <v/>
      </c>
      <c r="AC18" s="248" t="str">
        <f>IF($A18="","",IFERROR(SUMPRODUCT((Raw_Data_Daily!$B$2:$B$9999="Control")*(Raw_Data_Daily!$A$2:$A$9999=$A18)*(Raw_Data_Daily!$C$2:$C$9999=$C$3)*Raw_Data_Daily!$D$2:$D$9999*Raw_Data_Daily!$M$2:$M$9999)/SUMIFS(Raw_Data_Daily!$D:$D, Raw_Data_Daily!$B:$B, "Control", Raw_Data_Daily!$A:$A, $A18, Raw_Data_Daily!$C:$C, $C$3),""))</f>
        <v/>
      </c>
      <c r="AD18" s="248" t="str">
        <f>IF($A18="","",IFERROR(SUMPRODUCT((Raw_Data_Daily!$B$2:$B$9999="Variant")*(Raw_Data_Daily!$A$2:$A$9999=$A18)*(Raw_Data_Daily!$C$2:$C$9999=$C$3)*Raw_Data_Daily!$D$2:$D$9999*Raw_Data_Daily!$M$2:$M$9999)/SUMIFS(Raw_Data_Daily!$D:$D, Raw_Data_Daily!$B:$B, "Variant", Raw_Data_Daily!$A:$A, $A18, Raw_Data_Daily!$C:$C, $C$3),""))</f>
        <v/>
      </c>
      <c r="AE18" s="249" t="str">
        <f t="shared" si="10"/>
        <v/>
      </c>
      <c r="AF18" s="248" t="str">
        <f>IF($A18="","",IFERROR(SUMPRODUCT((Raw_Data_Daily!$B$2:$B$9999="Control")*(Raw_Data_Daily!$A$2:$A$9999=$A18)*(Raw_Data_Daily!$C$2:$C$9999=$C$3)*Raw_Data_Daily!$D$2:$D$9999*Raw_Data_Daily!$N$2:$N$9999)/SUMIFS(Raw_Data_Daily!$D:$D, Raw_Data_Daily!$B:$B, "Control", Raw_Data_Daily!$A:$A, $A18, Raw_Data_Daily!$C:$C, $C$3),""))</f>
        <v/>
      </c>
      <c r="AG18" s="248" t="str">
        <f>IF($A18="","",IFERROR(SUMPRODUCT((Raw_Data_Daily!$B$2:$B$9999="Variant")*(Raw_Data_Daily!$A$2:$A$9999=$A18)*(Raw_Data_Daily!$C$2:$C$9999=$C$3)*Raw_Data_Daily!$D$2:$D$9999*Raw_Data_Daily!$N$2:$N$9999)/SUMIFS(Raw_Data_Daily!$D:$D, Raw_Data_Daily!$B:$B, "Variant", Raw_Data_Daily!$A:$A, $A18, Raw_Data_Daily!$C:$C, $C$3),""))</f>
        <v/>
      </c>
      <c r="AH18" s="249" t="str">
        <f t="shared" si="11"/>
        <v/>
      </c>
      <c r="AI18" s="248" t="str">
        <f>IF($A18="","",IFERROR(SUMPRODUCT((Raw_Data_Daily!$B$2:$B$9999="Control")*(Raw_Data_Daily!$A$2:$A$9999=$A18)*(Raw_Data_Daily!$C$2:$C$9999=$C$3)*Raw_Data_Daily!$D$2:$D$9999*Raw_Data_Daily!$O$2:$O$9999)/SUMIFS(Raw_Data_Daily!$D:$D, Raw_Data_Daily!$B:$B, "Control", Raw_Data_Daily!$A:$A, $A18, Raw_Data_Daily!$C:$C, $C$3),""))</f>
        <v/>
      </c>
      <c r="AJ18" s="248" t="str">
        <f>IF($A18="","",IFERROR(SUMPRODUCT((Raw_Data_Daily!$B$2:$B$9999="Variant")*(Raw_Data_Daily!$A$2:$A$9999=$A18)*(Raw_Data_Daily!$C$2:$C$9999=$C$3)*Raw_Data_Daily!$D$2:$D$9999*Raw_Data_Daily!$O$2:$O$9999)/SUMIFS(Raw_Data_Daily!$D:$D, Raw_Data_Daily!$B:$B, "Variant", Raw_Data_Daily!$A:$A, $A18, Raw_Data_Daily!$C:$C, $C$3),""))</f>
        <v/>
      </c>
      <c r="AK18" s="244" t="str">
        <f t="shared" si="12"/>
        <v/>
      </c>
      <c r="AL18" s="246" t="str">
        <f>IF($A18="","",IFERROR(SUMPRODUCT((Raw_Data_Daily!$B$2:$B$9999="Control")*(Raw_Data_Daily!$A$2:$A$9999=$A18)*(Raw_Data_Daily!$C$2:$C$9999=$C$3)*Raw_Data_Daily!$D$2:$D$9999*Raw_Data_Daily!$P$2:$P$9999)/SUMIFS(Raw_Data_Daily!$D:$D, Raw_Data_Daily!$B:$B, "Control", Raw_Data_Daily!$A:$A, $A18, Raw_Data_Daily!$C:$C, $C$3),""))</f>
        <v/>
      </c>
      <c r="AM18" s="246" t="str">
        <f>IF($A18="","",IFERROR(SUMPRODUCT((Raw_Data_Daily!$B$2:$B$9999="Variant")*(Raw_Data_Daily!$A$2:$A$9999=$A18)*(Raw_Data_Daily!$C$2:$C$9999=$C$3)*Raw_Data_Daily!$D$2:$D$9999*Raw_Data_Daily!$P$2:$P$9999)/SUMIFS(Raw_Data_Daily!$D:$D, Raw_Data_Daily!$B:$B, "Variant", Raw_Data_Daily!$A:$A, $A18, Raw_Data_Daily!$C:$C, $C$3),""))</f>
        <v/>
      </c>
      <c r="AN18" s="244" t="str">
        <f t="shared" si="13"/>
        <v/>
      </c>
      <c r="AO18" s="246" t="str">
        <f>IF($A18="","",IFERROR(SUMPRODUCT((Raw_Data_Daily!$B$2:$B$9999="Control")*(Raw_Data_Daily!$A$2:$A$9999=$A18)*(Raw_Data_Daily!$C$2:$C$9999=$C$3)*Raw_Data_Daily!$D$2:$D$9999*Raw_Data_Daily!$Q$2:$Q$9999)/SUMIFS(Raw_Data_Daily!$D:$D, Raw_Data_Daily!$B:$B, "Control", Raw_Data_Daily!$A:$A, $A18, Raw_Data_Daily!$C:$C, $C$3),""))</f>
        <v/>
      </c>
      <c r="AP18" s="246" t="str">
        <f>IF($A18="","",IFERROR(SUMPRODUCT((Raw_Data_Daily!$B$2:$B$9999="Variant")*(Raw_Data_Daily!$A$2:$A$9999=$A18)*(Raw_Data_Daily!$C$2:$C$9999=$C$3)*Raw_Data_Daily!$D$2:$D$9999*Raw_Data_Daily!$Q$2:$Q$9999)/SUMIFS(Raw_Data_Daily!$D:$D, Raw_Data_Daily!$B:$B, "Variant", Raw_Data_Daily!$A:$A, $A18, Raw_Data_Daily!$C:$C, $C$3),""))</f>
        <v/>
      </c>
      <c r="AQ18" s="241" t="str">
        <f t="shared" si="14"/>
        <v/>
      </c>
      <c r="AR18" s="246" t="str">
        <f>IF($A18="","",IFERROR(SUMPRODUCT((Raw_Data_Daily!$B$2:$B$9999="Control")*(Raw_Data_Daily!$A$2:$A$9999=$A18)*(Raw_Data_Daily!$C$2:$C$9999=$C$3)*Raw_Data_Daily!$D$2:$D$9999*Raw_Data_Daily!$R$2:$R$9999)/SUMIFS(Raw_Data_Daily!$D:$D, Raw_Data_Daily!$B:$B, "Control", Raw_Data_Daily!$A:$A, $A18, Raw_Data_Daily!$C:$C, $C$3),""))</f>
        <v/>
      </c>
      <c r="AS18" s="246" t="str">
        <f>IF($A18="","",IFERROR(SUMPRODUCT((Raw_Data_Daily!$B$2:$B$9999="Variant")*(Raw_Data_Daily!$A$2:$A$9999=$A18)*(Raw_Data_Daily!$C$2:$C$9999=$C$3)*Raw_Data_Daily!$D$2:$D$9999*Raw_Data_Daily!$R$2:$R$9999)/SUMIFS(Raw_Data_Daily!$D:$D, Raw_Data_Daily!$B:$B, "Variant", Raw_Data_Daily!$A:$A, $A18, Raw_Data_Daily!$C:$C, $C$3),""))</f>
        <v/>
      </c>
      <c r="AT18" s="241" t="str">
        <f t="shared" si="15"/>
        <v/>
      </c>
      <c r="AU18" s="246" t="str">
        <f>IF($A18="","",IFERROR(SUMPRODUCT((Raw_Data_Daily!$B$2:$B$9999="Control")*(Raw_Data_Daily!$A$2:$A$9999=$A18)*(Raw_Data_Daily!$C$2:$C$9999=$C$3)*Raw_Data_Daily!$D$2:$D$9999*Raw_Data_Daily!$S$2:$S$9999)/SUMIFS(Raw_Data_Daily!$D:$D, Raw_Data_Daily!$B:$B, "Control", Raw_Data_Daily!$A:$A, $A18, Raw_Data_Daily!$C:$C, $C$3),""))</f>
        <v/>
      </c>
      <c r="AV18" s="246" t="str">
        <f>IF($A18="","",IFERROR(SUMPRODUCT((Raw_Data_Daily!$B$2:$B$9999="Variant")*(Raw_Data_Daily!$A$2:$A$9999=$A18)*(Raw_Data_Daily!$C$2:$C$9999=$C$3)*Raw_Data_Daily!$D$2:$D$9999*Raw_Data_Daily!$S$2:$S$9999)/SUMIFS(Raw_Data_Daily!$D:$D, Raw_Data_Daily!$B:$B, "Variant", Raw_Data_Daily!$A:$A, $A18, Raw_Data_Daily!$C:$C, $C$3),""))</f>
        <v/>
      </c>
      <c r="AW18" s="241" t="str">
        <f t="shared" si="16"/>
        <v/>
      </c>
      <c r="AX18" s="246" t="str">
        <f>IF($A18="","",IFERROR(SUMPRODUCT((Raw_Data_Daily!$B$2:$B$9999="Control")*(Raw_Data_Daily!$A$2:$A$9999=$A18)*(Raw_Data_Daily!$C$2:$C$9999=$C$3)*Raw_Data_Daily!$D$2:$D$9999*Raw_Data_Daily!$T$2:$T$9999)/SUMIFS(Raw_Data_Daily!$D:$D, Raw_Data_Daily!$B:$B, "Control", Raw_Data_Daily!$A:$A, $A18, Raw_Data_Daily!$C:$C, $C$3),""))</f>
        <v/>
      </c>
      <c r="AY18" s="246" t="str">
        <f>IF($A18="","",IFERROR(SUMPRODUCT((Raw_Data_Daily!$B$2:$B$9999="Variant")*(Raw_Data_Daily!$A$2:$A$9999=$A18)*(Raw_Data_Daily!$C$2:$C$9999=$C$3)*Raw_Data_Daily!$D$2:$D$9999*Raw_Data_Daily!$T$2:$T$9999)/SUMIFS(Raw_Data_Daily!$D:$D, Raw_Data_Daily!$B:$B, "Variant", Raw_Data_Daily!$A:$A, $A18, Raw_Data_Daily!$C:$C, $C$3),""))</f>
        <v/>
      </c>
      <c r="AZ18" s="244" t="str">
        <f t="shared" si="17"/>
        <v/>
      </c>
      <c r="BA18" s="246" t="str">
        <f>IF($A18="","",IFERROR(SUMPRODUCT((Raw_Data_Daily!$B$2:$B$9999="Control")*(Raw_Data_Daily!$A$2:$A$9999=$A18)*(Raw_Data_Daily!$C$2:$C$9999=$C$3)*Raw_Data_Daily!$D$2:$D$9999*Raw_Data_Daily!$U$2:$U$9999)/SUMIFS(Raw_Data_Daily!$D:$D, Raw_Data_Daily!$B:$B, "Control", Raw_Data_Daily!$A:$A, $A18, Raw_Data_Daily!$C:$C, $C$3),""))</f>
        <v/>
      </c>
      <c r="BB18" s="246" t="str">
        <f>IF($A18="","",IFERROR(SUMPRODUCT((Raw_Data_Daily!$B$2:$B$9999="Variant")*(Raw_Data_Daily!$A$2:$A$9999=$A18)*(Raw_Data_Daily!$C$2:$C$9999=$C$3)*Raw_Data_Daily!$D$2:$D$9999*Raw_Data_Daily!$U$2:$U$9999)/SUMIFS(Raw_Data_Daily!$D:$D, Raw_Data_Daily!$B:$B, "Variant", Raw_Data_Daily!$A:$A, $A18, Raw_Data_Daily!$C:$C, $C$3),""))</f>
        <v/>
      </c>
      <c r="BC18" s="241" t="str">
        <f t="shared" si="18"/>
        <v/>
      </c>
      <c r="BD18" s="246" t="str">
        <f>IF($A18="","",IFERROR(SUMPRODUCT((Raw_Data_Daily!$B$2:$B$9999="Control")*(Raw_Data_Daily!$A$2:$A$9999=$A18)*(Raw_Data_Daily!$C$2:$C$9999=$C$3)*Raw_Data_Daily!$D$2:$D$9999*Raw_Data_Daily!$V$2:$V$9999)/SUMIFS(Raw_Data_Daily!$D:$D, Raw_Data_Daily!$B:$B, "Control", Raw_Data_Daily!$A:$A, $A18, Raw_Data_Daily!$C:$C, $C$3),""))</f>
        <v/>
      </c>
      <c r="BE18" s="246" t="str">
        <f>IF($A18="","",IFERROR(SUMPRODUCT((Raw_Data_Daily!$B$2:$B$9999="Variant")*(Raw_Data_Daily!$A$2:$A$9999=$A18)*(Raw_Data_Daily!$C$2:$C$9999=$C$3)*Raw_Data_Daily!$D$2:$D$9999*Raw_Data_Daily!$V$2:$V$9999)/SUMIFS(Raw_Data_Daily!$D:$D, Raw_Data_Daily!$B:$B, "Variant", Raw_Data_Daily!$A:$A, $A18, Raw_Data_Daily!$C:$C, $C$3),""))</f>
        <v/>
      </c>
      <c r="BF18" s="251" t="str">
        <f t="shared" si="19"/>
        <v/>
      </c>
      <c r="BG18" s="252" t="str">
        <f>IF($A18="","",IFERROR(SUMPRODUCT((Raw_Data_Daily!$B$2:$B$9999="Control")*(Raw_Data_Daily!$A$2:$A$9999=$A18)*(Raw_Data_Daily!$C$2:$C$9999=$C$3)*Raw_Data_Daily!$D$2:$D$9999*(Raw_Data_Daily!$Q$2:$Q$9999-Raw_Data_Daily!$V$2:$V$9999))/SUMIFS(Raw_Data_Daily!$D:$D, Raw_Data_Daily!$B:$B, "Control", Raw_Data_Daily!$A:$A, $A18, Raw_Data_Daily!$C:$C, $C$3),""))</f>
        <v/>
      </c>
      <c r="BH18" s="246" t="str">
        <f>IF($A18="","",IFERROR(SUMPRODUCT((Raw_Data_Daily!$B$2:$B$9999="Variant")*(Raw_Data_Daily!$A$2:$A$9999=$A18)*(Raw_Data_Daily!$C$2:$C$9999=$C$3)*Raw_Data_Daily!$D$2:$D$9999*(Raw_Data_Daily!$Q$2:$Q$9999-Raw_Data_Daily!$V$2:$V$9999))/SUMIFS(Raw_Data_Daily!$D:$D, Raw_Data_Daily!$B:$B, "Variant", Raw_Data_Daily!$A:$A, $A18, Raw_Data_Daily!$C:$C, $C$3),""))</f>
        <v/>
      </c>
      <c r="BI18" s="253" t="str">
        <f t="shared" si="20"/>
        <v/>
      </c>
      <c r="BJ18" s="254" t="str">
        <f>IF($A18="","",IFERROR(SUMPRODUCT((Raw_Data_Daily!$B$2:$B$9999="Control")*(Raw_Data_Daily!$A$2:$A$9999=$A18)*(Raw_Data_Daily!$C$2:$C$9999=$C$3)*Raw_Data_Daily!$D$2:$D$9999*Raw_Data_Daily!$W$2:$W$9999)/SUMIFS(Raw_Data_Daily!$D:$D, Raw_Data_Daily!$B:$B, "Control", Raw_Data_Daily!$A:$A, $A18, Raw_Data_Daily!$C:$C, $C$3),""))</f>
        <v/>
      </c>
      <c r="BK18" s="246" t="str">
        <f>IF($A18="","",IFERROR(SUMPRODUCT((Raw_Data_Daily!$B$2:$B$9999="Variant")*(Raw_Data_Daily!$A$2:$A$9999=$A18)*(Raw_Data_Daily!$C$2:$C$9999=$C$3)*Raw_Data_Daily!$D$2:$D$9999*Raw_Data_Daily!$W$2:$W$9999)/SUMIFS(Raw_Data_Daily!$D:$D, Raw_Data_Daily!$B:$B, "Variant", Raw_Data_Daily!$A:$A, $A18, Raw_Data_Daily!$C:$C, $C$3),""))</f>
        <v/>
      </c>
      <c r="BL18" s="241" t="str">
        <f t="shared" si="21"/>
        <v/>
      </c>
      <c r="BM18" s="248" t="str">
        <f>IF($A18="","",IFERROR(SUMPRODUCT((Raw_Data_Daily!$B$2:$B$9999="Control")*(Raw_Data_Daily!$A$2:$A$9999=$A18)*(Raw_Data_Daily!$C$2:$C$9999=$C$3)*Raw_Data_Daily!$D$2:$D$9999*Raw_Data_Daily!$X$2:$X$9999)/SUMIFS(Raw_Data_Daily!$D:$D, Raw_Data_Daily!$B:$B, "Control", Raw_Data_Daily!$A:$A, $A18, Raw_Data_Daily!$C:$C, $C$3),""))</f>
        <v/>
      </c>
      <c r="BN18" s="248" t="str">
        <f>IF($A18="","",IFERROR(SUMPRODUCT((Raw_Data_Daily!$B$2:$B$9999="Variant")*(Raw_Data_Daily!$A$2:$A$9999=$A18)*(Raw_Data_Daily!$C$2:$C$9999=$C$3)*Raw_Data_Daily!$D$2:$D$9999*Raw_Data_Daily!$X$2:$X$9999)/SUMIFS(Raw_Data_Daily!$D:$D, Raw_Data_Daily!$B:$B, "Variant", Raw_Data_Daily!$A:$A, $A18, Raw_Data_Daily!$C:$C, $C$3),""))</f>
        <v/>
      </c>
      <c r="BO18" s="244" t="str">
        <f t="shared" si="22"/>
        <v/>
      </c>
      <c r="BP18" s="240" t="str">
        <f>IF($A18="","",IFERROR(SUMPRODUCT((Raw_Data_Daily!$B$2:$B$9999="Control")*(Raw_Data_Daily!$A$2:$A$9999=$A18)*(Raw_Data_Daily!$C$2:$C$9999=$C$3)*Raw_Data_Daily!$D$2:$D$9999*Raw_Data_Daily!$Y$2:$Y$9999)/SUMIFS(Raw_Data_Daily!$D:$D, Raw_Data_Daily!$B:$B, "Control", Raw_Data_Daily!$A:$A, $A18, Raw_Data_Daily!$C:$C, $C$3),""))</f>
        <v/>
      </c>
      <c r="BQ18" s="240" t="str">
        <f>IF($A18="","",IFERROR(SUMPRODUCT((Raw_Data_Daily!$B$2:$B$9999="Variant")*(Raw_Data_Daily!$A$2:$A$9999=$A18)*(Raw_Data_Daily!$C$2:$C$9999=$C$3)*Raw_Data_Daily!$D$2:$D$9999*Raw_Data_Daily!$Y$2:$Y$9999)/SUMIFS(Raw_Data_Daily!$D:$D, Raw_Data_Daily!$B:$B, "Variant", Raw_Data_Daily!$A:$A, $A18, Raw_Data_Daily!$C:$C, $C$3),""))</f>
        <v/>
      </c>
      <c r="BR18" s="241" t="str">
        <f t="shared" si="23"/>
        <v/>
      </c>
      <c r="BS18" s="240" t="str">
        <f>IF($A18="","",IFERROR(SUMPRODUCT((Raw_Data_Daily!$B$2:$B$9999="Control")*(Raw_Data_Daily!$A$2:$A$9999=$A18)*(Raw_Data_Daily!$C$2:$C$9999=$C$3)*Raw_Data_Daily!$D$2:$D$9999*Raw_Data_Daily!$Z$2:$Z$9999)/SUMIFS(Raw_Data_Daily!$D:$D, Raw_Data_Daily!$B:$B, "Control", Raw_Data_Daily!$A:$A, $A18, Raw_Data_Daily!$C:$C, $C$3),""))</f>
        <v/>
      </c>
      <c r="BT18" s="240" t="str">
        <f>IF($A18="","",IFERROR(SUMPRODUCT((Raw_Data_Daily!$B$2:$B$9999="Variant")*(Raw_Data_Daily!$A$2:$A$9999=$A18)*(Raw_Data_Daily!$C$2:$C$9999=$C$3)*Raw_Data_Daily!$D$2:$D$9999*Raw_Data_Daily!$Z$2:$Z$9999)/SUMIFS(Raw_Data_Daily!$D:$D, Raw_Data_Daily!$B:$B, "Variant", Raw_Data_Daily!$A:$A, $A18, Raw_Data_Daily!$C:$C, $C$3),""))</f>
        <v/>
      </c>
      <c r="BU18" s="241" t="str">
        <f t="shared" si="24"/>
        <v/>
      </c>
      <c r="BV18" s="240" t="str">
        <f>IF($A18="","",IFERROR(SUMPRODUCT((Raw_Data_Daily!$B$2:$B$9999="Control")*(Raw_Data_Daily!$A$2:$A$9999=$A18)*(Raw_Data_Daily!$C$2:$C$9999=$C$3)*Raw_Data_Daily!$D$2:$D$9999*Raw_Data_Daily!$AA$2:$AA$9999)/SUMIFS(Raw_Data_Daily!$D:$D, Raw_Data_Daily!$B:$B, "Control", Raw_Data_Daily!$A:$A, $A18, Raw_Data_Daily!$C:$C, $C$3),""))</f>
        <v/>
      </c>
      <c r="BW18" s="240" t="str">
        <f>IF($A18="","",IFERROR(SUMPRODUCT((Raw_Data_Daily!$B$2:$B$9999="Variant")*(Raw_Data_Daily!$A$2:$A$9999=$A18)*(Raw_Data_Daily!$C$2:$C$9999=$C$3)*Raw_Data_Daily!$D$2:$D$9999*Raw_Data_Daily!$AA$2:$AA$9999)/SUMIFS(Raw_Data_Daily!$D:$D, Raw_Data_Daily!$B:$B, "Variant", Raw_Data_Daily!$A:$A, $A18, Raw_Data_Daily!$C:$C, $C$3),""))</f>
        <v/>
      </c>
      <c r="BX18" s="241" t="str">
        <f t="shared" si="25"/>
        <v/>
      </c>
      <c r="BY18" s="246" t="str">
        <f>IF($A18="","",IFERROR(SUMPRODUCT((Raw_Data_Daily!$B$2:$B$9999="Control")*(Raw_Data_Daily!$A$2:$A$9999=$A18)*(Raw_Data_Daily!$C$2:$C$9999=$C$3)*Raw_Data_Daily!$D$2:$D$9999*Raw_Data_Daily!$AB$2:$AB$9999)/SUMIFS(Raw_Data_Daily!$D:$D, Raw_Data_Daily!$B:$B, "Control", Raw_Data_Daily!$A:$A, $A18, Raw_Data_Daily!$C:$C, $C$3),""))</f>
        <v/>
      </c>
      <c r="BZ18" s="246" t="str">
        <f>IF($A18="","",IFERROR(SUMPRODUCT((Raw_Data_Daily!$B$2:$B$9999="Variant")*(Raw_Data_Daily!$A$2:$A$9999=$A18)*(Raw_Data_Daily!$C$2:$C$9999=$C$3)*Raw_Data_Daily!$D$2:$D$9999*Raw_Data_Daily!$AB$2:$AB$9999)/SUMIFS(Raw_Data_Daily!$D:$D, Raw_Data_Daily!$B:$B, "Variant", Raw_Data_Daily!$A:$A, $A18, Raw_Data_Daily!$C:$C, $C$3),""))</f>
        <v/>
      </c>
      <c r="CA18" s="244" t="str">
        <f t="shared" si="26"/>
        <v/>
      </c>
      <c r="CB18" s="246" t="str">
        <f>IF($A18="","",IFERROR(SUMPRODUCT((Raw_Data_Daily!$B$2:$B$9999="Control")*(Raw_Data_Daily!$A$2:$A$9999=$A18)*(Raw_Data_Daily!$C$2:$C$9999=$C$3)*Raw_Data_Daily!$D$2:$D$9999*Raw_Data_Daily!$AC$2:$AC$9999)/SUMIFS(Raw_Data_Daily!$D:$D, Raw_Data_Daily!$B:$B, "Control", Raw_Data_Daily!$A:$A, $A18, Raw_Data_Daily!$C:$C, $C$3),""))</f>
        <v/>
      </c>
      <c r="CC18" s="246" t="str">
        <f>IF($A18="","",IFERROR(SUMPRODUCT((Raw_Data_Daily!$B$2:$B$9999="Variant")*(Raw_Data_Daily!$A$2:$A$9999=$A18)*(Raw_Data_Daily!$C$2:$C$9999=$C$3)*Raw_Data_Daily!$D$2:$D$9999*Raw_Data_Daily!$AC$2:$AC$9999)/SUMIFS(Raw_Data_Daily!$D:$D, Raw_Data_Daily!$B:$B, "Variant", Raw_Data_Daily!$A:$A, $A18, Raw_Data_Daily!$C:$C, $C$3),""))</f>
        <v/>
      </c>
      <c r="CD18" s="244" t="str">
        <f t="shared" si="27"/>
        <v/>
      </c>
      <c r="CE18" s="246" t="str">
        <f>IF($A18="","",IFERROR(SUMPRODUCT((Raw_Data_Daily!$B$2:$B$9999="Control")*(Raw_Data_Daily!$A$2:$A$9999=$A18)*(Raw_Data_Daily!$C$2:$C$9999=$C$3)*Raw_Data_Daily!$D$2:$D$9999*Raw_Data_Daily!$AD$2:$AD$9999)/SUMIFS(Raw_Data_Daily!$D:$D, Raw_Data_Daily!$B:$B, "Control", Raw_Data_Daily!$A:$A, $A18, Raw_Data_Daily!$C:$C, $C$3),""))</f>
        <v/>
      </c>
      <c r="CF18" s="246" t="str">
        <f>IF($A18="","",IFERROR(SUMPRODUCT((Raw_Data_Daily!$B$2:$B$9999="Variant")*(Raw_Data_Daily!$A$2:$A$9999=$A18)*(Raw_Data_Daily!$C$2:$C$9999=$C$3)*Raw_Data_Daily!$D$2:$D$9999*Raw_Data_Daily!$AD$2:$AD$9999)/SUMIFS(Raw_Data_Daily!$D:$D, Raw_Data_Daily!$B:$B, "Variant", Raw_Data_Daily!$A:$A, $A18, Raw_Data_Daily!$C:$C, $C$3),""))</f>
        <v/>
      </c>
      <c r="CG18" s="244" t="str">
        <f t="shared" si="28"/>
        <v/>
      </c>
      <c r="CH18" s="246" t="str">
        <f>IF($A18="","",IFERROR(SUMPRODUCT((Raw_Data_Daily!$B$2:$B$9999="Control")*(Raw_Data_Daily!$A$2:$A$9999=$A18)*(Raw_Data_Daily!$C$2:$C$9999=$C$3)*Raw_Data_Daily!$D$2:$D$9999*Raw_Data_Daily!$AE$2:$AE$9999)/SUMIFS(Raw_Data_Daily!$D:$D, Raw_Data_Daily!$B:$B, "Control", Raw_Data_Daily!$A:$A, $A18, Raw_Data_Daily!$C:$C, $C$3),""))</f>
        <v/>
      </c>
      <c r="CI18" s="246" t="str">
        <f>IF($A18="","",IFERROR(SUMPRODUCT((Raw_Data_Daily!$B$2:$B$9999="Variant")*(Raw_Data_Daily!$A$2:$A$9999=$A18)*(Raw_Data_Daily!$C$2:$C$9999=$C$3)*Raw_Data_Daily!$D$2:$D$9999*Raw_Data_Daily!$AE$2:$AE$9999)/SUMIFS(Raw_Data_Daily!$D:$D, Raw_Data_Daily!$B:$B, "Variant", Raw_Data_Daily!$A:$A, $A18, Raw_Data_Daily!$C:$C, $C$3),""))</f>
        <v/>
      </c>
      <c r="CJ18" s="244" t="str">
        <f t="shared" si="29"/>
        <v/>
      </c>
      <c r="CK18" s="246" t="str">
        <f>IF($A18="","",IFERROR(SUMPRODUCT((Raw_Data_Daily!$B$2:$B$9999="Control")*(Raw_Data_Daily!$A$2:$A$9999=$A18)*(Raw_Data_Daily!$C$2:$C$9999=$C$3)*Raw_Data_Daily!$D$2:$D$9999*Raw_Data_Daily!$AF$2:$AF$9999)/SUMIFS(Raw_Data_Daily!$D:$D, Raw_Data_Daily!$B:$B, "Control", Raw_Data_Daily!$A:$A, $A18, Raw_Data_Daily!$C:$C, $C$3),""))</f>
        <v/>
      </c>
      <c r="CL18" s="246" t="str">
        <f>IF($A18="","",IFERROR(SUMPRODUCT((Raw_Data_Daily!$B$2:$B$9999="Variant")*(Raw_Data_Daily!$A$2:$A$9999=$A18)*(Raw_Data_Daily!$C$2:$C$9999=$C$3)*Raw_Data_Daily!$D$2:$D$9999*Raw_Data_Daily!$AF$2:$AF$9999)/SUMIFS(Raw_Data_Daily!$D:$D, Raw_Data_Daily!$B:$B, "Variant", Raw_Data_Daily!$A:$A, $A18, Raw_Data_Daily!$C:$C, $C$3),""))</f>
        <v/>
      </c>
      <c r="CM18" s="244" t="str">
        <f t="shared" si="30"/>
        <v/>
      </c>
      <c r="CN18" s="246" t="str">
        <f>IF($A18="","",IFERROR(SUMPRODUCT((Raw_Data_Daily!$B$2:$B$9999="Control")*(Raw_Data_Daily!$A$2:$A$9999=$A18)*(Raw_Data_Daily!$C$2:$C$9999=$C$3)*Raw_Data_Daily!$D$2:$D$9999*Raw_Data_Daily!$AG$2:$AG$9999)/SUMIFS(Raw_Data_Daily!$D:$D, Raw_Data_Daily!$B:$B, "Control", Raw_Data_Daily!$A:$A, $A18, Raw_Data_Daily!$C:$C, $C$3),""))</f>
        <v/>
      </c>
      <c r="CO18" s="246" t="str">
        <f>IF($A18="","",IFERROR(SUMPRODUCT((Raw_Data_Daily!$B$2:$B$9999="Variant")*(Raw_Data_Daily!$A$2:$A$9999=$A18)*(Raw_Data_Daily!$C$2:$C$9999=$C$3)*Raw_Data_Daily!$D$2:$D$9999*Raw_Data_Daily!$AG$2:$AG$9999)/SUMIFS(Raw_Data_Daily!$D:$D, Raw_Data_Daily!$B:$B, "Variant", Raw_Data_Daily!$A:$A, $A18, Raw_Data_Daily!$C:$C, $C$3),""))</f>
        <v/>
      </c>
      <c r="CP18" s="244" t="str">
        <f t="shared" si="31"/>
        <v/>
      </c>
      <c r="CQ18" s="246" t="str">
        <f>IF($A18="","",IFERROR(SUMPRODUCT((Raw_Data_Daily!$B$2:$B$9999="Control")*(Raw_Data_Daily!$A$2:$A$9999=$A18)*(Raw_Data_Daily!$C$2:$C$9999=$C$3)*Raw_Data_Daily!$D$2:$D$9999*Raw_Data_Daily!$AH$2:$AH$9999)/SUMIFS(Raw_Data_Daily!$D:$D, Raw_Data_Daily!$B:$B, "Control", Raw_Data_Daily!$A:$A, $A18, Raw_Data_Daily!$C:$C, $C$3),""))</f>
        <v/>
      </c>
      <c r="CR18" s="246" t="str">
        <f>IF($A18="","",IFERROR(SUMPRODUCT((Raw_Data_Daily!$B$2:$B$9999="Variant")*(Raw_Data_Daily!$A$2:$A$9999=$A18)*(Raw_Data_Daily!$C$2:$C$9999=$C$3)*Raw_Data_Daily!$D$2:$D$9999*Raw_Data_Daily!$AH$2:$AH$9999)/SUMIFS(Raw_Data_Daily!$D:$D, Raw_Data_Daily!$B:$B, "Variant", Raw_Data_Daily!$A:$A, $A18, Raw_Data_Daily!$C:$C, $C$3),""))</f>
        <v/>
      </c>
      <c r="CS18" s="244" t="str">
        <f t="shared" si="32"/>
        <v/>
      </c>
      <c r="CT18" s="242" t="str">
        <f>IF($A18="","",IFERROR(SUMPRODUCT((Raw_Data_Daily!$B$2:$B$9999="Control")*(Raw_Data_Daily!$A$2:$A$9999=$A18)*(Raw_Data_Daily!$C$2:$C$9999=$C$3)*Raw_Data_Daily!$D$2:$D$9999*Raw_Data_Daily!$AI$2:$AI$9999)/SUMIFS(Raw_Data_Daily!$D:$D, Raw_Data_Daily!$B:$B, "Control", Raw_Data_Daily!$A:$A, $A18, Raw_Data_Daily!$C:$C, $C$3),""))</f>
        <v/>
      </c>
      <c r="CU18" s="242" t="str">
        <f>IF($A18="","",IFERROR(SUMPRODUCT((Raw_Data_Daily!$B$2:$B$9999="Variant")*(Raw_Data_Daily!$A$2:$A$9999=$A18)*(Raw_Data_Daily!$C$2:$C$9999=$C$3)*Raw_Data_Daily!$D$2:$D$9999*Raw_Data_Daily!$AI$2:$AI$9999)/SUMIFS(Raw_Data_Daily!$D:$D, Raw_Data_Daily!$B:$B, "Variant", Raw_Data_Daily!$A:$A, $A18, Raw_Data_Daily!$C:$C, $C$3),""))</f>
        <v/>
      </c>
      <c r="CV18" s="249" t="str">
        <f t="shared" si="33"/>
        <v/>
      </c>
      <c r="CW18" s="242" t="str">
        <f>IF($A18="","",IFERROR(SUMPRODUCT((Raw_Data_Daily!$B$2:$B$9999="Control")*(Raw_Data_Daily!$A$2:$A$9999=$A18)*(Raw_Data_Daily!$C$2:$C$9999=$C$3)*Raw_Data_Daily!$D$2:$D$9999*Raw_Data_Daily!$AJ$2:$AJ$9999)/SUMIFS(Raw_Data_Daily!$D:$D, Raw_Data_Daily!$B:$B, "Control", Raw_Data_Daily!$A:$A, $A18, Raw_Data_Daily!$C:$C, $C$3),""))</f>
        <v/>
      </c>
      <c r="CX18" s="242" t="str">
        <f>IF($A18="","",IFERROR(SUMPRODUCT((Raw_Data_Daily!$B$2:$B$9999="Variant")*(Raw_Data_Daily!$A$2:$A$9999=$A18)*(Raw_Data_Daily!$C$2:$C$9999=$C$3)*Raw_Data_Daily!$D$2:$D$9999*Raw_Data_Daily!$AJ$2:$AJ$9999)/SUMIFS(Raw_Data_Daily!$D:$D, Raw_Data_Daily!$B:$B, "Variant", Raw_Data_Daily!$A:$A, $A18, Raw_Data_Daily!$C:$C, $C$3),""))</f>
        <v/>
      </c>
      <c r="CY18" s="249" t="str">
        <f t="shared" si="34"/>
        <v/>
      </c>
      <c r="CZ18" s="242" t="str">
        <f>IF($A18="","",IFERROR(SUMPRODUCT((Raw_Data_Daily!$B$2:$B$9999="Control")*(Raw_Data_Daily!$A$2:$A$9999=$A18)*(Raw_Data_Daily!$C$2:$C$9999=$C$3)*Raw_Data_Daily!$D$2:$D$9999*Raw_Data_Daily!$AK$2:$AK$9999)/SUMIFS(Raw_Data_Daily!$D:$D, Raw_Data_Daily!$B:$B, "Control", Raw_Data_Daily!$A:$A, $A18, Raw_Data_Daily!$C:$C, $C$3),""))</f>
        <v/>
      </c>
      <c r="DA18" s="242" t="str">
        <f>IF($A18="","",IFERROR(SUMPRODUCT((Raw_Data_Daily!$B$2:$B$9999="Variant")*(Raw_Data_Daily!$A$2:$A$9999=$A18)*(Raw_Data_Daily!$C$2:$C$9999=$C$3)*Raw_Data_Daily!$D$2:$D$9999*Raw_Data_Daily!$AK$2:$AK$9999)/SUMIFS(Raw_Data_Daily!$D:$D, Raw_Data_Daily!$B:$B, "Variant", Raw_Data_Daily!$A:$A, $A18, Raw_Data_Daily!$C:$C, $C$3),""))</f>
        <v/>
      </c>
      <c r="DB18" s="244" t="str">
        <f t="shared" si="35"/>
        <v/>
      </c>
      <c r="DC18" s="248" t="str">
        <f>IF($A18="","",IFERROR(SUMPRODUCT((Raw_Data_Daily!$B$2:$B$9999="Control")*(Raw_Data_Daily!$A$2:$A$9999=$A18)*(Raw_Data_Daily!$C$2:$C$9999=$C$3)*Raw_Data_Daily!$D$2:$D$9999*Raw_Data_Daily!$AL$2:$AL$9999)/SUMIFS(Raw_Data_Daily!$D:$D, Raw_Data_Daily!$B:$B, "Control", Raw_Data_Daily!$A:$A, $A18, Raw_Data_Daily!$C:$C, $C$3),""))</f>
        <v/>
      </c>
      <c r="DD18" s="248" t="str">
        <f>IF($A18="","",IFERROR(SUMPRODUCT((Raw_Data_Daily!$B$2:$B$9999="Variant")*(Raw_Data_Daily!$A$2:$A$9999=$A18)*(Raw_Data_Daily!$C$2:$C$9999=$C$3)*Raw_Data_Daily!$D$2:$D$9999*Raw_Data_Daily!$AL$2:$AL$9999)/SUMIFS(Raw_Data_Daily!$D:$D, Raw_Data_Daily!$B:$B, "Variant", Raw_Data_Daily!$A:$A, $A18, Raw_Data_Daily!$C:$C, $C$3),""))</f>
        <v/>
      </c>
      <c r="DE18" s="249" t="str">
        <f t="shared" si="36"/>
        <v/>
      </c>
      <c r="DF18" s="255"/>
      <c r="DG18" s="242" t="str">
        <f>IF($A18="","",IFERROR(SUMPRODUCT((Raw_Data_Daily!$B$2:$B$9999="Variant")*(Raw_Data_Daily!$A$2:$A$9999=$A18)*(Raw_Data_Daily!$C$2:$C$9999=$C$3)*Raw_Data_Daily!$D$2:$D$9999*Raw_Data_Daily!$AM$2:$AM$9999)/SUMIFS(Raw_Data_Daily!$D:$D, Raw_Data_Daily!$B:$B, "Variant", Raw_Data_Daily!$A:$A, $A18, Raw_Data_Daily!$C:$C, $C$3),""))</f>
        <v/>
      </c>
      <c r="DH18" s="256"/>
      <c r="DI18" s="255"/>
      <c r="DJ18" s="242" t="str">
        <f>IF($A18="","",IFERROR(SUMPRODUCT((Raw_Data_Daily!$B$2:$B$9999="Variant")*(Raw_Data_Daily!$A$2:$A$9999=$A18)*(Raw_Data_Daily!$C$2:$C$9999=$C$3)*Raw_Data_Daily!$D$2:$D$9999*Raw_Data_Daily!$AN$2:$AN$9999)/SUMIFS(Raw_Data_Daily!$D:$D, Raw_Data_Daily!$B:$B, "Variant", Raw_Data_Daily!$A:$A, $A18, Raw_Data_Daily!$C:$C, $C$3),""))</f>
        <v/>
      </c>
      <c r="DK18" s="256"/>
      <c r="DL18" s="255"/>
      <c r="DM18" s="242" t="str">
        <f>IF($A18="","",IFERROR(SUMPRODUCT((Raw_Data_Daily!$B$2:$B$9999="Variant")*(Raw_Data_Daily!$A$2:$A$9999=$A18)*(Raw_Data_Daily!$C$2:$C$9999=$C$3)*Raw_Data_Daily!$D$2:$D$9999*Raw_Data_Daily!$AO$2:$AO$9999)/SUMIFS(Raw_Data_Daily!$D:$D, Raw_Data_Daily!$B:$B, "Variant", Raw_Data_Daily!$A:$A, $A18, Raw_Data_Daily!$C:$C, $C$3),""))</f>
        <v/>
      </c>
      <c r="DN18" s="256"/>
      <c r="DO18" s="255"/>
      <c r="DP18" s="242" t="str">
        <f>IF($A18="","",IFERROR(SUMPRODUCT((Raw_Data_Daily!$B$2:$B$9999="Variant")*(Raw_Data_Daily!$A$2:$A$9999=$A18)*(Raw_Data_Daily!$C$2:$C$9999=$C$3)*Raw_Data_Daily!$D$2:$D$9999*Raw_Data_Daily!$AP$2:$AP$9999)/SUMIFS(Raw_Data_Daily!$D:$D, Raw_Data_Daily!$B:$B, "Variant", Raw_Data_Daily!$A:$A, $A18, Raw_Data_Daily!$C:$C, $C$3),""))</f>
        <v/>
      </c>
      <c r="DQ18" s="256"/>
      <c r="DR18" s="248" t="str">
        <f>IF($A18="","",IFERROR(SUMPRODUCT((Raw_Data_Daily!$B$2:$B$9999="Control")*(Raw_Data_Daily!$A$2:$A$9999=$A18)*(Raw_Data_Daily!$C$2:$C$9999=$C$3)*Raw_Data_Daily!$D$2:$D$9999*Raw_Data_Daily!$AQ$2:$AQ$9999)/SUMIFS(Raw_Data_Daily!$D:$D, Raw_Data_Daily!$B:$B, "Control", Raw_Data_Daily!$A:$A, $A18, Raw_Data_Daily!$C:$C, $C$3),""))</f>
        <v/>
      </c>
      <c r="DS18" s="248" t="str">
        <f>IF($A18="","",IFERROR(SUMPRODUCT((Raw_Data_Daily!$B$2:$B$9999="Variant")*(Raw_Data_Daily!$A$2:$A$9999=$A18)*(Raw_Data_Daily!$C$2:$C$9999=$C$3)*Raw_Data_Daily!$D$2:$D$9999*Raw_Data_Daily!$AQ$2:$AQ$9999)/SUMIFS(Raw_Data_Daily!$D:$D, Raw_Data_Daily!$B:$B, "Variant", Raw_Data_Daily!$A:$A, $A18, Raw_Data_Daily!$C:$C, $C$3),""))</f>
        <v/>
      </c>
      <c r="DT18" s="257" t="str">
        <f t="shared" si="37"/>
        <v/>
      </c>
      <c r="DU18" s="248" t="str">
        <f>IF($A18="","",IFERROR(SUMPRODUCT((Raw_Data_Daily!$B$2:$B$9999="Control")*(Raw_Data_Daily!$A$2:$A$9999=$A18)*(Raw_Data_Daily!$C$2:$C$9999=$C$3)*Raw_Data_Daily!$D$2:$D$9999*Raw_Data_Daily!$AR$2:$AR$9999)/SUMIFS(Raw_Data_Daily!$D:$D, Raw_Data_Daily!$B:$B, "Control", Raw_Data_Daily!$A:$A, $A18, Raw_Data_Daily!$C:$C, $C$3),""))</f>
        <v/>
      </c>
      <c r="DV18" s="248" t="str">
        <f>IF($A18="","",IFERROR(SUMPRODUCT((Raw_Data_Daily!$B$2:$B$9999="Variant")*(Raw_Data_Daily!$A$2:$A$9999=$A18)*(Raw_Data_Daily!$C$2:$C$9999=$C$3)*Raw_Data_Daily!$D$2:$D$9999*Raw_Data_Daily!$AR$2:$AR$9999)/SUMIFS(Raw_Data_Daily!$D:$D, Raw_Data_Daily!$B:$B, "Variant", Raw_Data_Daily!$A:$A, $A18, Raw_Data_Daily!$C:$C, $C$3),""))</f>
        <v/>
      </c>
      <c r="DW18" s="257" t="str">
        <f t="shared" si="38"/>
        <v/>
      </c>
      <c r="DX18" s="248" t="str">
        <f>IF($A18="","",IFERROR(SUMPRODUCT((Raw_Data_Daily!$B$2:$B$9999="Control")*(Raw_Data_Daily!$A$2:$A$9999=$A18)*(Raw_Data_Daily!$C$2:$C$9999=$C$3)*Raw_Data_Daily!$D$2:$D$9999*Raw_Data_Daily!$AS$2:$AS$9999)/SUMIFS(Raw_Data_Daily!$D:$D, Raw_Data_Daily!$B:$B, "Control", Raw_Data_Daily!$A:$A, $A18, Raw_Data_Daily!$C:$C, $C$3),""))</f>
        <v/>
      </c>
      <c r="DY18" s="248" t="str">
        <f>IF($A18="","",IFERROR(SUMPRODUCT((Raw_Data_Daily!$B$2:$B$9999="Variant")*(Raw_Data_Daily!$A$2:$A$9999=$A18)*(Raw_Data_Daily!$C$2:$C$9999=$C$3)*Raw_Data_Daily!$D$2:$D$9999*Raw_Data_Daily!$AS$2:$AS$9999)/SUMIFS(Raw_Data_Daily!$D:$D, Raw_Data_Daily!$B:$B, "Variant", Raw_Data_Daily!$A:$A, $A18, Raw_Data_Daily!$C:$C, $C$3),""))</f>
        <v/>
      </c>
      <c r="DZ18" s="257" t="str">
        <f t="shared" si="39"/>
        <v/>
      </c>
      <c r="EA18" s="248" t="str">
        <f>IF($A18="","",IFERROR(SUMPRODUCT((Raw_Data_Daily!$B$2:$B$9999="Control")*(Raw_Data_Daily!$A$2:$A$9999=$A18)*(Raw_Data_Daily!$C$2:$C$9999=$C$3)*Raw_Data_Daily!$D$2:$D$9999*Raw_Data_Daily!$AT$2:$AT$9999)/SUMIFS(Raw_Data_Daily!$D:$D, Raw_Data_Daily!$B:$B, "Control", Raw_Data_Daily!$A:$A, $A18, Raw_Data_Daily!$C:$C, $C$3),""))</f>
        <v/>
      </c>
      <c r="EB18" s="248" t="str">
        <f>IF($A18="","",IFERROR(SUMPRODUCT((Raw_Data_Daily!$B$2:$B$9999="Variant")*(Raw_Data_Daily!$A$2:$A$9999=$A18)*(Raw_Data_Daily!$C$2:$C$9999=$C$3)*Raw_Data_Daily!$D$2:$D$9999*Raw_Data_Daily!$AT$2:$AT$9999)/SUMIFS(Raw_Data_Daily!$D:$D, Raw_Data_Daily!$B:$B, "Variant", Raw_Data_Daily!$A:$A, $A18, Raw_Data_Daily!$C:$C, $C$3),""))</f>
        <v/>
      </c>
      <c r="EC18" s="257" t="str">
        <f t="shared" si="40"/>
        <v/>
      </c>
      <c r="ED18" s="248" t="str">
        <f>IF($A18="","",IFERROR(SUMPRODUCT((Raw_Data_Daily!$B$2:$B$9999="Control")*(Raw_Data_Daily!$A$2:$A$9999=$A18)*(Raw_Data_Daily!$C$2:$C$9999=$C$3)*Raw_Data_Daily!$D$2:$D$9999*(Raw_Data_Daily!$AQ$2:$AQ$9999-Raw_Data_Daily!$AT$2:$AT$9999))/SUMIFS(Raw_Data_Daily!$D:$D, Raw_Data_Daily!$B:$B, "Control", Raw_Data_Daily!$A:$A, $A18, Raw_Data_Daily!$C:$C, $C$3),""))</f>
        <v/>
      </c>
      <c r="EE18" s="248" t="str">
        <f>IF($A18="","",IFERROR(SUMPRODUCT((Raw_Data_Daily!$B$2:$B$9999="Variant")*(Raw_Data_Daily!$A$2:$A$9999=$A18)*(Raw_Data_Daily!$C$2:$C$9999=$C$3)*Raw_Data_Daily!$D$2:$D$9999*(Raw_Data_Daily!$AQ$2:$AQ$9999-Raw_Data_Daily!$AT$2:$AT$9999))/SUMIFS(Raw_Data_Daily!$D:$D, Raw_Data_Daily!$B:$B, "Variant", Raw_Data_Daily!$A:$A, $A18, Raw_Data_Daily!$C:$C, $C$3),""))</f>
        <v/>
      </c>
      <c r="EF18" s="257" t="str">
        <f t="shared" si="41"/>
        <v/>
      </c>
      <c r="EG18" s="248" t="str">
        <f>IF($A18="","",IFERROR(SUMPRODUCT((Raw_Data_Daily!$B$2:$B$9999="Control")*(Raw_Data_Daily!$A$2:$A$9999=$A18)*(Raw_Data_Daily!$C$2:$C$9999=$C$3)*Raw_Data_Daily!$D$2:$D$9999*Raw_Data_Daily!$AU$2:$AU$9999)/SUMIFS(Raw_Data_Daily!$D:$D, Raw_Data_Daily!$B:$B, "Control", Raw_Data_Daily!$A:$A, $A18, Raw_Data_Daily!$C:$C, $C$3),""))</f>
        <v/>
      </c>
      <c r="EH18" s="248" t="str">
        <f>IF($A18="","",IFERROR(SUMPRODUCT((Raw_Data_Daily!$B$2:$B$9999="Variant")*(Raw_Data_Daily!$A$2:$A$9999=$A18)*(Raw_Data_Daily!$C$2:$C$9999=$C$3)*Raw_Data_Daily!$D$2:$D$9999*Raw_Data_Daily!$AU$2:$AU$9999)/SUMIFS(Raw_Data_Daily!$D:$D, Raw_Data_Daily!$B:$B, "Variant", Raw_Data_Daily!$A:$A, $A18, Raw_Data_Daily!$C:$C, $C$3),""))</f>
        <v/>
      </c>
      <c r="EI18" s="257" t="str">
        <f t="shared" si="42"/>
        <v/>
      </c>
    </row>
    <row r="19" ht="15.75" customHeight="1">
      <c r="A19" s="239">
        <v>46242.0</v>
      </c>
      <c r="B19" s="240">
        <f>IF($A19="","",SUMIFS(Raw_Data_Daily!$D:$D, Raw_Data_Daily!$B:$B, "Control", Raw_Data_Daily!$A:$A, $A19, Raw_Data_Daily!$C:$C, $C$3))</f>
        <v>0</v>
      </c>
      <c r="C19" s="240">
        <f>IF($A19="","",SUMIFS(Raw_Data_Daily!$D:$D, Raw_Data_Daily!$B:$B, "Variant", Raw_Data_Daily!$A:$A, $A19, Raw_Data_Daily!$C:$C, $C$3))</f>
        <v>0</v>
      </c>
      <c r="D19" s="241" t="str">
        <f t="shared" si="1"/>
        <v/>
      </c>
      <c r="E19" s="242" t="str">
        <f>IF($A19="","",IFERROR(SUMPRODUCT((Raw_Data_Daily!$B$2:$B$9999="Control")*(Raw_Data_Daily!$A$2:$A$9999=$A19)*(Raw_Data_Daily!$C$2:$C$9999=$C$3)*Raw_Data_Daily!$D$2:$D$9999*Raw_Data_Daily!$E$2:$E$9999)/SUMIFS(Raw_Data_Daily!$D:$D, Raw_Data_Daily!$B:$B, "Control", Raw_Data_Daily!$A:$A, $A19, Raw_Data_Daily!$C:$C, $C$3),""))</f>
        <v/>
      </c>
      <c r="F19" s="242" t="str">
        <f>IF($A19="","",IFERROR(SUMPRODUCT((Raw_Data_Daily!$B$2:$B$9999="Variant")*(Raw_Data_Daily!$A$2:$A$9999=$A19)*(Raw_Data_Daily!$C$2:$C$9999=$C$3)*Raw_Data_Daily!$D$2:$D$9999*Raw_Data_Daily!$E$2:$E$9999)/SUMIFS(Raw_Data_Daily!$D:$D, Raw_Data_Daily!$B:$B, "Variant", Raw_Data_Daily!$A:$A, $A19, Raw_Data_Daily!$C:$C, $C$3),""))</f>
        <v/>
      </c>
      <c r="G19" s="241" t="str">
        <f t="shared" si="2"/>
        <v/>
      </c>
      <c r="H19" s="243">
        <f>IF($A19="","",SUMIFS(Raw_Data_Daily!$F:$F, Raw_Data_Daily!$B:$B, "Control", Raw_Data_Daily!$A:$A, $A19, Raw_Data_Daily!$C:$C, $C$3))</f>
        <v>0</v>
      </c>
      <c r="I19" s="243">
        <f>IF($A19="","",SUMIFS(Raw_Data_Daily!$F:$F, Raw_Data_Daily!$B:$B, "Variant", Raw_Data_Daily!$A:$A, $A19, Raw_Data_Daily!$C:$C, $C$3))</f>
        <v>0</v>
      </c>
      <c r="J19" s="244" t="str">
        <f t="shared" si="3"/>
        <v/>
      </c>
      <c r="K19" s="245" t="str">
        <f>IF($A19="","",IFERROR(SUMIFS(Raw_Data_Daily!$F:$F, Raw_Data_Daily!$B:$B, "Control", Raw_Data_Daily!$A:$A, $A19, Raw_Data_Daily!$C:$C, $C$3)/SUMIFS(Raw_Data_Daily!$D:$D, Raw_Data_Daily!$B:$B, "Control", Raw_Data_Daily!$A:$A, $A19, Raw_Data_Daily!$C:$C, $C$3),""))</f>
        <v/>
      </c>
      <c r="L19" s="245" t="str">
        <f>IF($A19="","",IFERROR(SUMIFS(Raw_Data_Daily!$F:$F, Raw_Data_Daily!$B:$B, "Variant", Raw_Data_Daily!$A:$A, $A19, Raw_Data_Daily!$C:$C, $C$3)/SUMIFS(Raw_Data_Daily!$D:$D, Raw_Data_Daily!$B:$B, "Variant", Raw_Data_Daily!$A:$A, $A19, Raw_Data_Daily!$C:$C, $C$3),""))</f>
        <v/>
      </c>
      <c r="M19" s="244" t="str">
        <f t="shared" si="4"/>
        <v/>
      </c>
      <c r="N19" s="242" t="str">
        <f>IF($A19="","",IFERROR(SUMPRODUCT((Raw_Data_Daily!$B$2:$B$9999="Control")*(Raw_Data_Daily!$A$2:$A$9999=$A19)*(Raw_Data_Daily!$C$2:$C$9999=$C$3)*Raw_Data_Daily!$D$2:$D$9999*Raw_Data_Daily!$H$2:$H$9999/100)/SUMIFS(Raw_Data_Daily!$D:$D, Raw_Data_Daily!$B:$B, "Control", Raw_Data_Daily!$A:$A, $A19, Raw_Data_Daily!$C:$C, $C$3)*100,""))</f>
        <v/>
      </c>
      <c r="O19" s="242" t="str">
        <f>IF($A19="","",IFERROR(SUMPRODUCT((Raw_Data_Daily!$B$2:$B$9999="Variant")*(Raw_Data_Daily!$A$2:$A$9999=$A19)*(Raw_Data_Daily!$C$2:$C$9999=$C$3)*Raw_Data_Daily!$D$2:$D$9999*Raw_Data_Daily!$H$2:$H$9999/100)/SUMIFS(Raw_Data_Daily!$D:$D, Raw_Data_Daily!$B:$B, "Variant", Raw_Data_Daily!$A:$A, $A19, Raw_Data_Daily!$C:$C, $C$3)*100,""))</f>
        <v/>
      </c>
      <c r="P19" s="244" t="str">
        <f t="shared" si="5"/>
        <v/>
      </c>
      <c r="Q19" s="245" t="str">
        <f>IF($A19="","",IFERROR(SUMIFS(Raw_Data_Daily!$F:$F, Raw_Data_Daily!$B:$B, "Control", Raw_Data_Daily!$A:$A, $A19, Raw_Data_Daily!$C:$C, $C$3)/SUMPRODUCT((Raw_Data_Daily!$B$2:$B$9999="Control")*(Raw_Data_Daily!$A$2:$A$9999=$A19)*(Raw_Data_Daily!$C$2:$C$9999=$C$3)*Raw_Data_Daily!$D$2:$D$9999*Raw_Data_Daily!$H$2:$H$9999/100),""))</f>
        <v/>
      </c>
      <c r="R19" s="245" t="str">
        <f>IF($A19="","",IFERROR(SUMIFS(Raw_Data_Daily!$F:$F, Raw_Data_Daily!$B:$B, "Variant", Raw_Data_Daily!$A:$A, $A19, Raw_Data_Daily!$C:$C, $C$3)/SUMPRODUCT((Raw_Data_Daily!$B$2:$B$9999="Variant")*(Raw_Data_Daily!$A$2:$A$9999=$A19)*(Raw_Data_Daily!$C$2:$C$9999=$C$3)*Raw_Data_Daily!$D$2:$D$9999*Raw_Data_Daily!$H$2:$H$9999/100),""))</f>
        <v/>
      </c>
      <c r="S19" s="244" t="str">
        <f t="shared" si="6"/>
        <v/>
      </c>
      <c r="T19" s="246" t="str">
        <f>IF($A19="","",IFERROR(SUMPRODUCT((Raw_Data_Daily!$B$2:$B$9999="Control")*(Raw_Data_Daily!$A$2:$A$9999=$A19)*(Raw_Data_Daily!$C$2:$C$9999=$C$3)*Raw_Data_Daily!$D$2:$D$9999*Raw_Data_Daily!$J$2:$J$9999)/SUMIFS(Raw_Data_Daily!$D:$D, Raw_Data_Daily!$B:$B, "Control", Raw_Data_Daily!$A:$A, $A19, Raw_Data_Daily!$C:$C, $C$3),""))</f>
        <v/>
      </c>
      <c r="U19" s="246" t="str">
        <f>IF($A19="","",IFERROR(SUMPRODUCT((Raw_Data_Daily!$B$2:$B$9999="Variant")*(Raw_Data_Daily!$A$2:$A$9999=$A19)*(Raw_Data_Daily!$C$2:$C$9999=$C$3)*Raw_Data_Daily!$D$2:$D$9999*Raw_Data_Daily!$J$2:$J$9999)/SUMIFS(Raw_Data_Daily!$D:$D, Raw_Data_Daily!$B:$B, "Variant", Raw_Data_Daily!$A:$A, $A19, Raw_Data_Daily!$C:$C, $C$3),""))</f>
        <v/>
      </c>
      <c r="V19" s="244" t="str">
        <f t="shared" si="7"/>
        <v/>
      </c>
      <c r="W19" s="246" t="str">
        <f>IF($A19="","",IFERROR(SUMPRODUCT((Raw_Data_Daily!$B$2:$B$9999="Control")*(Raw_Data_Daily!$A$2:$A$9999=$A19)*(Raw_Data_Daily!$C$2:$C$9999=$C$3)*Raw_Data_Daily!$D$2:$D$9999*Raw_Data_Daily!$K$2:$K$9999)/SUMIFS(Raw_Data_Daily!$D:$D, Raw_Data_Daily!$B:$B, "Control", Raw_Data_Daily!$A:$A, $A19, Raw_Data_Daily!$C:$C, $C$3),""))</f>
        <v/>
      </c>
      <c r="X19" s="246" t="str">
        <f>IF($A19="","",IFERROR(SUMPRODUCT((Raw_Data_Daily!$B$2:$B$9999="Variant")*(Raw_Data_Daily!$A$2:$A$9999=$A19)*(Raw_Data_Daily!$C$2:$C$9999=$C$3)*Raw_Data_Daily!$D$2:$D$9999*Raw_Data_Daily!$K$2:$K$9999)/SUMIFS(Raw_Data_Daily!$D:$D, Raw_Data_Daily!$B:$B, "Variant", Raw_Data_Daily!$A:$A, $A19, Raw_Data_Daily!$C:$C, $C$3),""))</f>
        <v/>
      </c>
      <c r="Y19" s="244" t="str">
        <f t="shared" si="8"/>
        <v/>
      </c>
      <c r="Z19" s="246" t="str">
        <f>IF($A19="","",IFERROR(SUMPRODUCT((Raw_Data_Daily!$B$2:$B$9999="Control")*(Raw_Data_Daily!$A$2:$A$9999=$A19)*(Raw_Data_Daily!$C$2:$C$9999=$C$3)*Raw_Data_Daily!$D$2:$D$9999*Raw_Data_Daily!$L$2:$L$9999)/SUMIFS(Raw_Data_Daily!$D:$D, Raw_Data_Daily!$B:$B, "Control", Raw_Data_Daily!$A:$A, $A19, Raw_Data_Daily!$C:$C, $C$3),""))</f>
        <v/>
      </c>
      <c r="AA19" s="246" t="str">
        <f>IF($A19="","",IFERROR(SUMPRODUCT((Raw_Data_Daily!$B$2:$B$9999="Variant")*(Raw_Data_Daily!$A$2:$A$9999=$A19)*(Raw_Data_Daily!$C$2:$C$9999=$C$3)*Raw_Data_Daily!$D$2:$D$9999*Raw_Data_Daily!$L$2:$L$9999)/SUMIFS(Raw_Data_Daily!$D:$D, Raw_Data_Daily!$B:$B, "Variant", Raw_Data_Daily!$A:$A, $A19, Raw_Data_Daily!$C:$C, $C$3),""))</f>
        <v/>
      </c>
      <c r="AB19" s="244" t="str">
        <f t="shared" si="9"/>
        <v/>
      </c>
      <c r="AC19" s="248" t="str">
        <f>IF($A19="","",IFERROR(SUMPRODUCT((Raw_Data_Daily!$B$2:$B$9999="Control")*(Raw_Data_Daily!$A$2:$A$9999=$A19)*(Raw_Data_Daily!$C$2:$C$9999=$C$3)*Raw_Data_Daily!$D$2:$D$9999*Raw_Data_Daily!$M$2:$M$9999)/SUMIFS(Raw_Data_Daily!$D:$D, Raw_Data_Daily!$B:$B, "Control", Raw_Data_Daily!$A:$A, $A19, Raw_Data_Daily!$C:$C, $C$3),""))</f>
        <v/>
      </c>
      <c r="AD19" s="248" t="str">
        <f>IF($A19="","",IFERROR(SUMPRODUCT((Raw_Data_Daily!$B$2:$B$9999="Variant")*(Raw_Data_Daily!$A$2:$A$9999=$A19)*(Raw_Data_Daily!$C$2:$C$9999=$C$3)*Raw_Data_Daily!$D$2:$D$9999*Raw_Data_Daily!$M$2:$M$9999)/SUMIFS(Raw_Data_Daily!$D:$D, Raw_Data_Daily!$B:$B, "Variant", Raw_Data_Daily!$A:$A, $A19, Raw_Data_Daily!$C:$C, $C$3),""))</f>
        <v/>
      </c>
      <c r="AE19" s="249" t="str">
        <f t="shared" si="10"/>
        <v/>
      </c>
      <c r="AF19" s="248" t="str">
        <f>IF($A19="","",IFERROR(SUMPRODUCT((Raw_Data_Daily!$B$2:$B$9999="Control")*(Raw_Data_Daily!$A$2:$A$9999=$A19)*(Raw_Data_Daily!$C$2:$C$9999=$C$3)*Raw_Data_Daily!$D$2:$D$9999*Raw_Data_Daily!$N$2:$N$9999)/SUMIFS(Raw_Data_Daily!$D:$D, Raw_Data_Daily!$B:$B, "Control", Raw_Data_Daily!$A:$A, $A19, Raw_Data_Daily!$C:$C, $C$3),""))</f>
        <v/>
      </c>
      <c r="AG19" s="248" t="str">
        <f>IF($A19="","",IFERROR(SUMPRODUCT((Raw_Data_Daily!$B$2:$B$9999="Variant")*(Raw_Data_Daily!$A$2:$A$9999=$A19)*(Raw_Data_Daily!$C$2:$C$9999=$C$3)*Raw_Data_Daily!$D$2:$D$9999*Raw_Data_Daily!$N$2:$N$9999)/SUMIFS(Raw_Data_Daily!$D:$D, Raw_Data_Daily!$B:$B, "Variant", Raw_Data_Daily!$A:$A, $A19, Raw_Data_Daily!$C:$C, $C$3),""))</f>
        <v/>
      </c>
      <c r="AH19" s="249" t="str">
        <f t="shared" si="11"/>
        <v/>
      </c>
      <c r="AI19" s="248" t="str">
        <f>IF($A19="","",IFERROR(SUMPRODUCT((Raw_Data_Daily!$B$2:$B$9999="Control")*(Raw_Data_Daily!$A$2:$A$9999=$A19)*(Raw_Data_Daily!$C$2:$C$9999=$C$3)*Raw_Data_Daily!$D$2:$D$9999*Raw_Data_Daily!$O$2:$O$9999)/SUMIFS(Raw_Data_Daily!$D:$D, Raw_Data_Daily!$B:$B, "Control", Raw_Data_Daily!$A:$A, $A19, Raw_Data_Daily!$C:$C, $C$3),""))</f>
        <v/>
      </c>
      <c r="AJ19" s="248" t="str">
        <f>IF($A19="","",IFERROR(SUMPRODUCT((Raw_Data_Daily!$B$2:$B$9999="Variant")*(Raw_Data_Daily!$A$2:$A$9999=$A19)*(Raw_Data_Daily!$C$2:$C$9999=$C$3)*Raw_Data_Daily!$D$2:$D$9999*Raw_Data_Daily!$O$2:$O$9999)/SUMIFS(Raw_Data_Daily!$D:$D, Raw_Data_Daily!$B:$B, "Variant", Raw_Data_Daily!$A:$A, $A19, Raw_Data_Daily!$C:$C, $C$3),""))</f>
        <v/>
      </c>
      <c r="AK19" s="244" t="str">
        <f t="shared" si="12"/>
        <v/>
      </c>
      <c r="AL19" s="246" t="str">
        <f>IF($A19="","",IFERROR(SUMPRODUCT((Raw_Data_Daily!$B$2:$B$9999="Control")*(Raw_Data_Daily!$A$2:$A$9999=$A19)*(Raw_Data_Daily!$C$2:$C$9999=$C$3)*Raw_Data_Daily!$D$2:$D$9999*Raw_Data_Daily!$P$2:$P$9999)/SUMIFS(Raw_Data_Daily!$D:$D, Raw_Data_Daily!$B:$B, "Control", Raw_Data_Daily!$A:$A, $A19, Raw_Data_Daily!$C:$C, $C$3),""))</f>
        <v/>
      </c>
      <c r="AM19" s="246" t="str">
        <f>IF($A19="","",IFERROR(SUMPRODUCT((Raw_Data_Daily!$B$2:$B$9999="Variant")*(Raw_Data_Daily!$A$2:$A$9999=$A19)*(Raw_Data_Daily!$C$2:$C$9999=$C$3)*Raw_Data_Daily!$D$2:$D$9999*Raw_Data_Daily!$P$2:$P$9999)/SUMIFS(Raw_Data_Daily!$D:$D, Raw_Data_Daily!$B:$B, "Variant", Raw_Data_Daily!$A:$A, $A19, Raw_Data_Daily!$C:$C, $C$3),""))</f>
        <v/>
      </c>
      <c r="AN19" s="244" t="str">
        <f t="shared" si="13"/>
        <v/>
      </c>
      <c r="AO19" s="246" t="str">
        <f>IF($A19="","",IFERROR(SUMPRODUCT((Raw_Data_Daily!$B$2:$B$9999="Control")*(Raw_Data_Daily!$A$2:$A$9999=$A19)*(Raw_Data_Daily!$C$2:$C$9999=$C$3)*Raw_Data_Daily!$D$2:$D$9999*Raw_Data_Daily!$Q$2:$Q$9999)/SUMIFS(Raw_Data_Daily!$D:$D, Raw_Data_Daily!$B:$B, "Control", Raw_Data_Daily!$A:$A, $A19, Raw_Data_Daily!$C:$C, $C$3),""))</f>
        <v/>
      </c>
      <c r="AP19" s="246" t="str">
        <f>IF($A19="","",IFERROR(SUMPRODUCT((Raw_Data_Daily!$B$2:$B$9999="Variant")*(Raw_Data_Daily!$A$2:$A$9999=$A19)*(Raw_Data_Daily!$C$2:$C$9999=$C$3)*Raw_Data_Daily!$D$2:$D$9999*Raw_Data_Daily!$Q$2:$Q$9999)/SUMIFS(Raw_Data_Daily!$D:$D, Raw_Data_Daily!$B:$B, "Variant", Raw_Data_Daily!$A:$A, $A19, Raw_Data_Daily!$C:$C, $C$3),""))</f>
        <v/>
      </c>
      <c r="AQ19" s="241" t="str">
        <f t="shared" si="14"/>
        <v/>
      </c>
      <c r="AR19" s="246" t="str">
        <f>IF($A19="","",IFERROR(SUMPRODUCT((Raw_Data_Daily!$B$2:$B$9999="Control")*(Raw_Data_Daily!$A$2:$A$9999=$A19)*(Raw_Data_Daily!$C$2:$C$9999=$C$3)*Raw_Data_Daily!$D$2:$D$9999*Raw_Data_Daily!$R$2:$R$9999)/SUMIFS(Raw_Data_Daily!$D:$D, Raw_Data_Daily!$B:$B, "Control", Raw_Data_Daily!$A:$A, $A19, Raw_Data_Daily!$C:$C, $C$3),""))</f>
        <v/>
      </c>
      <c r="AS19" s="246" t="str">
        <f>IF($A19="","",IFERROR(SUMPRODUCT((Raw_Data_Daily!$B$2:$B$9999="Variant")*(Raw_Data_Daily!$A$2:$A$9999=$A19)*(Raw_Data_Daily!$C$2:$C$9999=$C$3)*Raw_Data_Daily!$D$2:$D$9999*Raw_Data_Daily!$R$2:$R$9999)/SUMIFS(Raw_Data_Daily!$D:$D, Raw_Data_Daily!$B:$B, "Variant", Raw_Data_Daily!$A:$A, $A19, Raw_Data_Daily!$C:$C, $C$3),""))</f>
        <v/>
      </c>
      <c r="AT19" s="241" t="str">
        <f t="shared" si="15"/>
        <v/>
      </c>
      <c r="AU19" s="246" t="str">
        <f>IF($A19="","",IFERROR(SUMPRODUCT((Raw_Data_Daily!$B$2:$B$9999="Control")*(Raw_Data_Daily!$A$2:$A$9999=$A19)*(Raw_Data_Daily!$C$2:$C$9999=$C$3)*Raw_Data_Daily!$D$2:$D$9999*Raw_Data_Daily!$S$2:$S$9999)/SUMIFS(Raw_Data_Daily!$D:$D, Raw_Data_Daily!$B:$B, "Control", Raw_Data_Daily!$A:$A, $A19, Raw_Data_Daily!$C:$C, $C$3),""))</f>
        <v/>
      </c>
      <c r="AV19" s="246" t="str">
        <f>IF($A19="","",IFERROR(SUMPRODUCT((Raw_Data_Daily!$B$2:$B$9999="Variant")*(Raw_Data_Daily!$A$2:$A$9999=$A19)*(Raw_Data_Daily!$C$2:$C$9999=$C$3)*Raw_Data_Daily!$D$2:$D$9999*Raw_Data_Daily!$S$2:$S$9999)/SUMIFS(Raw_Data_Daily!$D:$D, Raw_Data_Daily!$B:$B, "Variant", Raw_Data_Daily!$A:$A, $A19, Raw_Data_Daily!$C:$C, $C$3),""))</f>
        <v/>
      </c>
      <c r="AW19" s="241" t="str">
        <f t="shared" si="16"/>
        <v/>
      </c>
      <c r="AX19" s="246" t="str">
        <f>IF($A19="","",IFERROR(SUMPRODUCT((Raw_Data_Daily!$B$2:$B$9999="Control")*(Raw_Data_Daily!$A$2:$A$9999=$A19)*(Raw_Data_Daily!$C$2:$C$9999=$C$3)*Raw_Data_Daily!$D$2:$D$9999*Raw_Data_Daily!$T$2:$T$9999)/SUMIFS(Raw_Data_Daily!$D:$D, Raw_Data_Daily!$B:$B, "Control", Raw_Data_Daily!$A:$A, $A19, Raw_Data_Daily!$C:$C, $C$3),""))</f>
        <v/>
      </c>
      <c r="AY19" s="246" t="str">
        <f>IF($A19="","",IFERROR(SUMPRODUCT((Raw_Data_Daily!$B$2:$B$9999="Variant")*(Raw_Data_Daily!$A$2:$A$9999=$A19)*(Raw_Data_Daily!$C$2:$C$9999=$C$3)*Raw_Data_Daily!$D$2:$D$9999*Raw_Data_Daily!$T$2:$T$9999)/SUMIFS(Raw_Data_Daily!$D:$D, Raw_Data_Daily!$B:$B, "Variant", Raw_Data_Daily!$A:$A, $A19, Raw_Data_Daily!$C:$C, $C$3),""))</f>
        <v/>
      </c>
      <c r="AZ19" s="244" t="str">
        <f t="shared" si="17"/>
        <v/>
      </c>
      <c r="BA19" s="246" t="str">
        <f>IF($A19="","",IFERROR(SUMPRODUCT((Raw_Data_Daily!$B$2:$B$9999="Control")*(Raw_Data_Daily!$A$2:$A$9999=$A19)*(Raw_Data_Daily!$C$2:$C$9999=$C$3)*Raw_Data_Daily!$D$2:$D$9999*Raw_Data_Daily!$U$2:$U$9999)/SUMIFS(Raw_Data_Daily!$D:$D, Raw_Data_Daily!$B:$B, "Control", Raw_Data_Daily!$A:$A, $A19, Raw_Data_Daily!$C:$C, $C$3),""))</f>
        <v/>
      </c>
      <c r="BB19" s="246" t="str">
        <f>IF($A19="","",IFERROR(SUMPRODUCT((Raw_Data_Daily!$B$2:$B$9999="Variant")*(Raw_Data_Daily!$A$2:$A$9999=$A19)*(Raw_Data_Daily!$C$2:$C$9999=$C$3)*Raw_Data_Daily!$D$2:$D$9999*Raw_Data_Daily!$U$2:$U$9999)/SUMIFS(Raw_Data_Daily!$D:$D, Raw_Data_Daily!$B:$B, "Variant", Raw_Data_Daily!$A:$A, $A19, Raw_Data_Daily!$C:$C, $C$3),""))</f>
        <v/>
      </c>
      <c r="BC19" s="241" t="str">
        <f t="shared" si="18"/>
        <v/>
      </c>
      <c r="BD19" s="246" t="str">
        <f>IF($A19="","",IFERROR(SUMPRODUCT((Raw_Data_Daily!$B$2:$B$9999="Control")*(Raw_Data_Daily!$A$2:$A$9999=$A19)*(Raw_Data_Daily!$C$2:$C$9999=$C$3)*Raw_Data_Daily!$D$2:$D$9999*Raw_Data_Daily!$V$2:$V$9999)/SUMIFS(Raw_Data_Daily!$D:$D, Raw_Data_Daily!$B:$B, "Control", Raw_Data_Daily!$A:$A, $A19, Raw_Data_Daily!$C:$C, $C$3),""))</f>
        <v/>
      </c>
      <c r="BE19" s="246" t="str">
        <f>IF($A19="","",IFERROR(SUMPRODUCT((Raw_Data_Daily!$B$2:$B$9999="Variant")*(Raw_Data_Daily!$A$2:$A$9999=$A19)*(Raw_Data_Daily!$C$2:$C$9999=$C$3)*Raw_Data_Daily!$D$2:$D$9999*Raw_Data_Daily!$V$2:$V$9999)/SUMIFS(Raw_Data_Daily!$D:$D, Raw_Data_Daily!$B:$B, "Variant", Raw_Data_Daily!$A:$A, $A19, Raw_Data_Daily!$C:$C, $C$3),""))</f>
        <v/>
      </c>
      <c r="BF19" s="251" t="str">
        <f t="shared" si="19"/>
        <v/>
      </c>
      <c r="BG19" s="252" t="str">
        <f>IF($A19="","",IFERROR(SUMPRODUCT((Raw_Data_Daily!$B$2:$B$9999="Control")*(Raw_Data_Daily!$A$2:$A$9999=$A19)*(Raw_Data_Daily!$C$2:$C$9999=$C$3)*Raw_Data_Daily!$D$2:$D$9999*(Raw_Data_Daily!$Q$2:$Q$9999-Raw_Data_Daily!$V$2:$V$9999))/SUMIFS(Raw_Data_Daily!$D:$D, Raw_Data_Daily!$B:$B, "Control", Raw_Data_Daily!$A:$A, $A19, Raw_Data_Daily!$C:$C, $C$3),""))</f>
        <v/>
      </c>
      <c r="BH19" s="246" t="str">
        <f>IF($A19="","",IFERROR(SUMPRODUCT((Raw_Data_Daily!$B$2:$B$9999="Variant")*(Raw_Data_Daily!$A$2:$A$9999=$A19)*(Raw_Data_Daily!$C$2:$C$9999=$C$3)*Raw_Data_Daily!$D$2:$D$9999*(Raw_Data_Daily!$Q$2:$Q$9999-Raw_Data_Daily!$V$2:$V$9999))/SUMIFS(Raw_Data_Daily!$D:$D, Raw_Data_Daily!$B:$B, "Variant", Raw_Data_Daily!$A:$A, $A19, Raw_Data_Daily!$C:$C, $C$3),""))</f>
        <v/>
      </c>
      <c r="BI19" s="253" t="str">
        <f t="shared" si="20"/>
        <v/>
      </c>
      <c r="BJ19" s="254" t="str">
        <f>IF($A19="","",IFERROR(SUMPRODUCT((Raw_Data_Daily!$B$2:$B$9999="Control")*(Raw_Data_Daily!$A$2:$A$9999=$A19)*(Raw_Data_Daily!$C$2:$C$9999=$C$3)*Raw_Data_Daily!$D$2:$D$9999*Raw_Data_Daily!$W$2:$W$9999)/SUMIFS(Raw_Data_Daily!$D:$D, Raw_Data_Daily!$B:$B, "Control", Raw_Data_Daily!$A:$A, $A19, Raw_Data_Daily!$C:$C, $C$3),""))</f>
        <v/>
      </c>
      <c r="BK19" s="246" t="str">
        <f>IF($A19="","",IFERROR(SUMPRODUCT((Raw_Data_Daily!$B$2:$B$9999="Variant")*(Raw_Data_Daily!$A$2:$A$9999=$A19)*(Raw_Data_Daily!$C$2:$C$9999=$C$3)*Raw_Data_Daily!$D$2:$D$9999*Raw_Data_Daily!$W$2:$W$9999)/SUMIFS(Raw_Data_Daily!$D:$D, Raw_Data_Daily!$B:$B, "Variant", Raw_Data_Daily!$A:$A, $A19, Raw_Data_Daily!$C:$C, $C$3),""))</f>
        <v/>
      </c>
      <c r="BL19" s="241" t="str">
        <f t="shared" si="21"/>
        <v/>
      </c>
      <c r="BM19" s="248" t="str">
        <f>IF($A19="","",IFERROR(SUMPRODUCT((Raw_Data_Daily!$B$2:$B$9999="Control")*(Raw_Data_Daily!$A$2:$A$9999=$A19)*(Raw_Data_Daily!$C$2:$C$9999=$C$3)*Raw_Data_Daily!$D$2:$D$9999*Raw_Data_Daily!$X$2:$X$9999)/SUMIFS(Raw_Data_Daily!$D:$D, Raw_Data_Daily!$B:$B, "Control", Raw_Data_Daily!$A:$A, $A19, Raw_Data_Daily!$C:$C, $C$3),""))</f>
        <v/>
      </c>
      <c r="BN19" s="248" t="str">
        <f>IF($A19="","",IFERROR(SUMPRODUCT((Raw_Data_Daily!$B$2:$B$9999="Variant")*(Raw_Data_Daily!$A$2:$A$9999=$A19)*(Raw_Data_Daily!$C$2:$C$9999=$C$3)*Raw_Data_Daily!$D$2:$D$9999*Raw_Data_Daily!$X$2:$X$9999)/SUMIFS(Raw_Data_Daily!$D:$D, Raw_Data_Daily!$B:$B, "Variant", Raw_Data_Daily!$A:$A, $A19, Raw_Data_Daily!$C:$C, $C$3),""))</f>
        <v/>
      </c>
      <c r="BO19" s="244" t="str">
        <f t="shared" si="22"/>
        <v/>
      </c>
      <c r="BP19" s="240" t="str">
        <f>IF($A19="","",IFERROR(SUMPRODUCT((Raw_Data_Daily!$B$2:$B$9999="Control")*(Raw_Data_Daily!$A$2:$A$9999=$A19)*(Raw_Data_Daily!$C$2:$C$9999=$C$3)*Raw_Data_Daily!$D$2:$D$9999*Raw_Data_Daily!$Y$2:$Y$9999)/SUMIFS(Raw_Data_Daily!$D:$D, Raw_Data_Daily!$B:$B, "Control", Raw_Data_Daily!$A:$A, $A19, Raw_Data_Daily!$C:$C, $C$3),""))</f>
        <v/>
      </c>
      <c r="BQ19" s="240" t="str">
        <f>IF($A19="","",IFERROR(SUMPRODUCT((Raw_Data_Daily!$B$2:$B$9999="Variant")*(Raw_Data_Daily!$A$2:$A$9999=$A19)*(Raw_Data_Daily!$C$2:$C$9999=$C$3)*Raw_Data_Daily!$D$2:$D$9999*Raw_Data_Daily!$Y$2:$Y$9999)/SUMIFS(Raw_Data_Daily!$D:$D, Raw_Data_Daily!$B:$B, "Variant", Raw_Data_Daily!$A:$A, $A19, Raw_Data_Daily!$C:$C, $C$3),""))</f>
        <v/>
      </c>
      <c r="BR19" s="241" t="str">
        <f t="shared" si="23"/>
        <v/>
      </c>
      <c r="BS19" s="240" t="str">
        <f>IF($A19="","",IFERROR(SUMPRODUCT((Raw_Data_Daily!$B$2:$B$9999="Control")*(Raw_Data_Daily!$A$2:$A$9999=$A19)*(Raw_Data_Daily!$C$2:$C$9999=$C$3)*Raw_Data_Daily!$D$2:$D$9999*Raw_Data_Daily!$Z$2:$Z$9999)/SUMIFS(Raw_Data_Daily!$D:$D, Raw_Data_Daily!$B:$B, "Control", Raw_Data_Daily!$A:$A, $A19, Raw_Data_Daily!$C:$C, $C$3),""))</f>
        <v/>
      </c>
      <c r="BT19" s="240" t="str">
        <f>IF($A19="","",IFERROR(SUMPRODUCT((Raw_Data_Daily!$B$2:$B$9999="Variant")*(Raw_Data_Daily!$A$2:$A$9999=$A19)*(Raw_Data_Daily!$C$2:$C$9999=$C$3)*Raw_Data_Daily!$D$2:$D$9999*Raw_Data_Daily!$Z$2:$Z$9999)/SUMIFS(Raw_Data_Daily!$D:$D, Raw_Data_Daily!$B:$B, "Variant", Raw_Data_Daily!$A:$A, $A19, Raw_Data_Daily!$C:$C, $C$3),""))</f>
        <v/>
      </c>
      <c r="BU19" s="241" t="str">
        <f t="shared" si="24"/>
        <v/>
      </c>
      <c r="BV19" s="240" t="str">
        <f>IF($A19="","",IFERROR(SUMPRODUCT((Raw_Data_Daily!$B$2:$B$9999="Control")*(Raw_Data_Daily!$A$2:$A$9999=$A19)*(Raw_Data_Daily!$C$2:$C$9999=$C$3)*Raw_Data_Daily!$D$2:$D$9999*Raw_Data_Daily!$AA$2:$AA$9999)/SUMIFS(Raw_Data_Daily!$D:$D, Raw_Data_Daily!$B:$B, "Control", Raw_Data_Daily!$A:$A, $A19, Raw_Data_Daily!$C:$C, $C$3),""))</f>
        <v/>
      </c>
      <c r="BW19" s="240" t="str">
        <f>IF($A19="","",IFERROR(SUMPRODUCT((Raw_Data_Daily!$B$2:$B$9999="Variant")*(Raw_Data_Daily!$A$2:$A$9999=$A19)*(Raw_Data_Daily!$C$2:$C$9999=$C$3)*Raw_Data_Daily!$D$2:$D$9999*Raw_Data_Daily!$AA$2:$AA$9999)/SUMIFS(Raw_Data_Daily!$D:$D, Raw_Data_Daily!$B:$B, "Variant", Raw_Data_Daily!$A:$A, $A19, Raw_Data_Daily!$C:$C, $C$3),""))</f>
        <v/>
      </c>
      <c r="BX19" s="241" t="str">
        <f t="shared" si="25"/>
        <v/>
      </c>
      <c r="BY19" s="246" t="str">
        <f>IF($A19="","",IFERROR(SUMPRODUCT((Raw_Data_Daily!$B$2:$B$9999="Control")*(Raw_Data_Daily!$A$2:$A$9999=$A19)*(Raw_Data_Daily!$C$2:$C$9999=$C$3)*Raw_Data_Daily!$D$2:$D$9999*Raw_Data_Daily!$AB$2:$AB$9999)/SUMIFS(Raw_Data_Daily!$D:$D, Raw_Data_Daily!$B:$B, "Control", Raw_Data_Daily!$A:$A, $A19, Raw_Data_Daily!$C:$C, $C$3),""))</f>
        <v/>
      </c>
      <c r="BZ19" s="246" t="str">
        <f>IF($A19="","",IFERROR(SUMPRODUCT((Raw_Data_Daily!$B$2:$B$9999="Variant")*(Raw_Data_Daily!$A$2:$A$9999=$A19)*(Raw_Data_Daily!$C$2:$C$9999=$C$3)*Raw_Data_Daily!$D$2:$D$9999*Raw_Data_Daily!$AB$2:$AB$9999)/SUMIFS(Raw_Data_Daily!$D:$D, Raw_Data_Daily!$B:$B, "Variant", Raw_Data_Daily!$A:$A, $A19, Raw_Data_Daily!$C:$C, $C$3),""))</f>
        <v/>
      </c>
      <c r="CA19" s="244" t="str">
        <f t="shared" si="26"/>
        <v/>
      </c>
      <c r="CB19" s="246" t="str">
        <f>IF($A19="","",IFERROR(SUMPRODUCT((Raw_Data_Daily!$B$2:$B$9999="Control")*(Raw_Data_Daily!$A$2:$A$9999=$A19)*(Raw_Data_Daily!$C$2:$C$9999=$C$3)*Raw_Data_Daily!$D$2:$D$9999*Raw_Data_Daily!$AC$2:$AC$9999)/SUMIFS(Raw_Data_Daily!$D:$D, Raw_Data_Daily!$B:$B, "Control", Raw_Data_Daily!$A:$A, $A19, Raw_Data_Daily!$C:$C, $C$3),""))</f>
        <v/>
      </c>
      <c r="CC19" s="246" t="str">
        <f>IF($A19="","",IFERROR(SUMPRODUCT((Raw_Data_Daily!$B$2:$B$9999="Variant")*(Raw_Data_Daily!$A$2:$A$9999=$A19)*(Raw_Data_Daily!$C$2:$C$9999=$C$3)*Raw_Data_Daily!$D$2:$D$9999*Raw_Data_Daily!$AC$2:$AC$9999)/SUMIFS(Raw_Data_Daily!$D:$D, Raw_Data_Daily!$B:$B, "Variant", Raw_Data_Daily!$A:$A, $A19, Raw_Data_Daily!$C:$C, $C$3),""))</f>
        <v/>
      </c>
      <c r="CD19" s="244" t="str">
        <f t="shared" si="27"/>
        <v/>
      </c>
      <c r="CE19" s="246" t="str">
        <f>IF($A19="","",IFERROR(SUMPRODUCT((Raw_Data_Daily!$B$2:$B$9999="Control")*(Raw_Data_Daily!$A$2:$A$9999=$A19)*(Raw_Data_Daily!$C$2:$C$9999=$C$3)*Raw_Data_Daily!$D$2:$D$9999*Raw_Data_Daily!$AD$2:$AD$9999)/SUMIFS(Raw_Data_Daily!$D:$D, Raw_Data_Daily!$B:$B, "Control", Raw_Data_Daily!$A:$A, $A19, Raw_Data_Daily!$C:$C, $C$3),""))</f>
        <v/>
      </c>
      <c r="CF19" s="246" t="str">
        <f>IF($A19="","",IFERROR(SUMPRODUCT((Raw_Data_Daily!$B$2:$B$9999="Variant")*(Raw_Data_Daily!$A$2:$A$9999=$A19)*(Raw_Data_Daily!$C$2:$C$9999=$C$3)*Raw_Data_Daily!$D$2:$D$9999*Raw_Data_Daily!$AD$2:$AD$9999)/SUMIFS(Raw_Data_Daily!$D:$D, Raw_Data_Daily!$B:$B, "Variant", Raw_Data_Daily!$A:$A, $A19, Raw_Data_Daily!$C:$C, $C$3),""))</f>
        <v/>
      </c>
      <c r="CG19" s="244" t="str">
        <f t="shared" si="28"/>
        <v/>
      </c>
      <c r="CH19" s="246" t="str">
        <f>IF($A19="","",IFERROR(SUMPRODUCT((Raw_Data_Daily!$B$2:$B$9999="Control")*(Raw_Data_Daily!$A$2:$A$9999=$A19)*(Raw_Data_Daily!$C$2:$C$9999=$C$3)*Raw_Data_Daily!$D$2:$D$9999*Raw_Data_Daily!$AE$2:$AE$9999)/SUMIFS(Raw_Data_Daily!$D:$D, Raw_Data_Daily!$B:$B, "Control", Raw_Data_Daily!$A:$A, $A19, Raw_Data_Daily!$C:$C, $C$3),""))</f>
        <v/>
      </c>
      <c r="CI19" s="246" t="str">
        <f>IF($A19="","",IFERROR(SUMPRODUCT((Raw_Data_Daily!$B$2:$B$9999="Variant")*(Raw_Data_Daily!$A$2:$A$9999=$A19)*(Raw_Data_Daily!$C$2:$C$9999=$C$3)*Raw_Data_Daily!$D$2:$D$9999*Raw_Data_Daily!$AE$2:$AE$9999)/SUMIFS(Raw_Data_Daily!$D:$D, Raw_Data_Daily!$B:$B, "Variant", Raw_Data_Daily!$A:$A, $A19, Raw_Data_Daily!$C:$C, $C$3),""))</f>
        <v/>
      </c>
      <c r="CJ19" s="244" t="str">
        <f t="shared" si="29"/>
        <v/>
      </c>
      <c r="CK19" s="246" t="str">
        <f>IF($A19="","",IFERROR(SUMPRODUCT((Raw_Data_Daily!$B$2:$B$9999="Control")*(Raw_Data_Daily!$A$2:$A$9999=$A19)*(Raw_Data_Daily!$C$2:$C$9999=$C$3)*Raw_Data_Daily!$D$2:$D$9999*Raw_Data_Daily!$AF$2:$AF$9999)/SUMIFS(Raw_Data_Daily!$D:$D, Raw_Data_Daily!$B:$B, "Control", Raw_Data_Daily!$A:$A, $A19, Raw_Data_Daily!$C:$C, $C$3),""))</f>
        <v/>
      </c>
      <c r="CL19" s="246" t="str">
        <f>IF($A19="","",IFERROR(SUMPRODUCT((Raw_Data_Daily!$B$2:$B$9999="Variant")*(Raw_Data_Daily!$A$2:$A$9999=$A19)*(Raw_Data_Daily!$C$2:$C$9999=$C$3)*Raw_Data_Daily!$D$2:$D$9999*Raw_Data_Daily!$AF$2:$AF$9999)/SUMIFS(Raw_Data_Daily!$D:$D, Raw_Data_Daily!$B:$B, "Variant", Raw_Data_Daily!$A:$A, $A19, Raw_Data_Daily!$C:$C, $C$3),""))</f>
        <v/>
      </c>
      <c r="CM19" s="244" t="str">
        <f t="shared" si="30"/>
        <v/>
      </c>
      <c r="CN19" s="246" t="str">
        <f>IF($A19="","",IFERROR(SUMPRODUCT((Raw_Data_Daily!$B$2:$B$9999="Control")*(Raw_Data_Daily!$A$2:$A$9999=$A19)*(Raw_Data_Daily!$C$2:$C$9999=$C$3)*Raw_Data_Daily!$D$2:$D$9999*Raw_Data_Daily!$AG$2:$AG$9999)/SUMIFS(Raw_Data_Daily!$D:$D, Raw_Data_Daily!$B:$B, "Control", Raw_Data_Daily!$A:$A, $A19, Raw_Data_Daily!$C:$C, $C$3),""))</f>
        <v/>
      </c>
      <c r="CO19" s="246" t="str">
        <f>IF($A19="","",IFERROR(SUMPRODUCT((Raw_Data_Daily!$B$2:$B$9999="Variant")*(Raw_Data_Daily!$A$2:$A$9999=$A19)*(Raw_Data_Daily!$C$2:$C$9999=$C$3)*Raw_Data_Daily!$D$2:$D$9999*Raw_Data_Daily!$AG$2:$AG$9999)/SUMIFS(Raw_Data_Daily!$D:$D, Raw_Data_Daily!$B:$B, "Variant", Raw_Data_Daily!$A:$A, $A19, Raw_Data_Daily!$C:$C, $C$3),""))</f>
        <v/>
      </c>
      <c r="CP19" s="244" t="str">
        <f t="shared" si="31"/>
        <v/>
      </c>
      <c r="CQ19" s="246" t="str">
        <f>IF($A19="","",IFERROR(SUMPRODUCT((Raw_Data_Daily!$B$2:$B$9999="Control")*(Raw_Data_Daily!$A$2:$A$9999=$A19)*(Raw_Data_Daily!$C$2:$C$9999=$C$3)*Raw_Data_Daily!$D$2:$D$9999*Raw_Data_Daily!$AH$2:$AH$9999)/SUMIFS(Raw_Data_Daily!$D:$D, Raw_Data_Daily!$B:$B, "Control", Raw_Data_Daily!$A:$A, $A19, Raw_Data_Daily!$C:$C, $C$3),""))</f>
        <v/>
      </c>
      <c r="CR19" s="246" t="str">
        <f>IF($A19="","",IFERROR(SUMPRODUCT((Raw_Data_Daily!$B$2:$B$9999="Variant")*(Raw_Data_Daily!$A$2:$A$9999=$A19)*(Raw_Data_Daily!$C$2:$C$9999=$C$3)*Raw_Data_Daily!$D$2:$D$9999*Raw_Data_Daily!$AH$2:$AH$9999)/SUMIFS(Raw_Data_Daily!$D:$D, Raw_Data_Daily!$B:$B, "Variant", Raw_Data_Daily!$A:$A, $A19, Raw_Data_Daily!$C:$C, $C$3),""))</f>
        <v/>
      </c>
      <c r="CS19" s="244" t="str">
        <f t="shared" si="32"/>
        <v/>
      </c>
      <c r="CT19" s="242" t="str">
        <f>IF($A19="","",IFERROR(SUMPRODUCT((Raw_Data_Daily!$B$2:$B$9999="Control")*(Raw_Data_Daily!$A$2:$A$9999=$A19)*(Raw_Data_Daily!$C$2:$C$9999=$C$3)*Raw_Data_Daily!$D$2:$D$9999*Raw_Data_Daily!$AI$2:$AI$9999)/SUMIFS(Raw_Data_Daily!$D:$D, Raw_Data_Daily!$B:$B, "Control", Raw_Data_Daily!$A:$A, $A19, Raw_Data_Daily!$C:$C, $C$3),""))</f>
        <v/>
      </c>
      <c r="CU19" s="242" t="str">
        <f>IF($A19="","",IFERROR(SUMPRODUCT((Raw_Data_Daily!$B$2:$B$9999="Variant")*(Raw_Data_Daily!$A$2:$A$9999=$A19)*(Raw_Data_Daily!$C$2:$C$9999=$C$3)*Raw_Data_Daily!$D$2:$D$9999*Raw_Data_Daily!$AI$2:$AI$9999)/SUMIFS(Raw_Data_Daily!$D:$D, Raw_Data_Daily!$B:$B, "Variant", Raw_Data_Daily!$A:$A, $A19, Raw_Data_Daily!$C:$C, $C$3),""))</f>
        <v/>
      </c>
      <c r="CV19" s="249" t="str">
        <f t="shared" si="33"/>
        <v/>
      </c>
      <c r="CW19" s="242" t="str">
        <f>IF($A19="","",IFERROR(SUMPRODUCT((Raw_Data_Daily!$B$2:$B$9999="Control")*(Raw_Data_Daily!$A$2:$A$9999=$A19)*(Raw_Data_Daily!$C$2:$C$9999=$C$3)*Raw_Data_Daily!$D$2:$D$9999*Raw_Data_Daily!$AJ$2:$AJ$9999)/SUMIFS(Raw_Data_Daily!$D:$D, Raw_Data_Daily!$B:$B, "Control", Raw_Data_Daily!$A:$A, $A19, Raw_Data_Daily!$C:$C, $C$3),""))</f>
        <v/>
      </c>
      <c r="CX19" s="242" t="str">
        <f>IF($A19="","",IFERROR(SUMPRODUCT((Raw_Data_Daily!$B$2:$B$9999="Variant")*(Raw_Data_Daily!$A$2:$A$9999=$A19)*(Raw_Data_Daily!$C$2:$C$9999=$C$3)*Raw_Data_Daily!$D$2:$D$9999*Raw_Data_Daily!$AJ$2:$AJ$9999)/SUMIFS(Raw_Data_Daily!$D:$D, Raw_Data_Daily!$B:$B, "Variant", Raw_Data_Daily!$A:$A, $A19, Raw_Data_Daily!$C:$C, $C$3),""))</f>
        <v/>
      </c>
      <c r="CY19" s="249" t="str">
        <f t="shared" si="34"/>
        <v/>
      </c>
      <c r="CZ19" s="242" t="str">
        <f>IF($A19="","",IFERROR(SUMPRODUCT((Raw_Data_Daily!$B$2:$B$9999="Control")*(Raw_Data_Daily!$A$2:$A$9999=$A19)*(Raw_Data_Daily!$C$2:$C$9999=$C$3)*Raw_Data_Daily!$D$2:$D$9999*Raw_Data_Daily!$AK$2:$AK$9999)/SUMIFS(Raw_Data_Daily!$D:$D, Raw_Data_Daily!$B:$B, "Control", Raw_Data_Daily!$A:$A, $A19, Raw_Data_Daily!$C:$C, $C$3),""))</f>
        <v/>
      </c>
      <c r="DA19" s="242" t="str">
        <f>IF($A19="","",IFERROR(SUMPRODUCT((Raw_Data_Daily!$B$2:$B$9999="Variant")*(Raw_Data_Daily!$A$2:$A$9999=$A19)*(Raw_Data_Daily!$C$2:$C$9999=$C$3)*Raw_Data_Daily!$D$2:$D$9999*Raw_Data_Daily!$AK$2:$AK$9999)/SUMIFS(Raw_Data_Daily!$D:$D, Raw_Data_Daily!$B:$B, "Variant", Raw_Data_Daily!$A:$A, $A19, Raw_Data_Daily!$C:$C, $C$3),""))</f>
        <v/>
      </c>
      <c r="DB19" s="244" t="str">
        <f t="shared" si="35"/>
        <v/>
      </c>
      <c r="DC19" s="248" t="str">
        <f>IF($A19="","",IFERROR(SUMPRODUCT((Raw_Data_Daily!$B$2:$B$9999="Control")*(Raw_Data_Daily!$A$2:$A$9999=$A19)*(Raw_Data_Daily!$C$2:$C$9999=$C$3)*Raw_Data_Daily!$D$2:$D$9999*Raw_Data_Daily!$AL$2:$AL$9999)/SUMIFS(Raw_Data_Daily!$D:$D, Raw_Data_Daily!$B:$B, "Control", Raw_Data_Daily!$A:$A, $A19, Raw_Data_Daily!$C:$C, $C$3),""))</f>
        <v/>
      </c>
      <c r="DD19" s="248" t="str">
        <f>IF($A19="","",IFERROR(SUMPRODUCT((Raw_Data_Daily!$B$2:$B$9999="Variant")*(Raw_Data_Daily!$A$2:$A$9999=$A19)*(Raw_Data_Daily!$C$2:$C$9999=$C$3)*Raw_Data_Daily!$D$2:$D$9999*Raw_Data_Daily!$AL$2:$AL$9999)/SUMIFS(Raw_Data_Daily!$D:$D, Raw_Data_Daily!$B:$B, "Variant", Raw_Data_Daily!$A:$A, $A19, Raw_Data_Daily!$C:$C, $C$3),""))</f>
        <v/>
      </c>
      <c r="DE19" s="249" t="str">
        <f t="shared" si="36"/>
        <v/>
      </c>
      <c r="DF19" s="255"/>
      <c r="DG19" s="242" t="str">
        <f>IF($A19="","",IFERROR(SUMPRODUCT((Raw_Data_Daily!$B$2:$B$9999="Variant")*(Raw_Data_Daily!$A$2:$A$9999=$A19)*(Raw_Data_Daily!$C$2:$C$9999=$C$3)*Raw_Data_Daily!$D$2:$D$9999*Raw_Data_Daily!$AM$2:$AM$9999)/SUMIFS(Raw_Data_Daily!$D:$D, Raw_Data_Daily!$B:$B, "Variant", Raw_Data_Daily!$A:$A, $A19, Raw_Data_Daily!$C:$C, $C$3),""))</f>
        <v/>
      </c>
      <c r="DH19" s="256"/>
      <c r="DI19" s="255"/>
      <c r="DJ19" s="242" t="str">
        <f>IF($A19="","",IFERROR(SUMPRODUCT((Raw_Data_Daily!$B$2:$B$9999="Variant")*(Raw_Data_Daily!$A$2:$A$9999=$A19)*(Raw_Data_Daily!$C$2:$C$9999=$C$3)*Raw_Data_Daily!$D$2:$D$9999*Raw_Data_Daily!$AN$2:$AN$9999)/SUMIFS(Raw_Data_Daily!$D:$D, Raw_Data_Daily!$B:$B, "Variant", Raw_Data_Daily!$A:$A, $A19, Raw_Data_Daily!$C:$C, $C$3),""))</f>
        <v/>
      </c>
      <c r="DK19" s="256"/>
      <c r="DL19" s="255"/>
      <c r="DM19" s="242" t="str">
        <f>IF($A19="","",IFERROR(SUMPRODUCT((Raw_Data_Daily!$B$2:$B$9999="Variant")*(Raw_Data_Daily!$A$2:$A$9999=$A19)*(Raw_Data_Daily!$C$2:$C$9999=$C$3)*Raw_Data_Daily!$D$2:$D$9999*Raw_Data_Daily!$AO$2:$AO$9999)/SUMIFS(Raw_Data_Daily!$D:$D, Raw_Data_Daily!$B:$B, "Variant", Raw_Data_Daily!$A:$A, $A19, Raw_Data_Daily!$C:$C, $C$3),""))</f>
        <v/>
      </c>
      <c r="DN19" s="256"/>
      <c r="DO19" s="255"/>
      <c r="DP19" s="242" t="str">
        <f>IF($A19="","",IFERROR(SUMPRODUCT((Raw_Data_Daily!$B$2:$B$9999="Variant")*(Raw_Data_Daily!$A$2:$A$9999=$A19)*(Raw_Data_Daily!$C$2:$C$9999=$C$3)*Raw_Data_Daily!$D$2:$D$9999*Raw_Data_Daily!$AP$2:$AP$9999)/SUMIFS(Raw_Data_Daily!$D:$D, Raw_Data_Daily!$B:$B, "Variant", Raw_Data_Daily!$A:$A, $A19, Raw_Data_Daily!$C:$C, $C$3),""))</f>
        <v/>
      </c>
      <c r="DQ19" s="256"/>
      <c r="DR19" s="248" t="str">
        <f>IF($A19="","",IFERROR(SUMPRODUCT((Raw_Data_Daily!$B$2:$B$9999="Control")*(Raw_Data_Daily!$A$2:$A$9999=$A19)*(Raw_Data_Daily!$C$2:$C$9999=$C$3)*Raw_Data_Daily!$D$2:$D$9999*Raw_Data_Daily!$AQ$2:$AQ$9999)/SUMIFS(Raw_Data_Daily!$D:$D, Raw_Data_Daily!$B:$B, "Control", Raw_Data_Daily!$A:$A, $A19, Raw_Data_Daily!$C:$C, $C$3),""))</f>
        <v/>
      </c>
      <c r="DS19" s="248" t="str">
        <f>IF($A19="","",IFERROR(SUMPRODUCT((Raw_Data_Daily!$B$2:$B$9999="Variant")*(Raw_Data_Daily!$A$2:$A$9999=$A19)*(Raw_Data_Daily!$C$2:$C$9999=$C$3)*Raw_Data_Daily!$D$2:$D$9999*Raw_Data_Daily!$AQ$2:$AQ$9999)/SUMIFS(Raw_Data_Daily!$D:$D, Raw_Data_Daily!$B:$B, "Variant", Raw_Data_Daily!$A:$A, $A19, Raw_Data_Daily!$C:$C, $C$3),""))</f>
        <v/>
      </c>
      <c r="DT19" s="257" t="str">
        <f t="shared" si="37"/>
        <v/>
      </c>
      <c r="DU19" s="248" t="str">
        <f>IF($A19="","",IFERROR(SUMPRODUCT((Raw_Data_Daily!$B$2:$B$9999="Control")*(Raw_Data_Daily!$A$2:$A$9999=$A19)*(Raw_Data_Daily!$C$2:$C$9999=$C$3)*Raw_Data_Daily!$D$2:$D$9999*Raw_Data_Daily!$AR$2:$AR$9999)/SUMIFS(Raw_Data_Daily!$D:$D, Raw_Data_Daily!$B:$B, "Control", Raw_Data_Daily!$A:$A, $A19, Raw_Data_Daily!$C:$C, $C$3),""))</f>
        <v/>
      </c>
      <c r="DV19" s="248" t="str">
        <f>IF($A19="","",IFERROR(SUMPRODUCT((Raw_Data_Daily!$B$2:$B$9999="Variant")*(Raw_Data_Daily!$A$2:$A$9999=$A19)*(Raw_Data_Daily!$C$2:$C$9999=$C$3)*Raw_Data_Daily!$D$2:$D$9999*Raw_Data_Daily!$AR$2:$AR$9999)/SUMIFS(Raw_Data_Daily!$D:$D, Raw_Data_Daily!$B:$B, "Variant", Raw_Data_Daily!$A:$A, $A19, Raw_Data_Daily!$C:$C, $C$3),""))</f>
        <v/>
      </c>
      <c r="DW19" s="257" t="str">
        <f t="shared" si="38"/>
        <v/>
      </c>
      <c r="DX19" s="248" t="str">
        <f>IF($A19="","",IFERROR(SUMPRODUCT((Raw_Data_Daily!$B$2:$B$9999="Control")*(Raw_Data_Daily!$A$2:$A$9999=$A19)*(Raw_Data_Daily!$C$2:$C$9999=$C$3)*Raw_Data_Daily!$D$2:$D$9999*Raw_Data_Daily!$AS$2:$AS$9999)/SUMIFS(Raw_Data_Daily!$D:$D, Raw_Data_Daily!$B:$B, "Control", Raw_Data_Daily!$A:$A, $A19, Raw_Data_Daily!$C:$C, $C$3),""))</f>
        <v/>
      </c>
      <c r="DY19" s="248" t="str">
        <f>IF($A19="","",IFERROR(SUMPRODUCT((Raw_Data_Daily!$B$2:$B$9999="Variant")*(Raw_Data_Daily!$A$2:$A$9999=$A19)*(Raw_Data_Daily!$C$2:$C$9999=$C$3)*Raw_Data_Daily!$D$2:$D$9999*Raw_Data_Daily!$AS$2:$AS$9999)/SUMIFS(Raw_Data_Daily!$D:$D, Raw_Data_Daily!$B:$B, "Variant", Raw_Data_Daily!$A:$A, $A19, Raw_Data_Daily!$C:$C, $C$3),""))</f>
        <v/>
      </c>
      <c r="DZ19" s="257" t="str">
        <f t="shared" si="39"/>
        <v/>
      </c>
      <c r="EA19" s="248" t="str">
        <f>IF($A19="","",IFERROR(SUMPRODUCT((Raw_Data_Daily!$B$2:$B$9999="Control")*(Raw_Data_Daily!$A$2:$A$9999=$A19)*(Raw_Data_Daily!$C$2:$C$9999=$C$3)*Raw_Data_Daily!$D$2:$D$9999*Raw_Data_Daily!$AT$2:$AT$9999)/SUMIFS(Raw_Data_Daily!$D:$D, Raw_Data_Daily!$B:$B, "Control", Raw_Data_Daily!$A:$A, $A19, Raw_Data_Daily!$C:$C, $C$3),""))</f>
        <v/>
      </c>
      <c r="EB19" s="248" t="str">
        <f>IF($A19="","",IFERROR(SUMPRODUCT((Raw_Data_Daily!$B$2:$B$9999="Variant")*(Raw_Data_Daily!$A$2:$A$9999=$A19)*(Raw_Data_Daily!$C$2:$C$9999=$C$3)*Raw_Data_Daily!$D$2:$D$9999*Raw_Data_Daily!$AT$2:$AT$9999)/SUMIFS(Raw_Data_Daily!$D:$D, Raw_Data_Daily!$B:$B, "Variant", Raw_Data_Daily!$A:$A, $A19, Raw_Data_Daily!$C:$C, $C$3),""))</f>
        <v/>
      </c>
      <c r="EC19" s="257" t="str">
        <f t="shared" si="40"/>
        <v/>
      </c>
      <c r="ED19" s="248" t="str">
        <f>IF($A19="","",IFERROR(SUMPRODUCT((Raw_Data_Daily!$B$2:$B$9999="Control")*(Raw_Data_Daily!$A$2:$A$9999=$A19)*(Raw_Data_Daily!$C$2:$C$9999=$C$3)*Raw_Data_Daily!$D$2:$D$9999*(Raw_Data_Daily!$AQ$2:$AQ$9999-Raw_Data_Daily!$AT$2:$AT$9999))/SUMIFS(Raw_Data_Daily!$D:$D, Raw_Data_Daily!$B:$B, "Control", Raw_Data_Daily!$A:$A, $A19, Raw_Data_Daily!$C:$C, $C$3),""))</f>
        <v/>
      </c>
      <c r="EE19" s="248" t="str">
        <f>IF($A19="","",IFERROR(SUMPRODUCT((Raw_Data_Daily!$B$2:$B$9999="Variant")*(Raw_Data_Daily!$A$2:$A$9999=$A19)*(Raw_Data_Daily!$C$2:$C$9999=$C$3)*Raw_Data_Daily!$D$2:$D$9999*(Raw_Data_Daily!$AQ$2:$AQ$9999-Raw_Data_Daily!$AT$2:$AT$9999))/SUMIFS(Raw_Data_Daily!$D:$D, Raw_Data_Daily!$B:$B, "Variant", Raw_Data_Daily!$A:$A, $A19, Raw_Data_Daily!$C:$C, $C$3),""))</f>
        <v/>
      </c>
      <c r="EF19" s="257" t="str">
        <f t="shared" si="41"/>
        <v/>
      </c>
      <c r="EG19" s="248" t="str">
        <f>IF($A19="","",IFERROR(SUMPRODUCT((Raw_Data_Daily!$B$2:$B$9999="Control")*(Raw_Data_Daily!$A$2:$A$9999=$A19)*(Raw_Data_Daily!$C$2:$C$9999=$C$3)*Raw_Data_Daily!$D$2:$D$9999*Raw_Data_Daily!$AU$2:$AU$9999)/SUMIFS(Raw_Data_Daily!$D:$D, Raw_Data_Daily!$B:$B, "Control", Raw_Data_Daily!$A:$A, $A19, Raw_Data_Daily!$C:$C, $C$3),""))</f>
        <v/>
      </c>
      <c r="EH19" s="248" t="str">
        <f>IF($A19="","",IFERROR(SUMPRODUCT((Raw_Data_Daily!$B$2:$B$9999="Variant")*(Raw_Data_Daily!$A$2:$A$9999=$A19)*(Raw_Data_Daily!$C$2:$C$9999=$C$3)*Raw_Data_Daily!$D$2:$D$9999*Raw_Data_Daily!$AU$2:$AU$9999)/SUMIFS(Raw_Data_Daily!$D:$D, Raw_Data_Daily!$B:$B, "Variant", Raw_Data_Daily!$A:$A, $A19, Raw_Data_Daily!$C:$C, $C$3),""))</f>
        <v/>
      </c>
      <c r="EI19" s="257" t="str">
        <f t="shared" si="42"/>
        <v/>
      </c>
    </row>
    <row r="20" ht="15.75" customHeight="1">
      <c r="A20" s="239">
        <v>46243.0</v>
      </c>
      <c r="B20" s="240">
        <f>IF($A20="","",SUMIFS(Raw_Data_Daily!$D:$D, Raw_Data_Daily!$B:$B, "Control", Raw_Data_Daily!$A:$A, $A20, Raw_Data_Daily!$C:$C, $C$3))</f>
        <v>0</v>
      </c>
      <c r="C20" s="240">
        <f>IF($A20="","",SUMIFS(Raw_Data_Daily!$D:$D, Raw_Data_Daily!$B:$B, "Variant", Raw_Data_Daily!$A:$A, $A20, Raw_Data_Daily!$C:$C, $C$3))</f>
        <v>0</v>
      </c>
      <c r="D20" s="241" t="str">
        <f t="shared" si="1"/>
        <v/>
      </c>
      <c r="E20" s="242" t="str">
        <f>IF($A20="","",IFERROR(SUMPRODUCT((Raw_Data_Daily!$B$2:$B$9999="Control")*(Raw_Data_Daily!$A$2:$A$9999=$A20)*(Raw_Data_Daily!$C$2:$C$9999=$C$3)*Raw_Data_Daily!$D$2:$D$9999*Raw_Data_Daily!$E$2:$E$9999)/SUMIFS(Raw_Data_Daily!$D:$D, Raw_Data_Daily!$B:$B, "Control", Raw_Data_Daily!$A:$A, $A20, Raw_Data_Daily!$C:$C, $C$3),""))</f>
        <v/>
      </c>
      <c r="F20" s="242" t="str">
        <f>IF($A20="","",IFERROR(SUMPRODUCT((Raw_Data_Daily!$B$2:$B$9999="Variant")*(Raw_Data_Daily!$A$2:$A$9999=$A20)*(Raw_Data_Daily!$C$2:$C$9999=$C$3)*Raw_Data_Daily!$D$2:$D$9999*Raw_Data_Daily!$E$2:$E$9999)/SUMIFS(Raw_Data_Daily!$D:$D, Raw_Data_Daily!$B:$B, "Variant", Raw_Data_Daily!$A:$A, $A20, Raw_Data_Daily!$C:$C, $C$3),""))</f>
        <v/>
      </c>
      <c r="G20" s="241" t="str">
        <f t="shared" si="2"/>
        <v/>
      </c>
      <c r="H20" s="243">
        <f>IF($A20="","",SUMIFS(Raw_Data_Daily!$F:$F, Raw_Data_Daily!$B:$B, "Control", Raw_Data_Daily!$A:$A, $A20, Raw_Data_Daily!$C:$C, $C$3))</f>
        <v>0</v>
      </c>
      <c r="I20" s="243">
        <f>IF($A20="","",SUMIFS(Raw_Data_Daily!$F:$F, Raw_Data_Daily!$B:$B, "Variant", Raw_Data_Daily!$A:$A, $A20, Raw_Data_Daily!$C:$C, $C$3))</f>
        <v>0</v>
      </c>
      <c r="J20" s="244" t="str">
        <f t="shared" si="3"/>
        <v/>
      </c>
      <c r="K20" s="245" t="str">
        <f>IF($A20="","",IFERROR(SUMIFS(Raw_Data_Daily!$F:$F, Raw_Data_Daily!$B:$B, "Control", Raw_Data_Daily!$A:$A, $A20, Raw_Data_Daily!$C:$C, $C$3)/SUMIFS(Raw_Data_Daily!$D:$D, Raw_Data_Daily!$B:$B, "Control", Raw_Data_Daily!$A:$A, $A20, Raw_Data_Daily!$C:$C, $C$3),""))</f>
        <v/>
      </c>
      <c r="L20" s="245" t="str">
        <f>IF($A20="","",IFERROR(SUMIFS(Raw_Data_Daily!$F:$F, Raw_Data_Daily!$B:$B, "Variant", Raw_Data_Daily!$A:$A, $A20, Raw_Data_Daily!$C:$C, $C$3)/SUMIFS(Raw_Data_Daily!$D:$D, Raw_Data_Daily!$B:$B, "Variant", Raw_Data_Daily!$A:$A, $A20, Raw_Data_Daily!$C:$C, $C$3),""))</f>
        <v/>
      </c>
      <c r="M20" s="244" t="str">
        <f t="shared" si="4"/>
        <v/>
      </c>
      <c r="N20" s="242" t="str">
        <f>IF($A20="","",IFERROR(SUMPRODUCT((Raw_Data_Daily!$B$2:$B$9999="Control")*(Raw_Data_Daily!$A$2:$A$9999=$A20)*(Raw_Data_Daily!$C$2:$C$9999=$C$3)*Raw_Data_Daily!$D$2:$D$9999*Raw_Data_Daily!$H$2:$H$9999/100)/SUMIFS(Raw_Data_Daily!$D:$D, Raw_Data_Daily!$B:$B, "Control", Raw_Data_Daily!$A:$A, $A20, Raw_Data_Daily!$C:$C, $C$3)*100,""))</f>
        <v/>
      </c>
      <c r="O20" s="242" t="str">
        <f>IF($A20="","",IFERROR(SUMPRODUCT((Raw_Data_Daily!$B$2:$B$9999="Variant")*(Raw_Data_Daily!$A$2:$A$9999=$A20)*(Raw_Data_Daily!$C$2:$C$9999=$C$3)*Raw_Data_Daily!$D$2:$D$9999*Raw_Data_Daily!$H$2:$H$9999/100)/SUMIFS(Raw_Data_Daily!$D:$D, Raw_Data_Daily!$B:$B, "Variant", Raw_Data_Daily!$A:$A, $A20, Raw_Data_Daily!$C:$C, $C$3)*100,""))</f>
        <v/>
      </c>
      <c r="P20" s="244" t="str">
        <f t="shared" si="5"/>
        <v/>
      </c>
      <c r="Q20" s="245" t="str">
        <f>IF($A20="","",IFERROR(SUMIFS(Raw_Data_Daily!$F:$F, Raw_Data_Daily!$B:$B, "Control", Raw_Data_Daily!$A:$A, $A20, Raw_Data_Daily!$C:$C, $C$3)/SUMPRODUCT((Raw_Data_Daily!$B$2:$B$9999="Control")*(Raw_Data_Daily!$A$2:$A$9999=$A20)*(Raw_Data_Daily!$C$2:$C$9999=$C$3)*Raw_Data_Daily!$D$2:$D$9999*Raw_Data_Daily!$H$2:$H$9999/100),""))</f>
        <v/>
      </c>
      <c r="R20" s="245" t="str">
        <f>IF($A20="","",IFERROR(SUMIFS(Raw_Data_Daily!$F:$F, Raw_Data_Daily!$B:$B, "Variant", Raw_Data_Daily!$A:$A, $A20, Raw_Data_Daily!$C:$C, $C$3)/SUMPRODUCT((Raw_Data_Daily!$B$2:$B$9999="Variant")*(Raw_Data_Daily!$A$2:$A$9999=$A20)*(Raw_Data_Daily!$C$2:$C$9999=$C$3)*Raw_Data_Daily!$D$2:$D$9999*Raw_Data_Daily!$H$2:$H$9999/100),""))</f>
        <v/>
      </c>
      <c r="S20" s="244" t="str">
        <f t="shared" si="6"/>
        <v/>
      </c>
      <c r="T20" s="246" t="str">
        <f>IF($A20="","",IFERROR(SUMPRODUCT((Raw_Data_Daily!$B$2:$B$9999="Control")*(Raw_Data_Daily!$A$2:$A$9999=$A20)*(Raw_Data_Daily!$C$2:$C$9999=$C$3)*Raw_Data_Daily!$D$2:$D$9999*Raw_Data_Daily!$J$2:$J$9999)/SUMIFS(Raw_Data_Daily!$D:$D, Raw_Data_Daily!$B:$B, "Control", Raw_Data_Daily!$A:$A, $A20, Raw_Data_Daily!$C:$C, $C$3),""))</f>
        <v/>
      </c>
      <c r="U20" s="246" t="str">
        <f>IF($A20="","",IFERROR(SUMPRODUCT((Raw_Data_Daily!$B$2:$B$9999="Variant")*(Raw_Data_Daily!$A$2:$A$9999=$A20)*(Raw_Data_Daily!$C$2:$C$9999=$C$3)*Raw_Data_Daily!$D$2:$D$9999*Raw_Data_Daily!$J$2:$J$9999)/SUMIFS(Raw_Data_Daily!$D:$D, Raw_Data_Daily!$B:$B, "Variant", Raw_Data_Daily!$A:$A, $A20, Raw_Data_Daily!$C:$C, $C$3),""))</f>
        <v/>
      </c>
      <c r="V20" s="244" t="str">
        <f t="shared" si="7"/>
        <v/>
      </c>
      <c r="W20" s="246" t="str">
        <f>IF($A20="","",IFERROR(SUMPRODUCT((Raw_Data_Daily!$B$2:$B$9999="Control")*(Raw_Data_Daily!$A$2:$A$9999=$A20)*(Raw_Data_Daily!$C$2:$C$9999=$C$3)*Raw_Data_Daily!$D$2:$D$9999*Raw_Data_Daily!$K$2:$K$9999)/SUMIFS(Raw_Data_Daily!$D:$D, Raw_Data_Daily!$B:$B, "Control", Raw_Data_Daily!$A:$A, $A20, Raw_Data_Daily!$C:$C, $C$3),""))</f>
        <v/>
      </c>
      <c r="X20" s="246" t="str">
        <f>IF($A20="","",IFERROR(SUMPRODUCT((Raw_Data_Daily!$B$2:$B$9999="Variant")*(Raw_Data_Daily!$A$2:$A$9999=$A20)*(Raw_Data_Daily!$C$2:$C$9999=$C$3)*Raw_Data_Daily!$D$2:$D$9999*Raw_Data_Daily!$K$2:$K$9999)/SUMIFS(Raw_Data_Daily!$D:$D, Raw_Data_Daily!$B:$B, "Variant", Raw_Data_Daily!$A:$A, $A20, Raw_Data_Daily!$C:$C, $C$3),""))</f>
        <v/>
      </c>
      <c r="Y20" s="244" t="str">
        <f t="shared" si="8"/>
        <v/>
      </c>
      <c r="Z20" s="246" t="str">
        <f>IF($A20="","",IFERROR(SUMPRODUCT((Raw_Data_Daily!$B$2:$B$9999="Control")*(Raw_Data_Daily!$A$2:$A$9999=$A20)*(Raw_Data_Daily!$C$2:$C$9999=$C$3)*Raw_Data_Daily!$D$2:$D$9999*Raw_Data_Daily!$L$2:$L$9999)/SUMIFS(Raw_Data_Daily!$D:$D, Raw_Data_Daily!$B:$B, "Control", Raw_Data_Daily!$A:$A, $A20, Raw_Data_Daily!$C:$C, $C$3),""))</f>
        <v/>
      </c>
      <c r="AA20" s="246" t="str">
        <f>IF($A20="","",IFERROR(SUMPRODUCT((Raw_Data_Daily!$B$2:$B$9999="Variant")*(Raw_Data_Daily!$A$2:$A$9999=$A20)*(Raw_Data_Daily!$C$2:$C$9999=$C$3)*Raw_Data_Daily!$D$2:$D$9999*Raw_Data_Daily!$L$2:$L$9999)/SUMIFS(Raw_Data_Daily!$D:$D, Raw_Data_Daily!$B:$B, "Variant", Raw_Data_Daily!$A:$A, $A20, Raw_Data_Daily!$C:$C, $C$3),""))</f>
        <v/>
      </c>
      <c r="AB20" s="244" t="str">
        <f t="shared" si="9"/>
        <v/>
      </c>
      <c r="AC20" s="248" t="str">
        <f>IF($A20="","",IFERROR(SUMPRODUCT((Raw_Data_Daily!$B$2:$B$9999="Control")*(Raw_Data_Daily!$A$2:$A$9999=$A20)*(Raw_Data_Daily!$C$2:$C$9999=$C$3)*Raw_Data_Daily!$D$2:$D$9999*Raw_Data_Daily!$M$2:$M$9999)/SUMIFS(Raw_Data_Daily!$D:$D, Raw_Data_Daily!$B:$B, "Control", Raw_Data_Daily!$A:$A, $A20, Raw_Data_Daily!$C:$C, $C$3),""))</f>
        <v/>
      </c>
      <c r="AD20" s="248" t="str">
        <f>IF($A20="","",IFERROR(SUMPRODUCT((Raw_Data_Daily!$B$2:$B$9999="Variant")*(Raw_Data_Daily!$A$2:$A$9999=$A20)*(Raw_Data_Daily!$C$2:$C$9999=$C$3)*Raw_Data_Daily!$D$2:$D$9999*Raw_Data_Daily!$M$2:$M$9999)/SUMIFS(Raw_Data_Daily!$D:$D, Raw_Data_Daily!$B:$B, "Variant", Raw_Data_Daily!$A:$A, $A20, Raw_Data_Daily!$C:$C, $C$3),""))</f>
        <v/>
      </c>
      <c r="AE20" s="249" t="str">
        <f t="shared" si="10"/>
        <v/>
      </c>
      <c r="AF20" s="248" t="str">
        <f>IF($A20="","",IFERROR(SUMPRODUCT((Raw_Data_Daily!$B$2:$B$9999="Control")*(Raw_Data_Daily!$A$2:$A$9999=$A20)*(Raw_Data_Daily!$C$2:$C$9999=$C$3)*Raw_Data_Daily!$D$2:$D$9999*Raw_Data_Daily!$N$2:$N$9999)/SUMIFS(Raw_Data_Daily!$D:$D, Raw_Data_Daily!$B:$B, "Control", Raw_Data_Daily!$A:$A, $A20, Raw_Data_Daily!$C:$C, $C$3),""))</f>
        <v/>
      </c>
      <c r="AG20" s="248" t="str">
        <f>IF($A20="","",IFERROR(SUMPRODUCT((Raw_Data_Daily!$B$2:$B$9999="Variant")*(Raw_Data_Daily!$A$2:$A$9999=$A20)*(Raw_Data_Daily!$C$2:$C$9999=$C$3)*Raw_Data_Daily!$D$2:$D$9999*Raw_Data_Daily!$N$2:$N$9999)/SUMIFS(Raw_Data_Daily!$D:$D, Raw_Data_Daily!$B:$B, "Variant", Raw_Data_Daily!$A:$A, $A20, Raw_Data_Daily!$C:$C, $C$3),""))</f>
        <v/>
      </c>
      <c r="AH20" s="249" t="str">
        <f t="shared" si="11"/>
        <v/>
      </c>
      <c r="AI20" s="248" t="str">
        <f>IF($A20="","",IFERROR(SUMPRODUCT((Raw_Data_Daily!$B$2:$B$9999="Control")*(Raw_Data_Daily!$A$2:$A$9999=$A20)*(Raw_Data_Daily!$C$2:$C$9999=$C$3)*Raw_Data_Daily!$D$2:$D$9999*Raw_Data_Daily!$O$2:$O$9999)/SUMIFS(Raw_Data_Daily!$D:$D, Raw_Data_Daily!$B:$B, "Control", Raw_Data_Daily!$A:$A, $A20, Raw_Data_Daily!$C:$C, $C$3),""))</f>
        <v/>
      </c>
      <c r="AJ20" s="248" t="str">
        <f>IF($A20="","",IFERROR(SUMPRODUCT((Raw_Data_Daily!$B$2:$B$9999="Variant")*(Raw_Data_Daily!$A$2:$A$9999=$A20)*(Raw_Data_Daily!$C$2:$C$9999=$C$3)*Raw_Data_Daily!$D$2:$D$9999*Raw_Data_Daily!$O$2:$O$9999)/SUMIFS(Raw_Data_Daily!$D:$D, Raw_Data_Daily!$B:$B, "Variant", Raw_Data_Daily!$A:$A, $A20, Raw_Data_Daily!$C:$C, $C$3),""))</f>
        <v/>
      </c>
      <c r="AK20" s="244" t="str">
        <f t="shared" si="12"/>
        <v/>
      </c>
      <c r="AL20" s="246" t="str">
        <f>IF($A20="","",IFERROR(SUMPRODUCT((Raw_Data_Daily!$B$2:$B$9999="Control")*(Raw_Data_Daily!$A$2:$A$9999=$A20)*(Raw_Data_Daily!$C$2:$C$9999=$C$3)*Raw_Data_Daily!$D$2:$D$9999*Raw_Data_Daily!$P$2:$P$9999)/SUMIFS(Raw_Data_Daily!$D:$D, Raw_Data_Daily!$B:$B, "Control", Raw_Data_Daily!$A:$A, $A20, Raw_Data_Daily!$C:$C, $C$3),""))</f>
        <v/>
      </c>
      <c r="AM20" s="246" t="str">
        <f>IF($A20="","",IFERROR(SUMPRODUCT((Raw_Data_Daily!$B$2:$B$9999="Variant")*(Raw_Data_Daily!$A$2:$A$9999=$A20)*(Raw_Data_Daily!$C$2:$C$9999=$C$3)*Raw_Data_Daily!$D$2:$D$9999*Raw_Data_Daily!$P$2:$P$9999)/SUMIFS(Raw_Data_Daily!$D:$D, Raw_Data_Daily!$B:$B, "Variant", Raw_Data_Daily!$A:$A, $A20, Raw_Data_Daily!$C:$C, $C$3),""))</f>
        <v/>
      </c>
      <c r="AN20" s="244" t="str">
        <f t="shared" si="13"/>
        <v/>
      </c>
      <c r="AO20" s="246" t="str">
        <f>IF($A20="","",IFERROR(SUMPRODUCT((Raw_Data_Daily!$B$2:$B$9999="Control")*(Raw_Data_Daily!$A$2:$A$9999=$A20)*(Raw_Data_Daily!$C$2:$C$9999=$C$3)*Raw_Data_Daily!$D$2:$D$9999*Raw_Data_Daily!$Q$2:$Q$9999)/SUMIFS(Raw_Data_Daily!$D:$D, Raw_Data_Daily!$B:$B, "Control", Raw_Data_Daily!$A:$A, $A20, Raw_Data_Daily!$C:$C, $C$3),""))</f>
        <v/>
      </c>
      <c r="AP20" s="246" t="str">
        <f>IF($A20="","",IFERROR(SUMPRODUCT((Raw_Data_Daily!$B$2:$B$9999="Variant")*(Raw_Data_Daily!$A$2:$A$9999=$A20)*(Raw_Data_Daily!$C$2:$C$9999=$C$3)*Raw_Data_Daily!$D$2:$D$9999*Raw_Data_Daily!$Q$2:$Q$9999)/SUMIFS(Raw_Data_Daily!$D:$D, Raw_Data_Daily!$B:$B, "Variant", Raw_Data_Daily!$A:$A, $A20, Raw_Data_Daily!$C:$C, $C$3),""))</f>
        <v/>
      </c>
      <c r="AQ20" s="241" t="str">
        <f t="shared" si="14"/>
        <v/>
      </c>
      <c r="AR20" s="246" t="str">
        <f>IF($A20="","",IFERROR(SUMPRODUCT((Raw_Data_Daily!$B$2:$B$9999="Control")*(Raw_Data_Daily!$A$2:$A$9999=$A20)*(Raw_Data_Daily!$C$2:$C$9999=$C$3)*Raw_Data_Daily!$D$2:$D$9999*Raw_Data_Daily!$R$2:$R$9999)/SUMIFS(Raw_Data_Daily!$D:$D, Raw_Data_Daily!$B:$B, "Control", Raw_Data_Daily!$A:$A, $A20, Raw_Data_Daily!$C:$C, $C$3),""))</f>
        <v/>
      </c>
      <c r="AS20" s="246" t="str">
        <f>IF($A20="","",IFERROR(SUMPRODUCT((Raw_Data_Daily!$B$2:$B$9999="Variant")*(Raw_Data_Daily!$A$2:$A$9999=$A20)*(Raw_Data_Daily!$C$2:$C$9999=$C$3)*Raw_Data_Daily!$D$2:$D$9999*Raw_Data_Daily!$R$2:$R$9999)/SUMIFS(Raw_Data_Daily!$D:$D, Raw_Data_Daily!$B:$B, "Variant", Raw_Data_Daily!$A:$A, $A20, Raw_Data_Daily!$C:$C, $C$3),""))</f>
        <v/>
      </c>
      <c r="AT20" s="241" t="str">
        <f t="shared" si="15"/>
        <v/>
      </c>
      <c r="AU20" s="246" t="str">
        <f>IF($A20="","",IFERROR(SUMPRODUCT((Raw_Data_Daily!$B$2:$B$9999="Control")*(Raw_Data_Daily!$A$2:$A$9999=$A20)*(Raw_Data_Daily!$C$2:$C$9999=$C$3)*Raw_Data_Daily!$D$2:$D$9999*Raw_Data_Daily!$S$2:$S$9999)/SUMIFS(Raw_Data_Daily!$D:$D, Raw_Data_Daily!$B:$B, "Control", Raw_Data_Daily!$A:$A, $A20, Raw_Data_Daily!$C:$C, $C$3),""))</f>
        <v/>
      </c>
      <c r="AV20" s="246" t="str">
        <f>IF($A20="","",IFERROR(SUMPRODUCT((Raw_Data_Daily!$B$2:$B$9999="Variant")*(Raw_Data_Daily!$A$2:$A$9999=$A20)*(Raw_Data_Daily!$C$2:$C$9999=$C$3)*Raw_Data_Daily!$D$2:$D$9999*Raw_Data_Daily!$S$2:$S$9999)/SUMIFS(Raw_Data_Daily!$D:$D, Raw_Data_Daily!$B:$B, "Variant", Raw_Data_Daily!$A:$A, $A20, Raw_Data_Daily!$C:$C, $C$3),""))</f>
        <v/>
      </c>
      <c r="AW20" s="241" t="str">
        <f t="shared" si="16"/>
        <v/>
      </c>
      <c r="AX20" s="246" t="str">
        <f>IF($A20="","",IFERROR(SUMPRODUCT((Raw_Data_Daily!$B$2:$B$9999="Control")*(Raw_Data_Daily!$A$2:$A$9999=$A20)*(Raw_Data_Daily!$C$2:$C$9999=$C$3)*Raw_Data_Daily!$D$2:$D$9999*Raw_Data_Daily!$T$2:$T$9999)/SUMIFS(Raw_Data_Daily!$D:$D, Raw_Data_Daily!$B:$B, "Control", Raw_Data_Daily!$A:$A, $A20, Raw_Data_Daily!$C:$C, $C$3),""))</f>
        <v/>
      </c>
      <c r="AY20" s="246" t="str">
        <f>IF($A20="","",IFERROR(SUMPRODUCT((Raw_Data_Daily!$B$2:$B$9999="Variant")*(Raw_Data_Daily!$A$2:$A$9999=$A20)*(Raw_Data_Daily!$C$2:$C$9999=$C$3)*Raw_Data_Daily!$D$2:$D$9999*Raw_Data_Daily!$T$2:$T$9999)/SUMIFS(Raw_Data_Daily!$D:$D, Raw_Data_Daily!$B:$B, "Variant", Raw_Data_Daily!$A:$A, $A20, Raw_Data_Daily!$C:$C, $C$3),""))</f>
        <v/>
      </c>
      <c r="AZ20" s="244" t="str">
        <f t="shared" si="17"/>
        <v/>
      </c>
      <c r="BA20" s="246" t="str">
        <f>IF($A20="","",IFERROR(SUMPRODUCT((Raw_Data_Daily!$B$2:$B$9999="Control")*(Raw_Data_Daily!$A$2:$A$9999=$A20)*(Raw_Data_Daily!$C$2:$C$9999=$C$3)*Raw_Data_Daily!$D$2:$D$9999*Raw_Data_Daily!$U$2:$U$9999)/SUMIFS(Raw_Data_Daily!$D:$D, Raw_Data_Daily!$B:$B, "Control", Raw_Data_Daily!$A:$A, $A20, Raw_Data_Daily!$C:$C, $C$3),""))</f>
        <v/>
      </c>
      <c r="BB20" s="246" t="str">
        <f>IF($A20="","",IFERROR(SUMPRODUCT((Raw_Data_Daily!$B$2:$B$9999="Variant")*(Raw_Data_Daily!$A$2:$A$9999=$A20)*(Raw_Data_Daily!$C$2:$C$9999=$C$3)*Raw_Data_Daily!$D$2:$D$9999*Raw_Data_Daily!$U$2:$U$9999)/SUMIFS(Raw_Data_Daily!$D:$D, Raw_Data_Daily!$B:$B, "Variant", Raw_Data_Daily!$A:$A, $A20, Raw_Data_Daily!$C:$C, $C$3),""))</f>
        <v/>
      </c>
      <c r="BC20" s="241" t="str">
        <f t="shared" si="18"/>
        <v/>
      </c>
      <c r="BD20" s="246" t="str">
        <f>IF($A20="","",IFERROR(SUMPRODUCT((Raw_Data_Daily!$B$2:$B$9999="Control")*(Raw_Data_Daily!$A$2:$A$9999=$A20)*(Raw_Data_Daily!$C$2:$C$9999=$C$3)*Raw_Data_Daily!$D$2:$D$9999*Raw_Data_Daily!$V$2:$V$9999)/SUMIFS(Raw_Data_Daily!$D:$D, Raw_Data_Daily!$B:$B, "Control", Raw_Data_Daily!$A:$A, $A20, Raw_Data_Daily!$C:$C, $C$3),""))</f>
        <v/>
      </c>
      <c r="BE20" s="246" t="str">
        <f>IF($A20="","",IFERROR(SUMPRODUCT((Raw_Data_Daily!$B$2:$B$9999="Variant")*(Raw_Data_Daily!$A$2:$A$9999=$A20)*(Raw_Data_Daily!$C$2:$C$9999=$C$3)*Raw_Data_Daily!$D$2:$D$9999*Raw_Data_Daily!$V$2:$V$9999)/SUMIFS(Raw_Data_Daily!$D:$D, Raw_Data_Daily!$B:$B, "Variant", Raw_Data_Daily!$A:$A, $A20, Raw_Data_Daily!$C:$C, $C$3),""))</f>
        <v/>
      </c>
      <c r="BF20" s="251" t="str">
        <f t="shared" si="19"/>
        <v/>
      </c>
      <c r="BG20" s="252" t="str">
        <f>IF($A20="","",IFERROR(SUMPRODUCT((Raw_Data_Daily!$B$2:$B$9999="Control")*(Raw_Data_Daily!$A$2:$A$9999=$A20)*(Raw_Data_Daily!$C$2:$C$9999=$C$3)*Raw_Data_Daily!$D$2:$D$9999*(Raw_Data_Daily!$Q$2:$Q$9999-Raw_Data_Daily!$V$2:$V$9999))/SUMIFS(Raw_Data_Daily!$D:$D, Raw_Data_Daily!$B:$B, "Control", Raw_Data_Daily!$A:$A, $A20, Raw_Data_Daily!$C:$C, $C$3),""))</f>
        <v/>
      </c>
      <c r="BH20" s="246" t="str">
        <f>IF($A20="","",IFERROR(SUMPRODUCT((Raw_Data_Daily!$B$2:$B$9999="Variant")*(Raw_Data_Daily!$A$2:$A$9999=$A20)*(Raw_Data_Daily!$C$2:$C$9999=$C$3)*Raw_Data_Daily!$D$2:$D$9999*(Raw_Data_Daily!$Q$2:$Q$9999-Raw_Data_Daily!$V$2:$V$9999))/SUMIFS(Raw_Data_Daily!$D:$D, Raw_Data_Daily!$B:$B, "Variant", Raw_Data_Daily!$A:$A, $A20, Raw_Data_Daily!$C:$C, $C$3),""))</f>
        <v/>
      </c>
      <c r="BI20" s="253" t="str">
        <f t="shared" si="20"/>
        <v/>
      </c>
      <c r="BJ20" s="254" t="str">
        <f>IF($A20="","",IFERROR(SUMPRODUCT((Raw_Data_Daily!$B$2:$B$9999="Control")*(Raw_Data_Daily!$A$2:$A$9999=$A20)*(Raw_Data_Daily!$C$2:$C$9999=$C$3)*Raw_Data_Daily!$D$2:$D$9999*Raw_Data_Daily!$W$2:$W$9999)/SUMIFS(Raw_Data_Daily!$D:$D, Raw_Data_Daily!$B:$B, "Control", Raw_Data_Daily!$A:$A, $A20, Raw_Data_Daily!$C:$C, $C$3),""))</f>
        <v/>
      </c>
      <c r="BK20" s="246" t="str">
        <f>IF($A20="","",IFERROR(SUMPRODUCT((Raw_Data_Daily!$B$2:$B$9999="Variant")*(Raw_Data_Daily!$A$2:$A$9999=$A20)*(Raw_Data_Daily!$C$2:$C$9999=$C$3)*Raw_Data_Daily!$D$2:$D$9999*Raw_Data_Daily!$W$2:$W$9999)/SUMIFS(Raw_Data_Daily!$D:$D, Raw_Data_Daily!$B:$B, "Variant", Raw_Data_Daily!$A:$A, $A20, Raw_Data_Daily!$C:$C, $C$3),""))</f>
        <v/>
      </c>
      <c r="BL20" s="241" t="str">
        <f t="shared" si="21"/>
        <v/>
      </c>
      <c r="BM20" s="248" t="str">
        <f>IF($A20="","",IFERROR(SUMPRODUCT((Raw_Data_Daily!$B$2:$B$9999="Control")*(Raw_Data_Daily!$A$2:$A$9999=$A20)*(Raw_Data_Daily!$C$2:$C$9999=$C$3)*Raw_Data_Daily!$D$2:$D$9999*Raw_Data_Daily!$X$2:$X$9999)/SUMIFS(Raw_Data_Daily!$D:$D, Raw_Data_Daily!$B:$B, "Control", Raw_Data_Daily!$A:$A, $A20, Raw_Data_Daily!$C:$C, $C$3),""))</f>
        <v/>
      </c>
      <c r="BN20" s="248" t="str">
        <f>IF($A20="","",IFERROR(SUMPRODUCT((Raw_Data_Daily!$B$2:$B$9999="Variant")*(Raw_Data_Daily!$A$2:$A$9999=$A20)*(Raw_Data_Daily!$C$2:$C$9999=$C$3)*Raw_Data_Daily!$D$2:$D$9999*Raw_Data_Daily!$X$2:$X$9999)/SUMIFS(Raw_Data_Daily!$D:$D, Raw_Data_Daily!$B:$B, "Variant", Raw_Data_Daily!$A:$A, $A20, Raw_Data_Daily!$C:$C, $C$3),""))</f>
        <v/>
      </c>
      <c r="BO20" s="244" t="str">
        <f t="shared" si="22"/>
        <v/>
      </c>
      <c r="BP20" s="240" t="str">
        <f>IF($A20="","",IFERROR(SUMPRODUCT((Raw_Data_Daily!$B$2:$B$9999="Control")*(Raw_Data_Daily!$A$2:$A$9999=$A20)*(Raw_Data_Daily!$C$2:$C$9999=$C$3)*Raw_Data_Daily!$D$2:$D$9999*Raw_Data_Daily!$Y$2:$Y$9999)/SUMIFS(Raw_Data_Daily!$D:$D, Raw_Data_Daily!$B:$B, "Control", Raw_Data_Daily!$A:$A, $A20, Raw_Data_Daily!$C:$C, $C$3),""))</f>
        <v/>
      </c>
      <c r="BQ20" s="240" t="str">
        <f>IF($A20="","",IFERROR(SUMPRODUCT((Raw_Data_Daily!$B$2:$B$9999="Variant")*(Raw_Data_Daily!$A$2:$A$9999=$A20)*(Raw_Data_Daily!$C$2:$C$9999=$C$3)*Raw_Data_Daily!$D$2:$D$9999*Raw_Data_Daily!$Y$2:$Y$9999)/SUMIFS(Raw_Data_Daily!$D:$D, Raw_Data_Daily!$B:$B, "Variant", Raw_Data_Daily!$A:$A, $A20, Raw_Data_Daily!$C:$C, $C$3),""))</f>
        <v/>
      </c>
      <c r="BR20" s="241" t="str">
        <f t="shared" si="23"/>
        <v/>
      </c>
      <c r="BS20" s="240" t="str">
        <f>IF($A20="","",IFERROR(SUMPRODUCT((Raw_Data_Daily!$B$2:$B$9999="Control")*(Raw_Data_Daily!$A$2:$A$9999=$A20)*(Raw_Data_Daily!$C$2:$C$9999=$C$3)*Raw_Data_Daily!$D$2:$D$9999*Raw_Data_Daily!$Z$2:$Z$9999)/SUMIFS(Raw_Data_Daily!$D:$D, Raw_Data_Daily!$B:$B, "Control", Raw_Data_Daily!$A:$A, $A20, Raw_Data_Daily!$C:$C, $C$3),""))</f>
        <v/>
      </c>
      <c r="BT20" s="240" t="str">
        <f>IF($A20="","",IFERROR(SUMPRODUCT((Raw_Data_Daily!$B$2:$B$9999="Variant")*(Raw_Data_Daily!$A$2:$A$9999=$A20)*(Raw_Data_Daily!$C$2:$C$9999=$C$3)*Raw_Data_Daily!$D$2:$D$9999*Raw_Data_Daily!$Z$2:$Z$9999)/SUMIFS(Raw_Data_Daily!$D:$D, Raw_Data_Daily!$B:$B, "Variant", Raw_Data_Daily!$A:$A, $A20, Raw_Data_Daily!$C:$C, $C$3),""))</f>
        <v/>
      </c>
      <c r="BU20" s="241" t="str">
        <f t="shared" si="24"/>
        <v/>
      </c>
      <c r="BV20" s="240" t="str">
        <f>IF($A20="","",IFERROR(SUMPRODUCT((Raw_Data_Daily!$B$2:$B$9999="Control")*(Raw_Data_Daily!$A$2:$A$9999=$A20)*(Raw_Data_Daily!$C$2:$C$9999=$C$3)*Raw_Data_Daily!$D$2:$D$9999*Raw_Data_Daily!$AA$2:$AA$9999)/SUMIFS(Raw_Data_Daily!$D:$D, Raw_Data_Daily!$B:$B, "Control", Raw_Data_Daily!$A:$A, $A20, Raw_Data_Daily!$C:$C, $C$3),""))</f>
        <v/>
      </c>
      <c r="BW20" s="240" t="str">
        <f>IF($A20="","",IFERROR(SUMPRODUCT((Raw_Data_Daily!$B$2:$B$9999="Variant")*(Raw_Data_Daily!$A$2:$A$9999=$A20)*(Raw_Data_Daily!$C$2:$C$9999=$C$3)*Raw_Data_Daily!$D$2:$D$9999*Raw_Data_Daily!$AA$2:$AA$9999)/SUMIFS(Raw_Data_Daily!$D:$D, Raw_Data_Daily!$B:$B, "Variant", Raw_Data_Daily!$A:$A, $A20, Raw_Data_Daily!$C:$C, $C$3),""))</f>
        <v/>
      </c>
      <c r="BX20" s="241" t="str">
        <f t="shared" si="25"/>
        <v/>
      </c>
      <c r="BY20" s="246" t="str">
        <f>IF($A20="","",IFERROR(SUMPRODUCT((Raw_Data_Daily!$B$2:$B$9999="Control")*(Raw_Data_Daily!$A$2:$A$9999=$A20)*(Raw_Data_Daily!$C$2:$C$9999=$C$3)*Raw_Data_Daily!$D$2:$D$9999*Raw_Data_Daily!$AB$2:$AB$9999)/SUMIFS(Raw_Data_Daily!$D:$D, Raw_Data_Daily!$B:$B, "Control", Raw_Data_Daily!$A:$A, $A20, Raw_Data_Daily!$C:$C, $C$3),""))</f>
        <v/>
      </c>
      <c r="BZ20" s="246" t="str">
        <f>IF($A20="","",IFERROR(SUMPRODUCT((Raw_Data_Daily!$B$2:$B$9999="Variant")*(Raw_Data_Daily!$A$2:$A$9999=$A20)*(Raw_Data_Daily!$C$2:$C$9999=$C$3)*Raw_Data_Daily!$D$2:$D$9999*Raw_Data_Daily!$AB$2:$AB$9999)/SUMIFS(Raw_Data_Daily!$D:$D, Raw_Data_Daily!$B:$B, "Variant", Raw_Data_Daily!$A:$A, $A20, Raw_Data_Daily!$C:$C, $C$3),""))</f>
        <v/>
      </c>
      <c r="CA20" s="244" t="str">
        <f t="shared" si="26"/>
        <v/>
      </c>
      <c r="CB20" s="246" t="str">
        <f>IF($A20="","",IFERROR(SUMPRODUCT((Raw_Data_Daily!$B$2:$B$9999="Control")*(Raw_Data_Daily!$A$2:$A$9999=$A20)*(Raw_Data_Daily!$C$2:$C$9999=$C$3)*Raw_Data_Daily!$D$2:$D$9999*Raw_Data_Daily!$AC$2:$AC$9999)/SUMIFS(Raw_Data_Daily!$D:$D, Raw_Data_Daily!$B:$B, "Control", Raw_Data_Daily!$A:$A, $A20, Raw_Data_Daily!$C:$C, $C$3),""))</f>
        <v/>
      </c>
      <c r="CC20" s="246" t="str">
        <f>IF($A20="","",IFERROR(SUMPRODUCT((Raw_Data_Daily!$B$2:$B$9999="Variant")*(Raw_Data_Daily!$A$2:$A$9999=$A20)*(Raw_Data_Daily!$C$2:$C$9999=$C$3)*Raw_Data_Daily!$D$2:$D$9999*Raw_Data_Daily!$AC$2:$AC$9999)/SUMIFS(Raw_Data_Daily!$D:$D, Raw_Data_Daily!$B:$B, "Variant", Raw_Data_Daily!$A:$A, $A20, Raw_Data_Daily!$C:$C, $C$3),""))</f>
        <v/>
      </c>
      <c r="CD20" s="244" t="str">
        <f t="shared" si="27"/>
        <v/>
      </c>
      <c r="CE20" s="246" t="str">
        <f>IF($A20="","",IFERROR(SUMPRODUCT((Raw_Data_Daily!$B$2:$B$9999="Control")*(Raw_Data_Daily!$A$2:$A$9999=$A20)*(Raw_Data_Daily!$C$2:$C$9999=$C$3)*Raw_Data_Daily!$D$2:$D$9999*Raw_Data_Daily!$AD$2:$AD$9999)/SUMIFS(Raw_Data_Daily!$D:$D, Raw_Data_Daily!$B:$B, "Control", Raw_Data_Daily!$A:$A, $A20, Raw_Data_Daily!$C:$C, $C$3),""))</f>
        <v/>
      </c>
      <c r="CF20" s="246" t="str">
        <f>IF($A20="","",IFERROR(SUMPRODUCT((Raw_Data_Daily!$B$2:$B$9999="Variant")*(Raw_Data_Daily!$A$2:$A$9999=$A20)*(Raw_Data_Daily!$C$2:$C$9999=$C$3)*Raw_Data_Daily!$D$2:$D$9999*Raw_Data_Daily!$AD$2:$AD$9999)/SUMIFS(Raw_Data_Daily!$D:$D, Raw_Data_Daily!$B:$B, "Variant", Raw_Data_Daily!$A:$A, $A20, Raw_Data_Daily!$C:$C, $C$3),""))</f>
        <v/>
      </c>
      <c r="CG20" s="244" t="str">
        <f t="shared" si="28"/>
        <v/>
      </c>
      <c r="CH20" s="246" t="str">
        <f>IF($A20="","",IFERROR(SUMPRODUCT((Raw_Data_Daily!$B$2:$B$9999="Control")*(Raw_Data_Daily!$A$2:$A$9999=$A20)*(Raw_Data_Daily!$C$2:$C$9999=$C$3)*Raw_Data_Daily!$D$2:$D$9999*Raw_Data_Daily!$AE$2:$AE$9999)/SUMIFS(Raw_Data_Daily!$D:$D, Raw_Data_Daily!$B:$B, "Control", Raw_Data_Daily!$A:$A, $A20, Raw_Data_Daily!$C:$C, $C$3),""))</f>
        <v/>
      </c>
      <c r="CI20" s="246" t="str">
        <f>IF($A20="","",IFERROR(SUMPRODUCT((Raw_Data_Daily!$B$2:$B$9999="Variant")*(Raw_Data_Daily!$A$2:$A$9999=$A20)*(Raw_Data_Daily!$C$2:$C$9999=$C$3)*Raw_Data_Daily!$D$2:$D$9999*Raw_Data_Daily!$AE$2:$AE$9999)/SUMIFS(Raw_Data_Daily!$D:$D, Raw_Data_Daily!$B:$B, "Variant", Raw_Data_Daily!$A:$A, $A20, Raw_Data_Daily!$C:$C, $C$3),""))</f>
        <v/>
      </c>
      <c r="CJ20" s="244" t="str">
        <f t="shared" si="29"/>
        <v/>
      </c>
      <c r="CK20" s="246" t="str">
        <f>IF($A20="","",IFERROR(SUMPRODUCT((Raw_Data_Daily!$B$2:$B$9999="Control")*(Raw_Data_Daily!$A$2:$A$9999=$A20)*(Raw_Data_Daily!$C$2:$C$9999=$C$3)*Raw_Data_Daily!$D$2:$D$9999*Raw_Data_Daily!$AF$2:$AF$9999)/SUMIFS(Raw_Data_Daily!$D:$D, Raw_Data_Daily!$B:$B, "Control", Raw_Data_Daily!$A:$A, $A20, Raw_Data_Daily!$C:$C, $C$3),""))</f>
        <v/>
      </c>
      <c r="CL20" s="246" t="str">
        <f>IF($A20="","",IFERROR(SUMPRODUCT((Raw_Data_Daily!$B$2:$B$9999="Variant")*(Raw_Data_Daily!$A$2:$A$9999=$A20)*(Raw_Data_Daily!$C$2:$C$9999=$C$3)*Raw_Data_Daily!$D$2:$D$9999*Raw_Data_Daily!$AF$2:$AF$9999)/SUMIFS(Raw_Data_Daily!$D:$D, Raw_Data_Daily!$B:$B, "Variant", Raw_Data_Daily!$A:$A, $A20, Raw_Data_Daily!$C:$C, $C$3),""))</f>
        <v/>
      </c>
      <c r="CM20" s="244" t="str">
        <f t="shared" si="30"/>
        <v/>
      </c>
      <c r="CN20" s="246" t="str">
        <f>IF($A20="","",IFERROR(SUMPRODUCT((Raw_Data_Daily!$B$2:$B$9999="Control")*(Raw_Data_Daily!$A$2:$A$9999=$A20)*(Raw_Data_Daily!$C$2:$C$9999=$C$3)*Raw_Data_Daily!$D$2:$D$9999*Raw_Data_Daily!$AG$2:$AG$9999)/SUMIFS(Raw_Data_Daily!$D:$D, Raw_Data_Daily!$B:$B, "Control", Raw_Data_Daily!$A:$A, $A20, Raw_Data_Daily!$C:$C, $C$3),""))</f>
        <v/>
      </c>
      <c r="CO20" s="246" t="str">
        <f>IF($A20="","",IFERROR(SUMPRODUCT((Raw_Data_Daily!$B$2:$B$9999="Variant")*(Raw_Data_Daily!$A$2:$A$9999=$A20)*(Raw_Data_Daily!$C$2:$C$9999=$C$3)*Raw_Data_Daily!$D$2:$D$9999*Raw_Data_Daily!$AG$2:$AG$9999)/SUMIFS(Raw_Data_Daily!$D:$D, Raw_Data_Daily!$B:$B, "Variant", Raw_Data_Daily!$A:$A, $A20, Raw_Data_Daily!$C:$C, $C$3),""))</f>
        <v/>
      </c>
      <c r="CP20" s="244" t="str">
        <f t="shared" si="31"/>
        <v/>
      </c>
      <c r="CQ20" s="246" t="str">
        <f>IF($A20="","",IFERROR(SUMPRODUCT((Raw_Data_Daily!$B$2:$B$9999="Control")*(Raw_Data_Daily!$A$2:$A$9999=$A20)*(Raw_Data_Daily!$C$2:$C$9999=$C$3)*Raw_Data_Daily!$D$2:$D$9999*Raw_Data_Daily!$AH$2:$AH$9999)/SUMIFS(Raw_Data_Daily!$D:$D, Raw_Data_Daily!$B:$B, "Control", Raw_Data_Daily!$A:$A, $A20, Raw_Data_Daily!$C:$C, $C$3),""))</f>
        <v/>
      </c>
      <c r="CR20" s="246" t="str">
        <f>IF($A20="","",IFERROR(SUMPRODUCT((Raw_Data_Daily!$B$2:$B$9999="Variant")*(Raw_Data_Daily!$A$2:$A$9999=$A20)*(Raw_Data_Daily!$C$2:$C$9999=$C$3)*Raw_Data_Daily!$D$2:$D$9999*Raw_Data_Daily!$AH$2:$AH$9999)/SUMIFS(Raw_Data_Daily!$D:$D, Raw_Data_Daily!$B:$B, "Variant", Raw_Data_Daily!$A:$A, $A20, Raw_Data_Daily!$C:$C, $C$3),""))</f>
        <v/>
      </c>
      <c r="CS20" s="244" t="str">
        <f t="shared" si="32"/>
        <v/>
      </c>
      <c r="CT20" s="242" t="str">
        <f>IF($A20="","",IFERROR(SUMPRODUCT((Raw_Data_Daily!$B$2:$B$9999="Control")*(Raw_Data_Daily!$A$2:$A$9999=$A20)*(Raw_Data_Daily!$C$2:$C$9999=$C$3)*Raw_Data_Daily!$D$2:$D$9999*Raw_Data_Daily!$AI$2:$AI$9999)/SUMIFS(Raw_Data_Daily!$D:$D, Raw_Data_Daily!$B:$B, "Control", Raw_Data_Daily!$A:$A, $A20, Raw_Data_Daily!$C:$C, $C$3),""))</f>
        <v/>
      </c>
      <c r="CU20" s="242" t="str">
        <f>IF($A20="","",IFERROR(SUMPRODUCT((Raw_Data_Daily!$B$2:$B$9999="Variant")*(Raw_Data_Daily!$A$2:$A$9999=$A20)*(Raw_Data_Daily!$C$2:$C$9999=$C$3)*Raw_Data_Daily!$D$2:$D$9999*Raw_Data_Daily!$AI$2:$AI$9999)/SUMIFS(Raw_Data_Daily!$D:$D, Raw_Data_Daily!$B:$B, "Variant", Raw_Data_Daily!$A:$A, $A20, Raw_Data_Daily!$C:$C, $C$3),""))</f>
        <v/>
      </c>
      <c r="CV20" s="249" t="str">
        <f t="shared" si="33"/>
        <v/>
      </c>
      <c r="CW20" s="242" t="str">
        <f>IF($A20="","",IFERROR(SUMPRODUCT((Raw_Data_Daily!$B$2:$B$9999="Control")*(Raw_Data_Daily!$A$2:$A$9999=$A20)*(Raw_Data_Daily!$C$2:$C$9999=$C$3)*Raw_Data_Daily!$D$2:$D$9999*Raw_Data_Daily!$AJ$2:$AJ$9999)/SUMIFS(Raw_Data_Daily!$D:$D, Raw_Data_Daily!$B:$B, "Control", Raw_Data_Daily!$A:$A, $A20, Raw_Data_Daily!$C:$C, $C$3),""))</f>
        <v/>
      </c>
      <c r="CX20" s="242" t="str">
        <f>IF($A20="","",IFERROR(SUMPRODUCT((Raw_Data_Daily!$B$2:$B$9999="Variant")*(Raw_Data_Daily!$A$2:$A$9999=$A20)*(Raw_Data_Daily!$C$2:$C$9999=$C$3)*Raw_Data_Daily!$D$2:$D$9999*Raw_Data_Daily!$AJ$2:$AJ$9999)/SUMIFS(Raw_Data_Daily!$D:$D, Raw_Data_Daily!$B:$B, "Variant", Raw_Data_Daily!$A:$A, $A20, Raw_Data_Daily!$C:$C, $C$3),""))</f>
        <v/>
      </c>
      <c r="CY20" s="249" t="str">
        <f t="shared" si="34"/>
        <v/>
      </c>
      <c r="CZ20" s="242" t="str">
        <f>IF($A20="","",IFERROR(SUMPRODUCT((Raw_Data_Daily!$B$2:$B$9999="Control")*(Raw_Data_Daily!$A$2:$A$9999=$A20)*(Raw_Data_Daily!$C$2:$C$9999=$C$3)*Raw_Data_Daily!$D$2:$D$9999*Raw_Data_Daily!$AK$2:$AK$9999)/SUMIFS(Raw_Data_Daily!$D:$D, Raw_Data_Daily!$B:$B, "Control", Raw_Data_Daily!$A:$A, $A20, Raw_Data_Daily!$C:$C, $C$3),""))</f>
        <v/>
      </c>
      <c r="DA20" s="242" t="str">
        <f>IF($A20="","",IFERROR(SUMPRODUCT((Raw_Data_Daily!$B$2:$B$9999="Variant")*(Raw_Data_Daily!$A$2:$A$9999=$A20)*(Raw_Data_Daily!$C$2:$C$9999=$C$3)*Raw_Data_Daily!$D$2:$D$9999*Raw_Data_Daily!$AK$2:$AK$9999)/SUMIFS(Raw_Data_Daily!$D:$D, Raw_Data_Daily!$B:$B, "Variant", Raw_Data_Daily!$A:$A, $A20, Raw_Data_Daily!$C:$C, $C$3),""))</f>
        <v/>
      </c>
      <c r="DB20" s="244" t="str">
        <f t="shared" si="35"/>
        <v/>
      </c>
      <c r="DC20" s="248" t="str">
        <f>IF($A20="","",IFERROR(SUMPRODUCT((Raw_Data_Daily!$B$2:$B$9999="Control")*(Raw_Data_Daily!$A$2:$A$9999=$A20)*(Raw_Data_Daily!$C$2:$C$9999=$C$3)*Raw_Data_Daily!$D$2:$D$9999*Raw_Data_Daily!$AL$2:$AL$9999)/SUMIFS(Raw_Data_Daily!$D:$D, Raw_Data_Daily!$B:$B, "Control", Raw_Data_Daily!$A:$A, $A20, Raw_Data_Daily!$C:$C, $C$3),""))</f>
        <v/>
      </c>
      <c r="DD20" s="248" t="str">
        <f>IF($A20="","",IFERROR(SUMPRODUCT((Raw_Data_Daily!$B$2:$B$9999="Variant")*(Raw_Data_Daily!$A$2:$A$9999=$A20)*(Raw_Data_Daily!$C$2:$C$9999=$C$3)*Raw_Data_Daily!$D$2:$D$9999*Raw_Data_Daily!$AL$2:$AL$9999)/SUMIFS(Raw_Data_Daily!$D:$D, Raw_Data_Daily!$B:$B, "Variant", Raw_Data_Daily!$A:$A, $A20, Raw_Data_Daily!$C:$C, $C$3),""))</f>
        <v/>
      </c>
      <c r="DE20" s="249" t="str">
        <f t="shared" si="36"/>
        <v/>
      </c>
      <c r="DF20" s="255"/>
      <c r="DG20" s="242" t="str">
        <f>IF($A20="","",IFERROR(SUMPRODUCT((Raw_Data_Daily!$B$2:$B$9999="Variant")*(Raw_Data_Daily!$A$2:$A$9999=$A20)*(Raw_Data_Daily!$C$2:$C$9999=$C$3)*Raw_Data_Daily!$D$2:$D$9999*Raw_Data_Daily!$AM$2:$AM$9999)/SUMIFS(Raw_Data_Daily!$D:$D, Raw_Data_Daily!$B:$B, "Variant", Raw_Data_Daily!$A:$A, $A20, Raw_Data_Daily!$C:$C, $C$3),""))</f>
        <v/>
      </c>
      <c r="DH20" s="256"/>
      <c r="DI20" s="255"/>
      <c r="DJ20" s="242" t="str">
        <f>IF($A20="","",IFERROR(SUMPRODUCT((Raw_Data_Daily!$B$2:$B$9999="Variant")*(Raw_Data_Daily!$A$2:$A$9999=$A20)*(Raw_Data_Daily!$C$2:$C$9999=$C$3)*Raw_Data_Daily!$D$2:$D$9999*Raw_Data_Daily!$AN$2:$AN$9999)/SUMIFS(Raw_Data_Daily!$D:$D, Raw_Data_Daily!$B:$B, "Variant", Raw_Data_Daily!$A:$A, $A20, Raw_Data_Daily!$C:$C, $C$3),""))</f>
        <v/>
      </c>
      <c r="DK20" s="256"/>
      <c r="DL20" s="255"/>
      <c r="DM20" s="242" t="str">
        <f>IF($A20="","",IFERROR(SUMPRODUCT((Raw_Data_Daily!$B$2:$B$9999="Variant")*(Raw_Data_Daily!$A$2:$A$9999=$A20)*(Raw_Data_Daily!$C$2:$C$9999=$C$3)*Raw_Data_Daily!$D$2:$D$9999*Raw_Data_Daily!$AO$2:$AO$9999)/SUMIFS(Raw_Data_Daily!$D:$D, Raw_Data_Daily!$B:$B, "Variant", Raw_Data_Daily!$A:$A, $A20, Raw_Data_Daily!$C:$C, $C$3),""))</f>
        <v/>
      </c>
      <c r="DN20" s="256"/>
      <c r="DO20" s="255"/>
      <c r="DP20" s="242" t="str">
        <f>IF($A20="","",IFERROR(SUMPRODUCT((Raw_Data_Daily!$B$2:$B$9999="Variant")*(Raw_Data_Daily!$A$2:$A$9999=$A20)*(Raw_Data_Daily!$C$2:$C$9999=$C$3)*Raw_Data_Daily!$D$2:$D$9999*Raw_Data_Daily!$AP$2:$AP$9999)/SUMIFS(Raw_Data_Daily!$D:$D, Raw_Data_Daily!$B:$B, "Variant", Raw_Data_Daily!$A:$A, $A20, Raw_Data_Daily!$C:$C, $C$3),""))</f>
        <v/>
      </c>
      <c r="DQ20" s="256"/>
      <c r="DR20" s="248" t="str">
        <f>IF($A20="","",IFERROR(SUMPRODUCT((Raw_Data_Daily!$B$2:$B$9999="Control")*(Raw_Data_Daily!$A$2:$A$9999=$A20)*(Raw_Data_Daily!$C$2:$C$9999=$C$3)*Raw_Data_Daily!$D$2:$D$9999*Raw_Data_Daily!$AQ$2:$AQ$9999)/SUMIFS(Raw_Data_Daily!$D:$D, Raw_Data_Daily!$B:$B, "Control", Raw_Data_Daily!$A:$A, $A20, Raw_Data_Daily!$C:$C, $C$3),""))</f>
        <v/>
      </c>
      <c r="DS20" s="248" t="str">
        <f>IF($A20="","",IFERROR(SUMPRODUCT((Raw_Data_Daily!$B$2:$B$9999="Variant")*(Raw_Data_Daily!$A$2:$A$9999=$A20)*(Raw_Data_Daily!$C$2:$C$9999=$C$3)*Raw_Data_Daily!$D$2:$D$9999*Raw_Data_Daily!$AQ$2:$AQ$9999)/SUMIFS(Raw_Data_Daily!$D:$D, Raw_Data_Daily!$B:$B, "Variant", Raw_Data_Daily!$A:$A, $A20, Raw_Data_Daily!$C:$C, $C$3),""))</f>
        <v/>
      </c>
      <c r="DT20" s="257" t="str">
        <f t="shared" si="37"/>
        <v/>
      </c>
      <c r="DU20" s="248" t="str">
        <f>IF($A20="","",IFERROR(SUMPRODUCT((Raw_Data_Daily!$B$2:$B$9999="Control")*(Raw_Data_Daily!$A$2:$A$9999=$A20)*(Raw_Data_Daily!$C$2:$C$9999=$C$3)*Raw_Data_Daily!$D$2:$D$9999*Raw_Data_Daily!$AR$2:$AR$9999)/SUMIFS(Raw_Data_Daily!$D:$D, Raw_Data_Daily!$B:$B, "Control", Raw_Data_Daily!$A:$A, $A20, Raw_Data_Daily!$C:$C, $C$3),""))</f>
        <v/>
      </c>
      <c r="DV20" s="248" t="str">
        <f>IF($A20="","",IFERROR(SUMPRODUCT((Raw_Data_Daily!$B$2:$B$9999="Variant")*(Raw_Data_Daily!$A$2:$A$9999=$A20)*(Raw_Data_Daily!$C$2:$C$9999=$C$3)*Raw_Data_Daily!$D$2:$D$9999*Raw_Data_Daily!$AR$2:$AR$9999)/SUMIFS(Raw_Data_Daily!$D:$D, Raw_Data_Daily!$B:$B, "Variant", Raw_Data_Daily!$A:$A, $A20, Raw_Data_Daily!$C:$C, $C$3),""))</f>
        <v/>
      </c>
      <c r="DW20" s="257" t="str">
        <f t="shared" si="38"/>
        <v/>
      </c>
      <c r="DX20" s="248" t="str">
        <f>IF($A20="","",IFERROR(SUMPRODUCT((Raw_Data_Daily!$B$2:$B$9999="Control")*(Raw_Data_Daily!$A$2:$A$9999=$A20)*(Raw_Data_Daily!$C$2:$C$9999=$C$3)*Raw_Data_Daily!$D$2:$D$9999*Raw_Data_Daily!$AS$2:$AS$9999)/SUMIFS(Raw_Data_Daily!$D:$D, Raw_Data_Daily!$B:$B, "Control", Raw_Data_Daily!$A:$A, $A20, Raw_Data_Daily!$C:$C, $C$3),""))</f>
        <v/>
      </c>
      <c r="DY20" s="248" t="str">
        <f>IF($A20="","",IFERROR(SUMPRODUCT((Raw_Data_Daily!$B$2:$B$9999="Variant")*(Raw_Data_Daily!$A$2:$A$9999=$A20)*(Raw_Data_Daily!$C$2:$C$9999=$C$3)*Raw_Data_Daily!$D$2:$D$9999*Raw_Data_Daily!$AS$2:$AS$9999)/SUMIFS(Raw_Data_Daily!$D:$D, Raw_Data_Daily!$B:$B, "Variant", Raw_Data_Daily!$A:$A, $A20, Raw_Data_Daily!$C:$C, $C$3),""))</f>
        <v/>
      </c>
      <c r="DZ20" s="257" t="str">
        <f t="shared" si="39"/>
        <v/>
      </c>
      <c r="EA20" s="248" t="str">
        <f>IF($A20="","",IFERROR(SUMPRODUCT((Raw_Data_Daily!$B$2:$B$9999="Control")*(Raw_Data_Daily!$A$2:$A$9999=$A20)*(Raw_Data_Daily!$C$2:$C$9999=$C$3)*Raw_Data_Daily!$D$2:$D$9999*Raw_Data_Daily!$AT$2:$AT$9999)/SUMIFS(Raw_Data_Daily!$D:$D, Raw_Data_Daily!$B:$B, "Control", Raw_Data_Daily!$A:$A, $A20, Raw_Data_Daily!$C:$C, $C$3),""))</f>
        <v/>
      </c>
      <c r="EB20" s="248" t="str">
        <f>IF($A20="","",IFERROR(SUMPRODUCT((Raw_Data_Daily!$B$2:$B$9999="Variant")*(Raw_Data_Daily!$A$2:$A$9999=$A20)*(Raw_Data_Daily!$C$2:$C$9999=$C$3)*Raw_Data_Daily!$D$2:$D$9999*Raw_Data_Daily!$AT$2:$AT$9999)/SUMIFS(Raw_Data_Daily!$D:$D, Raw_Data_Daily!$B:$B, "Variant", Raw_Data_Daily!$A:$A, $A20, Raw_Data_Daily!$C:$C, $C$3),""))</f>
        <v/>
      </c>
      <c r="EC20" s="257" t="str">
        <f t="shared" si="40"/>
        <v/>
      </c>
      <c r="ED20" s="248" t="str">
        <f>IF($A20="","",IFERROR(SUMPRODUCT((Raw_Data_Daily!$B$2:$B$9999="Control")*(Raw_Data_Daily!$A$2:$A$9999=$A20)*(Raw_Data_Daily!$C$2:$C$9999=$C$3)*Raw_Data_Daily!$D$2:$D$9999*(Raw_Data_Daily!$AQ$2:$AQ$9999-Raw_Data_Daily!$AT$2:$AT$9999))/SUMIFS(Raw_Data_Daily!$D:$D, Raw_Data_Daily!$B:$B, "Control", Raw_Data_Daily!$A:$A, $A20, Raw_Data_Daily!$C:$C, $C$3),""))</f>
        <v/>
      </c>
      <c r="EE20" s="248" t="str">
        <f>IF($A20="","",IFERROR(SUMPRODUCT((Raw_Data_Daily!$B$2:$B$9999="Variant")*(Raw_Data_Daily!$A$2:$A$9999=$A20)*(Raw_Data_Daily!$C$2:$C$9999=$C$3)*Raw_Data_Daily!$D$2:$D$9999*(Raw_Data_Daily!$AQ$2:$AQ$9999-Raw_Data_Daily!$AT$2:$AT$9999))/SUMIFS(Raw_Data_Daily!$D:$D, Raw_Data_Daily!$B:$B, "Variant", Raw_Data_Daily!$A:$A, $A20, Raw_Data_Daily!$C:$C, $C$3),""))</f>
        <v/>
      </c>
      <c r="EF20" s="257" t="str">
        <f t="shared" si="41"/>
        <v/>
      </c>
      <c r="EG20" s="248" t="str">
        <f>IF($A20="","",IFERROR(SUMPRODUCT((Raw_Data_Daily!$B$2:$B$9999="Control")*(Raw_Data_Daily!$A$2:$A$9999=$A20)*(Raw_Data_Daily!$C$2:$C$9999=$C$3)*Raw_Data_Daily!$D$2:$D$9999*Raw_Data_Daily!$AU$2:$AU$9999)/SUMIFS(Raw_Data_Daily!$D:$D, Raw_Data_Daily!$B:$B, "Control", Raw_Data_Daily!$A:$A, $A20, Raw_Data_Daily!$C:$C, $C$3),""))</f>
        <v/>
      </c>
      <c r="EH20" s="248" t="str">
        <f>IF($A20="","",IFERROR(SUMPRODUCT((Raw_Data_Daily!$B$2:$B$9999="Variant")*(Raw_Data_Daily!$A$2:$A$9999=$A20)*(Raw_Data_Daily!$C$2:$C$9999=$C$3)*Raw_Data_Daily!$D$2:$D$9999*Raw_Data_Daily!$AU$2:$AU$9999)/SUMIFS(Raw_Data_Daily!$D:$D, Raw_Data_Daily!$B:$B, "Variant", Raw_Data_Daily!$A:$A, $A20, Raw_Data_Daily!$C:$C, $C$3),""))</f>
        <v/>
      </c>
      <c r="EI20" s="257" t="str">
        <f t="shared" si="42"/>
        <v/>
      </c>
    </row>
    <row r="21" ht="15.75" customHeight="1">
      <c r="A21" s="126">
        <v>46244.0</v>
      </c>
      <c r="B21" s="128">
        <f>IF($A21="","",SUMIFS(Raw_Data_Daily!$D:$D, Raw_Data_Daily!$B:$B, "Control", Raw_Data_Daily!$A:$A, $A21, Raw_Data_Daily!$C:$C, $C$3))</f>
        <v>0</v>
      </c>
      <c r="C21" s="128">
        <f>IF($A21="","",SUMIFS(Raw_Data_Daily!$D:$D, Raw_Data_Daily!$B:$B, "Variant", Raw_Data_Daily!$A:$A, $A21, Raw_Data_Daily!$C:$C, $C$3))</f>
        <v>0</v>
      </c>
      <c r="D21" s="129" t="str">
        <f t="shared" si="1"/>
        <v/>
      </c>
      <c r="E21" s="130" t="str">
        <f>IF($A21="","",IFERROR(SUMPRODUCT((Raw_Data_Daily!$B$2:$B$9999="Control")*(Raw_Data_Daily!$A$2:$A$9999=$A21)*(Raw_Data_Daily!$C$2:$C$9999=$C$3)*Raw_Data_Daily!$D$2:$D$9999*Raw_Data_Daily!$E$2:$E$9999)/SUMIFS(Raw_Data_Daily!$D:$D, Raw_Data_Daily!$B:$B, "Control", Raw_Data_Daily!$A:$A, $A21, Raw_Data_Daily!$C:$C, $C$3),""))</f>
        <v/>
      </c>
      <c r="F21" s="130" t="str">
        <f>IF($A21="","",IFERROR(SUMPRODUCT((Raw_Data_Daily!$B$2:$B$9999="Variant")*(Raw_Data_Daily!$A$2:$A$9999=$A21)*(Raw_Data_Daily!$C$2:$C$9999=$C$3)*Raw_Data_Daily!$D$2:$D$9999*Raw_Data_Daily!$E$2:$E$9999)/SUMIFS(Raw_Data_Daily!$D:$D, Raw_Data_Daily!$B:$B, "Variant", Raw_Data_Daily!$A:$A, $A21, Raw_Data_Daily!$C:$C, $C$3),""))</f>
        <v/>
      </c>
      <c r="G21" s="129" t="str">
        <f t="shared" si="2"/>
        <v/>
      </c>
      <c r="H21" s="131">
        <f>IF($A21="","",SUMIFS(Raw_Data_Daily!$F:$F, Raw_Data_Daily!$B:$B, "Control", Raw_Data_Daily!$A:$A, $A21, Raw_Data_Daily!$C:$C, $C$3))</f>
        <v>0</v>
      </c>
      <c r="I21" s="131">
        <f>IF($A21="","",SUMIFS(Raw_Data_Daily!$F:$F, Raw_Data_Daily!$B:$B, "Variant", Raw_Data_Daily!$A:$A, $A21, Raw_Data_Daily!$C:$C, $C$3))</f>
        <v>0</v>
      </c>
      <c r="J21" s="132" t="str">
        <f t="shared" si="3"/>
        <v/>
      </c>
      <c r="K21" s="134" t="str">
        <f>IF($A21="","",IFERROR(SUMIFS(Raw_Data_Daily!$F:$F, Raw_Data_Daily!$B:$B, "Control", Raw_Data_Daily!$A:$A, $A21, Raw_Data_Daily!$C:$C, $C$3)/SUMIFS(Raw_Data_Daily!$D:$D, Raw_Data_Daily!$B:$B, "Control", Raw_Data_Daily!$A:$A, $A21, Raw_Data_Daily!$C:$C, $C$3),""))</f>
        <v/>
      </c>
      <c r="L21" s="134" t="str">
        <f>IF($A21="","",IFERROR(SUMIFS(Raw_Data_Daily!$F:$F, Raw_Data_Daily!$B:$B, "Variant", Raw_Data_Daily!$A:$A, $A21, Raw_Data_Daily!$C:$C, $C$3)/SUMIFS(Raw_Data_Daily!$D:$D, Raw_Data_Daily!$B:$B, "Variant", Raw_Data_Daily!$A:$A, $A21, Raw_Data_Daily!$C:$C, $C$3),""))</f>
        <v/>
      </c>
      <c r="M21" s="132" t="str">
        <f t="shared" si="4"/>
        <v/>
      </c>
      <c r="N21" s="130" t="str">
        <f>IF($A21="","",IFERROR(SUMPRODUCT((Raw_Data_Daily!$B$2:$B$9999="Control")*(Raw_Data_Daily!$A$2:$A$9999=$A21)*(Raw_Data_Daily!$C$2:$C$9999=$C$3)*Raw_Data_Daily!$D$2:$D$9999*Raw_Data_Daily!$H$2:$H$9999/100)/SUMIFS(Raw_Data_Daily!$D:$D, Raw_Data_Daily!$B:$B, "Control", Raw_Data_Daily!$A:$A, $A21, Raw_Data_Daily!$C:$C, $C$3)*100,""))</f>
        <v/>
      </c>
      <c r="O21" s="130" t="str">
        <f>IF($A21="","",IFERROR(SUMPRODUCT((Raw_Data_Daily!$B$2:$B$9999="Variant")*(Raw_Data_Daily!$A$2:$A$9999=$A21)*(Raw_Data_Daily!$C$2:$C$9999=$C$3)*Raw_Data_Daily!$D$2:$D$9999*Raw_Data_Daily!$H$2:$H$9999/100)/SUMIFS(Raw_Data_Daily!$D:$D, Raw_Data_Daily!$B:$B, "Variant", Raw_Data_Daily!$A:$A, $A21, Raw_Data_Daily!$C:$C, $C$3)*100,""))</f>
        <v/>
      </c>
      <c r="P21" s="132" t="str">
        <f t="shared" si="5"/>
        <v/>
      </c>
      <c r="Q21" s="134" t="str">
        <f>IF($A21="","",IFERROR(SUMIFS(Raw_Data_Daily!$F:$F, Raw_Data_Daily!$B:$B, "Control", Raw_Data_Daily!$A:$A, $A21, Raw_Data_Daily!$C:$C, $C$3)/SUMPRODUCT((Raw_Data_Daily!$B$2:$B$9999="Control")*(Raw_Data_Daily!$A$2:$A$9999=$A21)*(Raw_Data_Daily!$C$2:$C$9999=$C$3)*Raw_Data_Daily!$D$2:$D$9999*Raw_Data_Daily!$H$2:$H$9999/100),""))</f>
        <v/>
      </c>
      <c r="R21" s="134" t="str">
        <f>IF($A21="","",IFERROR(SUMIFS(Raw_Data_Daily!$F:$F, Raw_Data_Daily!$B:$B, "Variant", Raw_Data_Daily!$A:$A, $A21, Raw_Data_Daily!$C:$C, $C$3)/SUMPRODUCT((Raw_Data_Daily!$B$2:$B$9999="Variant")*(Raw_Data_Daily!$A$2:$A$9999=$A21)*(Raw_Data_Daily!$C$2:$C$9999=$C$3)*Raw_Data_Daily!$D$2:$D$9999*Raw_Data_Daily!$H$2:$H$9999/100),""))</f>
        <v/>
      </c>
      <c r="S21" s="132" t="str">
        <f t="shared" si="6"/>
        <v/>
      </c>
      <c r="T21" s="137" t="str">
        <f>IF($A21="","",IFERROR(SUMPRODUCT((Raw_Data_Daily!$B$2:$B$9999="Control")*(Raw_Data_Daily!$A$2:$A$9999=$A21)*(Raw_Data_Daily!$C$2:$C$9999=$C$3)*Raw_Data_Daily!$D$2:$D$9999*Raw_Data_Daily!$J$2:$J$9999)/SUMIFS(Raw_Data_Daily!$D:$D, Raw_Data_Daily!$B:$B, "Control", Raw_Data_Daily!$A:$A, $A21, Raw_Data_Daily!$C:$C, $C$3),""))</f>
        <v/>
      </c>
      <c r="U21" s="137" t="str">
        <f>IF($A21="","",IFERROR(SUMPRODUCT((Raw_Data_Daily!$B$2:$B$9999="Variant")*(Raw_Data_Daily!$A$2:$A$9999=$A21)*(Raw_Data_Daily!$C$2:$C$9999=$C$3)*Raw_Data_Daily!$D$2:$D$9999*Raw_Data_Daily!$J$2:$J$9999)/SUMIFS(Raw_Data_Daily!$D:$D, Raw_Data_Daily!$B:$B, "Variant", Raw_Data_Daily!$A:$A, $A21, Raw_Data_Daily!$C:$C, $C$3),""))</f>
        <v/>
      </c>
      <c r="V21" s="132" t="str">
        <f t="shared" si="7"/>
        <v/>
      </c>
      <c r="W21" s="137" t="str">
        <f>IF($A21="","",IFERROR(SUMPRODUCT((Raw_Data_Daily!$B$2:$B$9999="Control")*(Raw_Data_Daily!$A$2:$A$9999=$A21)*(Raw_Data_Daily!$C$2:$C$9999=$C$3)*Raw_Data_Daily!$D$2:$D$9999*Raw_Data_Daily!$K$2:$K$9999)/SUMIFS(Raw_Data_Daily!$D:$D, Raw_Data_Daily!$B:$B, "Control", Raw_Data_Daily!$A:$A, $A21, Raw_Data_Daily!$C:$C, $C$3),""))</f>
        <v/>
      </c>
      <c r="X21" s="137" t="str">
        <f>IF($A21="","",IFERROR(SUMPRODUCT((Raw_Data_Daily!$B$2:$B$9999="Variant")*(Raw_Data_Daily!$A$2:$A$9999=$A21)*(Raw_Data_Daily!$C$2:$C$9999=$C$3)*Raw_Data_Daily!$D$2:$D$9999*Raw_Data_Daily!$K$2:$K$9999)/SUMIFS(Raw_Data_Daily!$D:$D, Raw_Data_Daily!$B:$B, "Variant", Raw_Data_Daily!$A:$A, $A21, Raw_Data_Daily!$C:$C, $C$3),""))</f>
        <v/>
      </c>
      <c r="Y21" s="132" t="str">
        <f t="shared" si="8"/>
        <v/>
      </c>
      <c r="Z21" s="137" t="str">
        <f>IF($A21="","",IFERROR(SUMPRODUCT((Raw_Data_Daily!$B$2:$B$9999="Control")*(Raw_Data_Daily!$A$2:$A$9999=$A21)*(Raw_Data_Daily!$C$2:$C$9999=$C$3)*Raw_Data_Daily!$D$2:$D$9999*Raw_Data_Daily!$L$2:$L$9999)/SUMIFS(Raw_Data_Daily!$D:$D, Raw_Data_Daily!$B:$B, "Control", Raw_Data_Daily!$A:$A, $A21, Raw_Data_Daily!$C:$C, $C$3),""))</f>
        <v/>
      </c>
      <c r="AA21" s="137" t="str">
        <f>IF($A21="","",IFERROR(SUMPRODUCT((Raw_Data_Daily!$B$2:$B$9999="Variant")*(Raw_Data_Daily!$A$2:$A$9999=$A21)*(Raw_Data_Daily!$C$2:$C$9999=$C$3)*Raw_Data_Daily!$D$2:$D$9999*Raw_Data_Daily!$L$2:$L$9999)/SUMIFS(Raw_Data_Daily!$D:$D, Raw_Data_Daily!$B:$B, "Variant", Raw_Data_Daily!$A:$A, $A21, Raw_Data_Daily!$C:$C, $C$3),""))</f>
        <v/>
      </c>
      <c r="AB21" s="132" t="str">
        <f t="shared" si="9"/>
        <v/>
      </c>
      <c r="AC21" s="139" t="str">
        <f>IF($A21="","",IFERROR(SUMPRODUCT((Raw_Data_Daily!$B$2:$B$9999="Control")*(Raw_Data_Daily!$A$2:$A$9999=$A21)*(Raw_Data_Daily!$C$2:$C$9999=$C$3)*Raw_Data_Daily!$D$2:$D$9999*Raw_Data_Daily!$M$2:$M$9999)/SUMIFS(Raw_Data_Daily!$D:$D, Raw_Data_Daily!$B:$B, "Control", Raw_Data_Daily!$A:$A, $A21, Raw_Data_Daily!$C:$C, $C$3),""))</f>
        <v/>
      </c>
      <c r="AD21" s="139" t="str">
        <f>IF($A21="","",IFERROR(SUMPRODUCT((Raw_Data_Daily!$B$2:$B$9999="Variant")*(Raw_Data_Daily!$A$2:$A$9999=$A21)*(Raw_Data_Daily!$C$2:$C$9999=$C$3)*Raw_Data_Daily!$D$2:$D$9999*Raw_Data_Daily!$M$2:$M$9999)/SUMIFS(Raw_Data_Daily!$D:$D, Raw_Data_Daily!$B:$B, "Variant", Raw_Data_Daily!$A:$A, $A21, Raw_Data_Daily!$C:$C, $C$3),""))</f>
        <v/>
      </c>
      <c r="AE21" s="140" t="str">
        <f t="shared" si="10"/>
        <v/>
      </c>
      <c r="AF21" s="139" t="str">
        <f>IF($A21="","",IFERROR(SUMPRODUCT((Raw_Data_Daily!$B$2:$B$9999="Control")*(Raw_Data_Daily!$A$2:$A$9999=$A21)*(Raw_Data_Daily!$C$2:$C$9999=$C$3)*Raw_Data_Daily!$D$2:$D$9999*Raw_Data_Daily!$N$2:$N$9999)/SUMIFS(Raw_Data_Daily!$D:$D, Raw_Data_Daily!$B:$B, "Control", Raw_Data_Daily!$A:$A, $A21, Raw_Data_Daily!$C:$C, $C$3),""))</f>
        <v/>
      </c>
      <c r="AG21" s="139" t="str">
        <f>IF($A21="","",IFERROR(SUMPRODUCT((Raw_Data_Daily!$B$2:$B$9999="Variant")*(Raw_Data_Daily!$A$2:$A$9999=$A21)*(Raw_Data_Daily!$C$2:$C$9999=$C$3)*Raw_Data_Daily!$D$2:$D$9999*Raw_Data_Daily!$N$2:$N$9999)/SUMIFS(Raw_Data_Daily!$D:$D, Raw_Data_Daily!$B:$B, "Variant", Raw_Data_Daily!$A:$A, $A21, Raw_Data_Daily!$C:$C, $C$3),""))</f>
        <v/>
      </c>
      <c r="AH21" s="140" t="str">
        <f t="shared" si="11"/>
        <v/>
      </c>
      <c r="AI21" s="139" t="str">
        <f>IF($A21="","",IFERROR(SUMPRODUCT((Raw_Data_Daily!$B$2:$B$9999="Control")*(Raw_Data_Daily!$A$2:$A$9999=$A21)*(Raw_Data_Daily!$C$2:$C$9999=$C$3)*Raw_Data_Daily!$D$2:$D$9999*Raw_Data_Daily!$O$2:$O$9999)/SUMIFS(Raw_Data_Daily!$D:$D, Raw_Data_Daily!$B:$B, "Control", Raw_Data_Daily!$A:$A, $A21, Raw_Data_Daily!$C:$C, $C$3),""))</f>
        <v/>
      </c>
      <c r="AJ21" s="139" t="str">
        <f>IF($A21="","",IFERROR(SUMPRODUCT((Raw_Data_Daily!$B$2:$B$9999="Variant")*(Raw_Data_Daily!$A$2:$A$9999=$A21)*(Raw_Data_Daily!$C$2:$C$9999=$C$3)*Raw_Data_Daily!$D$2:$D$9999*Raw_Data_Daily!$O$2:$O$9999)/SUMIFS(Raw_Data_Daily!$D:$D, Raw_Data_Daily!$B:$B, "Variant", Raw_Data_Daily!$A:$A, $A21, Raw_Data_Daily!$C:$C, $C$3),""))</f>
        <v/>
      </c>
      <c r="AK21" s="132" t="str">
        <f t="shared" si="12"/>
        <v/>
      </c>
      <c r="AL21" s="137" t="str">
        <f>IF($A21="","",IFERROR(SUMPRODUCT((Raw_Data_Daily!$B$2:$B$9999="Control")*(Raw_Data_Daily!$A$2:$A$9999=$A21)*(Raw_Data_Daily!$C$2:$C$9999=$C$3)*Raw_Data_Daily!$D$2:$D$9999*Raw_Data_Daily!$P$2:$P$9999)/SUMIFS(Raw_Data_Daily!$D:$D, Raw_Data_Daily!$B:$B, "Control", Raw_Data_Daily!$A:$A, $A21, Raw_Data_Daily!$C:$C, $C$3),""))</f>
        <v/>
      </c>
      <c r="AM21" s="137" t="str">
        <f>IF($A21="","",IFERROR(SUMPRODUCT((Raw_Data_Daily!$B$2:$B$9999="Variant")*(Raw_Data_Daily!$A$2:$A$9999=$A21)*(Raw_Data_Daily!$C$2:$C$9999=$C$3)*Raw_Data_Daily!$D$2:$D$9999*Raw_Data_Daily!$P$2:$P$9999)/SUMIFS(Raw_Data_Daily!$D:$D, Raw_Data_Daily!$B:$B, "Variant", Raw_Data_Daily!$A:$A, $A21, Raw_Data_Daily!$C:$C, $C$3),""))</f>
        <v/>
      </c>
      <c r="AN21" s="132" t="str">
        <f t="shared" si="13"/>
        <v/>
      </c>
      <c r="AO21" s="137" t="str">
        <f>IF($A21="","",IFERROR(SUMPRODUCT((Raw_Data_Daily!$B$2:$B$9999="Control")*(Raw_Data_Daily!$A$2:$A$9999=$A21)*(Raw_Data_Daily!$C$2:$C$9999=$C$3)*Raw_Data_Daily!$D$2:$D$9999*Raw_Data_Daily!$Q$2:$Q$9999)/SUMIFS(Raw_Data_Daily!$D:$D, Raw_Data_Daily!$B:$B, "Control", Raw_Data_Daily!$A:$A, $A21, Raw_Data_Daily!$C:$C, $C$3),""))</f>
        <v/>
      </c>
      <c r="AP21" s="137" t="str">
        <f>IF($A21="","",IFERROR(SUMPRODUCT((Raw_Data_Daily!$B$2:$B$9999="Variant")*(Raw_Data_Daily!$A$2:$A$9999=$A21)*(Raw_Data_Daily!$C$2:$C$9999=$C$3)*Raw_Data_Daily!$D$2:$D$9999*Raw_Data_Daily!$Q$2:$Q$9999)/SUMIFS(Raw_Data_Daily!$D:$D, Raw_Data_Daily!$B:$B, "Variant", Raw_Data_Daily!$A:$A, $A21, Raw_Data_Daily!$C:$C, $C$3),""))</f>
        <v/>
      </c>
      <c r="AQ21" s="129" t="str">
        <f t="shared" si="14"/>
        <v/>
      </c>
      <c r="AR21" s="137" t="str">
        <f>IF($A21="","",IFERROR(SUMPRODUCT((Raw_Data_Daily!$B$2:$B$9999="Control")*(Raw_Data_Daily!$A$2:$A$9999=$A21)*(Raw_Data_Daily!$C$2:$C$9999=$C$3)*Raw_Data_Daily!$D$2:$D$9999*Raw_Data_Daily!$R$2:$R$9999)/SUMIFS(Raw_Data_Daily!$D:$D, Raw_Data_Daily!$B:$B, "Control", Raw_Data_Daily!$A:$A, $A21, Raw_Data_Daily!$C:$C, $C$3),""))</f>
        <v/>
      </c>
      <c r="AS21" s="137" t="str">
        <f>IF($A21="","",IFERROR(SUMPRODUCT((Raw_Data_Daily!$B$2:$B$9999="Variant")*(Raw_Data_Daily!$A$2:$A$9999=$A21)*(Raw_Data_Daily!$C$2:$C$9999=$C$3)*Raw_Data_Daily!$D$2:$D$9999*Raw_Data_Daily!$R$2:$R$9999)/SUMIFS(Raw_Data_Daily!$D:$D, Raw_Data_Daily!$B:$B, "Variant", Raw_Data_Daily!$A:$A, $A21, Raw_Data_Daily!$C:$C, $C$3),""))</f>
        <v/>
      </c>
      <c r="AT21" s="129" t="str">
        <f t="shared" si="15"/>
        <v/>
      </c>
      <c r="AU21" s="137" t="str">
        <f>IF($A21="","",IFERROR(SUMPRODUCT((Raw_Data_Daily!$B$2:$B$9999="Control")*(Raw_Data_Daily!$A$2:$A$9999=$A21)*(Raw_Data_Daily!$C$2:$C$9999=$C$3)*Raw_Data_Daily!$D$2:$D$9999*Raw_Data_Daily!$S$2:$S$9999)/SUMIFS(Raw_Data_Daily!$D:$D, Raw_Data_Daily!$B:$B, "Control", Raw_Data_Daily!$A:$A, $A21, Raw_Data_Daily!$C:$C, $C$3),""))</f>
        <v/>
      </c>
      <c r="AV21" s="137" t="str">
        <f>IF($A21="","",IFERROR(SUMPRODUCT((Raw_Data_Daily!$B$2:$B$9999="Variant")*(Raw_Data_Daily!$A$2:$A$9999=$A21)*(Raw_Data_Daily!$C$2:$C$9999=$C$3)*Raw_Data_Daily!$D$2:$D$9999*Raw_Data_Daily!$S$2:$S$9999)/SUMIFS(Raw_Data_Daily!$D:$D, Raw_Data_Daily!$B:$B, "Variant", Raw_Data_Daily!$A:$A, $A21, Raw_Data_Daily!$C:$C, $C$3),""))</f>
        <v/>
      </c>
      <c r="AW21" s="129" t="str">
        <f t="shared" si="16"/>
        <v/>
      </c>
      <c r="AX21" s="137" t="str">
        <f>IF($A21="","",IFERROR(SUMPRODUCT((Raw_Data_Daily!$B$2:$B$9999="Control")*(Raw_Data_Daily!$A$2:$A$9999=$A21)*(Raw_Data_Daily!$C$2:$C$9999=$C$3)*Raw_Data_Daily!$D$2:$D$9999*Raw_Data_Daily!$T$2:$T$9999)/SUMIFS(Raw_Data_Daily!$D:$D, Raw_Data_Daily!$B:$B, "Control", Raw_Data_Daily!$A:$A, $A21, Raw_Data_Daily!$C:$C, $C$3),""))</f>
        <v/>
      </c>
      <c r="AY21" s="137" t="str">
        <f>IF($A21="","",IFERROR(SUMPRODUCT((Raw_Data_Daily!$B$2:$B$9999="Variant")*(Raw_Data_Daily!$A$2:$A$9999=$A21)*(Raw_Data_Daily!$C$2:$C$9999=$C$3)*Raw_Data_Daily!$D$2:$D$9999*Raw_Data_Daily!$T$2:$T$9999)/SUMIFS(Raw_Data_Daily!$D:$D, Raw_Data_Daily!$B:$B, "Variant", Raw_Data_Daily!$A:$A, $A21, Raw_Data_Daily!$C:$C, $C$3),""))</f>
        <v/>
      </c>
      <c r="AZ21" s="132" t="str">
        <f t="shared" si="17"/>
        <v/>
      </c>
      <c r="BA21" s="137" t="str">
        <f>IF($A21="","",IFERROR(SUMPRODUCT((Raw_Data_Daily!$B$2:$B$9999="Control")*(Raw_Data_Daily!$A$2:$A$9999=$A21)*(Raw_Data_Daily!$C$2:$C$9999=$C$3)*Raw_Data_Daily!$D$2:$D$9999*Raw_Data_Daily!$U$2:$U$9999)/SUMIFS(Raw_Data_Daily!$D:$D, Raw_Data_Daily!$B:$B, "Control", Raw_Data_Daily!$A:$A, $A21, Raw_Data_Daily!$C:$C, $C$3),""))</f>
        <v/>
      </c>
      <c r="BB21" s="137" t="str">
        <f>IF($A21="","",IFERROR(SUMPRODUCT((Raw_Data_Daily!$B$2:$B$9999="Variant")*(Raw_Data_Daily!$A$2:$A$9999=$A21)*(Raw_Data_Daily!$C$2:$C$9999=$C$3)*Raw_Data_Daily!$D$2:$D$9999*Raw_Data_Daily!$U$2:$U$9999)/SUMIFS(Raw_Data_Daily!$D:$D, Raw_Data_Daily!$B:$B, "Variant", Raw_Data_Daily!$A:$A, $A21, Raw_Data_Daily!$C:$C, $C$3),""))</f>
        <v/>
      </c>
      <c r="BC21" s="129" t="str">
        <f t="shared" si="18"/>
        <v/>
      </c>
      <c r="BD21" s="137" t="str">
        <f>IF($A21="","",IFERROR(SUMPRODUCT((Raw_Data_Daily!$B$2:$B$9999="Control")*(Raw_Data_Daily!$A$2:$A$9999=$A21)*(Raw_Data_Daily!$C$2:$C$9999=$C$3)*Raw_Data_Daily!$D$2:$D$9999*Raw_Data_Daily!$V$2:$V$9999)/SUMIFS(Raw_Data_Daily!$D:$D, Raw_Data_Daily!$B:$B, "Control", Raw_Data_Daily!$A:$A, $A21, Raw_Data_Daily!$C:$C, $C$3),""))</f>
        <v/>
      </c>
      <c r="BE21" s="137" t="str">
        <f>IF($A21="","",IFERROR(SUMPRODUCT((Raw_Data_Daily!$B$2:$B$9999="Variant")*(Raw_Data_Daily!$A$2:$A$9999=$A21)*(Raw_Data_Daily!$C$2:$C$9999=$C$3)*Raw_Data_Daily!$D$2:$D$9999*Raw_Data_Daily!$V$2:$V$9999)/SUMIFS(Raw_Data_Daily!$D:$D, Raw_Data_Daily!$B:$B, "Variant", Raw_Data_Daily!$A:$A, $A21, Raw_Data_Daily!$C:$C, $C$3),""))</f>
        <v/>
      </c>
      <c r="BF21" s="148" t="str">
        <f t="shared" si="19"/>
        <v/>
      </c>
      <c r="BG21" s="149" t="str">
        <f>IF($A21="","",IFERROR(SUMPRODUCT((Raw_Data_Daily!$B$2:$B$9999="Control")*(Raw_Data_Daily!$A$2:$A$9999=$A21)*(Raw_Data_Daily!$C$2:$C$9999=$C$3)*Raw_Data_Daily!$D$2:$D$9999*(Raw_Data_Daily!$Q$2:$Q$9999-Raw_Data_Daily!$V$2:$V$9999))/SUMIFS(Raw_Data_Daily!$D:$D, Raw_Data_Daily!$B:$B, "Control", Raw_Data_Daily!$A:$A, $A21, Raw_Data_Daily!$C:$C, $C$3),""))</f>
        <v/>
      </c>
      <c r="BH21" s="137" t="str">
        <f>IF($A21="","",IFERROR(SUMPRODUCT((Raw_Data_Daily!$B$2:$B$9999="Variant")*(Raw_Data_Daily!$A$2:$A$9999=$A21)*(Raw_Data_Daily!$C$2:$C$9999=$C$3)*Raw_Data_Daily!$D$2:$D$9999*(Raw_Data_Daily!$Q$2:$Q$9999-Raw_Data_Daily!$V$2:$V$9999))/SUMIFS(Raw_Data_Daily!$D:$D, Raw_Data_Daily!$B:$B, "Variant", Raw_Data_Daily!$A:$A, $A21, Raw_Data_Daily!$C:$C, $C$3),""))</f>
        <v/>
      </c>
      <c r="BI21" s="155" t="str">
        <f t="shared" si="20"/>
        <v/>
      </c>
      <c r="BJ21" s="156" t="str">
        <f>IF($A21="","",IFERROR(SUMPRODUCT((Raw_Data_Daily!$B$2:$B$9999="Control")*(Raw_Data_Daily!$A$2:$A$9999=$A21)*(Raw_Data_Daily!$C$2:$C$9999=$C$3)*Raw_Data_Daily!$D$2:$D$9999*Raw_Data_Daily!$W$2:$W$9999)/SUMIFS(Raw_Data_Daily!$D:$D, Raw_Data_Daily!$B:$B, "Control", Raw_Data_Daily!$A:$A, $A21, Raw_Data_Daily!$C:$C, $C$3),""))</f>
        <v/>
      </c>
      <c r="BK21" s="137" t="str">
        <f>IF($A21="","",IFERROR(SUMPRODUCT((Raw_Data_Daily!$B$2:$B$9999="Variant")*(Raw_Data_Daily!$A$2:$A$9999=$A21)*(Raw_Data_Daily!$C$2:$C$9999=$C$3)*Raw_Data_Daily!$D$2:$D$9999*Raw_Data_Daily!$W$2:$W$9999)/SUMIFS(Raw_Data_Daily!$D:$D, Raw_Data_Daily!$B:$B, "Variant", Raw_Data_Daily!$A:$A, $A21, Raw_Data_Daily!$C:$C, $C$3),""))</f>
        <v/>
      </c>
      <c r="BL21" s="129" t="str">
        <f t="shared" si="21"/>
        <v/>
      </c>
      <c r="BM21" s="139" t="str">
        <f>IF($A21="","",IFERROR(SUMPRODUCT((Raw_Data_Daily!$B$2:$B$9999="Control")*(Raw_Data_Daily!$A$2:$A$9999=$A21)*(Raw_Data_Daily!$C$2:$C$9999=$C$3)*Raw_Data_Daily!$D$2:$D$9999*Raw_Data_Daily!$X$2:$X$9999)/SUMIFS(Raw_Data_Daily!$D:$D, Raw_Data_Daily!$B:$B, "Control", Raw_Data_Daily!$A:$A, $A21, Raw_Data_Daily!$C:$C, $C$3),""))</f>
        <v/>
      </c>
      <c r="BN21" s="139" t="str">
        <f>IF($A21="","",IFERROR(SUMPRODUCT((Raw_Data_Daily!$B$2:$B$9999="Variant")*(Raw_Data_Daily!$A$2:$A$9999=$A21)*(Raw_Data_Daily!$C$2:$C$9999=$C$3)*Raw_Data_Daily!$D$2:$D$9999*Raw_Data_Daily!$X$2:$X$9999)/SUMIFS(Raw_Data_Daily!$D:$D, Raw_Data_Daily!$B:$B, "Variant", Raw_Data_Daily!$A:$A, $A21, Raw_Data_Daily!$C:$C, $C$3),""))</f>
        <v/>
      </c>
      <c r="BO21" s="132" t="str">
        <f t="shared" si="22"/>
        <v/>
      </c>
      <c r="BP21" s="128" t="str">
        <f>IF($A21="","",IFERROR(SUMPRODUCT((Raw_Data_Daily!$B$2:$B$9999="Control")*(Raw_Data_Daily!$A$2:$A$9999=$A21)*(Raw_Data_Daily!$C$2:$C$9999=$C$3)*Raw_Data_Daily!$D$2:$D$9999*Raw_Data_Daily!$Y$2:$Y$9999)/SUMIFS(Raw_Data_Daily!$D:$D, Raw_Data_Daily!$B:$B, "Control", Raw_Data_Daily!$A:$A, $A21, Raw_Data_Daily!$C:$C, $C$3),""))</f>
        <v/>
      </c>
      <c r="BQ21" s="128" t="str">
        <f>IF($A21="","",IFERROR(SUMPRODUCT((Raw_Data_Daily!$B$2:$B$9999="Variant")*(Raw_Data_Daily!$A$2:$A$9999=$A21)*(Raw_Data_Daily!$C$2:$C$9999=$C$3)*Raw_Data_Daily!$D$2:$D$9999*Raw_Data_Daily!$Y$2:$Y$9999)/SUMIFS(Raw_Data_Daily!$D:$D, Raw_Data_Daily!$B:$B, "Variant", Raw_Data_Daily!$A:$A, $A21, Raw_Data_Daily!$C:$C, $C$3),""))</f>
        <v/>
      </c>
      <c r="BR21" s="129" t="str">
        <f t="shared" si="23"/>
        <v/>
      </c>
      <c r="BS21" s="128" t="str">
        <f>IF($A21="","",IFERROR(SUMPRODUCT((Raw_Data_Daily!$B$2:$B$9999="Control")*(Raw_Data_Daily!$A$2:$A$9999=$A21)*(Raw_Data_Daily!$C$2:$C$9999=$C$3)*Raw_Data_Daily!$D$2:$D$9999*Raw_Data_Daily!$Z$2:$Z$9999)/SUMIFS(Raw_Data_Daily!$D:$D, Raw_Data_Daily!$B:$B, "Control", Raw_Data_Daily!$A:$A, $A21, Raw_Data_Daily!$C:$C, $C$3),""))</f>
        <v/>
      </c>
      <c r="BT21" s="128" t="str">
        <f>IF($A21="","",IFERROR(SUMPRODUCT((Raw_Data_Daily!$B$2:$B$9999="Variant")*(Raw_Data_Daily!$A$2:$A$9999=$A21)*(Raw_Data_Daily!$C$2:$C$9999=$C$3)*Raw_Data_Daily!$D$2:$D$9999*Raw_Data_Daily!$Z$2:$Z$9999)/SUMIFS(Raw_Data_Daily!$D:$D, Raw_Data_Daily!$B:$B, "Variant", Raw_Data_Daily!$A:$A, $A21, Raw_Data_Daily!$C:$C, $C$3),""))</f>
        <v/>
      </c>
      <c r="BU21" s="129" t="str">
        <f t="shared" si="24"/>
        <v/>
      </c>
      <c r="BV21" s="128" t="str">
        <f>IF($A21="","",IFERROR(SUMPRODUCT((Raw_Data_Daily!$B$2:$B$9999="Control")*(Raw_Data_Daily!$A$2:$A$9999=$A21)*(Raw_Data_Daily!$C$2:$C$9999=$C$3)*Raw_Data_Daily!$D$2:$D$9999*Raw_Data_Daily!$AA$2:$AA$9999)/SUMIFS(Raw_Data_Daily!$D:$D, Raw_Data_Daily!$B:$B, "Control", Raw_Data_Daily!$A:$A, $A21, Raw_Data_Daily!$C:$C, $C$3),""))</f>
        <v/>
      </c>
      <c r="BW21" s="128" t="str">
        <f>IF($A21="","",IFERROR(SUMPRODUCT((Raw_Data_Daily!$B$2:$B$9999="Variant")*(Raw_Data_Daily!$A$2:$A$9999=$A21)*(Raw_Data_Daily!$C$2:$C$9999=$C$3)*Raw_Data_Daily!$D$2:$D$9999*Raw_Data_Daily!$AA$2:$AA$9999)/SUMIFS(Raw_Data_Daily!$D:$D, Raw_Data_Daily!$B:$B, "Variant", Raw_Data_Daily!$A:$A, $A21, Raw_Data_Daily!$C:$C, $C$3),""))</f>
        <v/>
      </c>
      <c r="BX21" s="129" t="str">
        <f t="shared" si="25"/>
        <v/>
      </c>
      <c r="BY21" s="137" t="str">
        <f>IF($A21="","",IFERROR(SUMPRODUCT((Raw_Data_Daily!$B$2:$B$9999="Control")*(Raw_Data_Daily!$A$2:$A$9999=$A21)*(Raw_Data_Daily!$C$2:$C$9999=$C$3)*Raw_Data_Daily!$D$2:$D$9999*Raw_Data_Daily!$AB$2:$AB$9999)/SUMIFS(Raw_Data_Daily!$D:$D, Raw_Data_Daily!$B:$B, "Control", Raw_Data_Daily!$A:$A, $A21, Raw_Data_Daily!$C:$C, $C$3),""))</f>
        <v/>
      </c>
      <c r="BZ21" s="137" t="str">
        <f>IF($A21="","",IFERROR(SUMPRODUCT((Raw_Data_Daily!$B$2:$B$9999="Variant")*(Raw_Data_Daily!$A$2:$A$9999=$A21)*(Raw_Data_Daily!$C$2:$C$9999=$C$3)*Raw_Data_Daily!$D$2:$D$9999*Raw_Data_Daily!$AB$2:$AB$9999)/SUMIFS(Raw_Data_Daily!$D:$D, Raw_Data_Daily!$B:$B, "Variant", Raw_Data_Daily!$A:$A, $A21, Raw_Data_Daily!$C:$C, $C$3),""))</f>
        <v/>
      </c>
      <c r="CA21" s="132" t="str">
        <f t="shared" si="26"/>
        <v/>
      </c>
      <c r="CB21" s="137" t="str">
        <f>IF($A21="","",IFERROR(SUMPRODUCT((Raw_Data_Daily!$B$2:$B$9999="Control")*(Raw_Data_Daily!$A$2:$A$9999=$A21)*(Raw_Data_Daily!$C$2:$C$9999=$C$3)*Raw_Data_Daily!$D$2:$D$9999*Raw_Data_Daily!$AC$2:$AC$9999)/SUMIFS(Raw_Data_Daily!$D:$D, Raw_Data_Daily!$B:$B, "Control", Raw_Data_Daily!$A:$A, $A21, Raw_Data_Daily!$C:$C, $C$3),""))</f>
        <v/>
      </c>
      <c r="CC21" s="137" t="str">
        <f>IF($A21="","",IFERROR(SUMPRODUCT((Raw_Data_Daily!$B$2:$B$9999="Variant")*(Raw_Data_Daily!$A$2:$A$9999=$A21)*(Raw_Data_Daily!$C$2:$C$9999=$C$3)*Raw_Data_Daily!$D$2:$D$9999*Raw_Data_Daily!$AC$2:$AC$9999)/SUMIFS(Raw_Data_Daily!$D:$D, Raw_Data_Daily!$B:$B, "Variant", Raw_Data_Daily!$A:$A, $A21, Raw_Data_Daily!$C:$C, $C$3),""))</f>
        <v/>
      </c>
      <c r="CD21" s="132" t="str">
        <f t="shared" si="27"/>
        <v/>
      </c>
      <c r="CE21" s="137" t="str">
        <f>IF($A21="","",IFERROR(SUMPRODUCT((Raw_Data_Daily!$B$2:$B$9999="Control")*(Raw_Data_Daily!$A$2:$A$9999=$A21)*(Raw_Data_Daily!$C$2:$C$9999=$C$3)*Raw_Data_Daily!$D$2:$D$9999*Raw_Data_Daily!$AD$2:$AD$9999)/SUMIFS(Raw_Data_Daily!$D:$D, Raw_Data_Daily!$B:$B, "Control", Raw_Data_Daily!$A:$A, $A21, Raw_Data_Daily!$C:$C, $C$3),""))</f>
        <v/>
      </c>
      <c r="CF21" s="137" t="str">
        <f>IF($A21="","",IFERROR(SUMPRODUCT((Raw_Data_Daily!$B$2:$B$9999="Variant")*(Raw_Data_Daily!$A$2:$A$9999=$A21)*(Raw_Data_Daily!$C$2:$C$9999=$C$3)*Raw_Data_Daily!$D$2:$D$9999*Raw_Data_Daily!$AD$2:$AD$9999)/SUMIFS(Raw_Data_Daily!$D:$D, Raw_Data_Daily!$B:$B, "Variant", Raw_Data_Daily!$A:$A, $A21, Raw_Data_Daily!$C:$C, $C$3),""))</f>
        <v/>
      </c>
      <c r="CG21" s="132" t="str">
        <f t="shared" si="28"/>
        <v/>
      </c>
      <c r="CH21" s="137" t="str">
        <f>IF($A21="","",IFERROR(SUMPRODUCT((Raw_Data_Daily!$B$2:$B$9999="Control")*(Raw_Data_Daily!$A$2:$A$9999=$A21)*(Raw_Data_Daily!$C$2:$C$9999=$C$3)*Raw_Data_Daily!$D$2:$D$9999*Raw_Data_Daily!$AE$2:$AE$9999)/SUMIFS(Raw_Data_Daily!$D:$D, Raw_Data_Daily!$B:$B, "Control", Raw_Data_Daily!$A:$A, $A21, Raw_Data_Daily!$C:$C, $C$3),""))</f>
        <v/>
      </c>
      <c r="CI21" s="137" t="str">
        <f>IF($A21="","",IFERROR(SUMPRODUCT((Raw_Data_Daily!$B$2:$B$9999="Variant")*(Raw_Data_Daily!$A$2:$A$9999=$A21)*(Raw_Data_Daily!$C$2:$C$9999=$C$3)*Raw_Data_Daily!$D$2:$D$9999*Raw_Data_Daily!$AE$2:$AE$9999)/SUMIFS(Raw_Data_Daily!$D:$D, Raw_Data_Daily!$B:$B, "Variant", Raw_Data_Daily!$A:$A, $A21, Raw_Data_Daily!$C:$C, $C$3),""))</f>
        <v/>
      </c>
      <c r="CJ21" s="132" t="str">
        <f t="shared" si="29"/>
        <v/>
      </c>
      <c r="CK21" s="137" t="str">
        <f>IF($A21="","",IFERROR(SUMPRODUCT((Raw_Data_Daily!$B$2:$B$9999="Control")*(Raw_Data_Daily!$A$2:$A$9999=$A21)*(Raw_Data_Daily!$C$2:$C$9999=$C$3)*Raw_Data_Daily!$D$2:$D$9999*Raw_Data_Daily!$AF$2:$AF$9999)/SUMIFS(Raw_Data_Daily!$D:$D, Raw_Data_Daily!$B:$B, "Control", Raw_Data_Daily!$A:$A, $A21, Raw_Data_Daily!$C:$C, $C$3),""))</f>
        <v/>
      </c>
      <c r="CL21" s="137" t="str">
        <f>IF($A21="","",IFERROR(SUMPRODUCT((Raw_Data_Daily!$B$2:$B$9999="Variant")*(Raw_Data_Daily!$A$2:$A$9999=$A21)*(Raw_Data_Daily!$C$2:$C$9999=$C$3)*Raw_Data_Daily!$D$2:$D$9999*Raw_Data_Daily!$AF$2:$AF$9999)/SUMIFS(Raw_Data_Daily!$D:$D, Raw_Data_Daily!$B:$B, "Variant", Raw_Data_Daily!$A:$A, $A21, Raw_Data_Daily!$C:$C, $C$3),""))</f>
        <v/>
      </c>
      <c r="CM21" s="132" t="str">
        <f t="shared" si="30"/>
        <v/>
      </c>
      <c r="CN21" s="137" t="str">
        <f>IF($A21="","",IFERROR(SUMPRODUCT((Raw_Data_Daily!$B$2:$B$9999="Control")*(Raw_Data_Daily!$A$2:$A$9999=$A21)*(Raw_Data_Daily!$C$2:$C$9999=$C$3)*Raw_Data_Daily!$D$2:$D$9999*Raw_Data_Daily!$AG$2:$AG$9999)/SUMIFS(Raw_Data_Daily!$D:$D, Raw_Data_Daily!$B:$B, "Control", Raw_Data_Daily!$A:$A, $A21, Raw_Data_Daily!$C:$C, $C$3),""))</f>
        <v/>
      </c>
      <c r="CO21" s="137" t="str">
        <f>IF($A21="","",IFERROR(SUMPRODUCT((Raw_Data_Daily!$B$2:$B$9999="Variant")*(Raw_Data_Daily!$A$2:$A$9999=$A21)*(Raw_Data_Daily!$C$2:$C$9999=$C$3)*Raw_Data_Daily!$D$2:$D$9999*Raw_Data_Daily!$AG$2:$AG$9999)/SUMIFS(Raw_Data_Daily!$D:$D, Raw_Data_Daily!$B:$B, "Variant", Raw_Data_Daily!$A:$A, $A21, Raw_Data_Daily!$C:$C, $C$3),""))</f>
        <v/>
      </c>
      <c r="CP21" s="132" t="str">
        <f t="shared" si="31"/>
        <v/>
      </c>
      <c r="CQ21" s="137" t="str">
        <f>IF($A21="","",IFERROR(SUMPRODUCT((Raw_Data_Daily!$B$2:$B$9999="Control")*(Raw_Data_Daily!$A$2:$A$9999=$A21)*(Raw_Data_Daily!$C$2:$C$9999=$C$3)*Raw_Data_Daily!$D$2:$D$9999*Raw_Data_Daily!$AH$2:$AH$9999)/SUMIFS(Raw_Data_Daily!$D:$D, Raw_Data_Daily!$B:$B, "Control", Raw_Data_Daily!$A:$A, $A21, Raw_Data_Daily!$C:$C, $C$3),""))</f>
        <v/>
      </c>
      <c r="CR21" s="137" t="str">
        <f>IF($A21="","",IFERROR(SUMPRODUCT((Raw_Data_Daily!$B$2:$B$9999="Variant")*(Raw_Data_Daily!$A$2:$A$9999=$A21)*(Raw_Data_Daily!$C$2:$C$9999=$C$3)*Raw_Data_Daily!$D$2:$D$9999*Raw_Data_Daily!$AH$2:$AH$9999)/SUMIFS(Raw_Data_Daily!$D:$D, Raw_Data_Daily!$B:$B, "Variant", Raw_Data_Daily!$A:$A, $A21, Raw_Data_Daily!$C:$C, $C$3),""))</f>
        <v/>
      </c>
      <c r="CS21" s="132" t="str">
        <f t="shared" si="32"/>
        <v/>
      </c>
      <c r="CT21" s="130" t="str">
        <f>IF($A21="","",IFERROR(SUMPRODUCT((Raw_Data_Daily!$B$2:$B$9999="Control")*(Raw_Data_Daily!$A$2:$A$9999=$A21)*(Raw_Data_Daily!$C$2:$C$9999=$C$3)*Raw_Data_Daily!$D$2:$D$9999*Raw_Data_Daily!$AI$2:$AI$9999)/SUMIFS(Raw_Data_Daily!$D:$D, Raw_Data_Daily!$B:$B, "Control", Raw_Data_Daily!$A:$A, $A21, Raw_Data_Daily!$C:$C, $C$3),""))</f>
        <v/>
      </c>
      <c r="CU21" s="130" t="str">
        <f>IF($A21="","",IFERROR(SUMPRODUCT((Raw_Data_Daily!$B$2:$B$9999="Variant")*(Raw_Data_Daily!$A$2:$A$9999=$A21)*(Raw_Data_Daily!$C$2:$C$9999=$C$3)*Raw_Data_Daily!$D$2:$D$9999*Raw_Data_Daily!$AI$2:$AI$9999)/SUMIFS(Raw_Data_Daily!$D:$D, Raw_Data_Daily!$B:$B, "Variant", Raw_Data_Daily!$A:$A, $A21, Raw_Data_Daily!$C:$C, $C$3),""))</f>
        <v/>
      </c>
      <c r="CV21" s="140" t="str">
        <f t="shared" si="33"/>
        <v/>
      </c>
      <c r="CW21" s="130" t="str">
        <f>IF($A21="","",IFERROR(SUMPRODUCT((Raw_Data_Daily!$B$2:$B$9999="Control")*(Raw_Data_Daily!$A$2:$A$9999=$A21)*(Raw_Data_Daily!$C$2:$C$9999=$C$3)*Raw_Data_Daily!$D$2:$D$9999*Raw_Data_Daily!$AJ$2:$AJ$9999)/SUMIFS(Raw_Data_Daily!$D:$D, Raw_Data_Daily!$B:$B, "Control", Raw_Data_Daily!$A:$A, $A21, Raw_Data_Daily!$C:$C, $C$3),""))</f>
        <v/>
      </c>
      <c r="CX21" s="130" t="str">
        <f>IF($A21="","",IFERROR(SUMPRODUCT((Raw_Data_Daily!$B$2:$B$9999="Variant")*(Raw_Data_Daily!$A$2:$A$9999=$A21)*(Raw_Data_Daily!$C$2:$C$9999=$C$3)*Raw_Data_Daily!$D$2:$D$9999*Raw_Data_Daily!$AJ$2:$AJ$9999)/SUMIFS(Raw_Data_Daily!$D:$D, Raw_Data_Daily!$B:$B, "Variant", Raw_Data_Daily!$A:$A, $A21, Raw_Data_Daily!$C:$C, $C$3),""))</f>
        <v/>
      </c>
      <c r="CY21" s="140" t="str">
        <f t="shared" si="34"/>
        <v/>
      </c>
      <c r="CZ21" s="130" t="str">
        <f>IF($A21="","",IFERROR(SUMPRODUCT((Raw_Data_Daily!$B$2:$B$9999="Control")*(Raw_Data_Daily!$A$2:$A$9999=$A21)*(Raw_Data_Daily!$C$2:$C$9999=$C$3)*Raw_Data_Daily!$D$2:$D$9999*Raw_Data_Daily!$AK$2:$AK$9999)/SUMIFS(Raw_Data_Daily!$D:$D, Raw_Data_Daily!$B:$B, "Control", Raw_Data_Daily!$A:$A, $A21, Raw_Data_Daily!$C:$C, $C$3),""))</f>
        <v/>
      </c>
      <c r="DA21" s="130" t="str">
        <f>IF($A21="","",IFERROR(SUMPRODUCT((Raw_Data_Daily!$B$2:$B$9999="Variant")*(Raw_Data_Daily!$A$2:$A$9999=$A21)*(Raw_Data_Daily!$C$2:$C$9999=$C$3)*Raw_Data_Daily!$D$2:$D$9999*Raw_Data_Daily!$AK$2:$AK$9999)/SUMIFS(Raw_Data_Daily!$D:$D, Raw_Data_Daily!$B:$B, "Variant", Raw_Data_Daily!$A:$A, $A21, Raw_Data_Daily!$C:$C, $C$3),""))</f>
        <v/>
      </c>
      <c r="DB21" s="132" t="str">
        <f t="shared" si="35"/>
        <v/>
      </c>
      <c r="DC21" s="139" t="str">
        <f>IF($A21="","",IFERROR(SUMPRODUCT((Raw_Data_Daily!$B$2:$B$9999="Control")*(Raw_Data_Daily!$A$2:$A$9999=$A21)*(Raw_Data_Daily!$C$2:$C$9999=$C$3)*Raw_Data_Daily!$D$2:$D$9999*Raw_Data_Daily!$AL$2:$AL$9999)/SUMIFS(Raw_Data_Daily!$D:$D, Raw_Data_Daily!$B:$B, "Control", Raw_Data_Daily!$A:$A, $A21, Raw_Data_Daily!$C:$C, $C$3),""))</f>
        <v/>
      </c>
      <c r="DD21" s="139" t="str">
        <f>IF($A21="","",IFERROR(SUMPRODUCT((Raw_Data_Daily!$B$2:$B$9999="Variant")*(Raw_Data_Daily!$A$2:$A$9999=$A21)*(Raw_Data_Daily!$C$2:$C$9999=$C$3)*Raw_Data_Daily!$D$2:$D$9999*Raw_Data_Daily!$AL$2:$AL$9999)/SUMIFS(Raw_Data_Daily!$D:$D, Raw_Data_Daily!$B:$B, "Variant", Raw_Data_Daily!$A:$A, $A21, Raw_Data_Daily!$C:$C, $C$3),""))</f>
        <v/>
      </c>
      <c r="DE21" s="140" t="str">
        <f t="shared" si="36"/>
        <v/>
      </c>
      <c r="DF21" s="165"/>
      <c r="DG21" s="130" t="str">
        <f>IF($A21="","",IFERROR(SUMPRODUCT((Raw_Data_Daily!$B$2:$B$9999="Variant")*(Raw_Data_Daily!$A$2:$A$9999=$A21)*(Raw_Data_Daily!$C$2:$C$9999=$C$3)*Raw_Data_Daily!$D$2:$D$9999*Raw_Data_Daily!$AM$2:$AM$9999)/SUMIFS(Raw_Data_Daily!$D:$D, Raw_Data_Daily!$B:$B, "Variant", Raw_Data_Daily!$A:$A, $A21, Raw_Data_Daily!$C:$C, $C$3),""))</f>
        <v/>
      </c>
      <c r="DH21" s="166"/>
      <c r="DI21" s="165"/>
      <c r="DJ21" s="130" t="str">
        <f>IF($A21="","",IFERROR(SUMPRODUCT((Raw_Data_Daily!$B$2:$B$9999="Variant")*(Raw_Data_Daily!$A$2:$A$9999=$A21)*(Raw_Data_Daily!$C$2:$C$9999=$C$3)*Raw_Data_Daily!$D$2:$D$9999*Raw_Data_Daily!$AN$2:$AN$9999)/SUMIFS(Raw_Data_Daily!$D:$D, Raw_Data_Daily!$B:$B, "Variant", Raw_Data_Daily!$A:$A, $A21, Raw_Data_Daily!$C:$C, $C$3),""))</f>
        <v/>
      </c>
      <c r="DK21" s="166"/>
      <c r="DL21" s="165"/>
      <c r="DM21" s="130" t="str">
        <f>IF($A21="","",IFERROR(SUMPRODUCT((Raw_Data_Daily!$B$2:$B$9999="Variant")*(Raw_Data_Daily!$A$2:$A$9999=$A21)*(Raw_Data_Daily!$C$2:$C$9999=$C$3)*Raw_Data_Daily!$D$2:$D$9999*Raw_Data_Daily!$AO$2:$AO$9999)/SUMIFS(Raw_Data_Daily!$D:$D, Raw_Data_Daily!$B:$B, "Variant", Raw_Data_Daily!$A:$A, $A21, Raw_Data_Daily!$C:$C, $C$3),""))</f>
        <v/>
      </c>
      <c r="DN21" s="166"/>
      <c r="DO21" s="165"/>
      <c r="DP21" s="130" t="str">
        <f>IF($A21="","",IFERROR(SUMPRODUCT((Raw_Data_Daily!$B$2:$B$9999="Variant")*(Raw_Data_Daily!$A$2:$A$9999=$A21)*(Raw_Data_Daily!$C$2:$C$9999=$C$3)*Raw_Data_Daily!$D$2:$D$9999*Raw_Data_Daily!$AP$2:$AP$9999)/SUMIFS(Raw_Data_Daily!$D:$D, Raw_Data_Daily!$B:$B, "Variant", Raw_Data_Daily!$A:$A, $A21, Raw_Data_Daily!$C:$C, $C$3),""))</f>
        <v/>
      </c>
      <c r="DQ21" s="166"/>
      <c r="DR21" s="139" t="str">
        <f>IF($A21="","",IFERROR(SUMPRODUCT((Raw_Data_Daily!$B$2:$B$9999="Control")*(Raw_Data_Daily!$A$2:$A$9999=$A21)*(Raw_Data_Daily!$C$2:$C$9999=$C$3)*Raw_Data_Daily!$D$2:$D$9999*Raw_Data_Daily!$AQ$2:$AQ$9999)/SUMIFS(Raw_Data_Daily!$D:$D, Raw_Data_Daily!$B:$B, "Control", Raw_Data_Daily!$A:$A, $A21, Raw_Data_Daily!$C:$C, $C$3),""))</f>
        <v/>
      </c>
      <c r="DS21" s="139" t="str">
        <f>IF($A21="","",IFERROR(SUMPRODUCT((Raw_Data_Daily!$B$2:$B$9999="Variant")*(Raw_Data_Daily!$A$2:$A$9999=$A21)*(Raw_Data_Daily!$C$2:$C$9999=$C$3)*Raw_Data_Daily!$D$2:$D$9999*Raw_Data_Daily!$AQ$2:$AQ$9999)/SUMIFS(Raw_Data_Daily!$D:$D, Raw_Data_Daily!$B:$B, "Variant", Raw_Data_Daily!$A:$A, $A21, Raw_Data_Daily!$C:$C, $C$3),""))</f>
        <v/>
      </c>
      <c r="DT21" s="167" t="str">
        <f t="shared" si="37"/>
        <v/>
      </c>
      <c r="DU21" s="139" t="str">
        <f>IF($A21="","",IFERROR(SUMPRODUCT((Raw_Data_Daily!$B$2:$B$9999="Control")*(Raw_Data_Daily!$A$2:$A$9999=$A21)*(Raw_Data_Daily!$C$2:$C$9999=$C$3)*Raw_Data_Daily!$D$2:$D$9999*Raw_Data_Daily!$AR$2:$AR$9999)/SUMIFS(Raw_Data_Daily!$D:$D, Raw_Data_Daily!$B:$B, "Control", Raw_Data_Daily!$A:$A, $A21, Raw_Data_Daily!$C:$C, $C$3),""))</f>
        <v/>
      </c>
      <c r="DV21" s="139" t="str">
        <f>IF($A21="","",IFERROR(SUMPRODUCT((Raw_Data_Daily!$B$2:$B$9999="Variant")*(Raw_Data_Daily!$A$2:$A$9999=$A21)*(Raw_Data_Daily!$C$2:$C$9999=$C$3)*Raw_Data_Daily!$D$2:$D$9999*Raw_Data_Daily!$AR$2:$AR$9999)/SUMIFS(Raw_Data_Daily!$D:$D, Raw_Data_Daily!$B:$B, "Variant", Raw_Data_Daily!$A:$A, $A21, Raw_Data_Daily!$C:$C, $C$3),""))</f>
        <v/>
      </c>
      <c r="DW21" s="167" t="str">
        <f t="shared" si="38"/>
        <v/>
      </c>
      <c r="DX21" s="139" t="str">
        <f>IF($A21="","",IFERROR(SUMPRODUCT((Raw_Data_Daily!$B$2:$B$9999="Control")*(Raw_Data_Daily!$A$2:$A$9999=$A21)*(Raw_Data_Daily!$C$2:$C$9999=$C$3)*Raw_Data_Daily!$D$2:$D$9999*Raw_Data_Daily!$AS$2:$AS$9999)/SUMIFS(Raw_Data_Daily!$D:$D, Raw_Data_Daily!$B:$B, "Control", Raw_Data_Daily!$A:$A, $A21, Raw_Data_Daily!$C:$C, $C$3),""))</f>
        <v/>
      </c>
      <c r="DY21" s="139" t="str">
        <f>IF($A21="","",IFERROR(SUMPRODUCT((Raw_Data_Daily!$B$2:$B$9999="Variant")*(Raw_Data_Daily!$A$2:$A$9999=$A21)*(Raw_Data_Daily!$C$2:$C$9999=$C$3)*Raw_Data_Daily!$D$2:$D$9999*Raw_Data_Daily!$AS$2:$AS$9999)/SUMIFS(Raw_Data_Daily!$D:$D, Raw_Data_Daily!$B:$B, "Variant", Raw_Data_Daily!$A:$A, $A21, Raw_Data_Daily!$C:$C, $C$3),""))</f>
        <v/>
      </c>
      <c r="DZ21" s="168" t="str">
        <f t="shared" si="39"/>
        <v/>
      </c>
      <c r="EA21" s="139" t="str">
        <f>IF($A21="","",IFERROR(SUMPRODUCT((Raw_Data_Daily!$B$2:$B$9999="Control")*(Raw_Data_Daily!$A$2:$A$9999=$A21)*(Raw_Data_Daily!$C$2:$C$9999=$C$3)*Raw_Data_Daily!$D$2:$D$9999*Raw_Data_Daily!$AT$2:$AT$9999)/SUMIFS(Raw_Data_Daily!$D:$D, Raw_Data_Daily!$B:$B, "Control", Raw_Data_Daily!$A:$A, $A21, Raw_Data_Daily!$C:$C, $C$3),""))</f>
        <v/>
      </c>
      <c r="EB21" s="139" t="str">
        <f>IF($A21="","",IFERROR(SUMPRODUCT((Raw_Data_Daily!$B$2:$B$9999="Variant")*(Raw_Data_Daily!$A$2:$A$9999=$A21)*(Raw_Data_Daily!$C$2:$C$9999=$C$3)*Raw_Data_Daily!$D$2:$D$9999*Raw_Data_Daily!$AT$2:$AT$9999)/SUMIFS(Raw_Data_Daily!$D:$D, Raw_Data_Daily!$B:$B, "Variant", Raw_Data_Daily!$A:$A, $A21, Raw_Data_Daily!$C:$C, $C$3),""))</f>
        <v/>
      </c>
      <c r="EC21" s="167" t="str">
        <f t="shared" si="40"/>
        <v/>
      </c>
      <c r="ED21" s="139" t="str">
        <f>IF($A21="","",IFERROR(SUMPRODUCT((Raw_Data_Daily!$B$2:$B$9999="Control")*(Raw_Data_Daily!$A$2:$A$9999=$A21)*(Raw_Data_Daily!$C$2:$C$9999=$C$3)*Raw_Data_Daily!$D$2:$D$9999*(Raw_Data_Daily!$AQ$2:$AQ$9999-Raw_Data_Daily!$AT$2:$AT$9999))/SUMIFS(Raw_Data_Daily!$D:$D, Raw_Data_Daily!$B:$B, "Control", Raw_Data_Daily!$A:$A, $A21, Raw_Data_Daily!$C:$C, $C$3),""))</f>
        <v/>
      </c>
      <c r="EE21" s="139" t="str">
        <f>IF($A21="","",IFERROR(SUMPRODUCT((Raw_Data_Daily!$B$2:$B$9999="Variant")*(Raw_Data_Daily!$A$2:$A$9999=$A21)*(Raw_Data_Daily!$C$2:$C$9999=$C$3)*Raw_Data_Daily!$D$2:$D$9999*(Raw_Data_Daily!$AQ$2:$AQ$9999-Raw_Data_Daily!$AT$2:$AT$9999))/SUMIFS(Raw_Data_Daily!$D:$D, Raw_Data_Daily!$B:$B, "Variant", Raw_Data_Daily!$A:$A, $A21, Raw_Data_Daily!$C:$C, $C$3),""))</f>
        <v/>
      </c>
      <c r="EF21" s="168" t="str">
        <f t="shared" si="41"/>
        <v/>
      </c>
      <c r="EG21" s="139" t="str">
        <f>IF($A21="","",IFERROR(SUMPRODUCT((Raw_Data_Daily!$B$2:$B$9999="Control")*(Raw_Data_Daily!$A$2:$A$9999=$A21)*(Raw_Data_Daily!$C$2:$C$9999=$C$3)*Raw_Data_Daily!$D$2:$D$9999*Raw_Data_Daily!$AU$2:$AU$9999)/SUMIFS(Raw_Data_Daily!$D:$D, Raw_Data_Daily!$B:$B, "Control", Raw_Data_Daily!$A:$A, $A21, Raw_Data_Daily!$C:$C, $C$3),""))</f>
        <v/>
      </c>
      <c r="EH21" s="139" t="str">
        <f>IF($A21="","",IFERROR(SUMPRODUCT((Raw_Data_Daily!$B$2:$B$9999="Variant")*(Raw_Data_Daily!$A$2:$A$9999=$A21)*(Raw_Data_Daily!$C$2:$C$9999=$C$3)*Raw_Data_Daily!$D$2:$D$9999*Raw_Data_Daily!$AU$2:$AU$9999)/SUMIFS(Raw_Data_Daily!$D:$D, Raw_Data_Daily!$B:$B, "Variant", Raw_Data_Daily!$A:$A, $A21, Raw_Data_Daily!$C:$C, $C$3),""))</f>
        <v/>
      </c>
      <c r="EI21" s="167" t="str">
        <f t="shared" si="42"/>
        <v/>
      </c>
    </row>
    <row r="22" ht="15.75" customHeight="1">
      <c r="A22" s="126">
        <v>46245.0</v>
      </c>
      <c r="B22" s="128">
        <f>IF($A22="","",SUMIFS(Raw_Data_Daily!$D:$D, Raw_Data_Daily!$B:$B, "Control", Raw_Data_Daily!$A:$A, $A22, Raw_Data_Daily!$C:$C, $C$3))</f>
        <v>0</v>
      </c>
      <c r="C22" s="128">
        <f>IF($A22="","",SUMIFS(Raw_Data_Daily!$D:$D, Raw_Data_Daily!$B:$B, "Variant", Raw_Data_Daily!$A:$A, $A22, Raw_Data_Daily!$C:$C, $C$3))</f>
        <v>0</v>
      </c>
      <c r="D22" s="129" t="str">
        <f t="shared" si="1"/>
        <v/>
      </c>
      <c r="E22" s="130" t="str">
        <f>IF($A22="","",IFERROR(SUMPRODUCT((Raw_Data_Daily!$B$2:$B$9999="Control")*(Raw_Data_Daily!$A$2:$A$9999=$A22)*(Raw_Data_Daily!$C$2:$C$9999=$C$3)*Raw_Data_Daily!$D$2:$D$9999*Raw_Data_Daily!$E$2:$E$9999)/SUMIFS(Raw_Data_Daily!$D:$D, Raw_Data_Daily!$B:$B, "Control", Raw_Data_Daily!$A:$A, $A22, Raw_Data_Daily!$C:$C, $C$3),""))</f>
        <v/>
      </c>
      <c r="F22" s="130" t="str">
        <f>IF($A22="","",IFERROR(SUMPRODUCT((Raw_Data_Daily!$B$2:$B$9999="Variant")*(Raw_Data_Daily!$A$2:$A$9999=$A22)*(Raw_Data_Daily!$C$2:$C$9999=$C$3)*Raw_Data_Daily!$D$2:$D$9999*Raw_Data_Daily!$E$2:$E$9999)/SUMIFS(Raw_Data_Daily!$D:$D, Raw_Data_Daily!$B:$B, "Variant", Raw_Data_Daily!$A:$A, $A22, Raw_Data_Daily!$C:$C, $C$3),""))</f>
        <v/>
      </c>
      <c r="G22" s="129" t="str">
        <f t="shared" si="2"/>
        <v/>
      </c>
      <c r="H22" s="131">
        <f>IF($A22="","",SUMIFS(Raw_Data_Daily!$F:$F, Raw_Data_Daily!$B:$B, "Control", Raw_Data_Daily!$A:$A, $A22, Raw_Data_Daily!$C:$C, $C$3))</f>
        <v>0</v>
      </c>
      <c r="I22" s="131">
        <f>IF($A22="","",SUMIFS(Raw_Data_Daily!$F:$F, Raw_Data_Daily!$B:$B, "Variant", Raw_Data_Daily!$A:$A, $A22, Raw_Data_Daily!$C:$C, $C$3))</f>
        <v>0</v>
      </c>
      <c r="J22" s="132" t="str">
        <f t="shared" si="3"/>
        <v/>
      </c>
      <c r="K22" s="134" t="str">
        <f>IF($A22="","",IFERROR(SUMIFS(Raw_Data_Daily!$F:$F, Raw_Data_Daily!$B:$B, "Control", Raw_Data_Daily!$A:$A, $A22, Raw_Data_Daily!$C:$C, $C$3)/SUMIFS(Raw_Data_Daily!$D:$D, Raw_Data_Daily!$B:$B, "Control", Raw_Data_Daily!$A:$A, $A22, Raw_Data_Daily!$C:$C, $C$3),""))</f>
        <v/>
      </c>
      <c r="L22" s="134" t="str">
        <f>IF($A22="","",IFERROR(SUMIFS(Raw_Data_Daily!$F:$F, Raw_Data_Daily!$B:$B, "Variant", Raw_Data_Daily!$A:$A, $A22, Raw_Data_Daily!$C:$C, $C$3)/SUMIFS(Raw_Data_Daily!$D:$D, Raw_Data_Daily!$B:$B, "Variant", Raw_Data_Daily!$A:$A, $A22, Raw_Data_Daily!$C:$C, $C$3),""))</f>
        <v/>
      </c>
      <c r="M22" s="132" t="str">
        <f t="shared" si="4"/>
        <v/>
      </c>
      <c r="N22" s="130" t="str">
        <f>IF($A22="","",IFERROR(SUMPRODUCT((Raw_Data_Daily!$B$2:$B$9999="Control")*(Raw_Data_Daily!$A$2:$A$9999=$A22)*(Raw_Data_Daily!$C$2:$C$9999=$C$3)*Raw_Data_Daily!$D$2:$D$9999*Raw_Data_Daily!$H$2:$H$9999/100)/SUMIFS(Raw_Data_Daily!$D:$D, Raw_Data_Daily!$B:$B, "Control", Raw_Data_Daily!$A:$A, $A22, Raw_Data_Daily!$C:$C, $C$3)*100,""))</f>
        <v/>
      </c>
      <c r="O22" s="130" t="str">
        <f>IF($A22="","",IFERROR(SUMPRODUCT((Raw_Data_Daily!$B$2:$B$9999="Variant")*(Raw_Data_Daily!$A$2:$A$9999=$A22)*(Raw_Data_Daily!$C$2:$C$9999=$C$3)*Raw_Data_Daily!$D$2:$D$9999*Raw_Data_Daily!$H$2:$H$9999/100)/SUMIFS(Raw_Data_Daily!$D:$D, Raw_Data_Daily!$B:$B, "Variant", Raw_Data_Daily!$A:$A, $A22, Raw_Data_Daily!$C:$C, $C$3)*100,""))</f>
        <v/>
      </c>
      <c r="P22" s="132" t="str">
        <f t="shared" si="5"/>
        <v/>
      </c>
      <c r="Q22" s="134" t="str">
        <f>IF($A22="","",IFERROR(SUMIFS(Raw_Data_Daily!$F:$F, Raw_Data_Daily!$B:$B, "Control", Raw_Data_Daily!$A:$A, $A22, Raw_Data_Daily!$C:$C, $C$3)/SUMPRODUCT((Raw_Data_Daily!$B$2:$B$9999="Control")*(Raw_Data_Daily!$A$2:$A$9999=$A22)*(Raw_Data_Daily!$C$2:$C$9999=$C$3)*Raw_Data_Daily!$D$2:$D$9999*Raw_Data_Daily!$H$2:$H$9999/100),""))</f>
        <v/>
      </c>
      <c r="R22" s="134" t="str">
        <f>IF($A22="","",IFERROR(SUMIFS(Raw_Data_Daily!$F:$F, Raw_Data_Daily!$B:$B, "Variant", Raw_Data_Daily!$A:$A, $A22, Raw_Data_Daily!$C:$C, $C$3)/SUMPRODUCT((Raw_Data_Daily!$B$2:$B$9999="Variant")*(Raw_Data_Daily!$A$2:$A$9999=$A22)*(Raw_Data_Daily!$C$2:$C$9999=$C$3)*Raw_Data_Daily!$D$2:$D$9999*Raw_Data_Daily!$H$2:$H$9999/100),""))</f>
        <v/>
      </c>
      <c r="S22" s="132" t="str">
        <f t="shared" si="6"/>
        <v/>
      </c>
      <c r="T22" s="137" t="str">
        <f>IF($A22="","",IFERROR(SUMPRODUCT((Raw_Data_Daily!$B$2:$B$9999="Control")*(Raw_Data_Daily!$A$2:$A$9999=$A22)*(Raw_Data_Daily!$C$2:$C$9999=$C$3)*Raw_Data_Daily!$D$2:$D$9999*Raw_Data_Daily!$J$2:$J$9999)/SUMIFS(Raw_Data_Daily!$D:$D, Raw_Data_Daily!$B:$B, "Control", Raw_Data_Daily!$A:$A, $A22, Raw_Data_Daily!$C:$C, $C$3),""))</f>
        <v/>
      </c>
      <c r="U22" s="137" t="str">
        <f>IF($A22="","",IFERROR(SUMPRODUCT((Raw_Data_Daily!$B$2:$B$9999="Variant")*(Raw_Data_Daily!$A$2:$A$9999=$A22)*(Raw_Data_Daily!$C$2:$C$9999=$C$3)*Raw_Data_Daily!$D$2:$D$9999*Raw_Data_Daily!$J$2:$J$9999)/SUMIFS(Raw_Data_Daily!$D:$D, Raw_Data_Daily!$B:$B, "Variant", Raw_Data_Daily!$A:$A, $A22, Raw_Data_Daily!$C:$C, $C$3),""))</f>
        <v/>
      </c>
      <c r="V22" s="132" t="str">
        <f t="shared" si="7"/>
        <v/>
      </c>
      <c r="W22" s="137" t="str">
        <f>IF($A22="","",IFERROR(SUMPRODUCT((Raw_Data_Daily!$B$2:$B$9999="Control")*(Raw_Data_Daily!$A$2:$A$9999=$A22)*(Raw_Data_Daily!$C$2:$C$9999=$C$3)*Raw_Data_Daily!$D$2:$D$9999*Raw_Data_Daily!$K$2:$K$9999)/SUMIFS(Raw_Data_Daily!$D:$D, Raw_Data_Daily!$B:$B, "Control", Raw_Data_Daily!$A:$A, $A22, Raw_Data_Daily!$C:$C, $C$3),""))</f>
        <v/>
      </c>
      <c r="X22" s="137" t="str">
        <f>IF($A22="","",IFERROR(SUMPRODUCT((Raw_Data_Daily!$B$2:$B$9999="Variant")*(Raw_Data_Daily!$A$2:$A$9999=$A22)*(Raw_Data_Daily!$C$2:$C$9999=$C$3)*Raw_Data_Daily!$D$2:$D$9999*Raw_Data_Daily!$K$2:$K$9999)/SUMIFS(Raw_Data_Daily!$D:$D, Raw_Data_Daily!$B:$B, "Variant", Raw_Data_Daily!$A:$A, $A22, Raw_Data_Daily!$C:$C, $C$3),""))</f>
        <v/>
      </c>
      <c r="Y22" s="132" t="str">
        <f t="shared" si="8"/>
        <v/>
      </c>
      <c r="Z22" s="137" t="str">
        <f>IF($A22="","",IFERROR(SUMPRODUCT((Raw_Data_Daily!$B$2:$B$9999="Control")*(Raw_Data_Daily!$A$2:$A$9999=$A22)*(Raw_Data_Daily!$C$2:$C$9999=$C$3)*Raw_Data_Daily!$D$2:$D$9999*Raw_Data_Daily!$L$2:$L$9999)/SUMIFS(Raw_Data_Daily!$D:$D, Raw_Data_Daily!$B:$B, "Control", Raw_Data_Daily!$A:$A, $A22, Raw_Data_Daily!$C:$C, $C$3),""))</f>
        <v/>
      </c>
      <c r="AA22" s="137" t="str">
        <f>IF($A22="","",IFERROR(SUMPRODUCT((Raw_Data_Daily!$B$2:$B$9999="Variant")*(Raw_Data_Daily!$A$2:$A$9999=$A22)*(Raw_Data_Daily!$C$2:$C$9999=$C$3)*Raw_Data_Daily!$D$2:$D$9999*Raw_Data_Daily!$L$2:$L$9999)/SUMIFS(Raw_Data_Daily!$D:$D, Raw_Data_Daily!$B:$B, "Variant", Raw_Data_Daily!$A:$A, $A22, Raw_Data_Daily!$C:$C, $C$3),""))</f>
        <v/>
      </c>
      <c r="AB22" s="132" t="str">
        <f t="shared" si="9"/>
        <v/>
      </c>
      <c r="AC22" s="139" t="str">
        <f>IF($A22="","",IFERROR(SUMPRODUCT((Raw_Data_Daily!$B$2:$B$9999="Control")*(Raw_Data_Daily!$A$2:$A$9999=$A22)*(Raw_Data_Daily!$C$2:$C$9999=$C$3)*Raw_Data_Daily!$D$2:$D$9999*Raw_Data_Daily!$M$2:$M$9999)/SUMIFS(Raw_Data_Daily!$D:$D, Raw_Data_Daily!$B:$B, "Control", Raw_Data_Daily!$A:$A, $A22, Raw_Data_Daily!$C:$C, $C$3),""))</f>
        <v/>
      </c>
      <c r="AD22" s="139" t="str">
        <f>IF($A22="","",IFERROR(SUMPRODUCT((Raw_Data_Daily!$B$2:$B$9999="Variant")*(Raw_Data_Daily!$A$2:$A$9999=$A22)*(Raw_Data_Daily!$C$2:$C$9999=$C$3)*Raw_Data_Daily!$D$2:$D$9999*Raw_Data_Daily!$M$2:$M$9999)/SUMIFS(Raw_Data_Daily!$D:$D, Raw_Data_Daily!$B:$B, "Variant", Raw_Data_Daily!$A:$A, $A22, Raw_Data_Daily!$C:$C, $C$3),""))</f>
        <v/>
      </c>
      <c r="AE22" s="140" t="str">
        <f t="shared" si="10"/>
        <v/>
      </c>
      <c r="AF22" s="139" t="str">
        <f>IF($A22="","",IFERROR(SUMPRODUCT((Raw_Data_Daily!$B$2:$B$9999="Control")*(Raw_Data_Daily!$A$2:$A$9999=$A22)*(Raw_Data_Daily!$C$2:$C$9999=$C$3)*Raw_Data_Daily!$D$2:$D$9999*Raw_Data_Daily!$N$2:$N$9999)/SUMIFS(Raw_Data_Daily!$D:$D, Raw_Data_Daily!$B:$B, "Control", Raw_Data_Daily!$A:$A, $A22, Raw_Data_Daily!$C:$C, $C$3),""))</f>
        <v/>
      </c>
      <c r="AG22" s="139" t="str">
        <f>IF($A22="","",IFERROR(SUMPRODUCT((Raw_Data_Daily!$B$2:$B$9999="Variant")*(Raw_Data_Daily!$A$2:$A$9999=$A22)*(Raw_Data_Daily!$C$2:$C$9999=$C$3)*Raw_Data_Daily!$D$2:$D$9999*Raw_Data_Daily!$N$2:$N$9999)/SUMIFS(Raw_Data_Daily!$D:$D, Raw_Data_Daily!$B:$B, "Variant", Raw_Data_Daily!$A:$A, $A22, Raw_Data_Daily!$C:$C, $C$3),""))</f>
        <v/>
      </c>
      <c r="AH22" s="140" t="str">
        <f t="shared" si="11"/>
        <v/>
      </c>
      <c r="AI22" s="139" t="str">
        <f>IF($A22="","",IFERROR(SUMPRODUCT((Raw_Data_Daily!$B$2:$B$9999="Control")*(Raw_Data_Daily!$A$2:$A$9999=$A22)*(Raw_Data_Daily!$C$2:$C$9999=$C$3)*Raw_Data_Daily!$D$2:$D$9999*Raw_Data_Daily!$O$2:$O$9999)/SUMIFS(Raw_Data_Daily!$D:$D, Raw_Data_Daily!$B:$B, "Control", Raw_Data_Daily!$A:$A, $A22, Raw_Data_Daily!$C:$C, $C$3),""))</f>
        <v/>
      </c>
      <c r="AJ22" s="139" t="str">
        <f>IF($A22="","",IFERROR(SUMPRODUCT((Raw_Data_Daily!$B$2:$B$9999="Variant")*(Raw_Data_Daily!$A$2:$A$9999=$A22)*(Raw_Data_Daily!$C$2:$C$9999=$C$3)*Raw_Data_Daily!$D$2:$D$9999*Raw_Data_Daily!$O$2:$O$9999)/SUMIFS(Raw_Data_Daily!$D:$D, Raw_Data_Daily!$B:$B, "Variant", Raw_Data_Daily!$A:$A, $A22, Raw_Data_Daily!$C:$C, $C$3),""))</f>
        <v/>
      </c>
      <c r="AK22" s="132" t="str">
        <f t="shared" si="12"/>
        <v/>
      </c>
      <c r="AL22" s="137" t="str">
        <f>IF($A22="","",IFERROR(SUMPRODUCT((Raw_Data_Daily!$B$2:$B$9999="Control")*(Raw_Data_Daily!$A$2:$A$9999=$A22)*(Raw_Data_Daily!$C$2:$C$9999=$C$3)*Raw_Data_Daily!$D$2:$D$9999*Raw_Data_Daily!$P$2:$P$9999)/SUMIFS(Raw_Data_Daily!$D:$D, Raw_Data_Daily!$B:$B, "Control", Raw_Data_Daily!$A:$A, $A22, Raw_Data_Daily!$C:$C, $C$3),""))</f>
        <v/>
      </c>
      <c r="AM22" s="137" t="str">
        <f>IF($A22="","",IFERROR(SUMPRODUCT((Raw_Data_Daily!$B$2:$B$9999="Variant")*(Raw_Data_Daily!$A$2:$A$9999=$A22)*(Raw_Data_Daily!$C$2:$C$9999=$C$3)*Raw_Data_Daily!$D$2:$D$9999*Raw_Data_Daily!$P$2:$P$9999)/SUMIFS(Raw_Data_Daily!$D:$D, Raw_Data_Daily!$B:$B, "Variant", Raw_Data_Daily!$A:$A, $A22, Raw_Data_Daily!$C:$C, $C$3),""))</f>
        <v/>
      </c>
      <c r="AN22" s="132" t="str">
        <f t="shared" si="13"/>
        <v/>
      </c>
      <c r="AO22" s="137" t="str">
        <f>IF($A22="","",IFERROR(SUMPRODUCT((Raw_Data_Daily!$B$2:$B$9999="Control")*(Raw_Data_Daily!$A$2:$A$9999=$A22)*(Raw_Data_Daily!$C$2:$C$9999=$C$3)*Raw_Data_Daily!$D$2:$D$9999*Raw_Data_Daily!$Q$2:$Q$9999)/SUMIFS(Raw_Data_Daily!$D:$D, Raw_Data_Daily!$B:$B, "Control", Raw_Data_Daily!$A:$A, $A22, Raw_Data_Daily!$C:$C, $C$3),""))</f>
        <v/>
      </c>
      <c r="AP22" s="137" t="str">
        <f>IF($A22="","",IFERROR(SUMPRODUCT((Raw_Data_Daily!$B$2:$B$9999="Variant")*(Raw_Data_Daily!$A$2:$A$9999=$A22)*(Raw_Data_Daily!$C$2:$C$9999=$C$3)*Raw_Data_Daily!$D$2:$D$9999*Raw_Data_Daily!$Q$2:$Q$9999)/SUMIFS(Raw_Data_Daily!$D:$D, Raw_Data_Daily!$B:$B, "Variant", Raw_Data_Daily!$A:$A, $A22, Raw_Data_Daily!$C:$C, $C$3),""))</f>
        <v/>
      </c>
      <c r="AQ22" s="129" t="str">
        <f t="shared" si="14"/>
        <v/>
      </c>
      <c r="AR22" s="137" t="str">
        <f>IF($A22="","",IFERROR(SUMPRODUCT((Raw_Data_Daily!$B$2:$B$9999="Control")*(Raw_Data_Daily!$A$2:$A$9999=$A22)*(Raw_Data_Daily!$C$2:$C$9999=$C$3)*Raw_Data_Daily!$D$2:$D$9999*Raw_Data_Daily!$R$2:$R$9999)/SUMIFS(Raw_Data_Daily!$D:$D, Raw_Data_Daily!$B:$B, "Control", Raw_Data_Daily!$A:$A, $A22, Raw_Data_Daily!$C:$C, $C$3),""))</f>
        <v/>
      </c>
      <c r="AS22" s="137" t="str">
        <f>IF($A22="","",IFERROR(SUMPRODUCT((Raw_Data_Daily!$B$2:$B$9999="Variant")*(Raw_Data_Daily!$A$2:$A$9999=$A22)*(Raw_Data_Daily!$C$2:$C$9999=$C$3)*Raw_Data_Daily!$D$2:$D$9999*Raw_Data_Daily!$R$2:$R$9999)/SUMIFS(Raw_Data_Daily!$D:$D, Raw_Data_Daily!$B:$B, "Variant", Raw_Data_Daily!$A:$A, $A22, Raw_Data_Daily!$C:$C, $C$3),""))</f>
        <v/>
      </c>
      <c r="AT22" s="129" t="str">
        <f t="shared" si="15"/>
        <v/>
      </c>
      <c r="AU22" s="137" t="str">
        <f>IF($A22="","",IFERROR(SUMPRODUCT((Raw_Data_Daily!$B$2:$B$9999="Control")*(Raw_Data_Daily!$A$2:$A$9999=$A22)*(Raw_Data_Daily!$C$2:$C$9999=$C$3)*Raw_Data_Daily!$D$2:$D$9999*Raw_Data_Daily!$S$2:$S$9999)/SUMIFS(Raw_Data_Daily!$D:$D, Raw_Data_Daily!$B:$B, "Control", Raw_Data_Daily!$A:$A, $A22, Raw_Data_Daily!$C:$C, $C$3),""))</f>
        <v/>
      </c>
      <c r="AV22" s="137" t="str">
        <f>IF($A22="","",IFERROR(SUMPRODUCT((Raw_Data_Daily!$B$2:$B$9999="Variant")*(Raw_Data_Daily!$A$2:$A$9999=$A22)*(Raw_Data_Daily!$C$2:$C$9999=$C$3)*Raw_Data_Daily!$D$2:$D$9999*Raw_Data_Daily!$S$2:$S$9999)/SUMIFS(Raw_Data_Daily!$D:$D, Raw_Data_Daily!$B:$B, "Variant", Raw_Data_Daily!$A:$A, $A22, Raw_Data_Daily!$C:$C, $C$3),""))</f>
        <v/>
      </c>
      <c r="AW22" s="129" t="str">
        <f t="shared" si="16"/>
        <v/>
      </c>
      <c r="AX22" s="137" t="str">
        <f>IF($A22="","",IFERROR(SUMPRODUCT((Raw_Data_Daily!$B$2:$B$9999="Control")*(Raw_Data_Daily!$A$2:$A$9999=$A22)*(Raw_Data_Daily!$C$2:$C$9999=$C$3)*Raw_Data_Daily!$D$2:$D$9999*Raw_Data_Daily!$T$2:$T$9999)/SUMIFS(Raw_Data_Daily!$D:$D, Raw_Data_Daily!$B:$B, "Control", Raw_Data_Daily!$A:$A, $A22, Raw_Data_Daily!$C:$C, $C$3),""))</f>
        <v/>
      </c>
      <c r="AY22" s="137" t="str">
        <f>IF($A22="","",IFERROR(SUMPRODUCT((Raw_Data_Daily!$B$2:$B$9999="Variant")*(Raw_Data_Daily!$A$2:$A$9999=$A22)*(Raw_Data_Daily!$C$2:$C$9999=$C$3)*Raw_Data_Daily!$D$2:$D$9999*Raw_Data_Daily!$T$2:$T$9999)/SUMIFS(Raw_Data_Daily!$D:$D, Raw_Data_Daily!$B:$B, "Variant", Raw_Data_Daily!$A:$A, $A22, Raw_Data_Daily!$C:$C, $C$3),""))</f>
        <v/>
      </c>
      <c r="AZ22" s="132" t="str">
        <f t="shared" si="17"/>
        <v/>
      </c>
      <c r="BA22" s="137" t="str">
        <f>IF($A22="","",IFERROR(SUMPRODUCT((Raw_Data_Daily!$B$2:$B$9999="Control")*(Raw_Data_Daily!$A$2:$A$9999=$A22)*(Raw_Data_Daily!$C$2:$C$9999=$C$3)*Raw_Data_Daily!$D$2:$D$9999*Raw_Data_Daily!$U$2:$U$9999)/SUMIFS(Raw_Data_Daily!$D:$D, Raw_Data_Daily!$B:$B, "Control", Raw_Data_Daily!$A:$A, $A22, Raw_Data_Daily!$C:$C, $C$3),""))</f>
        <v/>
      </c>
      <c r="BB22" s="137" t="str">
        <f>IF($A22="","",IFERROR(SUMPRODUCT((Raw_Data_Daily!$B$2:$B$9999="Variant")*(Raw_Data_Daily!$A$2:$A$9999=$A22)*(Raw_Data_Daily!$C$2:$C$9999=$C$3)*Raw_Data_Daily!$D$2:$D$9999*Raw_Data_Daily!$U$2:$U$9999)/SUMIFS(Raw_Data_Daily!$D:$D, Raw_Data_Daily!$B:$B, "Variant", Raw_Data_Daily!$A:$A, $A22, Raw_Data_Daily!$C:$C, $C$3),""))</f>
        <v/>
      </c>
      <c r="BC22" s="129" t="str">
        <f t="shared" si="18"/>
        <v/>
      </c>
      <c r="BD22" s="137" t="str">
        <f>IF($A22="","",IFERROR(SUMPRODUCT((Raw_Data_Daily!$B$2:$B$9999="Control")*(Raw_Data_Daily!$A$2:$A$9999=$A22)*(Raw_Data_Daily!$C$2:$C$9999=$C$3)*Raw_Data_Daily!$D$2:$D$9999*Raw_Data_Daily!$V$2:$V$9999)/SUMIFS(Raw_Data_Daily!$D:$D, Raw_Data_Daily!$B:$B, "Control", Raw_Data_Daily!$A:$A, $A22, Raw_Data_Daily!$C:$C, $C$3),""))</f>
        <v/>
      </c>
      <c r="BE22" s="137" t="str">
        <f>IF($A22="","",IFERROR(SUMPRODUCT((Raw_Data_Daily!$B$2:$B$9999="Variant")*(Raw_Data_Daily!$A$2:$A$9999=$A22)*(Raw_Data_Daily!$C$2:$C$9999=$C$3)*Raw_Data_Daily!$D$2:$D$9999*Raw_Data_Daily!$V$2:$V$9999)/SUMIFS(Raw_Data_Daily!$D:$D, Raw_Data_Daily!$B:$B, "Variant", Raw_Data_Daily!$A:$A, $A22, Raw_Data_Daily!$C:$C, $C$3),""))</f>
        <v/>
      </c>
      <c r="BF22" s="148" t="str">
        <f t="shared" si="19"/>
        <v/>
      </c>
      <c r="BG22" s="149" t="str">
        <f>IF($A22="","",IFERROR(SUMPRODUCT((Raw_Data_Daily!$B$2:$B$9999="Control")*(Raw_Data_Daily!$A$2:$A$9999=$A22)*(Raw_Data_Daily!$C$2:$C$9999=$C$3)*Raw_Data_Daily!$D$2:$D$9999*(Raw_Data_Daily!$Q$2:$Q$9999-Raw_Data_Daily!$V$2:$V$9999))/SUMIFS(Raw_Data_Daily!$D:$D, Raw_Data_Daily!$B:$B, "Control", Raw_Data_Daily!$A:$A, $A22, Raw_Data_Daily!$C:$C, $C$3),""))</f>
        <v/>
      </c>
      <c r="BH22" s="137" t="str">
        <f>IF($A22="","",IFERROR(SUMPRODUCT((Raw_Data_Daily!$B$2:$B$9999="Variant")*(Raw_Data_Daily!$A$2:$A$9999=$A22)*(Raw_Data_Daily!$C$2:$C$9999=$C$3)*Raw_Data_Daily!$D$2:$D$9999*(Raw_Data_Daily!$Q$2:$Q$9999-Raw_Data_Daily!$V$2:$V$9999))/SUMIFS(Raw_Data_Daily!$D:$D, Raw_Data_Daily!$B:$B, "Variant", Raw_Data_Daily!$A:$A, $A22, Raw_Data_Daily!$C:$C, $C$3),""))</f>
        <v/>
      </c>
      <c r="BI22" s="155" t="str">
        <f t="shared" si="20"/>
        <v/>
      </c>
      <c r="BJ22" s="156" t="str">
        <f>IF($A22="","",IFERROR(SUMPRODUCT((Raw_Data_Daily!$B$2:$B$9999="Control")*(Raw_Data_Daily!$A$2:$A$9999=$A22)*(Raw_Data_Daily!$C$2:$C$9999=$C$3)*Raw_Data_Daily!$D$2:$D$9999*Raw_Data_Daily!$W$2:$W$9999)/SUMIFS(Raw_Data_Daily!$D:$D, Raw_Data_Daily!$B:$B, "Control", Raw_Data_Daily!$A:$A, $A22, Raw_Data_Daily!$C:$C, $C$3),""))</f>
        <v/>
      </c>
      <c r="BK22" s="137" t="str">
        <f>IF($A22="","",IFERROR(SUMPRODUCT((Raw_Data_Daily!$B$2:$B$9999="Variant")*(Raw_Data_Daily!$A$2:$A$9999=$A22)*(Raw_Data_Daily!$C$2:$C$9999=$C$3)*Raw_Data_Daily!$D$2:$D$9999*Raw_Data_Daily!$W$2:$W$9999)/SUMIFS(Raw_Data_Daily!$D:$D, Raw_Data_Daily!$B:$B, "Variant", Raw_Data_Daily!$A:$A, $A22, Raw_Data_Daily!$C:$C, $C$3),""))</f>
        <v/>
      </c>
      <c r="BL22" s="129" t="str">
        <f t="shared" si="21"/>
        <v/>
      </c>
      <c r="BM22" s="139" t="str">
        <f>IF($A22="","",IFERROR(SUMPRODUCT((Raw_Data_Daily!$B$2:$B$9999="Control")*(Raw_Data_Daily!$A$2:$A$9999=$A22)*(Raw_Data_Daily!$C$2:$C$9999=$C$3)*Raw_Data_Daily!$D$2:$D$9999*Raw_Data_Daily!$X$2:$X$9999)/SUMIFS(Raw_Data_Daily!$D:$D, Raw_Data_Daily!$B:$B, "Control", Raw_Data_Daily!$A:$A, $A22, Raw_Data_Daily!$C:$C, $C$3),""))</f>
        <v/>
      </c>
      <c r="BN22" s="139" t="str">
        <f>IF($A22="","",IFERROR(SUMPRODUCT((Raw_Data_Daily!$B$2:$B$9999="Variant")*(Raw_Data_Daily!$A$2:$A$9999=$A22)*(Raw_Data_Daily!$C$2:$C$9999=$C$3)*Raw_Data_Daily!$D$2:$D$9999*Raw_Data_Daily!$X$2:$X$9999)/SUMIFS(Raw_Data_Daily!$D:$D, Raw_Data_Daily!$B:$B, "Variant", Raw_Data_Daily!$A:$A, $A22, Raw_Data_Daily!$C:$C, $C$3),""))</f>
        <v/>
      </c>
      <c r="BO22" s="132" t="str">
        <f t="shared" si="22"/>
        <v/>
      </c>
      <c r="BP22" s="128" t="str">
        <f>IF($A22="","",IFERROR(SUMPRODUCT((Raw_Data_Daily!$B$2:$B$9999="Control")*(Raw_Data_Daily!$A$2:$A$9999=$A22)*(Raw_Data_Daily!$C$2:$C$9999=$C$3)*Raw_Data_Daily!$D$2:$D$9999*Raw_Data_Daily!$Y$2:$Y$9999)/SUMIFS(Raw_Data_Daily!$D:$D, Raw_Data_Daily!$B:$B, "Control", Raw_Data_Daily!$A:$A, $A22, Raw_Data_Daily!$C:$C, $C$3),""))</f>
        <v/>
      </c>
      <c r="BQ22" s="128" t="str">
        <f>IF($A22="","",IFERROR(SUMPRODUCT((Raw_Data_Daily!$B$2:$B$9999="Variant")*(Raw_Data_Daily!$A$2:$A$9999=$A22)*(Raw_Data_Daily!$C$2:$C$9999=$C$3)*Raw_Data_Daily!$D$2:$D$9999*Raw_Data_Daily!$Y$2:$Y$9999)/SUMIFS(Raw_Data_Daily!$D:$D, Raw_Data_Daily!$B:$B, "Variant", Raw_Data_Daily!$A:$A, $A22, Raw_Data_Daily!$C:$C, $C$3),""))</f>
        <v/>
      </c>
      <c r="BR22" s="129" t="str">
        <f t="shared" si="23"/>
        <v/>
      </c>
      <c r="BS22" s="128" t="str">
        <f>IF($A22="","",IFERROR(SUMPRODUCT((Raw_Data_Daily!$B$2:$B$9999="Control")*(Raw_Data_Daily!$A$2:$A$9999=$A22)*(Raw_Data_Daily!$C$2:$C$9999=$C$3)*Raw_Data_Daily!$D$2:$D$9999*Raw_Data_Daily!$Z$2:$Z$9999)/SUMIFS(Raw_Data_Daily!$D:$D, Raw_Data_Daily!$B:$B, "Control", Raw_Data_Daily!$A:$A, $A22, Raw_Data_Daily!$C:$C, $C$3),""))</f>
        <v/>
      </c>
      <c r="BT22" s="128" t="str">
        <f>IF($A22="","",IFERROR(SUMPRODUCT((Raw_Data_Daily!$B$2:$B$9999="Variant")*(Raw_Data_Daily!$A$2:$A$9999=$A22)*(Raw_Data_Daily!$C$2:$C$9999=$C$3)*Raw_Data_Daily!$D$2:$D$9999*Raw_Data_Daily!$Z$2:$Z$9999)/SUMIFS(Raw_Data_Daily!$D:$D, Raw_Data_Daily!$B:$B, "Variant", Raw_Data_Daily!$A:$A, $A22, Raw_Data_Daily!$C:$C, $C$3),""))</f>
        <v/>
      </c>
      <c r="BU22" s="129" t="str">
        <f t="shared" si="24"/>
        <v/>
      </c>
      <c r="BV22" s="128" t="str">
        <f>IF($A22="","",IFERROR(SUMPRODUCT((Raw_Data_Daily!$B$2:$B$9999="Control")*(Raw_Data_Daily!$A$2:$A$9999=$A22)*(Raw_Data_Daily!$C$2:$C$9999=$C$3)*Raw_Data_Daily!$D$2:$D$9999*Raw_Data_Daily!$AA$2:$AA$9999)/SUMIFS(Raw_Data_Daily!$D:$D, Raw_Data_Daily!$B:$B, "Control", Raw_Data_Daily!$A:$A, $A22, Raw_Data_Daily!$C:$C, $C$3),""))</f>
        <v/>
      </c>
      <c r="BW22" s="128" t="str">
        <f>IF($A22="","",IFERROR(SUMPRODUCT((Raw_Data_Daily!$B$2:$B$9999="Variant")*(Raw_Data_Daily!$A$2:$A$9999=$A22)*(Raw_Data_Daily!$C$2:$C$9999=$C$3)*Raw_Data_Daily!$D$2:$D$9999*Raw_Data_Daily!$AA$2:$AA$9999)/SUMIFS(Raw_Data_Daily!$D:$D, Raw_Data_Daily!$B:$B, "Variant", Raw_Data_Daily!$A:$A, $A22, Raw_Data_Daily!$C:$C, $C$3),""))</f>
        <v/>
      </c>
      <c r="BX22" s="129" t="str">
        <f t="shared" si="25"/>
        <v/>
      </c>
      <c r="BY22" s="137" t="str">
        <f>IF($A22="","",IFERROR(SUMPRODUCT((Raw_Data_Daily!$B$2:$B$9999="Control")*(Raw_Data_Daily!$A$2:$A$9999=$A22)*(Raw_Data_Daily!$C$2:$C$9999=$C$3)*Raw_Data_Daily!$D$2:$D$9999*Raw_Data_Daily!$AB$2:$AB$9999)/SUMIFS(Raw_Data_Daily!$D:$D, Raw_Data_Daily!$B:$B, "Control", Raw_Data_Daily!$A:$A, $A22, Raw_Data_Daily!$C:$C, $C$3),""))</f>
        <v/>
      </c>
      <c r="BZ22" s="137" t="str">
        <f>IF($A22="","",IFERROR(SUMPRODUCT((Raw_Data_Daily!$B$2:$B$9999="Variant")*(Raw_Data_Daily!$A$2:$A$9999=$A22)*(Raw_Data_Daily!$C$2:$C$9999=$C$3)*Raw_Data_Daily!$D$2:$D$9999*Raw_Data_Daily!$AB$2:$AB$9999)/SUMIFS(Raw_Data_Daily!$D:$D, Raw_Data_Daily!$B:$B, "Variant", Raw_Data_Daily!$A:$A, $A22, Raw_Data_Daily!$C:$C, $C$3),""))</f>
        <v/>
      </c>
      <c r="CA22" s="132" t="str">
        <f t="shared" si="26"/>
        <v/>
      </c>
      <c r="CB22" s="137" t="str">
        <f>IF($A22="","",IFERROR(SUMPRODUCT((Raw_Data_Daily!$B$2:$B$9999="Control")*(Raw_Data_Daily!$A$2:$A$9999=$A22)*(Raw_Data_Daily!$C$2:$C$9999=$C$3)*Raw_Data_Daily!$D$2:$D$9999*Raw_Data_Daily!$AC$2:$AC$9999)/SUMIFS(Raw_Data_Daily!$D:$D, Raw_Data_Daily!$B:$B, "Control", Raw_Data_Daily!$A:$A, $A22, Raw_Data_Daily!$C:$C, $C$3),""))</f>
        <v/>
      </c>
      <c r="CC22" s="137" t="str">
        <f>IF($A22="","",IFERROR(SUMPRODUCT((Raw_Data_Daily!$B$2:$B$9999="Variant")*(Raw_Data_Daily!$A$2:$A$9999=$A22)*(Raw_Data_Daily!$C$2:$C$9999=$C$3)*Raw_Data_Daily!$D$2:$D$9999*Raw_Data_Daily!$AC$2:$AC$9999)/SUMIFS(Raw_Data_Daily!$D:$D, Raw_Data_Daily!$B:$B, "Variant", Raw_Data_Daily!$A:$A, $A22, Raw_Data_Daily!$C:$C, $C$3),""))</f>
        <v/>
      </c>
      <c r="CD22" s="132" t="str">
        <f t="shared" si="27"/>
        <v/>
      </c>
      <c r="CE22" s="137" t="str">
        <f>IF($A22="","",IFERROR(SUMPRODUCT((Raw_Data_Daily!$B$2:$B$9999="Control")*(Raw_Data_Daily!$A$2:$A$9999=$A22)*(Raw_Data_Daily!$C$2:$C$9999=$C$3)*Raw_Data_Daily!$D$2:$D$9999*Raw_Data_Daily!$AD$2:$AD$9999)/SUMIFS(Raw_Data_Daily!$D:$D, Raw_Data_Daily!$B:$B, "Control", Raw_Data_Daily!$A:$A, $A22, Raw_Data_Daily!$C:$C, $C$3),""))</f>
        <v/>
      </c>
      <c r="CF22" s="137" t="str">
        <f>IF($A22="","",IFERROR(SUMPRODUCT((Raw_Data_Daily!$B$2:$B$9999="Variant")*(Raw_Data_Daily!$A$2:$A$9999=$A22)*(Raw_Data_Daily!$C$2:$C$9999=$C$3)*Raw_Data_Daily!$D$2:$D$9999*Raw_Data_Daily!$AD$2:$AD$9999)/SUMIFS(Raw_Data_Daily!$D:$D, Raw_Data_Daily!$B:$B, "Variant", Raw_Data_Daily!$A:$A, $A22, Raw_Data_Daily!$C:$C, $C$3),""))</f>
        <v/>
      </c>
      <c r="CG22" s="132" t="str">
        <f t="shared" si="28"/>
        <v/>
      </c>
      <c r="CH22" s="137" t="str">
        <f>IF($A22="","",IFERROR(SUMPRODUCT((Raw_Data_Daily!$B$2:$B$9999="Control")*(Raw_Data_Daily!$A$2:$A$9999=$A22)*(Raw_Data_Daily!$C$2:$C$9999=$C$3)*Raw_Data_Daily!$D$2:$D$9999*Raw_Data_Daily!$AE$2:$AE$9999)/SUMIFS(Raw_Data_Daily!$D:$D, Raw_Data_Daily!$B:$B, "Control", Raw_Data_Daily!$A:$A, $A22, Raw_Data_Daily!$C:$C, $C$3),""))</f>
        <v/>
      </c>
      <c r="CI22" s="137" t="str">
        <f>IF($A22="","",IFERROR(SUMPRODUCT((Raw_Data_Daily!$B$2:$B$9999="Variant")*(Raw_Data_Daily!$A$2:$A$9999=$A22)*(Raw_Data_Daily!$C$2:$C$9999=$C$3)*Raw_Data_Daily!$D$2:$D$9999*Raw_Data_Daily!$AE$2:$AE$9999)/SUMIFS(Raw_Data_Daily!$D:$D, Raw_Data_Daily!$B:$B, "Variant", Raw_Data_Daily!$A:$A, $A22, Raw_Data_Daily!$C:$C, $C$3),""))</f>
        <v/>
      </c>
      <c r="CJ22" s="132" t="str">
        <f t="shared" si="29"/>
        <v/>
      </c>
      <c r="CK22" s="137" t="str">
        <f>IF($A22="","",IFERROR(SUMPRODUCT((Raw_Data_Daily!$B$2:$B$9999="Control")*(Raw_Data_Daily!$A$2:$A$9999=$A22)*(Raw_Data_Daily!$C$2:$C$9999=$C$3)*Raw_Data_Daily!$D$2:$D$9999*Raw_Data_Daily!$AF$2:$AF$9999)/SUMIFS(Raw_Data_Daily!$D:$D, Raw_Data_Daily!$B:$B, "Control", Raw_Data_Daily!$A:$A, $A22, Raw_Data_Daily!$C:$C, $C$3),""))</f>
        <v/>
      </c>
      <c r="CL22" s="137" t="str">
        <f>IF($A22="","",IFERROR(SUMPRODUCT((Raw_Data_Daily!$B$2:$B$9999="Variant")*(Raw_Data_Daily!$A$2:$A$9999=$A22)*(Raw_Data_Daily!$C$2:$C$9999=$C$3)*Raw_Data_Daily!$D$2:$D$9999*Raw_Data_Daily!$AF$2:$AF$9999)/SUMIFS(Raw_Data_Daily!$D:$D, Raw_Data_Daily!$B:$B, "Variant", Raw_Data_Daily!$A:$A, $A22, Raw_Data_Daily!$C:$C, $C$3),""))</f>
        <v/>
      </c>
      <c r="CM22" s="132" t="str">
        <f t="shared" si="30"/>
        <v/>
      </c>
      <c r="CN22" s="137" t="str">
        <f>IF($A22="","",IFERROR(SUMPRODUCT((Raw_Data_Daily!$B$2:$B$9999="Control")*(Raw_Data_Daily!$A$2:$A$9999=$A22)*(Raw_Data_Daily!$C$2:$C$9999=$C$3)*Raw_Data_Daily!$D$2:$D$9999*Raw_Data_Daily!$AG$2:$AG$9999)/SUMIFS(Raw_Data_Daily!$D:$D, Raw_Data_Daily!$B:$B, "Control", Raw_Data_Daily!$A:$A, $A22, Raw_Data_Daily!$C:$C, $C$3),""))</f>
        <v/>
      </c>
      <c r="CO22" s="137" t="str">
        <f>IF($A22="","",IFERROR(SUMPRODUCT((Raw_Data_Daily!$B$2:$B$9999="Variant")*(Raw_Data_Daily!$A$2:$A$9999=$A22)*(Raw_Data_Daily!$C$2:$C$9999=$C$3)*Raw_Data_Daily!$D$2:$D$9999*Raw_Data_Daily!$AG$2:$AG$9999)/SUMIFS(Raw_Data_Daily!$D:$D, Raw_Data_Daily!$B:$B, "Variant", Raw_Data_Daily!$A:$A, $A22, Raw_Data_Daily!$C:$C, $C$3),""))</f>
        <v/>
      </c>
      <c r="CP22" s="132" t="str">
        <f t="shared" si="31"/>
        <v/>
      </c>
      <c r="CQ22" s="137" t="str">
        <f>IF($A22="","",IFERROR(SUMPRODUCT((Raw_Data_Daily!$B$2:$B$9999="Control")*(Raw_Data_Daily!$A$2:$A$9999=$A22)*(Raw_Data_Daily!$C$2:$C$9999=$C$3)*Raw_Data_Daily!$D$2:$D$9999*Raw_Data_Daily!$AH$2:$AH$9999)/SUMIFS(Raw_Data_Daily!$D:$D, Raw_Data_Daily!$B:$B, "Control", Raw_Data_Daily!$A:$A, $A22, Raw_Data_Daily!$C:$C, $C$3),""))</f>
        <v/>
      </c>
      <c r="CR22" s="137" t="str">
        <f>IF($A22="","",IFERROR(SUMPRODUCT((Raw_Data_Daily!$B$2:$B$9999="Variant")*(Raw_Data_Daily!$A$2:$A$9999=$A22)*(Raw_Data_Daily!$C$2:$C$9999=$C$3)*Raw_Data_Daily!$D$2:$D$9999*Raw_Data_Daily!$AH$2:$AH$9999)/SUMIFS(Raw_Data_Daily!$D:$D, Raw_Data_Daily!$B:$B, "Variant", Raw_Data_Daily!$A:$A, $A22, Raw_Data_Daily!$C:$C, $C$3),""))</f>
        <v/>
      </c>
      <c r="CS22" s="132" t="str">
        <f t="shared" si="32"/>
        <v/>
      </c>
      <c r="CT22" s="130" t="str">
        <f>IF($A22="","",IFERROR(SUMPRODUCT((Raw_Data_Daily!$B$2:$B$9999="Control")*(Raw_Data_Daily!$A$2:$A$9999=$A22)*(Raw_Data_Daily!$C$2:$C$9999=$C$3)*Raw_Data_Daily!$D$2:$D$9999*Raw_Data_Daily!$AI$2:$AI$9999)/SUMIFS(Raw_Data_Daily!$D:$D, Raw_Data_Daily!$B:$B, "Control", Raw_Data_Daily!$A:$A, $A22, Raw_Data_Daily!$C:$C, $C$3),""))</f>
        <v/>
      </c>
      <c r="CU22" s="130" t="str">
        <f>IF($A22="","",IFERROR(SUMPRODUCT((Raw_Data_Daily!$B$2:$B$9999="Variant")*(Raw_Data_Daily!$A$2:$A$9999=$A22)*(Raw_Data_Daily!$C$2:$C$9999=$C$3)*Raw_Data_Daily!$D$2:$D$9999*Raw_Data_Daily!$AI$2:$AI$9999)/SUMIFS(Raw_Data_Daily!$D:$D, Raw_Data_Daily!$B:$B, "Variant", Raw_Data_Daily!$A:$A, $A22, Raw_Data_Daily!$C:$C, $C$3),""))</f>
        <v/>
      </c>
      <c r="CV22" s="140" t="str">
        <f t="shared" si="33"/>
        <v/>
      </c>
      <c r="CW22" s="130" t="str">
        <f>IF($A22="","",IFERROR(SUMPRODUCT((Raw_Data_Daily!$B$2:$B$9999="Control")*(Raw_Data_Daily!$A$2:$A$9999=$A22)*(Raw_Data_Daily!$C$2:$C$9999=$C$3)*Raw_Data_Daily!$D$2:$D$9999*Raw_Data_Daily!$AJ$2:$AJ$9999)/SUMIFS(Raw_Data_Daily!$D:$D, Raw_Data_Daily!$B:$B, "Control", Raw_Data_Daily!$A:$A, $A22, Raw_Data_Daily!$C:$C, $C$3),""))</f>
        <v/>
      </c>
      <c r="CX22" s="130" t="str">
        <f>IF($A22="","",IFERROR(SUMPRODUCT((Raw_Data_Daily!$B$2:$B$9999="Variant")*(Raw_Data_Daily!$A$2:$A$9999=$A22)*(Raw_Data_Daily!$C$2:$C$9999=$C$3)*Raw_Data_Daily!$D$2:$D$9999*Raw_Data_Daily!$AJ$2:$AJ$9999)/SUMIFS(Raw_Data_Daily!$D:$D, Raw_Data_Daily!$B:$B, "Variant", Raw_Data_Daily!$A:$A, $A22, Raw_Data_Daily!$C:$C, $C$3),""))</f>
        <v/>
      </c>
      <c r="CY22" s="140" t="str">
        <f t="shared" si="34"/>
        <v/>
      </c>
      <c r="CZ22" s="130" t="str">
        <f>IF($A22="","",IFERROR(SUMPRODUCT((Raw_Data_Daily!$B$2:$B$9999="Control")*(Raw_Data_Daily!$A$2:$A$9999=$A22)*(Raw_Data_Daily!$C$2:$C$9999=$C$3)*Raw_Data_Daily!$D$2:$D$9999*Raw_Data_Daily!$AK$2:$AK$9999)/SUMIFS(Raw_Data_Daily!$D:$D, Raw_Data_Daily!$B:$B, "Control", Raw_Data_Daily!$A:$A, $A22, Raw_Data_Daily!$C:$C, $C$3),""))</f>
        <v/>
      </c>
      <c r="DA22" s="130" t="str">
        <f>IF($A22="","",IFERROR(SUMPRODUCT((Raw_Data_Daily!$B$2:$B$9999="Variant")*(Raw_Data_Daily!$A$2:$A$9999=$A22)*(Raw_Data_Daily!$C$2:$C$9999=$C$3)*Raw_Data_Daily!$D$2:$D$9999*Raw_Data_Daily!$AK$2:$AK$9999)/SUMIFS(Raw_Data_Daily!$D:$D, Raw_Data_Daily!$B:$B, "Variant", Raw_Data_Daily!$A:$A, $A22, Raw_Data_Daily!$C:$C, $C$3),""))</f>
        <v/>
      </c>
      <c r="DB22" s="132" t="str">
        <f t="shared" si="35"/>
        <v/>
      </c>
      <c r="DC22" s="139" t="str">
        <f>IF($A22="","",IFERROR(SUMPRODUCT((Raw_Data_Daily!$B$2:$B$9999="Control")*(Raw_Data_Daily!$A$2:$A$9999=$A22)*(Raw_Data_Daily!$C$2:$C$9999=$C$3)*Raw_Data_Daily!$D$2:$D$9999*Raw_Data_Daily!$AL$2:$AL$9999)/SUMIFS(Raw_Data_Daily!$D:$D, Raw_Data_Daily!$B:$B, "Control", Raw_Data_Daily!$A:$A, $A22, Raw_Data_Daily!$C:$C, $C$3),""))</f>
        <v/>
      </c>
      <c r="DD22" s="139" t="str">
        <f>IF($A22="","",IFERROR(SUMPRODUCT((Raw_Data_Daily!$B$2:$B$9999="Variant")*(Raw_Data_Daily!$A$2:$A$9999=$A22)*(Raw_Data_Daily!$C$2:$C$9999=$C$3)*Raw_Data_Daily!$D$2:$D$9999*Raw_Data_Daily!$AL$2:$AL$9999)/SUMIFS(Raw_Data_Daily!$D:$D, Raw_Data_Daily!$B:$B, "Variant", Raw_Data_Daily!$A:$A, $A22, Raw_Data_Daily!$C:$C, $C$3),""))</f>
        <v/>
      </c>
      <c r="DE22" s="140" t="str">
        <f t="shared" si="36"/>
        <v/>
      </c>
      <c r="DF22" s="165"/>
      <c r="DG22" s="130" t="str">
        <f>IF($A22="","",IFERROR(SUMPRODUCT((Raw_Data_Daily!$B$2:$B$9999="Variant")*(Raw_Data_Daily!$A$2:$A$9999=$A22)*(Raw_Data_Daily!$C$2:$C$9999=$C$3)*Raw_Data_Daily!$D$2:$D$9999*Raw_Data_Daily!$AM$2:$AM$9999)/SUMIFS(Raw_Data_Daily!$D:$D, Raw_Data_Daily!$B:$B, "Variant", Raw_Data_Daily!$A:$A, $A22, Raw_Data_Daily!$C:$C, $C$3),""))</f>
        <v/>
      </c>
      <c r="DH22" s="166"/>
      <c r="DI22" s="165"/>
      <c r="DJ22" s="130" t="str">
        <f>IF($A22="","",IFERROR(SUMPRODUCT((Raw_Data_Daily!$B$2:$B$9999="Variant")*(Raw_Data_Daily!$A$2:$A$9999=$A22)*(Raw_Data_Daily!$C$2:$C$9999=$C$3)*Raw_Data_Daily!$D$2:$D$9999*Raw_Data_Daily!$AN$2:$AN$9999)/SUMIFS(Raw_Data_Daily!$D:$D, Raw_Data_Daily!$B:$B, "Variant", Raw_Data_Daily!$A:$A, $A22, Raw_Data_Daily!$C:$C, $C$3),""))</f>
        <v/>
      </c>
      <c r="DK22" s="166"/>
      <c r="DL22" s="165"/>
      <c r="DM22" s="130" t="str">
        <f>IF($A22="","",IFERROR(SUMPRODUCT((Raw_Data_Daily!$B$2:$B$9999="Variant")*(Raw_Data_Daily!$A$2:$A$9999=$A22)*(Raw_Data_Daily!$C$2:$C$9999=$C$3)*Raw_Data_Daily!$D$2:$D$9999*Raw_Data_Daily!$AO$2:$AO$9999)/SUMIFS(Raw_Data_Daily!$D:$D, Raw_Data_Daily!$B:$B, "Variant", Raw_Data_Daily!$A:$A, $A22, Raw_Data_Daily!$C:$C, $C$3),""))</f>
        <v/>
      </c>
      <c r="DN22" s="166"/>
      <c r="DO22" s="165"/>
      <c r="DP22" s="130" t="str">
        <f>IF($A22="","",IFERROR(SUMPRODUCT((Raw_Data_Daily!$B$2:$B$9999="Variant")*(Raw_Data_Daily!$A$2:$A$9999=$A22)*(Raw_Data_Daily!$C$2:$C$9999=$C$3)*Raw_Data_Daily!$D$2:$D$9999*Raw_Data_Daily!$AP$2:$AP$9999)/SUMIFS(Raw_Data_Daily!$D:$D, Raw_Data_Daily!$B:$B, "Variant", Raw_Data_Daily!$A:$A, $A22, Raw_Data_Daily!$C:$C, $C$3),""))</f>
        <v/>
      </c>
      <c r="DQ22" s="166"/>
      <c r="DR22" s="139" t="str">
        <f>IF($A22="","",IFERROR(SUMPRODUCT((Raw_Data_Daily!$B$2:$B$9999="Control")*(Raw_Data_Daily!$A$2:$A$9999=$A22)*(Raw_Data_Daily!$C$2:$C$9999=$C$3)*Raw_Data_Daily!$D$2:$D$9999*Raw_Data_Daily!$AQ$2:$AQ$9999)/SUMIFS(Raw_Data_Daily!$D:$D, Raw_Data_Daily!$B:$B, "Control", Raw_Data_Daily!$A:$A, $A22, Raw_Data_Daily!$C:$C, $C$3),""))</f>
        <v/>
      </c>
      <c r="DS22" s="139" t="str">
        <f>IF($A22="","",IFERROR(SUMPRODUCT((Raw_Data_Daily!$B$2:$B$9999="Variant")*(Raw_Data_Daily!$A$2:$A$9999=$A22)*(Raw_Data_Daily!$C$2:$C$9999=$C$3)*Raw_Data_Daily!$D$2:$D$9999*Raw_Data_Daily!$AQ$2:$AQ$9999)/SUMIFS(Raw_Data_Daily!$D:$D, Raw_Data_Daily!$B:$B, "Variant", Raw_Data_Daily!$A:$A, $A22, Raw_Data_Daily!$C:$C, $C$3),""))</f>
        <v/>
      </c>
      <c r="DT22" s="167" t="str">
        <f t="shared" si="37"/>
        <v/>
      </c>
      <c r="DU22" s="139" t="str">
        <f>IF($A22="","",IFERROR(SUMPRODUCT((Raw_Data_Daily!$B$2:$B$9999="Control")*(Raw_Data_Daily!$A$2:$A$9999=$A22)*(Raw_Data_Daily!$C$2:$C$9999=$C$3)*Raw_Data_Daily!$D$2:$D$9999*Raw_Data_Daily!$AR$2:$AR$9999)/SUMIFS(Raw_Data_Daily!$D:$D, Raw_Data_Daily!$B:$B, "Control", Raw_Data_Daily!$A:$A, $A22, Raw_Data_Daily!$C:$C, $C$3),""))</f>
        <v/>
      </c>
      <c r="DV22" s="139" t="str">
        <f>IF($A22="","",IFERROR(SUMPRODUCT((Raw_Data_Daily!$B$2:$B$9999="Variant")*(Raw_Data_Daily!$A$2:$A$9999=$A22)*(Raw_Data_Daily!$C$2:$C$9999=$C$3)*Raw_Data_Daily!$D$2:$D$9999*Raw_Data_Daily!$AR$2:$AR$9999)/SUMIFS(Raw_Data_Daily!$D:$D, Raw_Data_Daily!$B:$B, "Variant", Raw_Data_Daily!$A:$A, $A22, Raw_Data_Daily!$C:$C, $C$3),""))</f>
        <v/>
      </c>
      <c r="DW22" s="167" t="str">
        <f t="shared" si="38"/>
        <v/>
      </c>
      <c r="DX22" s="139" t="str">
        <f>IF($A22="","",IFERROR(SUMPRODUCT((Raw_Data_Daily!$B$2:$B$9999="Control")*(Raw_Data_Daily!$A$2:$A$9999=$A22)*(Raw_Data_Daily!$C$2:$C$9999=$C$3)*Raw_Data_Daily!$D$2:$D$9999*Raw_Data_Daily!$AS$2:$AS$9999)/SUMIFS(Raw_Data_Daily!$D:$D, Raw_Data_Daily!$B:$B, "Control", Raw_Data_Daily!$A:$A, $A22, Raw_Data_Daily!$C:$C, $C$3),""))</f>
        <v/>
      </c>
      <c r="DY22" s="139" t="str">
        <f>IF($A22="","",IFERROR(SUMPRODUCT((Raw_Data_Daily!$B$2:$B$9999="Variant")*(Raw_Data_Daily!$A$2:$A$9999=$A22)*(Raw_Data_Daily!$C$2:$C$9999=$C$3)*Raw_Data_Daily!$D$2:$D$9999*Raw_Data_Daily!$AS$2:$AS$9999)/SUMIFS(Raw_Data_Daily!$D:$D, Raw_Data_Daily!$B:$B, "Variant", Raw_Data_Daily!$A:$A, $A22, Raw_Data_Daily!$C:$C, $C$3),""))</f>
        <v/>
      </c>
      <c r="DZ22" s="168" t="str">
        <f t="shared" si="39"/>
        <v/>
      </c>
      <c r="EA22" s="139" t="str">
        <f>IF($A22="","",IFERROR(SUMPRODUCT((Raw_Data_Daily!$B$2:$B$9999="Control")*(Raw_Data_Daily!$A$2:$A$9999=$A22)*(Raw_Data_Daily!$C$2:$C$9999=$C$3)*Raw_Data_Daily!$D$2:$D$9999*Raw_Data_Daily!$AT$2:$AT$9999)/SUMIFS(Raw_Data_Daily!$D:$D, Raw_Data_Daily!$B:$B, "Control", Raw_Data_Daily!$A:$A, $A22, Raw_Data_Daily!$C:$C, $C$3),""))</f>
        <v/>
      </c>
      <c r="EB22" s="139" t="str">
        <f>IF($A22="","",IFERROR(SUMPRODUCT((Raw_Data_Daily!$B$2:$B$9999="Variant")*(Raw_Data_Daily!$A$2:$A$9999=$A22)*(Raw_Data_Daily!$C$2:$C$9999=$C$3)*Raw_Data_Daily!$D$2:$D$9999*Raw_Data_Daily!$AT$2:$AT$9999)/SUMIFS(Raw_Data_Daily!$D:$D, Raw_Data_Daily!$B:$B, "Variant", Raw_Data_Daily!$A:$A, $A22, Raw_Data_Daily!$C:$C, $C$3),""))</f>
        <v/>
      </c>
      <c r="EC22" s="167" t="str">
        <f t="shared" si="40"/>
        <v/>
      </c>
      <c r="ED22" s="139" t="str">
        <f>IF($A22="","",IFERROR(SUMPRODUCT((Raw_Data_Daily!$B$2:$B$9999="Control")*(Raw_Data_Daily!$A$2:$A$9999=$A22)*(Raw_Data_Daily!$C$2:$C$9999=$C$3)*Raw_Data_Daily!$D$2:$D$9999*(Raw_Data_Daily!$AQ$2:$AQ$9999-Raw_Data_Daily!$AT$2:$AT$9999))/SUMIFS(Raw_Data_Daily!$D:$D, Raw_Data_Daily!$B:$B, "Control", Raw_Data_Daily!$A:$A, $A22, Raw_Data_Daily!$C:$C, $C$3),""))</f>
        <v/>
      </c>
      <c r="EE22" s="139" t="str">
        <f>IF($A22="","",IFERROR(SUMPRODUCT((Raw_Data_Daily!$B$2:$B$9999="Variant")*(Raw_Data_Daily!$A$2:$A$9999=$A22)*(Raw_Data_Daily!$C$2:$C$9999=$C$3)*Raw_Data_Daily!$D$2:$D$9999*(Raw_Data_Daily!$AQ$2:$AQ$9999-Raw_Data_Daily!$AT$2:$AT$9999))/SUMIFS(Raw_Data_Daily!$D:$D, Raw_Data_Daily!$B:$B, "Variant", Raw_Data_Daily!$A:$A, $A22, Raw_Data_Daily!$C:$C, $C$3),""))</f>
        <v/>
      </c>
      <c r="EF22" s="168" t="str">
        <f t="shared" si="41"/>
        <v/>
      </c>
      <c r="EG22" s="139" t="str">
        <f>IF($A22="","",IFERROR(SUMPRODUCT((Raw_Data_Daily!$B$2:$B$9999="Control")*(Raw_Data_Daily!$A$2:$A$9999=$A22)*(Raw_Data_Daily!$C$2:$C$9999=$C$3)*Raw_Data_Daily!$D$2:$D$9999*Raw_Data_Daily!$AU$2:$AU$9999)/SUMIFS(Raw_Data_Daily!$D:$D, Raw_Data_Daily!$B:$B, "Control", Raw_Data_Daily!$A:$A, $A22, Raw_Data_Daily!$C:$C, $C$3),""))</f>
        <v/>
      </c>
      <c r="EH22" s="139" t="str">
        <f>IF($A22="","",IFERROR(SUMPRODUCT((Raw_Data_Daily!$B$2:$B$9999="Variant")*(Raw_Data_Daily!$A$2:$A$9999=$A22)*(Raw_Data_Daily!$C$2:$C$9999=$C$3)*Raw_Data_Daily!$D$2:$D$9999*Raw_Data_Daily!$AU$2:$AU$9999)/SUMIFS(Raw_Data_Daily!$D:$D, Raw_Data_Daily!$B:$B, "Variant", Raw_Data_Daily!$A:$A, $A22, Raw_Data_Daily!$C:$C, $C$3),""))</f>
        <v/>
      </c>
      <c r="EI22" s="167" t="str">
        <f t="shared" si="42"/>
        <v/>
      </c>
    </row>
    <row r="23" ht="15.75" customHeight="1">
      <c r="A23" s="260">
        <v>46246.0</v>
      </c>
      <c r="B23" s="261">
        <f>IF($A23="","",SUMIFS(Raw_Data_Daily!$D:$D, Raw_Data_Daily!$B:$B, "Control", Raw_Data_Daily!$A:$A, $A23, Raw_Data_Daily!$C:$C, $C$3))</f>
        <v>0</v>
      </c>
      <c r="C23" s="261">
        <f>IF($A23="","",SUMIFS(Raw_Data_Daily!$D:$D, Raw_Data_Daily!$B:$B, "Variant", Raw_Data_Daily!$A:$A, $A23, Raw_Data_Daily!$C:$C, $C$3))</f>
        <v>0</v>
      </c>
      <c r="D23" s="262" t="str">
        <f t="shared" si="1"/>
        <v/>
      </c>
      <c r="E23" s="263" t="str">
        <f>IF($A23="","",IFERROR(SUMPRODUCT((Raw_Data_Daily!$B$2:$B$9999="Control")*(Raw_Data_Daily!$A$2:$A$9999=$A23)*(Raw_Data_Daily!$C$2:$C$9999=$C$3)*Raw_Data_Daily!$D$2:$D$9999*Raw_Data_Daily!$E$2:$E$9999)/SUMIFS(Raw_Data_Daily!$D:$D, Raw_Data_Daily!$B:$B, "Control", Raw_Data_Daily!$A:$A, $A23, Raw_Data_Daily!$C:$C, $C$3),""))</f>
        <v/>
      </c>
      <c r="F23" s="263" t="str">
        <f>IF($A23="","",IFERROR(SUMPRODUCT((Raw_Data_Daily!$B$2:$B$9999="Variant")*(Raw_Data_Daily!$A$2:$A$9999=$A23)*(Raw_Data_Daily!$C$2:$C$9999=$C$3)*Raw_Data_Daily!$D$2:$D$9999*Raw_Data_Daily!$E$2:$E$9999)/SUMIFS(Raw_Data_Daily!$D:$D, Raw_Data_Daily!$B:$B, "Variant", Raw_Data_Daily!$A:$A, $A23, Raw_Data_Daily!$C:$C, $C$3),""))</f>
        <v/>
      </c>
      <c r="G23" s="262" t="str">
        <f t="shared" si="2"/>
        <v/>
      </c>
      <c r="H23" s="264">
        <f>IF($A23="","",SUMIFS(Raw_Data_Daily!$F:$F, Raw_Data_Daily!$B:$B, "Control", Raw_Data_Daily!$A:$A, $A23, Raw_Data_Daily!$C:$C, $C$3))</f>
        <v>0</v>
      </c>
      <c r="I23" s="264">
        <f>IF($A23="","",SUMIFS(Raw_Data_Daily!$F:$F, Raw_Data_Daily!$B:$B, "Variant", Raw_Data_Daily!$A:$A, $A23, Raw_Data_Daily!$C:$C, $C$3))</f>
        <v>0</v>
      </c>
      <c r="J23" s="265" t="str">
        <f t="shared" si="3"/>
        <v/>
      </c>
      <c r="K23" s="266" t="str">
        <f>IF($A23="","",IFERROR(SUMIFS(Raw_Data_Daily!$F:$F, Raw_Data_Daily!$B:$B, "Control", Raw_Data_Daily!$A:$A, $A23, Raw_Data_Daily!$C:$C, $C$3)/SUMIFS(Raw_Data_Daily!$D:$D, Raw_Data_Daily!$B:$B, "Control", Raw_Data_Daily!$A:$A, $A23, Raw_Data_Daily!$C:$C, $C$3),""))</f>
        <v/>
      </c>
      <c r="L23" s="266" t="str">
        <f>IF($A23="","",IFERROR(SUMIFS(Raw_Data_Daily!$F:$F, Raw_Data_Daily!$B:$B, "Variant", Raw_Data_Daily!$A:$A, $A23, Raw_Data_Daily!$C:$C, $C$3)/SUMIFS(Raw_Data_Daily!$D:$D, Raw_Data_Daily!$B:$B, "Variant", Raw_Data_Daily!$A:$A, $A23, Raw_Data_Daily!$C:$C, $C$3),""))</f>
        <v/>
      </c>
      <c r="M23" s="265" t="str">
        <f t="shared" si="4"/>
        <v/>
      </c>
      <c r="N23" s="263" t="str">
        <f>IF($A23="","",IFERROR(SUMPRODUCT((Raw_Data_Daily!$B$2:$B$9999="Control")*(Raw_Data_Daily!$A$2:$A$9999=$A23)*(Raw_Data_Daily!$C$2:$C$9999=$C$3)*Raw_Data_Daily!$D$2:$D$9999*Raw_Data_Daily!$H$2:$H$9999/100)/SUMIFS(Raw_Data_Daily!$D:$D, Raw_Data_Daily!$B:$B, "Control", Raw_Data_Daily!$A:$A, $A23, Raw_Data_Daily!$C:$C, $C$3)*100,""))</f>
        <v/>
      </c>
      <c r="O23" s="263" t="str">
        <f>IF($A23="","",IFERROR(SUMPRODUCT((Raw_Data_Daily!$B$2:$B$9999="Variant")*(Raw_Data_Daily!$A$2:$A$9999=$A23)*(Raw_Data_Daily!$C$2:$C$9999=$C$3)*Raw_Data_Daily!$D$2:$D$9999*Raw_Data_Daily!$H$2:$H$9999/100)/SUMIFS(Raw_Data_Daily!$D:$D, Raw_Data_Daily!$B:$B, "Variant", Raw_Data_Daily!$A:$A, $A23, Raw_Data_Daily!$C:$C, $C$3)*100,""))</f>
        <v/>
      </c>
      <c r="P23" s="265" t="str">
        <f t="shared" si="5"/>
        <v/>
      </c>
      <c r="Q23" s="266" t="str">
        <f>IF($A23="","",IFERROR(SUMIFS(Raw_Data_Daily!$F:$F, Raw_Data_Daily!$B:$B, "Control", Raw_Data_Daily!$A:$A, $A23, Raw_Data_Daily!$C:$C, $C$3)/SUMPRODUCT((Raw_Data_Daily!$B$2:$B$9999="Control")*(Raw_Data_Daily!$A$2:$A$9999=$A23)*(Raw_Data_Daily!$C$2:$C$9999=$C$3)*Raw_Data_Daily!$D$2:$D$9999*Raw_Data_Daily!$H$2:$H$9999/100),""))</f>
        <v/>
      </c>
      <c r="R23" s="266" t="str">
        <f>IF($A23="","",IFERROR(SUMIFS(Raw_Data_Daily!$F:$F, Raw_Data_Daily!$B:$B, "Variant", Raw_Data_Daily!$A:$A, $A23, Raw_Data_Daily!$C:$C, $C$3)/SUMPRODUCT((Raw_Data_Daily!$B$2:$B$9999="Variant")*(Raw_Data_Daily!$A$2:$A$9999=$A23)*(Raw_Data_Daily!$C$2:$C$9999=$C$3)*Raw_Data_Daily!$D$2:$D$9999*Raw_Data_Daily!$H$2:$H$9999/100),""))</f>
        <v/>
      </c>
      <c r="S23" s="265" t="str">
        <f t="shared" si="6"/>
        <v/>
      </c>
      <c r="T23" s="267" t="str">
        <f>IF($A23="","",IFERROR(SUMPRODUCT((Raw_Data_Daily!$B$2:$B$9999="Control")*(Raw_Data_Daily!$A$2:$A$9999=$A23)*(Raw_Data_Daily!$C$2:$C$9999=$C$3)*Raw_Data_Daily!$D$2:$D$9999*Raw_Data_Daily!$J$2:$J$9999)/SUMIFS(Raw_Data_Daily!$D:$D, Raw_Data_Daily!$B:$B, "Control", Raw_Data_Daily!$A:$A, $A23, Raw_Data_Daily!$C:$C, $C$3),""))</f>
        <v/>
      </c>
      <c r="U23" s="267" t="str">
        <f>IF($A23="","",IFERROR(SUMPRODUCT((Raw_Data_Daily!$B$2:$B$9999="Variant")*(Raw_Data_Daily!$A$2:$A$9999=$A23)*(Raw_Data_Daily!$C$2:$C$9999=$C$3)*Raw_Data_Daily!$D$2:$D$9999*Raw_Data_Daily!$J$2:$J$9999)/SUMIFS(Raw_Data_Daily!$D:$D, Raw_Data_Daily!$B:$B, "Variant", Raw_Data_Daily!$A:$A, $A23, Raw_Data_Daily!$C:$C, $C$3),""))</f>
        <v/>
      </c>
      <c r="V23" s="265" t="str">
        <f t="shared" si="7"/>
        <v/>
      </c>
      <c r="W23" s="267" t="str">
        <f>IF($A23="","",IFERROR(SUMPRODUCT((Raw_Data_Daily!$B$2:$B$9999="Control")*(Raw_Data_Daily!$A$2:$A$9999=$A23)*(Raw_Data_Daily!$C$2:$C$9999=$C$3)*Raw_Data_Daily!$D$2:$D$9999*Raw_Data_Daily!$K$2:$K$9999)/SUMIFS(Raw_Data_Daily!$D:$D, Raw_Data_Daily!$B:$B, "Control", Raw_Data_Daily!$A:$A, $A23, Raw_Data_Daily!$C:$C, $C$3),""))</f>
        <v/>
      </c>
      <c r="X23" s="267" t="str">
        <f>IF($A23="","",IFERROR(SUMPRODUCT((Raw_Data_Daily!$B$2:$B$9999="Variant")*(Raw_Data_Daily!$A$2:$A$9999=$A23)*(Raw_Data_Daily!$C$2:$C$9999=$C$3)*Raw_Data_Daily!$D$2:$D$9999*Raw_Data_Daily!$K$2:$K$9999)/SUMIFS(Raw_Data_Daily!$D:$D, Raw_Data_Daily!$B:$B, "Variant", Raw_Data_Daily!$A:$A, $A23, Raw_Data_Daily!$C:$C, $C$3),""))</f>
        <v/>
      </c>
      <c r="Y23" s="265" t="str">
        <f t="shared" si="8"/>
        <v/>
      </c>
      <c r="Z23" s="267" t="str">
        <f>IF($A23="","",IFERROR(SUMPRODUCT((Raw_Data_Daily!$B$2:$B$9999="Control")*(Raw_Data_Daily!$A$2:$A$9999=$A23)*(Raw_Data_Daily!$C$2:$C$9999=$C$3)*Raw_Data_Daily!$D$2:$D$9999*Raw_Data_Daily!$L$2:$L$9999)/SUMIFS(Raw_Data_Daily!$D:$D, Raw_Data_Daily!$B:$B, "Control", Raw_Data_Daily!$A:$A, $A23, Raw_Data_Daily!$C:$C, $C$3),""))</f>
        <v/>
      </c>
      <c r="AA23" s="267" t="str">
        <f>IF($A23="","",IFERROR(SUMPRODUCT((Raw_Data_Daily!$B$2:$B$9999="Variant")*(Raw_Data_Daily!$A$2:$A$9999=$A23)*(Raw_Data_Daily!$C$2:$C$9999=$C$3)*Raw_Data_Daily!$D$2:$D$9999*Raw_Data_Daily!$L$2:$L$9999)/SUMIFS(Raw_Data_Daily!$D:$D, Raw_Data_Daily!$B:$B, "Variant", Raw_Data_Daily!$A:$A, $A23, Raw_Data_Daily!$C:$C, $C$3),""))</f>
        <v/>
      </c>
      <c r="AB23" s="265" t="str">
        <f t="shared" si="9"/>
        <v/>
      </c>
      <c r="AC23" s="268" t="str">
        <f>IF($A23="","",IFERROR(SUMPRODUCT((Raw_Data_Daily!$B$2:$B$9999="Control")*(Raw_Data_Daily!$A$2:$A$9999=$A23)*(Raw_Data_Daily!$C$2:$C$9999=$C$3)*Raw_Data_Daily!$D$2:$D$9999*Raw_Data_Daily!$M$2:$M$9999)/SUMIFS(Raw_Data_Daily!$D:$D, Raw_Data_Daily!$B:$B, "Control", Raw_Data_Daily!$A:$A, $A23, Raw_Data_Daily!$C:$C, $C$3),""))</f>
        <v/>
      </c>
      <c r="AD23" s="268" t="str">
        <f>IF($A23="","",IFERROR(SUMPRODUCT((Raw_Data_Daily!$B$2:$B$9999="Variant")*(Raw_Data_Daily!$A$2:$A$9999=$A23)*(Raw_Data_Daily!$C$2:$C$9999=$C$3)*Raw_Data_Daily!$D$2:$D$9999*Raw_Data_Daily!$M$2:$M$9999)/SUMIFS(Raw_Data_Daily!$D:$D, Raw_Data_Daily!$B:$B, "Variant", Raw_Data_Daily!$A:$A, $A23, Raw_Data_Daily!$C:$C, $C$3),""))</f>
        <v/>
      </c>
      <c r="AE23" s="269" t="str">
        <f t="shared" si="10"/>
        <v/>
      </c>
      <c r="AF23" s="268" t="str">
        <f>IF($A23="","",IFERROR(SUMPRODUCT((Raw_Data_Daily!$B$2:$B$9999="Control")*(Raw_Data_Daily!$A$2:$A$9999=$A23)*(Raw_Data_Daily!$C$2:$C$9999=$C$3)*Raw_Data_Daily!$D$2:$D$9999*Raw_Data_Daily!$N$2:$N$9999)/SUMIFS(Raw_Data_Daily!$D:$D, Raw_Data_Daily!$B:$B, "Control", Raw_Data_Daily!$A:$A, $A23, Raw_Data_Daily!$C:$C, $C$3),""))</f>
        <v/>
      </c>
      <c r="AG23" s="268" t="str">
        <f>IF($A23="","",IFERROR(SUMPRODUCT((Raw_Data_Daily!$B$2:$B$9999="Variant")*(Raw_Data_Daily!$A$2:$A$9999=$A23)*(Raw_Data_Daily!$C$2:$C$9999=$C$3)*Raw_Data_Daily!$D$2:$D$9999*Raw_Data_Daily!$N$2:$N$9999)/SUMIFS(Raw_Data_Daily!$D:$D, Raw_Data_Daily!$B:$B, "Variant", Raw_Data_Daily!$A:$A, $A23, Raw_Data_Daily!$C:$C, $C$3),""))</f>
        <v/>
      </c>
      <c r="AH23" s="269" t="str">
        <f t="shared" si="11"/>
        <v/>
      </c>
      <c r="AI23" s="268" t="str">
        <f>IF($A23="","",IFERROR(SUMPRODUCT((Raw_Data_Daily!$B$2:$B$9999="Control")*(Raw_Data_Daily!$A$2:$A$9999=$A23)*(Raw_Data_Daily!$C$2:$C$9999=$C$3)*Raw_Data_Daily!$D$2:$D$9999*Raw_Data_Daily!$O$2:$O$9999)/SUMIFS(Raw_Data_Daily!$D:$D, Raw_Data_Daily!$B:$B, "Control", Raw_Data_Daily!$A:$A, $A23, Raw_Data_Daily!$C:$C, $C$3),""))</f>
        <v/>
      </c>
      <c r="AJ23" s="268" t="str">
        <f>IF($A23="","",IFERROR(SUMPRODUCT((Raw_Data_Daily!$B$2:$B$9999="Variant")*(Raw_Data_Daily!$A$2:$A$9999=$A23)*(Raw_Data_Daily!$C$2:$C$9999=$C$3)*Raw_Data_Daily!$D$2:$D$9999*Raw_Data_Daily!$O$2:$O$9999)/SUMIFS(Raw_Data_Daily!$D:$D, Raw_Data_Daily!$B:$B, "Variant", Raw_Data_Daily!$A:$A, $A23, Raw_Data_Daily!$C:$C, $C$3),""))</f>
        <v/>
      </c>
      <c r="AK23" s="265" t="str">
        <f t="shared" si="12"/>
        <v/>
      </c>
      <c r="AL23" s="267" t="str">
        <f>IF($A23="","",IFERROR(SUMPRODUCT((Raw_Data_Daily!$B$2:$B$9999="Control")*(Raw_Data_Daily!$A$2:$A$9999=$A23)*(Raw_Data_Daily!$C$2:$C$9999=$C$3)*Raw_Data_Daily!$D$2:$D$9999*Raw_Data_Daily!$P$2:$P$9999)/SUMIFS(Raw_Data_Daily!$D:$D, Raw_Data_Daily!$B:$B, "Control", Raw_Data_Daily!$A:$A, $A23, Raw_Data_Daily!$C:$C, $C$3),""))</f>
        <v/>
      </c>
      <c r="AM23" s="267" t="str">
        <f>IF($A23="","",IFERROR(SUMPRODUCT((Raw_Data_Daily!$B$2:$B$9999="Variant")*(Raw_Data_Daily!$A$2:$A$9999=$A23)*(Raw_Data_Daily!$C$2:$C$9999=$C$3)*Raw_Data_Daily!$D$2:$D$9999*Raw_Data_Daily!$P$2:$P$9999)/SUMIFS(Raw_Data_Daily!$D:$D, Raw_Data_Daily!$B:$B, "Variant", Raw_Data_Daily!$A:$A, $A23, Raw_Data_Daily!$C:$C, $C$3),""))</f>
        <v/>
      </c>
      <c r="AN23" s="265" t="str">
        <f t="shared" si="13"/>
        <v/>
      </c>
      <c r="AO23" s="267" t="str">
        <f>IF($A23="","",IFERROR(SUMPRODUCT((Raw_Data_Daily!$B$2:$B$9999="Control")*(Raw_Data_Daily!$A$2:$A$9999=$A23)*(Raw_Data_Daily!$C$2:$C$9999=$C$3)*Raw_Data_Daily!$D$2:$D$9999*Raw_Data_Daily!$Q$2:$Q$9999)/SUMIFS(Raw_Data_Daily!$D:$D, Raw_Data_Daily!$B:$B, "Control", Raw_Data_Daily!$A:$A, $A23, Raw_Data_Daily!$C:$C, $C$3),""))</f>
        <v/>
      </c>
      <c r="AP23" s="267" t="str">
        <f>IF($A23="","",IFERROR(SUMPRODUCT((Raw_Data_Daily!$B$2:$B$9999="Variant")*(Raw_Data_Daily!$A$2:$A$9999=$A23)*(Raw_Data_Daily!$C$2:$C$9999=$C$3)*Raw_Data_Daily!$D$2:$D$9999*Raw_Data_Daily!$Q$2:$Q$9999)/SUMIFS(Raw_Data_Daily!$D:$D, Raw_Data_Daily!$B:$B, "Variant", Raw_Data_Daily!$A:$A, $A23, Raw_Data_Daily!$C:$C, $C$3),""))</f>
        <v/>
      </c>
      <c r="AQ23" s="262" t="str">
        <f t="shared" si="14"/>
        <v/>
      </c>
      <c r="AR23" s="267" t="str">
        <f>IF($A23="","",IFERROR(SUMPRODUCT((Raw_Data_Daily!$B$2:$B$9999="Control")*(Raw_Data_Daily!$A$2:$A$9999=$A23)*(Raw_Data_Daily!$C$2:$C$9999=$C$3)*Raw_Data_Daily!$D$2:$D$9999*Raw_Data_Daily!$R$2:$R$9999)/SUMIFS(Raw_Data_Daily!$D:$D, Raw_Data_Daily!$B:$B, "Control", Raw_Data_Daily!$A:$A, $A23, Raw_Data_Daily!$C:$C, $C$3),""))</f>
        <v/>
      </c>
      <c r="AS23" s="267" t="str">
        <f>IF($A23="","",IFERROR(SUMPRODUCT((Raw_Data_Daily!$B$2:$B$9999="Variant")*(Raw_Data_Daily!$A$2:$A$9999=$A23)*(Raw_Data_Daily!$C$2:$C$9999=$C$3)*Raw_Data_Daily!$D$2:$D$9999*Raw_Data_Daily!$R$2:$R$9999)/SUMIFS(Raw_Data_Daily!$D:$D, Raw_Data_Daily!$B:$B, "Variant", Raw_Data_Daily!$A:$A, $A23, Raw_Data_Daily!$C:$C, $C$3),""))</f>
        <v/>
      </c>
      <c r="AT23" s="262" t="str">
        <f t="shared" si="15"/>
        <v/>
      </c>
      <c r="AU23" s="267" t="str">
        <f>IF($A23="","",IFERROR(SUMPRODUCT((Raw_Data_Daily!$B$2:$B$9999="Control")*(Raw_Data_Daily!$A$2:$A$9999=$A23)*(Raw_Data_Daily!$C$2:$C$9999=$C$3)*Raw_Data_Daily!$D$2:$D$9999*Raw_Data_Daily!$S$2:$S$9999)/SUMIFS(Raw_Data_Daily!$D:$D, Raw_Data_Daily!$B:$B, "Control", Raw_Data_Daily!$A:$A, $A23, Raw_Data_Daily!$C:$C, $C$3),""))</f>
        <v/>
      </c>
      <c r="AV23" s="267" t="str">
        <f>IF($A23="","",IFERROR(SUMPRODUCT((Raw_Data_Daily!$B$2:$B$9999="Variant")*(Raw_Data_Daily!$A$2:$A$9999=$A23)*(Raw_Data_Daily!$C$2:$C$9999=$C$3)*Raw_Data_Daily!$D$2:$D$9999*Raw_Data_Daily!$S$2:$S$9999)/SUMIFS(Raw_Data_Daily!$D:$D, Raw_Data_Daily!$B:$B, "Variant", Raw_Data_Daily!$A:$A, $A23, Raw_Data_Daily!$C:$C, $C$3),""))</f>
        <v/>
      </c>
      <c r="AW23" s="262" t="str">
        <f t="shared" si="16"/>
        <v/>
      </c>
      <c r="AX23" s="267" t="str">
        <f>IF($A23="","",IFERROR(SUMPRODUCT((Raw_Data_Daily!$B$2:$B$9999="Control")*(Raw_Data_Daily!$A$2:$A$9999=$A23)*(Raw_Data_Daily!$C$2:$C$9999=$C$3)*Raw_Data_Daily!$D$2:$D$9999*Raw_Data_Daily!$T$2:$T$9999)/SUMIFS(Raw_Data_Daily!$D:$D, Raw_Data_Daily!$B:$B, "Control", Raw_Data_Daily!$A:$A, $A23, Raw_Data_Daily!$C:$C, $C$3),""))</f>
        <v/>
      </c>
      <c r="AY23" s="267" t="str">
        <f>IF($A23="","",IFERROR(SUMPRODUCT((Raw_Data_Daily!$B$2:$B$9999="Variant")*(Raw_Data_Daily!$A$2:$A$9999=$A23)*(Raw_Data_Daily!$C$2:$C$9999=$C$3)*Raw_Data_Daily!$D$2:$D$9999*Raw_Data_Daily!$T$2:$T$9999)/SUMIFS(Raw_Data_Daily!$D:$D, Raw_Data_Daily!$B:$B, "Variant", Raw_Data_Daily!$A:$A, $A23, Raw_Data_Daily!$C:$C, $C$3),""))</f>
        <v/>
      </c>
      <c r="AZ23" s="265" t="str">
        <f t="shared" si="17"/>
        <v/>
      </c>
      <c r="BA23" s="267" t="str">
        <f>IF($A23="","",IFERROR(SUMPRODUCT((Raw_Data_Daily!$B$2:$B$9999="Control")*(Raw_Data_Daily!$A$2:$A$9999=$A23)*(Raw_Data_Daily!$C$2:$C$9999=$C$3)*Raw_Data_Daily!$D$2:$D$9999*Raw_Data_Daily!$U$2:$U$9999)/SUMIFS(Raw_Data_Daily!$D:$D, Raw_Data_Daily!$B:$B, "Control", Raw_Data_Daily!$A:$A, $A23, Raw_Data_Daily!$C:$C, $C$3),""))</f>
        <v/>
      </c>
      <c r="BB23" s="267" t="str">
        <f>IF($A23="","",IFERROR(SUMPRODUCT((Raw_Data_Daily!$B$2:$B$9999="Variant")*(Raw_Data_Daily!$A$2:$A$9999=$A23)*(Raw_Data_Daily!$C$2:$C$9999=$C$3)*Raw_Data_Daily!$D$2:$D$9999*Raw_Data_Daily!$U$2:$U$9999)/SUMIFS(Raw_Data_Daily!$D:$D, Raw_Data_Daily!$B:$B, "Variant", Raw_Data_Daily!$A:$A, $A23, Raw_Data_Daily!$C:$C, $C$3),""))</f>
        <v/>
      </c>
      <c r="BC23" s="262" t="str">
        <f t="shared" si="18"/>
        <v/>
      </c>
      <c r="BD23" s="267" t="str">
        <f>IF($A23="","",IFERROR(SUMPRODUCT((Raw_Data_Daily!$B$2:$B$9999="Control")*(Raw_Data_Daily!$A$2:$A$9999=$A23)*(Raw_Data_Daily!$C$2:$C$9999=$C$3)*Raw_Data_Daily!$D$2:$D$9999*Raw_Data_Daily!$V$2:$V$9999)/SUMIFS(Raw_Data_Daily!$D:$D, Raw_Data_Daily!$B:$B, "Control", Raw_Data_Daily!$A:$A, $A23, Raw_Data_Daily!$C:$C, $C$3),""))</f>
        <v/>
      </c>
      <c r="BE23" s="267" t="str">
        <f>IF($A23="","",IFERROR(SUMPRODUCT((Raw_Data_Daily!$B$2:$B$9999="Variant")*(Raw_Data_Daily!$A$2:$A$9999=$A23)*(Raw_Data_Daily!$C$2:$C$9999=$C$3)*Raw_Data_Daily!$D$2:$D$9999*Raw_Data_Daily!$V$2:$V$9999)/SUMIFS(Raw_Data_Daily!$D:$D, Raw_Data_Daily!$B:$B, "Variant", Raw_Data_Daily!$A:$A, $A23, Raw_Data_Daily!$C:$C, $C$3),""))</f>
        <v/>
      </c>
      <c r="BF23" s="270" t="str">
        <f t="shared" si="19"/>
        <v/>
      </c>
      <c r="BG23" s="271" t="str">
        <f>IF($A23="","",IFERROR(SUMPRODUCT((Raw_Data_Daily!$B$2:$B$9999="Control")*(Raw_Data_Daily!$A$2:$A$9999=$A23)*(Raw_Data_Daily!$C$2:$C$9999=$C$3)*Raw_Data_Daily!$D$2:$D$9999*(Raw_Data_Daily!$Q$2:$Q$9999-Raw_Data_Daily!$V$2:$V$9999))/SUMIFS(Raw_Data_Daily!$D:$D, Raw_Data_Daily!$B:$B, "Control", Raw_Data_Daily!$A:$A, $A23, Raw_Data_Daily!$C:$C, $C$3),""))</f>
        <v/>
      </c>
      <c r="BH23" s="267" t="str">
        <f>IF($A23="","",IFERROR(SUMPRODUCT((Raw_Data_Daily!$B$2:$B$9999="Variant")*(Raw_Data_Daily!$A$2:$A$9999=$A23)*(Raw_Data_Daily!$C$2:$C$9999=$C$3)*Raw_Data_Daily!$D$2:$D$9999*(Raw_Data_Daily!$Q$2:$Q$9999-Raw_Data_Daily!$V$2:$V$9999))/SUMIFS(Raw_Data_Daily!$D:$D, Raw_Data_Daily!$B:$B, "Variant", Raw_Data_Daily!$A:$A, $A23, Raw_Data_Daily!$C:$C, $C$3),""))</f>
        <v/>
      </c>
      <c r="BI23" s="272" t="str">
        <f t="shared" si="20"/>
        <v/>
      </c>
      <c r="BJ23" s="273" t="str">
        <f>IF($A23="","",IFERROR(SUMPRODUCT((Raw_Data_Daily!$B$2:$B$9999="Control")*(Raw_Data_Daily!$A$2:$A$9999=$A23)*(Raw_Data_Daily!$C$2:$C$9999=$C$3)*Raw_Data_Daily!$D$2:$D$9999*Raw_Data_Daily!$W$2:$W$9999)/SUMIFS(Raw_Data_Daily!$D:$D, Raw_Data_Daily!$B:$B, "Control", Raw_Data_Daily!$A:$A, $A23, Raw_Data_Daily!$C:$C, $C$3),""))</f>
        <v/>
      </c>
      <c r="BK23" s="267" t="str">
        <f>IF($A23="","",IFERROR(SUMPRODUCT((Raw_Data_Daily!$B$2:$B$9999="Variant")*(Raw_Data_Daily!$A$2:$A$9999=$A23)*(Raw_Data_Daily!$C$2:$C$9999=$C$3)*Raw_Data_Daily!$D$2:$D$9999*Raw_Data_Daily!$W$2:$W$9999)/SUMIFS(Raw_Data_Daily!$D:$D, Raw_Data_Daily!$B:$B, "Variant", Raw_Data_Daily!$A:$A, $A23, Raw_Data_Daily!$C:$C, $C$3),""))</f>
        <v/>
      </c>
      <c r="BL23" s="262" t="str">
        <f t="shared" si="21"/>
        <v/>
      </c>
      <c r="BM23" s="268" t="str">
        <f>IF($A23="","",IFERROR(SUMPRODUCT((Raw_Data_Daily!$B$2:$B$9999="Control")*(Raw_Data_Daily!$A$2:$A$9999=$A23)*(Raw_Data_Daily!$C$2:$C$9999=$C$3)*Raw_Data_Daily!$D$2:$D$9999*Raw_Data_Daily!$X$2:$X$9999)/SUMIFS(Raw_Data_Daily!$D:$D, Raw_Data_Daily!$B:$B, "Control", Raw_Data_Daily!$A:$A, $A23, Raw_Data_Daily!$C:$C, $C$3),""))</f>
        <v/>
      </c>
      <c r="BN23" s="268" t="str">
        <f>IF($A23="","",IFERROR(SUMPRODUCT((Raw_Data_Daily!$B$2:$B$9999="Variant")*(Raw_Data_Daily!$A$2:$A$9999=$A23)*(Raw_Data_Daily!$C$2:$C$9999=$C$3)*Raw_Data_Daily!$D$2:$D$9999*Raw_Data_Daily!$X$2:$X$9999)/SUMIFS(Raw_Data_Daily!$D:$D, Raw_Data_Daily!$B:$B, "Variant", Raw_Data_Daily!$A:$A, $A23, Raw_Data_Daily!$C:$C, $C$3),""))</f>
        <v/>
      </c>
      <c r="BO23" s="265" t="str">
        <f t="shared" si="22"/>
        <v/>
      </c>
      <c r="BP23" s="261" t="str">
        <f>IF($A23="","",IFERROR(SUMPRODUCT((Raw_Data_Daily!$B$2:$B$9999="Control")*(Raw_Data_Daily!$A$2:$A$9999=$A23)*(Raw_Data_Daily!$C$2:$C$9999=$C$3)*Raw_Data_Daily!$D$2:$D$9999*Raw_Data_Daily!$Y$2:$Y$9999)/SUMIFS(Raw_Data_Daily!$D:$D, Raw_Data_Daily!$B:$B, "Control", Raw_Data_Daily!$A:$A, $A23, Raw_Data_Daily!$C:$C, $C$3),""))</f>
        <v/>
      </c>
      <c r="BQ23" s="261" t="str">
        <f>IF($A23="","",IFERROR(SUMPRODUCT((Raw_Data_Daily!$B$2:$B$9999="Variant")*(Raw_Data_Daily!$A$2:$A$9999=$A23)*(Raw_Data_Daily!$C$2:$C$9999=$C$3)*Raw_Data_Daily!$D$2:$D$9999*Raw_Data_Daily!$Y$2:$Y$9999)/SUMIFS(Raw_Data_Daily!$D:$D, Raw_Data_Daily!$B:$B, "Variant", Raw_Data_Daily!$A:$A, $A23, Raw_Data_Daily!$C:$C, $C$3),""))</f>
        <v/>
      </c>
      <c r="BR23" s="262" t="str">
        <f t="shared" si="23"/>
        <v/>
      </c>
      <c r="BS23" s="261" t="str">
        <f>IF($A23="","",IFERROR(SUMPRODUCT((Raw_Data_Daily!$B$2:$B$9999="Control")*(Raw_Data_Daily!$A$2:$A$9999=$A23)*(Raw_Data_Daily!$C$2:$C$9999=$C$3)*Raw_Data_Daily!$D$2:$D$9999*Raw_Data_Daily!$Z$2:$Z$9999)/SUMIFS(Raw_Data_Daily!$D:$D, Raw_Data_Daily!$B:$B, "Control", Raw_Data_Daily!$A:$A, $A23, Raw_Data_Daily!$C:$C, $C$3),""))</f>
        <v/>
      </c>
      <c r="BT23" s="261" t="str">
        <f>IF($A23="","",IFERROR(SUMPRODUCT((Raw_Data_Daily!$B$2:$B$9999="Variant")*(Raw_Data_Daily!$A$2:$A$9999=$A23)*(Raw_Data_Daily!$C$2:$C$9999=$C$3)*Raw_Data_Daily!$D$2:$D$9999*Raw_Data_Daily!$Z$2:$Z$9999)/SUMIFS(Raw_Data_Daily!$D:$D, Raw_Data_Daily!$B:$B, "Variant", Raw_Data_Daily!$A:$A, $A23, Raw_Data_Daily!$C:$C, $C$3),""))</f>
        <v/>
      </c>
      <c r="BU23" s="262" t="str">
        <f t="shared" si="24"/>
        <v/>
      </c>
      <c r="BV23" s="261" t="str">
        <f>IF($A23="","",IFERROR(SUMPRODUCT((Raw_Data_Daily!$B$2:$B$9999="Control")*(Raw_Data_Daily!$A$2:$A$9999=$A23)*(Raw_Data_Daily!$C$2:$C$9999=$C$3)*Raw_Data_Daily!$D$2:$D$9999*Raw_Data_Daily!$AA$2:$AA$9999)/SUMIFS(Raw_Data_Daily!$D:$D, Raw_Data_Daily!$B:$B, "Control", Raw_Data_Daily!$A:$A, $A23, Raw_Data_Daily!$C:$C, $C$3),""))</f>
        <v/>
      </c>
      <c r="BW23" s="261" t="str">
        <f>IF($A23="","",IFERROR(SUMPRODUCT((Raw_Data_Daily!$B$2:$B$9999="Variant")*(Raw_Data_Daily!$A$2:$A$9999=$A23)*(Raw_Data_Daily!$C$2:$C$9999=$C$3)*Raw_Data_Daily!$D$2:$D$9999*Raw_Data_Daily!$AA$2:$AA$9999)/SUMIFS(Raw_Data_Daily!$D:$D, Raw_Data_Daily!$B:$B, "Variant", Raw_Data_Daily!$A:$A, $A23, Raw_Data_Daily!$C:$C, $C$3),""))</f>
        <v/>
      </c>
      <c r="BX23" s="262" t="str">
        <f t="shared" si="25"/>
        <v/>
      </c>
      <c r="BY23" s="267" t="str">
        <f>IF($A23="","",IFERROR(SUMPRODUCT((Raw_Data_Daily!$B$2:$B$9999="Control")*(Raw_Data_Daily!$A$2:$A$9999=$A23)*(Raw_Data_Daily!$C$2:$C$9999=$C$3)*Raw_Data_Daily!$D$2:$D$9999*Raw_Data_Daily!$AB$2:$AB$9999)/SUMIFS(Raw_Data_Daily!$D:$D, Raw_Data_Daily!$B:$B, "Control", Raw_Data_Daily!$A:$A, $A23, Raw_Data_Daily!$C:$C, $C$3),""))</f>
        <v/>
      </c>
      <c r="BZ23" s="267" t="str">
        <f>IF($A23="","",IFERROR(SUMPRODUCT((Raw_Data_Daily!$B$2:$B$9999="Variant")*(Raw_Data_Daily!$A$2:$A$9999=$A23)*(Raw_Data_Daily!$C$2:$C$9999=$C$3)*Raw_Data_Daily!$D$2:$D$9999*Raw_Data_Daily!$AB$2:$AB$9999)/SUMIFS(Raw_Data_Daily!$D:$D, Raw_Data_Daily!$B:$B, "Variant", Raw_Data_Daily!$A:$A, $A23, Raw_Data_Daily!$C:$C, $C$3),""))</f>
        <v/>
      </c>
      <c r="CA23" s="265" t="str">
        <f t="shared" si="26"/>
        <v/>
      </c>
      <c r="CB23" s="267" t="str">
        <f>IF($A23="","",IFERROR(SUMPRODUCT((Raw_Data_Daily!$B$2:$B$9999="Control")*(Raw_Data_Daily!$A$2:$A$9999=$A23)*(Raw_Data_Daily!$C$2:$C$9999=$C$3)*Raw_Data_Daily!$D$2:$D$9999*Raw_Data_Daily!$AC$2:$AC$9999)/SUMIFS(Raw_Data_Daily!$D:$D, Raw_Data_Daily!$B:$B, "Control", Raw_Data_Daily!$A:$A, $A23, Raw_Data_Daily!$C:$C, $C$3),""))</f>
        <v/>
      </c>
      <c r="CC23" s="267" t="str">
        <f>IF($A23="","",IFERROR(SUMPRODUCT((Raw_Data_Daily!$B$2:$B$9999="Variant")*(Raw_Data_Daily!$A$2:$A$9999=$A23)*(Raw_Data_Daily!$C$2:$C$9999=$C$3)*Raw_Data_Daily!$D$2:$D$9999*Raw_Data_Daily!$AC$2:$AC$9999)/SUMIFS(Raw_Data_Daily!$D:$D, Raw_Data_Daily!$B:$B, "Variant", Raw_Data_Daily!$A:$A, $A23, Raw_Data_Daily!$C:$C, $C$3),""))</f>
        <v/>
      </c>
      <c r="CD23" s="265" t="str">
        <f t="shared" si="27"/>
        <v/>
      </c>
      <c r="CE23" s="267" t="str">
        <f>IF($A23="","",IFERROR(SUMPRODUCT((Raw_Data_Daily!$B$2:$B$9999="Control")*(Raw_Data_Daily!$A$2:$A$9999=$A23)*(Raw_Data_Daily!$C$2:$C$9999=$C$3)*Raw_Data_Daily!$D$2:$D$9999*Raw_Data_Daily!$AD$2:$AD$9999)/SUMIFS(Raw_Data_Daily!$D:$D, Raw_Data_Daily!$B:$B, "Control", Raw_Data_Daily!$A:$A, $A23, Raw_Data_Daily!$C:$C, $C$3),""))</f>
        <v/>
      </c>
      <c r="CF23" s="267" t="str">
        <f>IF($A23="","",IFERROR(SUMPRODUCT((Raw_Data_Daily!$B$2:$B$9999="Variant")*(Raw_Data_Daily!$A$2:$A$9999=$A23)*(Raw_Data_Daily!$C$2:$C$9999=$C$3)*Raw_Data_Daily!$D$2:$D$9999*Raw_Data_Daily!$AD$2:$AD$9999)/SUMIFS(Raw_Data_Daily!$D:$D, Raw_Data_Daily!$B:$B, "Variant", Raw_Data_Daily!$A:$A, $A23, Raw_Data_Daily!$C:$C, $C$3),""))</f>
        <v/>
      </c>
      <c r="CG23" s="265" t="str">
        <f t="shared" si="28"/>
        <v/>
      </c>
      <c r="CH23" s="267" t="str">
        <f>IF($A23="","",IFERROR(SUMPRODUCT((Raw_Data_Daily!$B$2:$B$9999="Control")*(Raw_Data_Daily!$A$2:$A$9999=$A23)*(Raw_Data_Daily!$C$2:$C$9999=$C$3)*Raw_Data_Daily!$D$2:$D$9999*Raw_Data_Daily!$AE$2:$AE$9999)/SUMIFS(Raw_Data_Daily!$D:$D, Raw_Data_Daily!$B:$B, "Control", Raw_Data_Daily!$A:$A, $A23, Raw_Data_Daily!$C:$C, $C$3),""))</f>
        <v/>
      </c>
      <c r="CI23" s="267" t="str">
        <f>IF($A23="","",IFERROR(SUMPRODUCT((Raw_Data_Daily!$B$2:$B$9999="Variant")*(Raw_Data_Daily!$A$2:$A$9999=$A23)*(Raw_Data_Daily!$C$2:$C$9999=$C$3)*Raw_Data_Daily!$D$2:$D$9999*Raw_Data_Daily!$AE$2:$AE$9999)/SUMIFS(Raw_Data_Daily!$D:$D, Raw_Data_Daily!$B:$B, "Variant", Raw_Data_Daily!$A:$A, $A23, Raw_Data_Daily!$C:$C, $C$3),""))</f>
        <v/>
      </c>
      <c r="CJ23" s="265" t="str">
        <f t="shared" si="29"/>
        <v/>
      </c>
      <c r="CK23" s="267" t="str">
        <f>IF($A23="","",IFERROR(SUMPRODUCT((Raw_Data_Daily!$B$2:$B$9999="Control")*(Raw_Data_Daily!$A$2:$A$9999=$A23)*(Raw_Data_Daily!$C$2:$C$9999=$C$3)*Raw_Data_Daily!$D$2:$D$9999*Raw_Data_Daily!$AF$2:$AF$9999)/SUMIFS(Raw_Data_Daily!$D:$D, Raw_Data_Daily!$B:$B, "Control", Raw_Data_Daily!$A:$A, $A23, Raw_Data_Daily!$C:$C, $C$3),""))</f>
        <v/>
      </c>
      <c r="CL23" s="267" t="str">
        <f>IF($A23="","",IFERROR(SUMPRODUCT((Raw_Data_Daily!$B$2:$B$9999="Variant")*(Raw_Data_Daily!$A$2:$A$9999=$A23)*(Raw_Data_Daily!$C$2:$C$9999=$C$3)*Raw_Data_Daily!$D$2:$D$9999*Raw_Data_Daily!$AF$2:$AF$9999)/SUMIFS(Raw_Data_Daily!$D:$D, Raw_Data_Daily!$B:$B, "Variant", Raw_Data_Daily!$A:$A, $A23, Raw_Data_Daily!$C:$C, $C$3),""))</f>
        <v/>
      </c>
      <c r="CM23" s="265" t="str">
        <f t="shared" si="30"/>
        <v/>
      </c>
      <c r="CN23" s="267" t="str">
        <f>IF($A23="","",IFERROR(SUMPRODUCT((Raw_Data_Daily!$B$2:$B$9999="Control")*(Raw_Data_Daily!$A$2:$A$9999=$A23)*(Raw_Data_Daily!$C$2:$C$9999=$C$3)*Raw_Data_Daily!$D$2:$D$9999*Raw_Data_Daily!$AG$2:$AG$9999)/SUMIFS(Raw_Data_Daily!$D:$D, Raw_Data_Daily!$B:$B, "Control", Raw_Data_Daily!$A:$A, $A23, Raw_Data_Daily!$C:$C, $C$3),""))</f>
        <v/>
      </c>
      <c r="CO23" s="267" t="str">
        <f>IF($A23="","",IFERROR(SUMPRODUCT((Raw_Data_Daily!$B$2:$B$9999="Variant")*(Raw_Data_Daily!$A$2:$A$9999=$A23)*(Raw_Data_Daily!$C$2:$C$9999=$C$3)*Raw_Data_Daily!$D$2:$D$9999*Raw_Data_Daily!$AG$2:$AG$9999)/SUMIFS(Raw_Data_Daily!$D:$D, Raw_Data_Daily!$B:$B, "Variant", Raw_Data_Daily!$A:$A, $A23, Raw_Data_Daily!$C:$C, $C$3),""))</f>
        <v/>
      </c>
      <c r="CP23" s="265" t="str">
        <f t="shared" si="31"/>
        <v/>
      </c>
      <c r="CQ23" s="267" t="str">
        <f>IF($A23="","",IFERROR(SUMPRODUCT((Raw_Data_Daily!$B$2:$B$9999="Control")*(Raw_Data_Daily!$A$2:$A$9999=$A23)*(Raw_Data_Daily!$C$2:$C$9999=$C$3)*Raw_Data_Daily!$D$2:$D$9999*Raw_Data_Daily!$AH$2:$AH$9999)/SUMIFS(Raw_Data_Daily!$D:$D, Raw_Data_Daily!$B:$B, "Control", Raw_Data_Daily!$A:$A, $A23, Raw_Data_Daily!$C:$C, $C$3),""))</f>
        <v/>
      </c>
      <c r="CR23" s="267" t="str">
        <f>IF($A23="","",IFERROR(SUMPRODUCT((Raw_Data_Daily!$B$2:$B$9999="Variant")*(Raw_Data_Daily!$A$2:$A$9999=$A23)*(Raw_Data_Daily!$C$2:$C$9999=$C$3)*Raw_Data_Daily!$D$2:$D$9999*Raw_Data_Daily!$AH$2:$AH$9999)/SUMIFS(Raw_Data_Daily!$D:$D, Raw_Data_Daily!$B:$B, "Variant", Raw_Data_Daily!$A:$A, $A23, Raw_Data_Daily!$C:$C, $C$3),""))</f>
        <v/>
      </c>
      <c r="CS23" s="265" t="str">
        <f t="shared" si="32"/>
        <v/>
      </c>
      <c r="CT23" s="263" t="str">
        <f>IF($A23="","",IFERROR(SUMPRODUCT((Raw_Data_Daily!$B$2:$B$9999="Control")*(Raw_Data_Daily!$A$2:$A$9999=$A23)*(Raw_Data_Daily!$C$2:$C$9999=$C$3)*Raw_Data_Daily!$D$2:$D$9999*Raw_Data_Daily!$AI$2:$AI$9999)/SUMIFS(Raw_Data_Daily!$D:$D, Raw_Data_Daily!$B:$B, "Control", Raw_Data_Daily!$A:$A, $A23, Raw_Data_Daily!$C:$C, $C$3),""))</f>
        <v/>
      </c>
      <c r="CU23" s="263" t="str">
        <f>IF($A23="","",IFERROR(SUMPRODUCT((Raw_Data_Daily!$B$2:$B$9999="Variant")*(Raw_Data_Daily!$A$2:$A$9999=$A23)*(Raw_Data_Daily!$C$2:$C$9999=$C$3)*Raw_Data_Daily!$D$2:$D$9999*Raw_Data_Daily!$AI$2:$AI$9999)/SUMIFS(Raw_Data_Daily!$D:$D, Raw_Data_Daily!$B:$B, "Variant", Raw_Data_Daily!$A:$A, $A23, Raw_Data_Daily!$C:$C, $C$3),""))</f>
        <v/>
      </c>
      <c r="CV23" s="269" t="str">
        <f t="shared" si="33"/>
        <v/>
      </c>
      <c r="CW23" s="263" t="str">
        <f>IF($A23="","",IFERROR(SUMPRODUCT((Raw_Data_Daily!$B$2:$B$9999="Control")*(Raw_Data_Daily!$A$2:$A$9999=$A23)*(Raw_Data_Daily!$C$2:$C$9999=$C$3)*Raw_Data_Daily!$D$2:$D$9999*Raw_Data_Daily!$AJ$2:$AJ$9999)/SUMIFS(Raw_Data_Daily!$D:$D, Raw_Data_Daily!$B:$B, "Control", Raw_Data_Daily!$A:$A, $A23, Raw_Data_Daily!$C:$C, $C$3),""))</f>
        <v/>
      </c>
      <c r="CX23" s="263" t="str">
        <f>IF($A23="","",IFERROR(SUMPRODUCT((Raw_Data_Daily!$B$2:$B$9999="Variant")*(Raw_Data_Daily!$A$2:$A$9999=$A23)*(Raw_Data_Daily!$C$2:$C$9999=$C$3)*Raw_Data_Daily!$D$2:$D$9999*Raw_Data_Daily!$AJ$2:$AJ$9999)/SUMIFS(Raw_Data_Daily!$D:$D, Raw_Data_Daily!$B:$B, "Variant", Raw_Data_Daily!$A:$A, $A23, Raw_Data_Daily!$C:$C, $C$3),""))</f>
        <v/>
      </c>
      <c r="CY23" s="269" t="str">
        <f t="shared" si="34"/>
        <v/>
      </c>
      <c r="CZ23" s="263" t="str">
        <f>IF($A23="","",IFERROR(SUMPRODUCT((Raw_Data_Daily!$B$2:$B$9999="Control")*(Raw_Data_Daily!$A$2:$A$9999=$A23)*(Raw_Data_Daily!$C$2:$C$9999=$C$3)*Raw_Data_Daily!$D$2:$D$9999*Raw_Data_Daily!$AK$2:$AK$9999)/SUMIFS(Raw_Data_Daily!$D:$D, Raw_Data_Daily!$B:$B, "Control", Raw_Data_Daily!$A:$A, $A23, Raw_Data_Daily!$C:$C, $C$3),""))</f>
        <v/>
      </c>
      <c r="DA23" s="263" t="str">
        <f>IF($A23="","",IFERROR(SUMPRODUCT((Raw_Data_Daily!$B$2:$B$9999="Variant")*(Raw_Data_Daily!$A$2:$A$9999=$A23)*(Raw_Data_Daily!$C$2:$C$9999=$C$3)*Raw_Data_Daily!$D$2:$D$9999*Raw_Data_Daily!$AK$2:$AK$9999)/SUMIFS(Raw_Data_Daily!$D:$D, Raw_Data_Daily!$B:$B, "Variant", Raw_Data_Daily!$A:$A, $A23, Raw_Data_Daily!$C:$C, $C$3),""))</f>
        <v/>
      </c>
      <c r="DB23" s="265" t="str">
        <f t="shared" si="35"/>
        <v/>
      </c>
      <c r="DC23" s="268" t="str">
        <f>IF($A23="","",IFERROR(SUMPRODUCT((Raw_Data_Daily!$B$2:$B$9999="Control")*(Raw_Data_Daily!$A$2:$A$9999=$A23)*(Raw_Data_Daily!$C$2:$C$9999=$C$3)*Raw_Data_Daily!$D$2:$D$9999*Raw_Data_Daily!$AL$2:$AL$9999)/SUMIFS(Raw_Data_Daily!$D:$D, Raw_Data_Daily!$B:$B, "Control", Raw_Data_Daily!$A:$A, $A23, Raw_Data_Daily!$C:$C, $C$3),""))</f>
        <v/>
      </c>
      <c r="DD23" s="268" t="str">
        <f>IF($A23="","",IFERROR(SUMPRODUCT((Raw_Data_Daily!$B$2:$B$9999="Variant")*(Raw_Data_Daily!$A$2:$A$9999=$A23)*(Raw_Data_Daily!$C$2:$C$9999=$C$3)*Raw_Data_Daily!$D$2:$D$9999*Raw_Data_Daily!$AL$2:$AL$9999)/SUMIFS(Raw_Data_Daily!$D:$D, Raw_Data_Daily!$B:$B, "Variant", Raw_Data_Daily!$A:$A, $A23, Raw_Data_Daily!$C:$C, $C$3),""))</f>
        <v/>
      </c>
      <c r="DE23" s="269" t="str">
        <f t="shared" si="36"/>
        <v/>
      </c>
      <c r="DF23" s="274"/>
      <c r="DG23" s="263" t="str">
        <f>IF($A23="","",IFERROR(SUMPRODUCT((Raw_Data_Daily!$B$2:$B$9999="Variant")*(Raw_Data_Daily!$A$2:$A$9999=$A23)*(Raw_Data_Daily!$C$2:$C$9999=$C$3)*Raw_Data_Daily!$D$2:$D$9999*Raw_Data_Daily!$AM$2:$AM$9999)/SUMIFS(Raw_Data_Daily!$D:$D, Raw_Data_Daily!$B:$B, "Variant", Raw_Data_Daily!$A:$A, $A23, Raw_Data_Daily!$C:$C, $C$3),""))</f>
        <v/>
      </c>
      <c r="DH23" s="275"/>
      <c r="DI23" s="274"/>
      <c r="DJ23" s="263" t="str">
        <f>IF($A23="","",IFERROR(SUMPRODUCT((Raw_Data_Daily!$B$2:$B$9999="Variant")*(Raw_Data_Daily!$A$2:$A$9999=$A23)*(Raw_Data_Daily!$C$2:$C$9999=$C$3)*Raw_Data_Daily!$D$2:$D$9999*Raw_Data_Daily!$AN$2:$AN$9999)/SUMIFS(Raw_Data_Daily!$D:$D, Raw_Data_Daily!$B:$B, "Variant", Raw_Data_Daily!$A:$A, $A23, Raw_Data_Daily!$C:$C, $C$3),""))</f>
        <v/>
      </c>
      <c r="DK23" s="275"/>
      <c r="DL23" s="274"/>
      <c r="DM23" s="263" t="str">
        <f>IF($A23="","",IFERROR(SUMPRODUCT((Raw_Data_Daily!$B$2:$B$9999="Variant")*(Raw_Data_Daily!$A$2:$A$9999=$A23)*(Raw_Data_Daily!$C$2:$C$9999=$C$3)*Raw_Data_Daily!$D$2:$D$9999*Raw_Data_Daily!$AO$2:$AO$9999)/SUMIFS(Raw_Data_Daily!$D:$D, Raw_Data_Daily!$B:$B, "Variant", Raw_Data_Daily!$A:$A, $A23, Raw_Data_Daily!$C:$C, $C$3),""))</f>
        <v/>
      </c>
      <c r="DN23" s="275"/>
      <c r="DO23" s="274"/>
      <c r="DP23" s="263" t="str">
        <f>IF($A23="","",IFERROR(SUMPRODUCT((Raw_Data_Daily!$B$2:$B$9999="Variant")*(Raw_Data_Daily!$A$2:$A$9999=$A23)*(Raw_Data_Daily!$C$2:$C$9999=$C$3)*Raw_Data_Daily!$D$2:$D$9999*Raw_Data_Daily!$AP$2:$AP$9999)/SUMIFS(Raw_Data_Daily!$D:$D, Raw_Data_Daily!$B:$B, "Variant", Raw_Data_Daily!$A:$A, $A23, Raw_Data_Daily!$C:$C, $C$3),""))</f>
        <v/>
      </c>
      <c r="DQ23" s="275"/>
      <c r="DR23" s="268" t="str">
        <f>IF($A23="","",IFERROR(SUMPRODUCT((Raw_Data_Daily!$B$2:$B$9999="Control")*(Raw_Data_Daily!$A$2:$A$9999=$A23)*(Raw_Data_Daily!$C$2:$C$9999=$C$3)*Raw_Data_Daily!$D$2:$D$9999*Raw_Data_Daily!$AQ$2:$AQ$9999)/SUMIFS(Raw_Data_Daily!$D:$D, Raw_Data_Daily!$B:$B, "Control", Raw_Data_Daily!$A:$A, $A23, Raw_Data_Daily!$C:$C, $C$3),""))</f>
        <v/>
      </c>
      <c r="DS23" s="268" t="str">
        <f>IF($A23="","",IFERROR(SUMPRODUCT((Raw_Data_Daily!$B$2:$B$9999="Variant")*(Raw_Data_Daily!$A$2:$A$9999=$A23)*(Raw_Data_Daily!$C$2:$C$9999=$C$3)*Raw_Data_Daily!$D$2:$D$9999*Raw_Data_Daily!$AQ$2:$AQ$9999)/SUMIFS(Raw_Data_Daily!$D:$D, Raw_Data_Daily!$B:$B, "Variant", Raw_Data_Daily!$A:$A, $A23, Raw_Data_Daily!$C:$C, $C$3),""))</f>
        <v/>
      </c>
      <c r="DT23" s="276" t="str">
        <f t="shared" si="37"/>
        <v/>
      </c>
      <c r="DU23" s="268" t="str">
        <f>IF($A23="","",IFERROR(SUMPRODUCT((Raw_Data_Daily!$B$2:$B$9999="Control")*(Raw_Data_Daily!$A$2:$A$9999=$A23)*(Raw_Data_Daily!$C$2:$C$9999=$C$3)*Raw_Data_Daily!$D$2:$D$9999*Raw_Data_Daily!$AR$2:$AR$9999)/SUMIFS(Raw_Data_Daily!$D:$D, Raw_Data_Daily!$B:$B, "Control", Raw_Data_Daily!$A:$A, $A23, Raw_Data_Daily!$C:$C, $C$3),""))</f>
        <v/>
      </c>
      <c r="DV23" s="268" t="str">
        <f>IF($A23="","",IFERROR(SUMPRODUCT((Raw_Data_Daily!$B$2:$B$9999="Variant")*(Raw_Data_Daily!$A$2:$A$9999=$A23)*(Raw_Data_Daily!$C$2:$C$9999=$C$3)*Raw_Data_Daily!$D$2:$D$9999*Raw_Data_Daily!$AR$2:$AR$9999)/SUMIFS(Raw_Data_Daily!$D:$D, Raw_Data_Daily!$B:$B, "Variant", Raw_Data_Daily!$A:$A, $A23, Raw_Data_Daily!$C:$C, $C$3),""))</f>
        <v/>
      </c>
      <c r="DW23" s="276" t="str">
        <f t="shared" si="38"/>
        <v/>
      </c>
      <c r="DX23" s="268" t="str">
        <f>IF($A23="","",IFERROR(SUMPRODUCT((Raw_Data_Daily!$B$2:$B$9999="Control")*(Raw_Data_Daily!$A$2:$A$9999=$A23)*(Raw_Data_Daily!$C$2:$C$9999=$C$3)*Raw_Data_Daily!$D$2:$D$9999*Raw_Data_Daily!$AS$2:$AS$9999)/SUMIFS(Raw_Data_Daily!$D:$D, Raw_Data_Daily!$B:$B, "Control", Raw_Data_Daily!$A:$A, $A23, Raw_Data_Daily!$C:$C, $C$3),""))</f>
        <v/>
      </c>
      <c r="DY23" s="268" t="str">
        <f>IF($A23="","",IFERROR(SUMPRODUCT((Raw_Data_Daily!$B$2:$B$9999="Variant")*(Raw_Data_Daily!$A$2:$A$9999=$A23)*(Raw_Data_Daily!$C$2:$C$9999=$C$3)*Raw_Data_Daily!$D$2:$D$9999*Raw_Data_Daily!$AS$2:$AS$9999)/SUMIFS(Raw_Data_Daily!$D:$D, Raw_Data_Daily!$B:$B, "Variant", Raw_Data_Daily!$A:$A, $A23, Raw_Data_Daily!$C:$C, $C$3),""))</f>
        <v/>
      </c>
      <c r="DZ23" s="277" t="str">
        <f t="shared" si="39"/>
        <v/>
      </c>
      <c r="EA23" s="268" t="str">
        <f>IF($A23="","",IFERROR(SUMPRODUCT((Raw_Data_Daily!$B$2:$B$9999="Control")*(Raw_Data_Daily!$A$2:$A$9999=$A23)*(Raw_Data_Daily!$C$2:$C$9999=$C$3)*Raw_Data_Daily!$D$2:$D$9999*Raw_Data_Daily!$AT$2:$AT$9999)/SUMIFS(Raw_Data_Daily!$D:$D, Raw_Data_Daily!$B:$B, "Control", Raw_Data_Daily!$A:$A, $A23, Raw_Data_Daily!$C:$C, $C$3),""))</f>
        <v/>
      </c>
      <c r="EB23" s="268" t="str">
        <f>IF($A23="","",IFERROR(SUMPRODUCT((Raw_Data_Daily!$B$2:$B$9999="Variant")*(Raw_Data_Daily!$A$2:$A$9999=$A23)*(Raw_Data_Daily!$C$2:$C$9999=$C$3)*Raw_Data_Daily!$D$2:$D$9999*Raw_Data_Daily!$AT$2:$AT$9999)/SUMIFS(Raw_Data_Daily!$D:$D, Raw_Data_Daily!$B:$B, "Variant", Raw_Data_Daily!$A:$A, $A23, Raw_Data_Daily!$C:$C, $C$3),""))</f>
        <v/>
      </c>
      <c r="EC23" s="276" t="str">
        <f t="shared" si="40"/>
        <v/>
      </c>
      <c r="ED23" s="268" t="str">
        <f>IF($A23="","",IFERROR(SUMPRODUCT((Raw_Data_Daily!$B$2:$B$9999="Control")*(Raw_Data_Daily!$A$2:$A$9999=$A23)*(Raw_Data_Daily!$C$2:$C$9999=$C$3)*Raw_Data_Daily!$D$2:$D$9999*(Raw_Data_Daily!$AQ$2:$AQ$9999-Raw_Data_Daily!$AT$2:$AT$9999))/SUMIFS(Raw_Data_Daily!$D:$D, Raw_Data_Daily!$B:$B, "Control", Raw_Data_Daily!$A:$A, $A23, Raw_Data_Daily!$C:$C, $C$3),""))</f>
        <v/>
      </c>
      <c r="EE23" s="268" t="str">
        <f>IF($A23="","",IFERROR(SUMPRODUCT((Raw_Data_Daily!$B$2:$B$9999="Variant")*(Raw_Data_Daily!$A$2:$A$9999=$A23)*(Raw_Data_Daily!$C$2:$C$9999=$C$3)*Raw_Data_Daily!$D$2:$D$9999*(Raw_Data_Daily!$AQ$2:$AQ$9999-Raw_Data_Daily!$AT$2:$AT$9999))/SUMIFS(Raw_Data_Daily!$D:$D, Raw_Data_Daily!$B:$B, "Variant", Raw_Data_Daily!$A:$A, $A23, Raw_Data_Daily!$C:$C, $C$3),""))</f>
        <v/>
      </c>
      <c r="EF23" s="277" t="str">
        <f t="shared" si="41"/>
        <v/>
      </c>
      <c r="EG23" s="268" t="str">
        <f>IF($A23="","",IFERROR(SUMPRODUCT((Raw_Data_Daily!$B$2:$B$9999="Control")*(Raw_Data_Daily!$A$2:$A$9999=$A23)*(Raw_Data_Daily!$C$2:$C$9999=$C$3)*Raw_Data_Daily!$D$2:$D$9999*Raw_Data_Daily!$AU$2:$AU$9999)/SUMIFS(Raw_Data_Daily!$D:$D, Raw_Data_Daily!$B:$B, "Control", Raw_Data_Daily!$A:$A, $A23, Raw_Data_Daily!$C:$C, $C$3),""))</f>
        <v/>
      </c>
      <c r="EH23" s="268" t="str">
        <f>IF($A23="","",IFERROR(SUMPRODUCT((Raw_Data_Daily!$B$2:$B$9999="Variant")*(Raw_Data_Daily!$A$2:$A$9999=$A23)*(Raw_Data_Daily!$C$2:$C$9999=$C$3)*Raw_Data_Daily!$D$2:$D$9999*Raw_Data_Daily!$AU$2:$AU$9999)/SUMIFS(Raw_Data_Daily!$D:$D, Raw_Data_Daily!$B:$B, "Variant", Raw_Data_Daily!$A:$A, $A23, Raw_Data_Daily!$C:$C, $C$3),""))</f>
        <v/>
      </c>
      <c r="EI23" s="276" t="str">
        <f t="shared" si="42"/>
        <v/>
      </c>
    </row>
    <row r="24" ht="15.75" customHeight="1">
      <c r="A24" s="278">
        <v>46247.0</v>
      </c>
      <c r="B24" s="279">
        <f>IF($A24="","",SUMIFS(Raw_Data_Daily!$D:$D, Raw_Data_Daily!$B:$B, "Control", Raw_Data_Daily!$A:$A, $A24, Raw_Data_Daily!$C:$C, $C$3))</f>
        <v>0</v>
      </c>
      <c r="C24" s="279">
        <f>IF($A24="","",SUMIFS(Raw_Data_Daily!$D:$D, Raw_Data_Daily!$B:$B, "Variant", Raw_Data_Daily!$A:$A, $A24, Raw_Data_Daily!$C:$C, $C$3))</f>
        <v>0</v>
      </c>
      <c r="D24" s="280" t="str">
        <f t="shared" si="1"/>
        <v/>
      </c>
      <c r="E24" s="281" t="str">
        <f>IF($A24="","",IFERROR(SUMPRODUCT((Raw_Data_Daily!$B$2:$B$9999="Control")*(Raw_Data_Daily!$A$2:$A$9999=$A24)*(Raw_Data_Daily!$C$2:$C$9999=$C$3)*Raw_Data_Daily!$D$2:$D$9999*Raw_Data_Daily!$E$2:$E$9999)/SUMIFS(Raw_Data_Daily!$D:$D, Raw_Data_Daily!$B:$B, "Control", Raw_Data_Daily!$A:$A, $A24, Raw_Data_Daily!$C:$C, $C$3),""))</f>
        <v/>
      </c>
      <c r="F24" s="281" t="str">
        <f>IF($A24="","",IFERROR(SUMPRODUCT((Raw_Data_Daily!$B$2:$B$9999="Variant")*(Raw_Data_Daily!$A$2:$A$9999=$A24)*(Raw_Data_Daily!$C$2:$C$9999=$C$3)*Raw_Data_Daily!$D$2:$D$9999*Raw_Data_Daily!$E$2:$E$9999)/SUMIFS(Raw_Data_Daily!$D:$D, Raw_Data_Daily!$B:$B, "Variant", Raw_Data_Daily!$A:$A, $A24, Raw_Data_Daily!$C:$C, $C$3),""))</f>
        <v/>
      </c>
      <c r="G24" s="280" t="str">
        <f t="shared" si="2"/>
        <v/>
      </c>
      <c r="H24" s="282">
        <f>IF($A24="","",SUMIFS(Raw_Data_Daily!$F:$F, Raw_Data_Daily!$B:$B, "Control", Raw_Data_Daily!$A:$A, $A24, Raw_Data_Daily!$C:$C, $C$3))</f>
        <v>0</v>
      </c>
      <c r="I24" s="282">
        <f>IF($A24="","",SUMIFS(Raw_Data_Daily!$F:$F, Raw_Data_Daily!$B:$B, "Variant", Raw_Data_Daily!$A:$A, $A24, Raw_Data_Daily!$C:$C, $C$3))</f>
        <v>0</v>
      </c>
      <c r="J24" s="283" t="str">
        <f t="shared" si="3"/>
        <v/>
      </c>
      <c r="K24" s="284" t="str">
        <f>IF($A24="","",IFERROR(SUMIFS(Raw_Data_Daily!$F:$F, Raw_Data_Daily!$B:$B, "Control", Raw_Data_Daily!$A:$A, $A24, Raw_Data_Daily!$C:$C, $C$3)/SUMIFS(Raw_Data_Daily!$D:$D, Raw_Data_Daily!$B:$B, "Control", Raw_Data_Daily!$A:$A, $A24, Raw_Data_Daily!$C:$C, $C$3),""))</f>
        <v/>
      </c>
      <c r="L24" s="284" t="str">
        <f>IF($A24="","",IFERROR(SUMIFS(Raw_Data_Daily!$F:$F, Raw_Data_Daily!$B:$B, "Variant", Raw_Data_Daily!$A:$A, $A24, Raw_Data_Daily!$C:$C, $C$3)/SUMIFS(Raw_Data_Daily!$D:$D, Raw_Data_Daily!$B:$B, "Variant", Raw_Data_Daily!$A:$A, $A24, Raw_Data_Daily!$C:$C, $C$3),""))</f>
        <v/>
      </c>
      <c r="M24" s="283" t="str">
        <f t="shared" si="4"/>
        <v/>
      </c>
      <c r="N24" s="281" t="str">
        <f>IF($A24="","",IFERROR(SUMPRODUCT((Raw_Data_Daily!$B$2:$B$9999="Control")*(Raw_Data_Daily!$A$2:$A$9999=$A24)*(Raw_Data_Daily!$C$2:$C$9999=$C$3)*Raw_Data_Daily!$D$2:$D$9999*Raw_Data_Daily!$H$2:$H$9999/100)/SUMIFS(Raw_Data_Daily!$D:$D, Raw_Data_Daily!$B:$B, "Control", Raw_Data_Daily!$A:$A, $A24, Raw_Data_Daily!$C:$C, $C$3)*100,""))</f>
        <v/>
      </c>
      <c r="O24" s="281" t="str">
        <f>IF($A24="","",IFERROR(SUMPRODUCT((Raw_Data_Daily!$B$2:$B$9999="Variant")*(Raw_Data_Daily!$A$2:$A$9999=$A24)*(Raw_Data_Daily!$C$2:$C$9999=$C$3)*Raw_Data_Daily!$D$2:$D$9999*Raw_Data_Daily!$H$2:$H$9999/100)/SUMIFS(Raw_Data_Daily!$D:$D, Raw_Data_Daily!$B:$B, "Variant", Raw_Data_Daily!$A:$A, $A24, Raw_Data_Daily!$C:$C, $C$3)*100,""))</f>
        <v/>
      </c>
      <c r="P24" s="283" t="str">
        <f t="shared" si="5"/>
        <v/>
      </c>
      <c r="Q24" s="284" t="str">
        <f>IF($A24="","",IFERROR(SUMIFS(Raw_Data_Daily!$F:$F, Raw_Data_Daily!$B:$B, "Control", Raw_Data_Daily!$A:$A, $A24, Raw_Data_Daily!$C:$C, $C$3)/SUMPRODUCT((Raw_Data_Daily!$B$2:$B$9999="Control")*(Raw_Data_Daily!$A$2:$A$9999=$A24)*(Raw_Data_Daily!$C$2:$C$9999=$C$3)*Raw_Data_Daily!$D$2:$D$9999*Raw_Data_Daily!$H$2:$H$9999/100),""))</f>
        <v/>
      </c>
      <c r="R24" s="284" t="str">
        <f>IF($A24="","",IFERROR(SUMIFS(Raw_Data_Daily!$F:$F, Raw_Data_Daily!$B:$B, "Variant", Raw_Data_Daily!$A:$A, $A24, Raw_Data_Daily!$C:$C, $C$3)/SUMPRODUCT((Raw_Data_Daily!$B$2:$B$9999="Variant")*(Raw_Data_Daily!$A$2:$A$9999=$A24)*(Raw_Data_Daily!$C$2:$C$9999=$C$3)*Raw_Data_Daily!$D$2:$D$9999*Raw_Data_Daily!$H$2:$H$9999/100),""))</f>
        <v/>
      </c>
      <c r="S24" s="283" t="str">
        <f t="shared" si="6"/>
        <v/>
      </c>
      <c r="T24" s="285" t="str">
        <f>IF($A24="","",IFERROR(SUMPRODUCT((Raw_Data_Daily!$B$2:$B$9999="Control")*(Raw_Data_Daily!$A$2:$A$9999=$A24)*(Raw_Data_Daily!$C$2:$C$9999=$C$3)*Raw_Data_Daily!$D$2:$D$9999*Raw_Data_Daily!$J$2:$J$9999)/SUMIFS(Raw_Data_Daily!$D:$D, Raw_Data_Daily!$B:$B, "Control", Raw_Data_Daily!$A:$A, $A24, Raw_Data_Daily!$C:$C, $C$3),""))</f>
        <v/>
      </c>
      <c r="U24" s="285" t="str">
        <f>IF($A24="","",IFERROR(SUMPRODUCT((Raw_Data_Daily!$B$2:$B$9999="Variant")*(Raw_Data_Daily!$A$2:$A$9999=$A24)*(Raw_Data_Daily!$C$2:$C$9999=$C$3)*Raw_Data_Daily!$D$2:$D$9999*Raw_Data_Daily!$J$2:$J$9999)/SUMIFS(Raw_Data_Daily!$D:$D, Raw_Data_Daily!$B:$B, "Variant", Raw_Data_Daily!$A:$A, $A24, Raw_Data_Daily!$C:$C, $C$3),""))</f>
        <v/>
      </c>
      <c r="V24" s="283" t="str">
        <f t="shared" si="7"/>
        <v/>
      </c>
      <c r="W24" s="285" t="str">
        <f>IF($A24="","",IFERROR(SUMPRODUCT((Raw_Data_Daily!$B$2:$B$9999="Control")*(Raw_Data_Daily!$A$2:$A$9999=$A24)*(Raw_Data_Daily!$C$2:$C$9999=$C$3)*Raw_Data_Daily!$D$2:$D$9999*Raw_Data_Daily!$K$2:$K$9999)/SUMIFS(Raw_Data_Daily!$D:$D, Raw_Data_Daily!$B:$B, "Control", Raw_Data_Daily!$A:$A, $A24, Raw_Data_Daily!$C:$C, $C$3),""))</f>
        <v/>
      </c>
      <c r="X24" s="285" t="str">
        <f>IF($A24="","",IFERROR(SUMPRODUCT((Raw_Data_Daily!$B$2:$B$9999="Variant")*(Raw_Data_Daily!$A$2:$A$9999=$A24)*(Raw_Data_Daily!$C$2:$C$9999=$C$3)*Raw_Data_Daily!$D$2:$D$9999*Raw_Data_Daily!$K$2:$K$9999)/SUMIFS(Raw_Data_Daily!$D:$D, Raw_Data_Daily!$B:$B, "Variant", Raw_Data_Daily!$A:$A, $A24, Raw_Data_Daily!$C:$C, $C$3),""))</f>
        <v/>
      </c>
      <c r="Y24" s="283" t="str">
        <f t="shared" si="8"/>
        <v/>
      </c>
      <c r="Z24" s="285" t="str">
        <f>IF($A24="","",IFERROR(SUMPRODUCT((Raw_Data_Daily!$B$2:$B$9999="Control")*(Raw_Data_Daily!$A$2:$A$9999=$A24)*(Raw_Data_Daily!$C$2:$C$9999=$C$3)*Raw_Data_Daily!$D$2:$D$9999*Raw_Data_Daily!$L$2:$L$9999)/SUMIFS(Raw_Data_Daily!$D:$D, Raw_Data_Daily!$B:$B, "Control", Raw_Data_Daily!$A:$A, $A24, Raw_Data_Daily!$C:$C, $C$3),""))</f>
        <v/>
      </c>
      <c r="AA24" s="285" t="str">
        <f>IF($A24="","",IFERROR(SUMPRODUCT((Raw_Data_Daily!$B$2:$B$9999="Variant")*(Raw_Data_Daily!$A$2:$A$9999=$A24)*(Raw_Data_Daily!$C$2:$C$9999=$C$3)*Raw_Data_Daily!$D$2:$D$9999*Raw_Data_Daily!$L$2:$L$9999)/SUMIFS(Raw_Data_Daily!$D:$D, Raw_Data_Daily!$B:$B, "Variant", Raw_Data_Daily!$A:$A, $A24, Raw_Data_Daily!$C:$C, $C$3),""))</f>
        <v/>
      </c>
      <c r="AB24" s="283" t="str">
        <f t="shared" si="9"/>
        <v/>
      </c>
      <c r="AC24" s="286" t="str">
        <f>IF($A24="","",IFERROR(SUMPRODUCT((Raw_Data_Daily!$B$2:$B$9999="Control")*(Raw_Data_Daily!$A$2:$A$9999=$A24)*(Raw_Data_Daily!$C$2:$C$9999=$C$3)*Raw_Data_Daily!$D$2:$D$9999*Raw_Data_Daily!$M$2:$M$9999)/SUMIFS(Raw_Data_Daily!$D:$D, Raw_Data_Daily!$B:$B, "Control", Raw_Data_Daily!$A:$A, $A24, Raw_Data_Daily!$C:$C, $C$3),""))</f>
        <v/>
      </c>
      <c r="AD24" s="286" t="str">
        <f>IF($A24="","",IFERROR(SUMPRODUCT((Raw_Data_Daily!$B$2:$B$9999="Variant")*(Raw_Data_Daily!$A$2:$A$9999=$A24)*(Raw_Data_Daily!$C$2:$C$9999=$C$3)*Raw_Data_Daily!$D$2:$D$9999*Raw_Data_Daily!$M$2:$M$9999)/SUMIFS(Raw_Data_Daily!$D:$D, Raw_Data_Daily!$B:$B, "Variant", Raw_Data_Daily!$A:$A, $A24, Raw_Data_Daily!$C:$C, $C$3),""))</f>
        <v/>
      </c>
      <c r="AE24" s="287" t="str">
        <f t="shared" si="10"/>
        <v/>
      </c>
      <c r="AF24" s="286" t="str">
        <f>IF($A24="","",IFERROR(SUMPRODUCT((Raw_Data_Daily!$B$2:$B$9999="Control")*(Raw_Data_Daily!$A$2:$A$9999=$A24)*(Raw_Data_Daily!$C$2:$C$9999=$C$3)*Raw_Data_Daily!$D$2:$D$9999*Raw_Data_Daily!$N$2:$N$9999)/SUMIFS(Raw_Data_Daily!$D:$D, Raw_Data_Daily!$B:$B, "Control", Raw_Data_Daily!$A:$A, $A24, Raw_Data_Daily!$C:$C, $C$3),""))</f>
        <v/>
      </c>
      <c r="AG24" s="286" t="str">
        <f>IF($A24="","",IFERROR(SUMPRODUCT((Raw_Data_Daily!$B$2:$B$9999="Variant")*(Raw_Data_Daily!$A$2:$A$9999=$A24)*(Raw_Data_Daily!$C$2:$C$9999=$C$3)*Raw_Data_Daily!$D$2:$D$9999*Raw_Data_Daily!$N$2:$N$9999)/SUMIFS(Raw_Data_Daily!$D:$D, Raw_Data_Daily!$B:$B, "Variant", Raw_Data_Daily!$A:$A, $A24, Raw_Data_Daily!$C:$C, $C$3),""))</f>
        <v/>
      </c>
      <c r="AH24" s="287" t="str">
        <f t="shared" si="11"/>
        <v/>
      </c>
      <c r="AI24" s="286" t="str">
        <f>IF($A24="","",IFERROR(SUMPRODUCT((Raw_Data_Daily!$B$2:$B$9999="Control")*(Raw_Data_Daily!$A$2:$A$9999=$A24)*(Raw_Data_Daily!$C$2:$C$9999=$C$3)*Raw_Data_Daily!$D$2:$D$9999*Raw_Data_Daily!$O$2:$O$9999)/SUMIFS(Raw_Data_Daily!$D:$D, Raw_Data_Daily!$B:$B, "Control", Raw_Data_Daily!$A:$A, $A24, Raw_Data_Daily!$C:$C, $C$3),""))</f>
        <v/>
      </c>
      <c r="AJ24" s="286" t="str">
        <f>IF($A24="","",IFERROR(SUMPRODUCT((Raw_Data_Daily!$B$2:$B$9999="Variant")*(Raw_Data_Daily!$A$2:$A$9999=$A24)*(Raw_Data_Daily!$C$2:$C$9999=$C$3)*Raw_Data_Daily!$D$2:$D$9999*Raw_Data_Daily!$O$2:$O$9999)/SUMIFS(Raw_Data_Daily!$D:$D, Raw_Data_Daily!$B:$B, "Variant", Raw_Data_Daily!$A:$A, $A24, Raw_Data_Daily!$C:$C, $C$3),""))</f>
        <v/>
      </c>
      <c r="AK24" s="283" t="str">
        <f t="shared" si="12"/>
        <v/>
      </c>
      <c r="AL24" s="285" t="str">
        <f>IF($A24="","",IFERROR(SUMPRODUCT((Raw_Data_Daily!$B$2:$B$9999="Control")*(Raw_Data_Daily!$A$2:$A$9999=$A24)*(Raw_Data_Daily!$C$2:$C$9999=$C$3)*Raw_Data_Daily!$D$2:$D$9999*Raw_Data_Daily!$P$2:$P$9999)/SUMIFS(Raw_Data_Daily!$D:$D, Raw_Data_Daily!$B:$B, "Control", Raw_Data_Daily!$A:$A, $A24, Raw_Data_Daily!$C:$C, $C$3),""))</f>
        <v/>
      </c>
      <c r="AM24" s="285" t="str">
        <f>IF($A24="","",IFERROR(SUMPRODUCT((Raw_Data_Daily!$B$2:$B$9999="Variant")*(Raw_Data_Daily!$A$2:$A$9999=$A24)*(Raw_Data_Daily!$C$2:$C$9999=$C$3)*Raw_Data_Daily!$D$2:$D$9999*Raw_Data_Daily!$P$2:$P$9999)/SUMIFS(Raw_Data_Daily!$D:$D, Raw_Data_Daily!$B:$B, "Variant", Raw_Data_Daily!$A:$A, $A24, Raw_Data_Daily!$C:$C, $C$3),""))</f>
        <v/>
      </c>
      <c r="AN24" s="283" t="str">
        <f t="shared" si="13"/>
        <v/>
      </c>
      <c r="AO24" s="285" t="str">
        <f>IF($A24="","",IFERROR(SUMPRODUCT((Raw_Data_Daily!$B$2:$B$9999="Control")*(Raw_Data_Daily!$A$2:$A$9999=$A24)*(Raw_Data_Daily!$C$2:$C$9999=$C$3)*Raw_Data_Daily!$D$2:$D$9999*Raw_Data_Daily!$Q$2:$Q$9999)/SUMIFS(Raw_Data_Daily!$D:$D, Raw_Data_Daily!$B:$B, "Control", Raw_Data_Daily!$A:$A, $A24, Raw_Data_Daily!$C:$C, $C$3),""))</f>
        <v/>
      </c>
      <c r="AP24" s="285" t="str">
        <f>IF($A24="","",IFERROR(SUMPRODUCT((Raw_Data_Daily!$B$2:$B$9999="Variant")*(Raw_Data_Daily!$A$2:$A$9999=$A24)*(Raw_Data_Daily!$C$2:$C$9999=$C$3)*Raw_Data_Daily!$D$2:$D$9999*Raw_Data_Daily!$Q$2:$Q$9999)/SUMIFS(Raw_Data_Daily!$D:$D, Raw_Data_Daily!$B:$B, "Variant", Raw_Data_Daily!$A:$A, $A24, Raw_Data_Daily!$C:$C, $C$3),""))</f>
        <v/>
      </c>
      <c r="AQ24" s="280" t="str">
        <f t="shared" si="14"/>
        <v/>
      </c>
      <c r="AR24" s="285" t="str">
        <f>IF($A24="","",IFERROR(SUMPRODUCT((Raw_Data_Daily!$B$2:$B$9999="Control")*(Raw_Data_Daily!$A$2:$A$9999=$A24)*(Raw_Data_Daily!$C$2:$C$9999=$C$3)*Raw_Data_Daily!$D$2:$D$9999*Raw_Data_Daily!$R$2:$R$9999)/SUMIFS(Raw_Data_Daily!$D:$D, Raw_Data_Daily!$B:$B, "Control", Raw_Data_Daily!$A:$A, $A24, Raw_Data_Daily!$C:$C, $C$3),""))</f>
        <v/>
      </c>
      <c r="AS24" s="285" t="str">
        <f>IF($A24="","",IFERROR(SUMPRODUCT((Raw_Data_Daily!$B$2:$B$9999="Variant")*(Raw_Data_Daily!$A$2:$A$9999=$A24)*(Raw_Data_Daily!$C$2:$C$9999=$C$3)*Raw_Data_Daily!$D$2:$D$9999*Raw_Data_Daily!$R$2:$R$9999)/SUMIFS(Raw_Data_Daily!$D:$D, Raw_Data_Daily!$B:$B, "Variant", Raw_Data_Daily!$A:$A, $A24, Raw_Data_Daily!$C:$C, $C$3),""))</f>
        <v/>
      </c>
      <c r="AT24" s="280" t="str">
        <f t="shared" si="15"/>
        <v/>
      </c>
      <c r="AU24" s="285" t="str">
        <f>IF($A24="","",IFERROR(SUMPRODUCT((Raw_Data_Daily!$B$2:$B$9999="Control")*(Raw_Data_Daily!$A$2:$A$9999=$A24)*(Raw_Data_Daily!$C$2:$C$9999=$C$3)*Raw_Data_Daily!$D$2:$D$9999*Raw_Data_Daily!$S$2:$S$9999)/SUMIFS(Raw_Data_Daily!$D:$D, Raw_Data_Daily!$B:$B, "Control", Raw_Data_Daily!$A:$A, $A24, Raw_Data_Daily!$C:$C, $C$3),""))</f>
        <v/>
      </c>
      <c r="AV24" s="285" t="str">
        <f>IF($A24="","",IFERROR(SUMPRODUCT((Raw_Data_Daily!$B$2:$B$9999="Variant")*(Raw_Data_Daily!$A$2:$A$9999=$A24)*(Raw_Data_Daily!$C$2:$C$9999=$C$3)*Raw_Data_Daily!$D$2:$D$9999*Raw_Data_Daily!$S$2:$S$9999)/SUMIFS(Raw_Data_Daily!$D:$D, Raw_Data_Daily!$B:$B, "Variant", Raw_Data_Daily!$A:$A, $A24, Raw_Data_Daily!$C:$C, $C$3),""))</f>
        <v/>
      </c>
      <c r="AW24" s="280" t="str">
        <f t="shared" si="16"/>
        <v/>
      </c>
      <c r="AX24" s="285" t="str">
        <f>IF($A24="","",IFERROR(SUMPRODUCT((Raw_Data_Daily!$B$2:$B$9999="Control")*(Raw_Data_Daily!$A$2:$A$9999=$A24)*(Raw_Data_Daily!$C$2:$C$9999=$C$3)*Raw_Data_Daily!$D$2:$D$9999*Raw_Data_Daily!$T$2:$T$9999)/SUMIFS(Raw_Data_Daily!$D:$D, Raw_Data_Daily!$B:$B, "Control", Raw_Data_Daily!$A:$A, $A24, Raw_Data_Daily!$C:$C, $C$3),""))</f>
        <v/>
      </c>
      <c r="AY24" s="285" t="str">
        <f>IF($A24="","",IFERROR(SUMPRODUCT((Raw_Data_Daily!$B$2:$B$9999="Variant")*(Raw_Data_Daily!$A$2:$A$9999=$A24)*(Raw_Data_Daily!$C$2:$C$9999=$C$3)*Raw_Data_Daily!$D$2:$D$9999*Raw_Data_Daily!$T$2:$T$9999)/SUMIFS(Raw_Data_Daily!$D:$D, Raw_Data_Daily!$B:$B, "Variant", Raw_Data_Daily!$A:$A, $A24, Raw_Data_Daily!$C:$C, $C$3),""))</f>
        <v/>
      </c>
      <c r="AZ24" s="283" t="str">
        <f t="shared" si="17"/>
        <v/>
      </c>
      <c r="BA24" s="285" t="str">
        <f>IF($A24="","",IFERROR(SUMPRODUCT((Raw_Data_Daily!$B$2:$B$9999="Control")*(Raw_Data_Daily!$A$2:$A$9999=$A24)*(Raw_Data_Daily!$C$2:$C$9999=$C$3)*Raw_Data_Daily!$D$2:$D$9999*Raw_Data_Daily!$U$2:$U$9999)/SUMIFS(Raw_Data_Daily!$D:$D, Raw_Data_Daily!$B:$B, "Control", Raw_Data_Daily!$A:$A, $A24, Raw_Data_Daily!$C:$C, $C$3),""))</f>
        <v/>
      </c>
      <c r="BB24" s="285" t="str">
        <f>IF($A24="","",IFERROR(SUMPRODUCT((Raw_Data_Daily!$B$2:$B$9999="Variant")*(Raw_Data_Daily!$A$2:$A$9999=$A24)*(Raw_Data_Daily!$C$2:$C$9999=$C$3)*Raw_Data_Daily!$D$2:$D$9999*Raw_Data_Daily!$U$2:$U$9999)/SUMIFS(Raw_Data_Daily!$D:$D, Raw_Data_Daily!$B:$B, "Variant", Raw_Data_Daily!$A:$A, $A24, Raw_Data_Daily!$C:$C, $C$3),""))</f>
        <v/>
      </c>
      <c r="BC24" s="280" t="str">
        <f t="shared" si="18"/>
        <v/>
      </c>
      <c r="BD24" s="285" t="str">
        <f>IF($A24="","",IFERROR(SUMPRODUCT((Raw_Data_Daily!$B$2:$B$9999="Control")*(Raw_Data_Daily!$A$2:$A$9999=$A24)*(Raw_Data_Daily!$C$2:$C$9999=$C$3)*Raw_Data_Daily!$D$2:$D$9999*Raw_Data_Daily!$V$2:$V$9999)/SUMIFS(Raw_Data_Daily!$D:$D, Raw_Data_Daily!$B:$B, "Control", Raw_Data_Daily!$A:$A, $A24, Raw_Data_Daily!$C:$C, $C$3),""))</f>
        <v/>
      </c>
      <c r="BE24" s="285" t="str">
        <f>IF($A24="","",IFERROR(SUMPRODUCT((Raw_Data_Daily!$B$2:$B$9999="Variant")*(Raw_Data_Daily!$A$2:$A$9999=$A24)*(Raw_Data_Daily!$C$2:$C$9999=$C$3)*Raw_Data_Daily!$D$2:$D$9999*Raw_Data_Daily!$V$2:$V$9999)/SUMIFS(Raw_Data_Daily!$D:$D, Raw_Data_Daily!$B:$B, "Variant", Raw_Data_Daily!$A:$A, $A24, Raw_Data_Daily!$C:$C, $C$3),""))</f>
        <v/>
      </c>
      <c r="BF24" s="288" t="str">
        <f t="shared" si="19"/>
        <v/>
      </c>
      <c r="BG24" s="289" t="str">
        <f>IF($A24="","",IFERROR(SUMPRODUCT((Raw_Data_Daily!$B$2:$B$9999="Control")*(Raw_Data_Daily!$A$2:$A$9999=$A24)*(Raw_Data_Daily!$C$2:$C$9999=$C$3)*Raw_Data_Daily!$D$2:$D$9999*(Raw_Data_Daily!$Q$2:$Q$9999-Raw_Data_Daily!$V$2:$V$9999))/SUMIFS(Raw_Data_Daily!$D:$D, Raw_Data_Daily!$B:$B, "Control", Raw_Data_Daily!$A:$A, $A24, Raw_Data_Daily!$C:$C, $C$3),""))</f>
        <v/>
      </c>
      <c r="BH24" s="285" t="str">
        <f>IF($A24="","",IFERROR(SUMPRODUCT((Raw_Data_Daily!$B$2:$B$9999="Variant")*(Raw_Data_Daily!$A$2:$A$9999=$A24)*(Raw_Data_Daily!$C$2:$C$9999=$C$3)*Raw_Data_Daily!$D$2:$D$9999*(Raw_Data_Daily!$Q$2:$Q$9999-Raw_Data_Daily!$V$2:$V$9999))/SUMIFS(Raw_Data_Daily!$D:$D, Raw_Data_Daily!$B:$B, "Variant", Raw_Data_Daily!$A:$A, $A24, Raw_Data_Daily!$C:$C, $C$3),""))</f>
        <v/>
      </c>
      <c r="BI24" s="290" t="str">
        <f t="shared" si="20"/>
        <v/>
      </c>
      <c r="BJ24" s="291" t="str">
        <f>IF($A24="","",IFERROR(SUMPRODUCT((Raw_Data_Daily!$B$2:$B$9999="Control")*(Raw_Data_Daily!$A$2:$A$9999=$A24)*(Raw_Data_Daily!$C$2:$C$9999=$C$3)*Raw_Data_Daily!$D$2:$D$9999*Raw_Data_Daily!$W$2:$W$9999)/SUMIFS(Raw_Data_Daily!$D:$D, Raw_Data_Daily!$B:$B, "Control", Raw_Data_Daily!$A:$A, $A24, Raw_Data_Daily!$C:$C, $C$3),""))</f>
        <v/>
      </c>
      <c r="BK24" s="285" t="str">
        <f>IF($A24="","",IFERROR(SUMPRODUCT((Raw_Data_Daily!$B$2:$B$9999="Variant")*(Raw_Data_Daily!$A$2:$A$9999=$A24)*(Raw_Data_Daily!$C$2:$C$9999=$C$3)*Raw_Data_Daily!$D$2:$D$9999*Raw_Data_Daily!$W$2:$W$9999)/SUMIFS(Raw_Data_Daily!$D:$D, Raw_Data_Daily!$B:$B, "Variant", Raw_Data_Daily!$A:$A, $A24, Raw_Data_Daily!$C:$C, $C$3),""))</f>
        <v/>
      </c>
      <c r="BL24" s="280" t="str">
        <f t="shared" si="21"/>
        <v/>
      </c>
      <c r="BM24" s="286" t="str">
        <f>IF($A24="","",IFERROR(SUMPRODUCT((Raw_Data_Daily!$B$2:$B$9999="Control")*(Raw_Data_Daily!$A$2:$A$9999=$A24)*(Raw_Data_Daily!$C$2:$C$9999=$C$3)*Raw_Data_Daily!$D$2:$D$9999*Raw_Data_Daily!$X$2:$X$9999)/SUMIFS(Raw_Data_Daily!$D:$D, Raw_Data_Daily!$B:$B, "Control", Raw_Data_Daily!$A:$A, $A24, Raw_Data_Daily!$C:$C, $C$3),""))</f>
        <v/>
      </c>
      <c r="BN24" s="286" t="str">
        <f>IF($A24="","",IFERROR(SUMPRODUCT((Raw_Data_Daily!$B$2:$B$9999="Variant")*(Raw_Data_Daily!$A$2:$A$9999=$A24)*(Raw_Data_Daily!$C$2:$C$9999=$C$3)*Raw_Data_Daily!$D$2:$D$9999*Raw_Data_Daily!$X$2:$X$9999)/SUMIFS(Raw_Data_Daily!$D:$D, Raw_Data_Daily!$B:$B, "Variant", Raw_Data_Daily!$A:$A, $A24, Raw_Data_Daily!$C:$C, $C$3),""))</f>
        <v/>
      </c>
      <c r="BO24" s="283" t="str">
        <f t="shared" si="22"/>
        <v/>
      </c>
      <c r="BP24" s="279" t="str">
        <f>IF($A24="","",IFERROR(SUMPRODUCT((Raw_Data_Daily!$B$2:$B$9999="Control")*(Raw_Data_Daily!$A$2:$A$9999=$A24)*(Raw_Data_Daily!$C$2:$C$9999=$C$3)*Raw_Data_Daily!$D$2:$D$9999*Raw_Data_Daily!$Y$2:$Y$9999)/SUMIFS(Raw_Data_Daily!$D:$D, Raw_Data_Daily!$B:$B, "Control", Raw_Data_Daily!$A:$A, $A24, Raw_Data_Daily!$C:$C, $C$3),""))</f>
        <v/>
      </c>
      <c r="BQ24" s="279" t="str">
        <f>IF($A24="","",IFERROR(SUMPRODUCT((Raw_Data_Daily!$B$2:$B$9999="Variant")*(Raw_Data_Daily!$A$2:$A$9999=$A24)*(Raw_Data_Daily!$C$2:$C$9999=$C$3)*Raw_Data_Daily!$D$2:$D$9999*Raw_Data_Daily!$Y$2:$Y$9999)/SUMIFS(Raw_Data_Daily!$D:$D, Raw_Data_Daily!$B:$B, "Variant", Raw_Data_Daily!$A:$A, $A24, Raw_Data_Daily!$C:$C, $C$3),""))</f>
        <v/>
      </c>
      <c r="BR24" s="280" t="str">
        <f t="shared" si="23"/>
        <v/>
      </c>
      <c r="BS24" s="279" t="str">
        <f>IF($A24="","",IFERROR(SUMPRODUCT((Raw_Data_Daily!$B$2:$B$9999="Control")*(Raw_Data_Daily!$A$2:$A$9999=$A24)*(Raw_Data_Daily!$C$2:$C$9999=$C$3)*Raw_Data_Daily!$D$2:$D$9999*Raw_Data_Daily!$Z$2:$Z$9999)/SUMIFS(Raw_Data_Daily!$D:$D, Raw_Data_Daily!$B:$B, "Control", Raw_Data_Daily!$A:$A, $A24, Raw_Data_Daily!$C:$C, $C$3),""))</f>
        <v/>
      </c>
      <c r="BT24" s="279" t="str">
        <f>IF($A24="","",IFERROR(SUMPRODUCT((Raw_Data_Daily!$B$2:$B$9999="Variant")*(Raw_Data_Daily!$A$2:$A$9999=$A24)*(Raw_Data_Daily!$C$2:$C$9999=$C$3)*Raw_Data_Daily!$D$2:$D$9999*Raw_Data_Daily!$Z$2:$Z$9999)/SUMIFS(Raw_Data_Daily!$D:$D, Raw_Data_Daily!$B:$B, "Variant", Raw_Data_Daily!$A:$A, $A24, Raw_Data_Daily!$C:$C, $C$3),""))</f>
        <v/>
      </c>
      <c r="BU24" s="280" t="str">
        <f t="shared" si="24"/>
        <v/>
      </c>
      <c r="BV24" s="279" t="str">
        <f>IF($A24="","",IFERROR(SUMPRODUCT((Raw_Data_Daily!$B$2:$B$9999="Control")*(Raw_Data_Daily!$A$2:$A$9999=$A24)*(Raw_Data_Daily!$C$2:$C$9999=$C$3)*Raw_Data_Daily!$D$2:$D$9999*Raw_Data_Daily!$AA$2:$AA$9999)/SUMIFS(Raw_Data_Daily!$D:$D, Raw_Data_Daily!$B:$B, "Control", Raw_Data_Daily!$A:$A, $A24, Raw_Data_Daily!$C:$C, $C$3),""))</f>
        <v/>
      </c>
      <c r="BW24" s="279" t="str">
        <f>IF($A24="","",IFERROR(SUMPRODUCT((Raw_Data_Daily!$B$2:$B$9999="Variant")*(Raw_Data_Daily!$A$2:$A$9999=$A24)*(Raw_Data_Daily!$C$2:$C$9999=$C$3)*Raw_Data_Daily!$D$2:$D$9999*Raw_Data_Daily!$AA$2:$AA$9999)/SUMIFS(Raw_Data_Daily!$D:$D, Raw_Data_Daily!$B:$B, "Variant", Raw_Data_Daily!$A:$A, $A24, Raw_Data_Daily!$C:$C, $C$3),""))</f>
        <v/>
      </c>
      <c r="BX24" s="280" t="str">
        <f t="shared" si="25"/>
        <v/>
      </c>
      <c r="BY24" s="285" t="str">
        <f>IF($A24="","",IFERROR(SUMPRODUCT((Raw_Data_Daily!$B$2:$B$9999="Control")*(Raw_Data_Daily!$A$2:$A$9999=$A24)*(Raw_Data_Daily!$C$2:$C$9999=$C$3)*Raw_Data_Daily!$D$2:$D$9999*Raw_Data_Daily!$AB$2:$AB$9999)/SUMIFS(Raw_Data_Daily!$D:$D, Raw_Data_Daily!$B:$B, "Control", Raw_Data_Daily!$A:$A, $A24, Raw_Data_Daily!$C:$C, $C$3),""))</f>
        <v/>
      </c>
      <c r="BZ24" s="285" t="str">
        <f>IF($A24="","",IFERROR(SUMPRODUCT((Raw_Data_Daily!$B$2:$B$9999="Variant")*(Raw_Data_Daily!$A$2:$A$9999=$A24)*(Raw_Data_Daily!$C$2:$C$9999=$C$3)*Raw_Data_Daily!$D$2:$D$9999*Raw_Data_Daily!$AB$2:$AB$9999)/SUMIFS(Raw_Data_Daily!$D:$D, Raw_Data_Daily!$B:$B, "Variant", Raw_Data_Daily!$A:$A, $A24, Raw_Data_Daily!$C:$C, $C$3),""))</f>
        <v/>
      </c>
      <c r="CA24" s="283" t="str">
        <f t="shared" si="26"/>
        <v/>
      </c>
      <c r="CB24" s="285" t="str">
        <f>IF($A24="","",IFERROR(SUMPRODUCT((Raw_Data_Daily!$B$2:$B$9999="Control")*(Raw_Data_Daily!$A$2:$A$9999=$A24)*(Raw_Data_Daily!$C$2:$C$9999=$C$3)*Raw_Data_Daily!$D$2:$D$9999*Raw_Data_Daily!$AC$2:$AC$9999)/SUMIFS(Raw_Data_Daily!$D:$D, Raw_Data_Daily!$B:$B, "Control", Raw_Data_Daily!$A:$A, $A24, Raw_Data_Daily!$C:$C, $C$3),""))</f>
        <v/>
      </c>
      <c r="CC24" s="285" t="str">
        <f>IF($A24="","",IFERROR(SUMPRODUCT((Raw_Data_Daily!$B$2:$B$9999="Variant")*(Raw_Data_Daily!$A$2:$A$9999=$A24)*(Raw_Data_Daily!$C$2:$C$9999=$C$3)*Raw_Data_Daily!$D$2:$D$9999*Raw_Data_Daily!$AC$2:$AC$9999)/SUMIFS(Raw_Data_Daily!$D:$D, Raw_Data_Daily!$B:$B, "Variant", Raw_Data_Daily!$A:$A, $A24, Raw_Data_Daily!$C:$C, $C$3),""))</f>
        <v/>
      </c>
      <c r="CD24" s="283" t="str">
        <f t="shared" si="27"/>
        <v/>
      </c>
      <c r="CE24" s="285" t="str">
        <f>IF($A24="","",IFERROR(SUMPRODUCT((Raw_Data_Daily!$B$2:$B$9999="Control")*(Raw_Data_Daily!$A$2:$A$9999=$A24)*(Raw_Data_Daily!$C$2:$C$9999=$C$3)*Raw_Data_Daily!$D$2:$D$9999*Raw_Data_Daily!$AD$2:$AD$9999)/SUMIFS(Raw_Data_Daily!$D:$D, Raw_Data_Daily!$B:$B, "Control", Raw_Data_Daily!$A:$A, $A24, Raw_Data_Daily!$C:$C, $C$3),""))</f>
        <v/>
      </c>
      <c r="CF24" s="285" t="str">
        <f>IF($A24="","",IFERROR(SUMPRODUCT((Raw_Data_Daily!$B$2:$B$9999="Variant")*(Raw_Data_Daily!$A$2:$A$9999=$A24)*(Raw_Data_Daily!$C$2:$C$9999=$C$3)*Raw_Data_Daily!$D$2:$D$9999*Raw_Data_Daily!$AD$2:$AD$9999)/SUMIFS(Raw_Data_Daily!$D:$D, Raw_Data_Daily!$B:$B, "Variant", Raw_Data_Daily!$A:$A, $A24, Raw_Data_Daily!$C:$C, $C$3),""))</f>
        <v/>
      </c>
      <c r="CG24" s="283" t="str">
        <f t="shared" si="28"/>
        <v/>
      </c>
      <c r="CH24" s="285" t="str">
        <f>IF($A24="","",IFERROR(SUMPRODUCT((Raw_Data_Daily!$B$2:$B$9999="Control")*(Raw_Data_Daily!$A$2:$A$9999=$A24)*(Raw_Data_Daily!$C$2:$C$9999=$C$3)*Raw_Data_Daily!$D$2:$D$9999*Raw_Data_Daily!$AE$2:$AE$9999)/SUMIFS(Raw_Data_Daily!$D:$D, Raw_Data_Daily!$B:$B, "Control", Raw_Data_Daily!$A:$A, $A24, Raw_Data_Daily!$C:$C, $C$3),""))</f>
        <v/>
      </c>
      <c r="CI24" s="285" t="str">
        <f>IF($A24="","",IFERROR(SUMPRODUCT((Raw_Data_Daily!$B$2:$B$9999="Variant")*(Raw_Data_Daily!$A$2:$A$9999=$A24)*(Raw_Data_Daily!$C$2:$C$9999=$C$3)*Raw_Data_Daily!$D$2:$D$9999*Raw_Data_Daily!$AE$2:$AE$9999)/SUMIFS(Raw_Data_Daily!$D:$D, Raw_Data_Daily!$B:$B, "Variant", Raw_Data_Daily!$A:$A, $A24, Raw_Data_Daily!$C:$C, $C$3),""))</f>
        <v/>
      </c>
      <c r="CJ24" s="283" t="str">
        <f t="shared" si="29"/>
        <v/>
      </c>
      <c r="CK24" s="285" t="str">
        <f>IF($A24="","",IFERROR(SUMPRODUCT((Raw_Data_Daily!$B$2:$B$9999="Control")*(Raw_Data_Daily!$A$2:$A$9999=$A24)*(Raw_Data_Daily!$C$2:$C$9999=$C$3)*Raw_Data_Daily!$D$2:$D$9999*Raw_Data_Daily!$AF$2:$AF$9999)/SUMIFS(Raw_Data_Daily!$D:$D, Raw_Data_Daily!$B:$B, "Control", Raw_Data_Daily!$A:$A, $A24, Raw_Data_Daily!$C:$C, $C$3),""))</f>
        <v/>
      </c>
      <c r="CL24" s="285" t="str">
        <f>IF($A24="","",IFERROR(SUMPRODUCT((Raw_Data_Daily!$B$2:$B$9999="Variant")*(Raw_Data_Daily!$A$2:$A$9999=$A24)*(Raw_Data_Daily!$C$2:$C$9999=$C$3)*Raw_Data_Daily!$D$2:$D$9999*Raw_Data_Daily!$AF$2:$AF$9999)/SUMIFS(Raw_Data_Daily!$D:$D, Raw_Data_Daily!$B:$B, "Variant", Raw_Data_Daily!$A:$A, $A24, Raw_Data_Daily!$C:$C, $C$3),""))</f>
        <v/>
      </c>
      <c r="CM24" s="283" t="str">
        <f t="shared" si="30"/>
        <v/>
      </c>
      <c r="CN24" s="285" t="str">
        <f>IF($A24="","",IFERROR(SUMPRODUCT((Raw_Data_Daily!$B$2:$B$9999="Control")*(Raw_Data_Daily!$A$2:$A$9999=$A24)*(Raw_Data_Daily!$C$2:$C$9999=$C$3)*Raw_Data_Daily!$D$2:$D$9999*Raw_Data_Daily!$AG$2:$AG$9999)/SUMIFS(Raw_Data_Daily!$D:$D, Raw_Data_Daily!$B:$B, "Control", Raw_Data_Daily!$A:$A, $A24, Raw_Data_Daily!$C:$C, $C$3),""))</f>
        <v/>
      </c>
      <c r="CO24" s="285" t="str">
        <f>IF($A24="","",IFERROR(SUMPRODUCT((Raw_Data_Daily!$B$2:$B$9999="Variant")*(Raw_Data_Daily!$A$2:$A$9999=$A24)*(Raw_Data_Daily!$C$2:$C$9999=$C$3)*Raw_Data_Daily!$D$2:$D$9999*Raw_Data_Daily!$AG$2:$AG$9999)/SUMIFS(Raw_Data_Daily!$D:$D, Raw_Data_Daily!$B:$B, "Variant", Raw_Data_Daily!$A:$A, $A24, Raw_Data_Daily!$C:$C, $C$3),""))</f>
        <v/>
      </c>
      <c r="CP24" s="283" t="str">
        <f t="shared" si="31"/>
        <v/>
      </c>
      <c r="CQ24" s="285" t="str">
        <f>IF($A24="","",IFERROR(SUMPRODUCT((Raw_Data_Daily!$B$2:$B$9999="Control")*(Raw_Data_Daily!$A$2:$A$9999=$A24)*(Raw_Data_Daily!$C$2:$C$9999=$C$3)*Raw_Data_Daily!$D$2:$D$9999*Raw_Data_Daily!$AH$2:$AH$9999)/SUMIFS(Raw_Data_Daily!$D:$D, Raw_Data_Daily!$B:$B, "Control", Raw_Data_Daily!$A:$A, $A24, Raw_Data_Daily!$C:$C, $C$3),""))</f>
        <v/>
      </c>
      <c r="CR24" s="285" t="str">
        <f>IF($A24="","",IFERROR(SUMPRODUCT((Raw_Data_Daily!$B$2:$B$9999="Variant")*(Raw_Data_Daily!$A$2:$A$9999=$A24)*(Raw_Data_Daily!$C$2:$C$9999=$C$3)*Raw_Data_Daily!$D$2:$D$9999*Raw_Data_Daily!$AH$2:$AH$9999)/SUMIFS(Raw_Data_Daily!$D:$D, Raw_Data_Daily!$B:$B, "Variant", Raw_Data_Daily!$A:$A, $A24, Raw_Data_Daily!$C:$C, $C$3),""))</f>
        <v/>
      </c>
      <c r="CS24" s="283" t="str">
        <f t="shared" si="32"/>
        <v/>
      </c>
      <c r="CT24" s="281" t="str">
        <f>IF($A24="","",IFERROR(SUMPRODUCT((Raw_Data_Daily!$B$2:$B$9999="Control")*(Raw_Data_Daily!$A$2:$A$9999=$A24)*(Raw_Data_Daily!$C$2:$C$9999=$C$3)*Raw_Data_Daily!$D$2:$D$9999*Raw_Data_Daily!$AI$2:$AI$9999)/SUMIFS(Raw_Data_Daily!$D:$D, Raw_Data_Daily!$B:$B, "Control", Raw_Data_Daily!$A:$A, $A24, Raw_Data_Daily!$C:$C, $C$3),""))</f>
        <v/>
      </c>
      <c r="CU24" s="281" t="str">
        <f>IF($A24="","",IFERROR(SUMPRODUCT((Raw_Data_Daily!$B$2:$B$9999="Variant")*(Raw_Data_Daily!$A$2:$A$9999=$A24)*(Raw_Data_Daily!$C$2:$C$9999=$C$3)*Raw_Data_Daily!$D$2:$D$9999*Raw_Data_Daily!$AI$2:$AI$9999)/SUMIFS(Raw_Data_Daily!$D:$D, Raw_Data_Daily!$B:$B, "Variant", Raw_Data_Daily!$A:$A, $A24, Raw_Data_Daily!$C:$C, $C$3),""))</f>
        <v/>
      </c>
      <c r="CV24" s="287" t="str">
        <f t="shared" si="33"/>
        <v/>
      </c>
      <c r="CW24" s="281" t="str">
        <f>IF($A24="","",IFERROR(SUMPRODUCT((Raw_Data_Daily!$B$2:$B$9999="Control")*(Raw_Data_Daily!$A$2:$A$9999=$A24)*(Raw_Data_Daily!$C$2:$C$9999=$C$3)*Raw_Data_Daily!$D$2:$D$9999*Raw_Data_Daily!$AJ$2:$AJ$9999)/SUMIFS(Raw_Data_Daily!$D:$D, Raw_Data_Daily!$B:$B, "Control", Raw_Data_Daily!$A:$A, $A24, Raw_Data_Daily!$C:$C, $C$3),""))</f>
        <v/>
      </c>
      <c r="CX24" s="281" t="str">
        <f>IF($A24="","",IFERROR(SUMPRODUCT((Raw_Data_Daily!$B$2:$B$9999="Variant")*(Raw_Data_Daily!$A$2:$A$9999=$A24)*(Raw_Data_Daily!$C$2:$C$9999=$C$3)*Raw_Data_Daily!$D$2:$D$9999*Raw_Data_Daily!$AJ$2:$AJ$9999)/SUMIFS(Raw_Data_Daily!$D:$D, Raw_Data_Daily!$B:$B, "Variant", Raw_Data_Daily!$A:$A, $A24, Raw_Data_Daily!$C:$C, $C$3),""))</f>
        <v/>
      </c>
      <c r="CY24" s="287" t="str">
        <f t="shared" si="34"/>
        <v/>
      </c>
      <c r="CZ24" s="281" t="str">
        <f>IF($A24="","",IFERROR(SUMPRODUCT((Raw_Data_Daily!$B$2:$B$9999="Control")*(Raw_Data_Daily!$A$2:$A$9999=$A24)*(Raw_Data_Daily!$C$2:$C$9999=$C$3)*Raw_Data_Daily!$D$2:$D$9999*Raw_Data_Daily!$AK$2:$AK$9999)/SUMIFS(Raw_Data_Daily!$D:$D, Raw_Data_Daily!$B:$B, "Control", Raw_Data_Daily!$A:$A, $A24, Raw_Data_Daily!$C:$C, $C$3),""))</f>
        <v/>
      </c>
      <c r="DA24" s="281" t="str">
        <f>IF($A24="","",IFERROR(SUMPRODUCT((Raw_Data_Daily!$B$2:$B$9999="Variant")*(Raw_Data_Daily!$A$2:$A$9999=$A24)*(Raw_Data_Daily!$C$2:$C$9999=$C$3)*Raw_Data_Daily!$D$2:$D$9999*Raw_Data_Daily!$AK$2:$AK$9999)/SUMIFS(Raw_Data_Daily!$D:$D, Raw_Data_Daily!$B:$B, "Variant", Raw_Data_Daily!$A:$A, $A24, Raw_Data_Daily!$C:$C, $C$3),""))</f>
        <v/>
      </c>
      <c r="DB24" s="283" t="str">
        <f t="shared" si="35"/>
        <v/>
      </c>
      <c r="DC24" s="286" t="str">
        <f>IF($A24="","",IFERROR(SUMPRODUCT((Raw_Data_Daily!$B$2:$B$9999="Control")*(Raw_Data_Daily!$A$2:$A$9999=$A24)*(Raw_Data_Daily!$C$2:$C$9999=$C$3)*Raw_Data_Daily!$D$2:$D$9999*Raw_Data_Daily!$AL$2:$AL$9999)/SUMIFS(Raw_Data_Daily!$D:$D, Raw_Data_Daily!$B:$B, "Control", Raw_Data_Daily!$A:$A, $A24, Raw_Data_Daily!$C:$C, $C$3),""))</f>
        <v/>
      </c>
      <c r="DD24" s="286" t="str">
        <f>IF($A24="","",IFERROR(SUMPRODUCT((Raw_Data_Daily!$B$2:$B$9999="Variant")*(Raw_Data_Daily!$A$2:$A$9999=$A24)*(Raw_Data_Daily!$C$2:$C$9999=$C$3)*Raw_Data_Daily!$D$2:$D$9999*Raw_Data_Daily!$AL$2:$AL$9999)/SUMIFS(Raw_Data_Daily!$D:$D, Raw_Data_Daily!$B:$B, "Variant", Raw_Data_Daily!$A:$A, $A24, Raw_Data_Daily!$C:$C, $C$3),""))</f>
        <v/>
      </c>
      <c r="DE24" s="287" t="str">
        <f t="shared" si="36"/>
        <v/>
      </c>
      <c r="DF24" s="292"/>
      <c r="DG24" s="281" t="str">
        <f>IF($A24="","",IFERROR(SUMPRODUCT((Raw_Data_Daily!$B$2:$B$9999="Variant")*(Raw_Data_Daily!$A$2:$A$9999=$A24)*(Raw_Data_Daily!$C$2:$C$9999=$C$3)*Raw_Data_Daily!$D$2:$D$9999*Raw_Data_Daily!$AM$2:$AM$9999)/SUMIFS(Raw_Data_Daily!$D:$D, Raw_Data_Daily!$B:$B, "Variant", Raw_Data_Daily!$A:$A, $A24, Raw_Data_Daily!$C:$C, $C$3),""))</f>
        <v/>
      </c>
      <c r="DH24" s="293"/>
      <c r="DI24" s="292"/>
      <c r="DJ24" s="281" t="str">
        <f>IF($A24="","",IFERROR(SUMPRODUCT((Raw_Data_Daily!$B$2:$B$9999="Variant")*(Raw_Data_Daily!$A$2:$A$9999=$A24)*(Raw_Data_Daily!$C$2:$C$9999=$C$3)*Raw_Data_Daily!$D$2:$D$9999*Raw_Data_Daily!$AN$2:$AN$9999)/SUMIFS(Raw_Data_Daily!$D:$D, Raw_Data_Daily!$B:$B, "Variant", Raw_Data_Daily!$A:$A, $A24, Raw_Data_Daily!$C:$C, $C$3),""))</f>
        <v/>
      </c>
      <c r="DK24" s="293"/>
      <c r="DL24" s="292"/>
      <c r="DM24" s="281" t="str">
        <f>IF($A24="","",IFERROR(SUMPRODUCT((Raw_Data_Daily!$B$2:$B$9999="Variant")*(Raw_Data_Daily!$A$2:$A$9999=$A24)*(Raw_Data_Daily!$C$2:$C$9999=$C$3)*Raw_Data_Daily!$D$2:$D$9999*Raw_Data_Daily!$AO$2:$AO$9999)/SUMIFS(Raw_Data_Daily!$D:$D, Raw_Data_Daily!$B:$B, "Variant", Raw_Data_Daily!$A:$A, $A24, Raw_Data_Daily!$C:$C, $C$3),""))</f>
        <v/>
      </c>
      <c r="DN24" s="293"/>
      <c r="DO24" s="292"/>
      <c r="DP24" s="281" t="str">
        <f>IF($A24="","",IFERROR(SUMPRODUCT((Raw_Data_Daily!$B$2:$B$9999="Variant")*(Raw_Data_Daily!$A$2:$A$9999=$A24)*(Raw_Data_Daily!$C$2:$C$9999=$C$3)*Raw_Data_Daily!$D$2:$D$9999*Raw_Data_Daily!$AP$2:$AP$9999)/SUMIFS(Raw_Data_Daily!$D:$D, Raw_Data_Daily!$B:$B, "Variant", Raw_Data_Daily!$A:$A, $A24, Raw_Data_Daily!$C:$C, $C$3),""))</f>
        <v/>
      </c>
      <c r="DQ24" s="293"/>
      <c r="DR24" s="286" t="str">
        <f>IF($A24="","",IFERROR(SUMPRODUCT((Raw_Data_Daily!$B$2:$B$9999="Control")*(Raw_Data_Daily!$A$2:$A$9999=$A24)*(Raw_Data_Daily!$C$2:$C$9999=$C$3)*Raw_Data_Daily!$D$2:$D$9999*Raw_Data_Daily!$AQ$2:$AQ$9999)/SUMIFS(Raw_Data_Daily!$D:$D, Raw_Data_Daily!$B:$B, "Control", Raw_Data_Daily!$A:$A, $A24, Raw_Data_Daily!$C:$C, $C$3),""))</f>
        <v/>
      </c>
      <c r="DS24" s="286" t="str">
        <f>IF($A24="","",IFERROR(SUMPRODUCT((Raw_Data_Daily!$B$2:$B$9999="Variant")*(Raw_Data_Daily!$A$2:$A$9999=$A24)*(Raw_Data_Daily!$C$2:$C$9999=$C$3)*Raw_Data_Daily!$D$2:$D$9999*Raw_Data_Daily!$AQ$2:$AQ$9999)/SUMIFS(Raw_Data_Daily!$D:$D, Raw_Data_Daily!$B:$B, "Variant", Raw_Data_Daily!$A:$A, $A24, Raw_Data_Daily!$C:$C, $C$3),""))</f>
        <v/>
      </c>
      <c r="DT24" s="294" t="str">
        <f t="shared" si="37"/>
        <v/>
      </c>
      <c r="DU24" s="286" t="str">
        <f>IF($A24="","",IFERROR(SUMPRODUCT((Raw_Data_Daily!$B$2:$B$9999="Control")*(Raw_Data_Daily!$A$2:$A$9999=$A24)*(Raw_Data_Daily!$C$2:$C$9999=$C$3)*Raw_Data_Daily!$D$2:$D$9999*Raw_Data_Daily!$AR$2:$AR$9999)/SUMIFS(Raw_Data_Daily!$D:$D, Raw_Data_Daily!$B:$B, "Control", Raw_Data_Daily!$A:$A, $A24, Raw_Data_Daily!$C:$C, $C$3),""))</f>
        <v/>
      </c>
      <c r="DV24" s="286" t="str">
        <f>IF($A24="","",IFERROR(SUMPRODUCT((Raw_Data_Daily!$B$2:$B$9999="Variant")*(Raw_Data_Daily!$A$2:$A$9999=$A24)*(Raw_Data_Daily!$C$2:$C$9999=$C$3)*Raw_Data_Daily!$D$2:$D$9999*Raw_Data_Daily!$AR$2:$AR$9999)/SUMIFS(Raw_Data_Daily!$D:$D, Raw_Data_Daily!$B:$B, "Variant", Raw_Data_Daily!$A:$A, $A24, Raw_Data_Daily!$C:$C, $C$3),""))</f>
        <v/>
      </c>
      <c r="DW24" s="294" t="str">
        <f t="shared" si="38"/>
        <v/>
      </c>
      <c r="DX24" s="286" t="str">
        <f>IF($A24="","",IFERROR(SUMPRODUCT((Raw_Data_Daily!$B$2:$B$9999="Control")*(Raw_Data_Daily!$A$2:$A$9999=$A24)*(Raw_Data_Daily!$C$2:$C$9999=$C$3)*Raw_Data_Daily!$D$2:$D$9999*Raw_Data_Daily!$AS$2:$AS$9999)/SUMIFS(Raw_Data_Daily!$D:$D, Raw_Data_Daily!$B:$B, "Control", Raw_Data_Daily!$A:$A, $A24, Raw_Data_Daily!$C:$C, $C$3),""))</f>
        <v/>
      </c>
      <c r="DY24" s="286" t="str">
        <f>IF($A24="","",IFERROR(SUMPRODUCT((Raw_Data_Daily!$B$2:$B$9999="Variant")*(Raw_Data_Daily!$A$2:$A$9999=$A24)*(Raw_Data_Daily!$C$2:$C$9999=$C$3)*Raw_Data_Daily!$D$2:$D$9999*Raw_Data_Daily!$AS$2:$AS$9999)/SUMIFS(Raw_Data_Daily!$D:$D, Raw_Data_Daily!$B:$B, "Variant", Raw_Data_Daily!$A:$A, $A24, Raw_Data_Daily!$C:$C, $C$3),""))</f>
        <v/>
      </c>
      <c r="DZ24" s="295" t="str">
        <f t="shared" si="39"/>
        <v/>
      </c>
      <c r="EA24" s="286" t="str">
        <f>IF($A24="","",IFERROR(SUMPRODUCT((Raw_Data_Daily!$B$2:$B$9999="Control")*(Raw_Data_Daily!$A$2:$A$9999=$A24)*(Raw_Data_Daily!$C$2:$C$9999=$C$3)*Raw_Data_Daily!$D$2:$D$9999*Raw_Data_Daily!$AT$2:$AT$9999)/SUMIFS(Raw_Data_Daily!$D:$D, Raw_Data_Daily!$B:$B, "Control", Raw_Data_Daily!$A:$A, $A24, Raw_Data_Daily!$C:$C, $C$3),""))</f>
        <v/>
      </c>
      <c r="EB24" s="286" t="str">
        <f>IF($A24="","",IFERROR(SUMPRODUCT((Raw_Data_Daily!$B$2:$B$9999="Variant")*(Raw_Data_Daily!$A$2:$A$9999=$A24)*(Raw_Data_Daily!$C$2:$C$9999=$C$3)*Raw_Data_Daily!$D$2:$D$9999*Raw_Data_Daily!$AT$2:$AT$9999)/SUMIFS(Raw_Data_Daily!$D:$D, Raw_Data_Daily!$B:$B, "Variant", Raw_Data_Daily!$A:$A, $A24, Raw_Data_Daily!$C:$C, $C$3),""))</f>
        <v/>
      </c>
      <c r="EC24" s="294" t="str">
        <f t="shared" si="40"/>
        <v/>
      </c>
      <c r="ED24" s="286" t="str">
        <f>IF($A24="","",IFERROR(SUMPRODUCT((Raw_Data_Daily!$B$2:$B$9999="Control")*(Raw_Data_Daily!$A$2:$A$9999=$A24)*(Raw_Data_Daily!$C$2:$C$9999=$C$3)*Raw_Data_Daily!$D$2:$D$9999*(Raw_Data_Daily!$AQ$2:$AQ$9999-Raw_Data_Daily!$AT$2:$AT$9999))/SUMIFS(Raw_Data_Daily!$D:$D, Raw_Data_Daily!$B:$B, "Control", Raw_Data_Daily!$A:$A, $A24, Raw_Data_Daily!$C:$C, $C$3),""))</f>
        <v/>
      </c>
      <c r="EE24" s="286" t="str">
        <f>IF($A24="","",IFERROR(SUMPRODUCT((Raw_Data_Daily!$B$2:$B$9999="Variant")*(Raw_Data_Daily!$A$2:$A$9999=$A24)*(Raw_Data_Daily!$C$2:$C$9999=$C$3)*Raw_Data_Daily!$D$2:$D$9999*(Raw_Data_Daily!$AQ$2:$AQ$9999-Raw_Data_Daily!$AT$2:$AT$9999))/SUMIFS(Raw_Data_Daily!$D:$D, Raw_Data_Daily!$B:$B, "Variant", Raw_Data_Daily!$A:$A, $A24, Raw_Data_Daily!$C:$C, $C$3),""))</f>
        <v/>
      </c>
      <c r="EF24" s="295" t="str">
        <f t="shared" si="41"/>
        <v/>
      </c>
      <c r="EG24" s="286" t="str">
        <f>IF($A24="","",IFERROR(SUMPRODUCT((Raw_Data_Daily!$B$2:$B$9999="Control")*(Raw_Data_Daily!$A$2:$A$9999=$A24)*(Raw_Data_Daily!$C$2:$C$9999=$C$3)*Raw_Data_Daily!$D$2:$D$9999*Raw_Data_Daily!$AU$2:$AU$9999)/SUMIFS(Raw_Data_Daily!$D:$D, Raw_Data_Daily!$B:$B, "Control", Raw_Data_Daily!$A:$A, $A24, Raw_Data_Daily!$C:$C, $C$3),""))</f>
        <v/>
      </c>
      <c r="EH24" s="286" t="str">
        <f>IF($A24="","",IFERROR(SUMPRODUCT((Raw_Data_Daily!$B$2:$B$9999="Variant")*(Raw_Data_Daily!$A$2:$A$9999=$A24)*(Raw_Data_Daily!$C$2:$C$9999=$C$3)*Raw_Data_Daily!$D$2:$D$9999*Raw_Data_Daily!$AU$2:$AU$9999)/SUMIFS(Raw_Data_Daily!$D:$D, Raw_Data_Daily!$B:$B, "Variant", Raw_Data_Daily!$A:$A, $A24, Raw_Data_Daily!$C:$C, $C$3),""))</f>
        <v/>
      </c>
      <c r="EI24" s="294" t="str">
        <f t="shared" si="42"/>
        <v/>
      </c>
    </row>
    <row r="25" ht="15.75" customHeight="1">
      <c r="A25" s="239">
        <v>46248.0</v>
      </c>
      <c r="B25" s="240">
        <f>IF($A25="","",SUMIFS(Raw_Data_Daily!$D:$D, Raw_Data_Daily!$B:$B, "Control", Raw_Data_Daily!$A:$A, $A25, Raw_Data_Daily!$C:$C, $C$3))</f>
        <v>0</v>
      </c>
      <c r="C25" s="240">
        <f>IF($A25="","",SUMIFS(Raw_Data_Daily!$D:$D, Raw_Data_Daily!$B:$B, "Variant", Raw_Data_Daily!$A:$A, $A25, Raw_Data_Daily!$C:$C, $C$3))</f>
        <v>0</v>
      </c>
      <c r="D25" s="241" t="str">
        <f t="shared" si="1"/>
        <v/>
      </c>
      <c r="E25" s="242" t="str">
        <f>IF($A25="","",IFERROR(SUMPRODUCT((Raw_Data_Daily!$B$2:$B$9999="Control")*(Raw_Data_Daily!$A$2:$A$9999=$A25)*(Raw_Data_Daily!$C$2:$C$9999=$C$3)*Raw_Data_Daily!$D$2:$D$9999*Raw_Data_Daily!$E$2:$E$9999)/SUMIFS(Raw_Data_Daily!$D:$D, Raw_Data_Daily!$B:$B, "Control", Raw_Data_Daily!$A:$A, $A25, Raw_Data_Daily!$C:$C, $C$3),""))</f>
        <v/>
      </c>
      <c r="F25" s="242" t="str">
        <f>IF($A25="","",IFERROR(SUMPRODUCT((Raw_Data_Daily!$B$2:$B$9999="Variant")*(Raw_Data_Daily!$A$2:$A$9999=$A25)*(Raw_Data_Daily!$C$2:$C$9999=$C$3)*Raw_Data_Daily!$D$2:$D$9999*Raw_Data_Daily!$E$2:$E$9999)/SUMIFS(Raw_Data_Daily!$D:$D, Raw_Data_Daily!$B:$B, "Variant", Raw_Data_Daily!$A:$A, $A25, Raw_Data_Daily!$C:$C, $C$3),""))</f>
        <v/>
      </c>
      <c r="G25" s="241" t="str">
        <f t="shared" si="2"/>
        <v/>
      </c>
      <c r="H25" s="243">
        <f>IF($A25="","",SUMIFS(Raw_Data_Daily!$F:$F, Raw_Data_Daily!$B:$B, "Control", Raw_Data_Daily!$A:$A, $A25, Raw_Data_Daily!$C:$C, $C$3))</f>
        <v>0</v>
      </c>
      <c r="I25" s="243">
        <f>IF($A25="","",SUMIFS(Raw_Data_Daily!$F:$F, Raw_Data_Daily!$B:$B, "Variant", Raw_Data_Daily!$A:$A, $A25, Raw_Data_Daily!$C:$C, $C$3))</f>
        <v>0</v>
      </c>
      <c r="J25" s="244" t="str">
        <f t="shared" si="3"/>
        <v/>
      </c>
      <c r="K25" s="245" t="str">
        <f>IF($A25="","",IFERROR(SUMIFS(Raw_Data_Daily!$F:$F, Raw_Data_Daily!$B:$B, "Control", Raw_Data_Daily!$A:$A, $A25, Raw_Data_Daily!$C:$C, $C$3)/SUMIFS(Raw_Data_Daily!$D:$D, Raw_Data_Daily!$B:$B, "Control", Raw_Data_Daily!$A:$A, $A25, Raw_Data_Daily!$C:$C, $C$3),""))</f>
        <v/>
      </c>
      <c r="L25" s="245" t="str">
        <f>IF($A25="","",IFERROR(SUMIFS(Raw_Data_Daily!$F:$F, Raw_Data_Daily!$B:$B, "Variant", Raw_Data_Daily!$A:$A, $A25, Raw_Data_Daily!$C:$C, $C$3)/SUMIFS(Raw_Data_Daily!$D:$D, Raw_Data_Daily!$B:$B, "Variant", Raw_Data_Daily!$A:$A, $A25, Raw_Data_Daily!$C:$C, $C$3),""))</f>
        <v/>
      </c>
      <c r="M25" s="244" t="str">
        <f t="shared" si="4"/>
        <v/>
      </c>
      <c r="N25" s="242" t="str">
        <f>IF($A25="","",IFERROR(SUMPRODUCT((Raw_Data_Daily!$B$2:$B$9999="Control")*(Raw_Data_Daily!$A$2:$A$9999=$A25)*(Raw_Data_Daily!$C$2:$C$9999=$C$3)*Raw_Data_Daily!$D$2:$D$9999*Raw_Data_Daily!$H$2:$H$9999/100)/SUMIFS(Raw_Data_Daily!$D:$D, Raw_Data_Daily!$B:$B, "Control", Raw_Data_Daily!$A:$A, $A25, Raw_Data_Daily!$C:$C, $C$3)*100,""))</f>
        <v/>
      </c>
      <c r="O25" s="242" t="str">
        <f>IF($A25="","",IFERROR(SUMPRODUCT((Raw_Data_Daily!$B$2:$B$9999="Variant")*(Raw_Data_Daily!$A$2:$A$9999=$A25)*(Raw_Data_Daily!$C$2:$C$9999=$C$3)*Raw_Data_Daily!$D$2:$D$9999*Raw_Data_Daily!$H$2:$H$9999/100)/SUMIFS(Raw_Data_Daily!$D:$D, Raw_Data_Daily!$B:$B, "Variant", Raw_Data_Daily!$A:$A, $A25, Raw_Data_Daily!$C:$C, $C$3)*100,""))</f>
        <v/>
      </c>
      <c r="P25" s="244" t="str">
        <f t="shared" si="5"/>
        <v/>
      </c>
      <c r="Q25" s="245" t="str">
        <f>IF($A25="","",IFERROR(SUMIFS(Raw_Data_Daily!$F:$F, Raw_Data_Daily!$B:$B, "Control", Raw_Data_Daily!$A:$A, $A25, Raw_Data_Daily!$C:$C, $C$3)/SUMPRODUCT((Raw_Data_Daily!$B$2:$B$9999="Control")*(Raw_Data_Daily!$A$2:$A$9999=$A25)*(Raw_Data_Daily!$C$2:$C$9999=$C$3)*Raw_Data_Daily!$D$2:$D$9999*Raw_Data_Daily!$H$2:$H$9999/100),""))</f>
        <v/>
      </c>
      <c r="R25" s="245" t="str">
        <f>IF($A25="","",IFERROR(SUMIFS(Raw_Data_Daily!$F:$F, Raw_Data_Daily!$B:$B, "Variant", Raw_Data_Daily!$A:$A, $A25, Raw_Data_Daily!$C:$C, $C$3)/SUMPRODUCT((Raw_Data_Daily!$B$2:$B$9999="Variant")*(Raw_Data_Daily!$A$2:$A$9999=$A25)*(Raw_Data_Daily!$C$2:$C$9999=$C$3)*Raw_Data_Daily!$D$2:$D$9999*Raw_Data_Daily!$H$2:$H$9999/100),""))</f>
        <v/>
      </c>
      <c r="S25" s="244" t="str">
        <f t="shared" si="6"/>
        <v/>
      </c>
      <c r="T25" s="246" t="str">
        <f>IF($A25="","",IFERROR(SUMPRODUCT((Raw_Data_Daily!$B$2:$B$9999="Control")*(Raw_Data_Daily!$A$2:$A$9999=$A25)*(Raw_Data_Daily!$C$2:$C$9999=$C$3)*Raw_Data_Daily!$D$2:$D$9999*Raw_Data_Daily!$J$2:$J$9999)/SUMIFS(Raw_Data_Daily!$D:$D, Raw_Data_Daily!$B:$B, "Control", Raw_Data_Daily!$A:$A, $A25, Raw_Data_Daily!$C:$C, $C$3),""))</f>
        <v/>
      </c>
      <c r="U25" s="246" t="str">
        <f>IF($A25="","",IFERROR(SUMPRODUCT((Raw_Data_Daily!$B$2:$B$9999="Variant")*(Raw_Data_Daily!$A$2:$A$9999=$A25)*(Raw_Data_Daily!$C$2:$C$9999=$C$3)*Raw_Data_Daily!$D$2:$D$9999*Raw_Data_Daily!$J$2:$J$9999)/SUMIFS(Raw_Data_Daily!$D:$D, Raw_Data_Daily!$B:$B, "Variant", Raw_Data_Daily!$A:$A, $A25, Raw_Data_Daily!$C:$C, $C$3),""))</f>
        <v/>
      </c>
      <c r="V25" s="244" t="str">
        <f t="shared" si="7"/>
        <v/>
      </c>
      <c r="W25" s="246" t="str">
        <f>IF($A25="","",IFERROR(SUMPRODUCT((Raw_Data_Daily!$B$2:$B$9999="Control")*(Raw_Data_Daily!$A$2:$A$9999=$A25)*(Raw_Data_Daily!$C$2:$C$9999=$C$3)*Raw_Data_Daily!$D$2:$D$9999*Raw_Data_Daily!$K$2:$K$9999)/SUMIFS(Raw_Data_Daily!$D:$D, Raw_Data_Daily!$B:$B, "Control", Raw_Data_Daily!$A:$A, $A25, Raw_Data_Daily!$C:$C, $C$3),""))</f>
        <v/>
      </c>
      <c r="X25" s="246" t="str">
        <f>IF($A25="","",IFERROR(SUMPRODUCT((Raw_Data_Daily!$B$2:$B$9999="Variant")*(Raw_Data_Daily!$A$2:$A$9999=$A25)*(Raw_Data_Daily!$C$2:$C$9999=$C$3)*Raw_Data_Daily!$D$2:$D$9999*Raw_Data_Daily!$K$2:$K$9999)/SUMIFS(Raw_Data_Daily!$D:$D, Raw_Data_Daily!$B:$B, "Variant", Raw_Data_Daily!$A:$A, $A25, Raw_Data_Daily!$C:$C, $C$3),""))</f>
        <v/>
      </c>
      <c r="Y25" s="244" t="str">
        <f t="shared" si="8"/>
        <v/>
      </c>
      <c r="Z25" s="246" t="str">
        <f>IF($A25="","",IFERROR(SUMPRODUCT((Raw_Data_Daily!$B$2:$B$9999="Control")*(Raw_Data_Daily!$A$2:$A$9999=$A25)*(Raw_Data_Daily!$C$2:$C$9999=$C$3)*Raw_Data_Daily!$D$2:$D$9999*Raw_Data_Daily!$L$2:$L$9999)/SUMIFS(Raw_Data_Daily!$D:$D, Raw_Data_Daily!$B:$B, "Control", Raw_Data_Daily!$A:$A, $A25, Raw_Data_Daily!$C:$C, $C$3),""))</f>
        <v/>
      </c>
      <c r="AA25" s="246" t="str">
        <f>IF($A25="","",IFERROR(SUMPRODUCT((Raw_Data_Daily!$B$2:$B$9999="Variant")*(Raw_Data_Daily!$A$2:$A$9999=$A25)*(Raw_Data_Daily!$C$2:$C$9999=$C$3)*Raw_Data_Daily!$D$2:$D$9999*Raw_Data_Daily!$L$2:$L$9999)/SUMIFS(Raw_Data_Daily!$D:$D, Raw_Data_Daily!$B:$B, "Variant", Raw_Data_Daily!$A:$A, $A25, Raw_Data_Daily!$C:$C, $C$3),""))</f>
        <v/>
      </c>
      <c r="AB25" s="244" t="str">
        <f t="shared" si="9"/>
        <v/>
      </c>
      <c r="AC25" s="248" t="str">
        <f>IF($A25="","",IFERROR(SUMPRODUCT((Raw_Data_Daily!$B$2:$B$9999="Control")*(Raw_Data_Daily!$A$2:$A$9999=$A25)*(Raw_Data_Daily!$C$2:$C$9999=$C$3)*Raw_Data_Daily!$D$2:$D$9999*Raw_Data_Daily!$M$2:$M$9999)/SUMIFS(Raw_Data_Daily!$D:$D, Raw_Data_Daily!$B:$B, "Control", Raw_Data_Daily!$A:$A, $A25, Raw_Data_Daily!$C:$C, $C$3),""))</f>
        <v/>
      </c>
      <c r="AD25" s="248" t="str">
        <f>IF($A25="","",IFERROR(SUMPRODUCT((Raw_Data_Daily!$B$2:$B$9999="Variant")*(Raw_Data_Daily!$A$2:$A$9999=$A25)*(Raw_Data_Daily!$C$2:$C$9999=$C$3)*Raw_Data_Daily!$D$2:$D$9999*Raw_Data_Daily!$M$2:$M$9999)/SUMIFS(Raw_Data_Daily!$D:$D, Raw_Data_Daily!$B:$B, "Variant", Raw_Data_Daily!$A:$A, $A25, Raw_Data_Daily!$C:$C, $C$3),""))</f>
        <v/>
      </c>
      <c r="AE25" s="249" t="str">
        <f t="shared" si="10"/>
        <v/>
      </c>
      <c r="AF25" s="248" t="str">
        <f>IF($A25="","",IFERROR(SUMPRODUCT((Raw_Data_Daily!$B$2:$B$9999="Control")*(Raw_Data_Daily!$A$2:$A$9999=$A25)*(Raw_Data_Daily!$C$2:$C$9999=$C$3)*Raw_Data_Daily!$D$2:$D$9999*Raw_Data_Daily!$N$2:$N$9999)/SUMIFS(Raw_Data_Daily!$D:$D, Raw_Data_Daily!$B:$B, "Control", Raw_Data_Daily!$A:$A, $A25, Raw_Data_Daily!$C:$C, $C$3),""))</f>
        <v/>
      </c>
      <c r="AG25" s="248" t="str">
        <f>IF($A25="","",IFERROR(SUMPRODUCT((Raw_Data_Daily!$B$2:$B$9999="Variant")*(Raw_Data_Daily!$A$2:$A$9999=$A25)*(Raw_Data_Daily!$C$2:$C$9999=$C$3)*Raw_Data_Daily!$D$2:$D$9999*Raw_Data_Daily!$N$2:$N$9999)/SUMIFS(Raw_Data_Daily!$D:$D, Raw_Data_Daily!$B:$B, "Variant", Raw_Data_Daily!$A:$A, $A25, Raw_Data_Daily!$C:$C, $C$3),""))</f>
        <v/>
      </c>
      <c r="AH25" s="249" t="str">
        <f t="shared" si="11"/>
        <v/>
      </c>
      <c r="AI25" s="248" t="str">
        <f>IF($A25="","",IFERROR(SUMPRODUCT((Raw_Data_Daily!$B$2:$B$9999="Control")*(Raw_Data_Daily!$A$2:$A$9999=$A25)*(Raw_Data_Daily!$C$2:$C$9999=$C$3)*Raw_Data_Daily!$D$2:$D$9999*Raw_Data_Daily!$O$2:$O$9999)/SUMIFS(Raw_Data_Daily!$D:$D, Raw_Data_Daily!$B:$B, "Control", Raw_Data_Daily!$A:$A, $A25, Raw_Data_Daily!$C:$C, $C$3),""))</f>
        <v/>
      </c>
      <c r="AJ25" s="248" t="str">
        <f>IF($A25="","",IFERROR(SUMPRODUCT((Raw_Data_Daily!$B$2:$B$9999="Variant")*(Raw_Data_Daily!$A$2:$A$9999=$A25)*(Raw_Data_Daily!$C$2:$C$9999=$C$3)*Raw_Data_Daily!$D$2:$D$9999*Raw_Data_Daily!$O$2:$O$9999)/SUMIFS(Raw_Data_Daily!$D:$D, Raw_Data_Daily!$B:$B, "Variant", Raw_Data_Daily!$A:$A, $A25, Raw_Data_Daily!$C:$C, $C$3),""))</f>
        <v/>
      </c>
      <c r="AK25" s="244" t="str">
        <f t="shared" si="12"/>
        <v/>
      </c>
      <c r="AL25" s="246" t="str">
        <f>IF($A25="","",IFERROR(SUMPRODUCT((Raw_Data_Daily!$B$2:$B$9999="Control")*(Raw_Data_Daily!$A$2:$A$9999=$A25)*(Raw_Data_Daily!$C$2:$C$9999=$C$3)*Raw_Data_Daily!$D$2:$D$9999*Raw_Data_Daily!$P$2:$P$9999)/SUMIFS(Raw_Data_Daily!$D:$D, Raw_Data_Daily!$B:$B, "Control", Raw_Data_Daily!$A:$A, $A25, Raw_Data_Daily!$C:$C, $C$3),""))</f>
        <v/>
      </c>
      <c r="AM25" s="246" t="str">
        <f>IF($A25="","",IFERROR(SUMPRODUCT((Raw_Data_Daily!$B$2:$B$9999="Variant")*(Raw_Data_Daily!$A$2:$A$9999=$A25)*(Raw_Data_Daily!$C$2:$C$9999=$C$3)*Raw_Data_Daily!$D$2:$D$9999*Raw_Data_Daily!$P$2:$P$9999)/SUMIFS(Raw_Data_Daily!$D:$D, Raw_Data_Daily!$B:$B, "Variant", Raw_Data_Daily!$A:$A, $A25, Raw_Data_Daily!$C:$C, $C$3),""))</f>
        <v/>
      </c>
      <c r="AN25" s="244" t="str">
        <f t="shared" si="13"/>
        <v/>
      </c>
      <c r="AO25" s="246" t="str">
        <f>IF($A25="","",IFERROR(SUMPRODUCT((Raw_Data_Daily!$B$2:$B$9999="Control")*(Raw_Data_Daily!$A$2:$A$9999=$A25)*(Raw_Data_Daily!$C$2:$C$9999=$C$3)*Raw_Data_Daily!$D$2:$D$9999*Raw_Data_Daily!$Q$2:$Q$9999)/SUMIFS(Raw_Data_Daily!$D:$D, Raw_Data_Daily!$B:$B, "Control", Raw_Data_Daily!$A:$A, $A25, Raw_Data_Daily!$C:$C, $C$3),""))</f>
        <v/>
      </c>
      <c r="AP25" s="246" t="str">
        <f>IF($A25="","",IFERROR(SUMPRODUCT((Raw_Data_Daily!$B$2:$B$9999="Variant")*(Raw_Data_Daily!$A$2:$A$9999=$A25)*(Raw_Data_Daily!$C$2:$C$9999=$C$3)*Raw_Data_Daily!$D$2:$D$9999*Raw_Data_Daily!$Q$2:$Q$9999)/SUMIFS(Raw_Data_Daily!$D:$D, Raw_Data_Daily!$B:$B, "Variant", Raw_Data_Daily!$A:$A, $A25, Raw_Data_Daily!$C:$C, $C$3),""))</f>
        <v/>
      </c>
      <c r="AQ25" s="241" t="str">
        <f t="shared" si="14"/>
        <v/>
      </c>
      <c r="AR25" s="246" t="str">
        <f>IF($A25="","",IFERROR(SUMPRODUCT((Raw_Data_Daily!$B$2:$B$9999="Control")*(Raw_Data_Daily!$A$2:$A$9999=$A25)*(Raw_Data_Daily!$C$2:$C$9999=$C$3)*Raw_Data_Daily!$D$2:$D$9999*Raw_Data_Daily!$R$2:$R$9999)/SUMIFS(Raw_Data_Daily!$D:$D, Raw_Data_Daily!$B:$B, "Control", Raw_Data_Daily!$A:$A, $A25, Raw_Data_Daily!$C:$C, $C$3),""))</f>
        <v/>
      </c>
      <c r="AS25" s="246" t="str">
        <f>IF($A25="","",IFERROR(SUMPRODUCT((Raw_Data_Daily!$B$2:$B$9999="Variant")*(Raw_Data_Daily!$A$2:$A$9999=$A25)*(Raw_Data_Daily!$C$2:$C$9999=$C$3)*Raw_Data_Daily!$D$2:$D$9999*Raw_Data_Daily!$R$2:$R$9999)/SUMIFS(Raw_Data_Daily!$D:$D, Raw_Data_Daily!$B:$B, "Variant", Raw_Data_Daily!$A:$A, $A25, Raw_Data_Daily!$C:$C, $C$3),""))</f>
        <v/>
      </c>
      <c r="AT25" s="241" t="str">
        <f t="shared" si="15"/>
        <v/>
      </c>
      <c r="AU25" s="246" t="str">
        <f>IF($A25="","",IFERROR(SUMPRODUCT((Raw_Data_Daily!$B$2:$B$9999="Control")*(Raw_Data_Daily!$A$2:$A$9999=$A25)*(Raw_Data_Daily!$C$2:$C$9999=$C$3)*Raw_Data_Daily!$D$2:$D$9999*Raw_Data_Daily!$S$2:$S$9999)/SUMIFS(Raw_Data_Daily!$D:$D, Raw_Data_Daily!$B:$B, "Control", Raw_Data_Daily!$A:$A, $A25, Raw_Data_Daily!$C:$C, $C$3),""))</f>
        <v/>
      </c>
      <c r="AV25" s="246" t="str">
        <f>IF($A25="","",IFERROR(SUMPRODUCT((Raw_Data_Daily!$B$2:$B$9999="Variant")*(Raw_Data_Daily!$A$2:$A$9999=$A25)*(Raw_Data_Daily!$C$2:$C$9999=$C$3)*Raw_Data_Daily!$D$2:$D$9999*Raw_Data_Daily!$S$2:$S$9999)/SUMIFS(Raw_Data_Daily!$D:$D, Raw_Data_Daily!$B:$B, "Variant", Raw_Data_Daily!$A:$A, $A25, Raw_Data_Daily!$C:$C, $C$3),""))</f>
        <v/>
      </c>
      <c r="AW25" s="241" t="str">
        <f t="shared" si="16"/>
        <v/>
      </c>
      <c r="AX25" s="246" t="str">
        <f>IF($A25="","",IFERROR(SUMPRODUCT((Raw_Data_Daily!$B$2:$B$9999="Control")*(Raw_Data_Daily!$A$2:$A$9999=$A25)*(Raw_Data_Daily!$C$2:$C$9999=$C$3)*Raw_Data_Daily!$D$2:$D$9999*Raw_Data_Daily!$T$2:$T$9999)/SUMIFS(Raw_Data_Daily!$D:$D, Raw_Data_Daily!$B:$B, "Control", Raw_Data_Daily!$A:$A, $A25, Raw_Data_Daily!$C:$C, $C$3),""))</f>
        <v/>
      </c>
      <c r="AY25" s="246" t="str">
        <f>IF($A25="","",IFERROR(SUMPRODUCT((Raw_Data_Daily!$B$2:$B$9999="Variant")*(Raw_Data_Daily!$A$2:$A$9999=$A25)*(Raw_Data_Daily!$C$2:$C$9999=$C$3)*Raw_Data_Daily!$D$2:$D$9999*Raw_Data_Daily!$T$2:$T$9999)/SUMIFS(Raw_Data_Daily!$D:$D, Raw_Data_Daily!$B:$B, "Variant", Raw_Data_Daily!$A:$A, $A25, Raw_Data_Daily!$C:$C, $C$3),""))</f>
        <v/>
      </c>
      <c r="AZ25" s="244" t="str">
        <f t="shared" si="17"/>
        <v/>
      </c>
      <c r="BA25" s="246" t="str">
        <f>IF($A25="","",IFERROR(SUMPRODUCT((Raw_Data_Daily!$B$2:$B$9999="Control")*(Raw_Data_Daily!$A$2:$A$9999=$A25)*(Raw_Data_Daily!$C$2:$C$9999=$C$3)*Raw_Data_Daily!$D$2:$D$9999*Raw_Data_Daily!$U$2:$U$9999)/SUMIFS(Raw_Data_Daily!$D:$D, Raw_Data_Daily!$B:$B, "Control", Raw_Data_Daily!$A:$A, $A25, Raw_Data_Daily!$C:$C, $C$3),""))</f>
        <v/>
      </c>
      <c r="BB25" s="246" t="str">
        <f>IF($A25="","",IFERROR(SUMPRODUCT((Raw_Data_Daily!$B$2:$B$9999="Variant")*(Raw_Data_Daily!$A$2:$A$9999=$A25)*(Raw_Data_Daily!$C$2:$C$9999=$C$3)*Raw_Data_Daily!$D$2:$D$9999*Raw_Data_Daily!$U$2:$U$9999)/SUMIFS(Raw_Data_Daily!$D:$D, Raw_Data_Daily!$B:$B, "Variant", Raw_Data_Daily!$A:$A, $A25, Raw_Data_Daily!$C:$C, $C$3),""))</f>
        <v/>
      </c>
      <c r="BC25" s="241" t="str">
        <f t="shared" si="18"/>
        <v/>
      </c>
      <c r="BD25" s="246" t="str">
        <f>IF($A25="","",IFERROR(SUMPRODUCT((Raw_Data_Daily!$B$2:$B$9999="Control")*(Raw_Data_Daily!$A$2:$A$9999=$A25)*(Raw_Data_Daily!$C$2:$C$9999=$C$3)*Raw_Data_Daily!$D$2:$D$9999*Raw_Data_Daily!$V$2:$V$9999)/SUMIFS(Raw_Data_Daily!$D:$D, Raw_Data_Daily!$B:$B, "Control", Raw_Data_Daily!$A:$A, $A25, Raw_Data_Daily!$C:$C, $C$3),""))</f>
        <v/>
      </c>
      <c r="BE25" s="246" t="str">
        <f>IF($A25="","",IFERROR(SUMPRODUCT((Raw_Data_Daily!$B$2:$B$9999="Variant")*(Raw_Data_Daily!$A$2:$A$9999=$A25)*(Raw_Data_Daily!$C$2:$C$9999=$C$3)*Raw_Data_Daily!$D$2:$D$9999*Raw_Data_Daily!$V$2:$V$9999)/SUMIFS(Raw_Data_Daily!$D:$D, Raw_Data_Daily!$B:$B, "Variant", Raw_Data_Daily!$A:$A, $A25, Raw_Data_Daily!$C:$C, $C$3),""))</f>
        <v/>
      </c>
      <c r="BF25" s="251" t="str">
        <f t="shared" si="19"/>
        <v/>
      </c>
      <c r="BG25" s="252" t="str">
        <f>IF($A25="","",IFERROR(SUMPRODUCT((Raw_Data_Daily!$B$2:$B$9999="Control")*(Raw_Data_Daily!$A$2:$A$9999=$A25)*(Raw_Data_Daily!$C$2:$C$9999=$C$3)*Raw_Data_Daily!$D$2:$D$9999*(Raw_Data_Daily!$Q$2:$Q$9999-Raw_Data_Daily!$V$2:$V$9999))/SUMIFS(Raw_Data_Daily!$D:$D, Raw_Data_Daily!$B:$B, "Control", Raw_Data_Daily!$A:$A, $A25, Raw_Data_Daily!$C:$C, $C$3),""))</f>
        <v/>
      </c>
      <c r="BH25" s="246" t="str">
        <f>IF($A25="","",IFERROR(SUMPRODUCT((Raw_Data_Daily!$B$2:$B$9999="Variant")*(Raw_Data_Daily!$A$2:$A$9999=$A25)*(Raw_Data_Daily!$C$2:$C$9999=$C$3)*Raw_Data_Daily!$D$2:$D$9999*(Raw_Data_Daily!$Q$2:$Q$9999-Raw_Data_Daily!$V$2:$V$9999))/SUMIFS(Raw_Data_Daily!$D:$D, Raw_Data_Daily!$B:$B, "Variant", Raw_Data_Daily!$A:$A, $A25, Raw_Data_Daily!$C:$C, $C$3),""))</f>
        <v/>
      </c>
      <c r="BI25" s="253" t="str">
        <f t="shared" si="20"/>
        <v/>
      </c>
      <c r="BJ25" s="254" t="str">
        <f>IF($A25="","",IFERROR(SUMPRODUCT((Raw_Data_Daily!$B$2:$B$9999="Control")*(Raw_Data_Daily!$A$2:$A$9999=$A25)*(Raw_Data_Daily!$C$2:$C$9999=$C$3)*Raw_Data_Daily!$D$2:$D$9999*Raw_Data_Daily!$W$2:$W$9999)/SUMIFS(Raw_Data_Daily!$D:$D, Raw_Data_Daily!$B:$B, "Control", Raw_Data_Daily!$A:$A, $A25, Raw_Data_Daily!$C:$C, $C$3),""))</f>
        <v/>
      </c>
      <c r="BK25" s="246" t="str">
        <f>IF($A25="","",IFERROR(SUMPRODUCT((Raw_Data_Daily!$B$2:$B$9999="Variant")*(Raw_Data_Daily!$A$2:$A$9999=$A25)*(Raw_Data_Daily!$C$2:$C$9999=$C$3)*Raw_Data_Daily!$D$2:$D$9999*Raw_Data_Daily!$W$2:$W$9999)/SUMIFS(Raw_Data_Daily!$D:$D, Raw_Data_Daily!$B:$B, "Variant", Raw_Data_Daily!$A:$A, $A25, Raw_Data_Daily!$C:$C, $C$3),""))</f>
        <v/>
      </c>
      <c r="BL25" s="241" t="str">
        <f t="shared" si="21"/>
        <v/>
      </c>
      <c r="BM25" s="248" t="str">
        <f>IF($A25="","",IFERROR(SUMPRODUCT((Raw_Data_Daily!$B$2:$B$9999="Control")*(Raw_Data_Daily!$A$2:$A$9999=$A25)*(Raw_Data_Daily!$C$2:$C$9999=$C$3)*Raw_Data_Daily!$D$2:$D$9999*Raw_Data_Daily!$X$2:$X$9999)/SUMIFS(Raw_Data_Daily!$D:$D, Raw_Data_Daily!$B:$B, "Control", Raw_Data_Daily!$A:$A, $A25, Raw_Data_Daily!$C:$C, $C$3),""))</f>
        <v/>
      </c>
      <c r="BN25" s="248" t="str">
        <f>IF($A25="","",IFERROR(SUMPRODUCT((Raw_Data_Daily!$B$2:$B$9999="Variant")*(Raw_Data_Daily!$A$2:$A$9999=$A25)*(Raw_Data_Daily!$C$2:$C$9999=$C$3)*Raw_Data_Daily!$D$2:$D$9999*Raw_Data_Daily!$X$2:$X$9999)/SUMIFS(Raw_Data_Daily!$D:$D, Raw_Data_Daily!$B:$B, "Variant", Raw_Data_Daily!$A:$A, $A25, Raw_Data_Daily!$C:$C, $C$3),""))</f>
        <v/>
      </c>
      <c r="BO25" s="244" t="str">
        <f t="shared" si="22"/>
        <v/>
      </c>
      <c r="BP25" s="240" t="str">
        <f>IF($A25="","",IFERROR(SUMPRODUCT((Raw_Data_Daily!$B$2:$B$9999="Control")*(Raw_Data_Daily!$A$2:$A$9999=$A25)*(Raw_Data_Daily!$C$2:$C$9999=$C$3)*Raw_Data_Daily!$D$2:$D$9999*Raw_Data_Daily!$Y$2:$Y$9999)/SUMIFS(Raw_Data_Daily!$D:$D, Raw_Data_Daily!$B:$B, "Control", Raw_Data_Daily!$A:$A, $A25, Raw_Data_Daily!$C:$C, $C$3),""))</f>
        <v/>
      </c>
      <c r="BQ25" s="240" t="str">
        <f>IF($A25="","",IFERROR(SUMPRODUCT((Raw_Data_Daily!$B$2:$B$9999="Variant")*(Raw_Data_Daily!$A$2:$A$9999=$A25)*(Raw_Data_Daily!$C$2:$C$9999=$C$3)*Raw_Data_Daily!$D$2:$D$9999*Raw_Data_Daily!$Y$2:$Y$9999)/SUMIFS(Raw_Data_Daily!$D:$D, Raw_Data_Daily!$B:$B, "Variant", Raw_Data_Daily!$A:$A, $A25, Raw_Data_Daily!$C:$C, $C$3),""))</f>
        <v/>
      </c>
      <c r="BR25" s="241" t="str">
        <f t="shared" si="23"/>
        <v/>
      </c>
      <c r="BS25" s="240" t="str">
        <f>IF($A25="","",IFERROR(SUMPRODUCT((Raw_Data_Daily!$B$2:$B$9999="Control")*(Raw_Data_Daily!$A$2:$A$9999=$A25)*(Raw_Data_Daily!$C$2:$C$9999=$C$3)*Raw_Data_Daily!$D$2:$D$9999*Raw_Data_Daily!$Z$2:$Z$9999)/SUMIFS(Raw_Data_Daily!$D:$D, Raw_Data_Daily!$B:$B, "Control", Raw_Data_Daily!$A:$A, $A25, Raw_Data_Daily!$C:$C, $C$3),""))</f>
        <v/>
      </c>
      <c r="BT25" s="240" t="str">
        <f>IF($A25="","",IFERROR(SUMPRODUCT((Raw_Data_Daily!$B$2:$B$9999="Variant")*(Raw_Data_Daily!$A$2:$A$9999=$A25)*(Raw_Data_Daily!$C$2:$C$9999=$C$3)*Raw_Data_Daily!$D$2:$D$9999*Raw_Data_Daily!$Z$2:$Z$9999)/SUMIFS(Raw_Data_Daily!$D:$D, Raw_Data_Daily!$B:$B, "Variant", Raw_Data_Daily!$A:$A, $A25, Raw_Data_Daily!$C:$C, $C$3),""))</f>
        <v/>
      </c>
      <c r="BU25" s="241" t="str">
        <f t="shared" si="24"/>
        <v/>
      </c>
      <c r="BV25" s="240" t="str">
        <f>IF($A25="","",IFERROR(SUMPRODUCT((Raw_Data_Daily!$B$2:$B$9999="Control")*(Raw_Data_Daily!$A$2:$A$9999=$A25)*(Raw_Data_Daily!$C$2:$C$9999=$C$3)*Raw_Data_Daily!$D$2:$D$9999*Raw_Data_Daily!$AA$2:$AA$9999)/SUMIFS(Raw_Data_Daily!$D:$D, Raw_Data_Daily!$B:$B, "Control", Raw_Data_Daily!$A:$A, $A25, Raw_Data_Daily!$C:$C, $C$3),""))</f>
        <v/>
      </c>
      <c r="BW25" s="240" t="str">
        <f>IF($A25="","",IFERROR(SUMPRODUCT((Raw_Data_Daily!$B$2:$B$9999="Variant")*(Raw_Data_Daily!$A$2:$A$9999=$A25)*(Raw_Data_Daily!$C$2:$C$9999=$C$3)*Raw_Data_Daily!$D$2:$D$9999*Raw_Data_Daily!$AA$2:$AA$9999)/SUMIFS(Raw_Data_Daily!$D:$D, Raw_Data_Daily!$B:$B, "Variant", Raw_Data_Daily!$A:$A, $A25, Raw_Data_Daily!$C:$C, $C$3),""))</f>
        <v/>
      </c>
      <c r="BX25" s="241" t="str">
        <f t="shared" si="25"/>
        <v/>
      </c>
      <c r="BY25" s="246" t="str">
        <f>IF($A25="","",IFERROR(SUMPRODUCT((Raw_Data_Daily!$B$2:$B$9999="Control")*(Raw_Data_Daily!$A$2:$A$9999=$A25)*(Raw_Data_Daily!$C$2:$C$9999=$C$3)*Raw_Data_Daily!$D$2:$D$9999*Raw_Data_Daily!$AB$2:$AB$9999)/SUMIFS(Raw_Data_Daily!$D:$D, Raw_Data_Daily!$B:$B, "Control", Raw_Data_Daily!$A:$A, $A25, Raw_Data_Daily!$C:$C, $C$3),""))</f>
        <v/>
      </c>
      <c r="BZ25" s="246" t="str">
        <f>IF($A25="","",IFERROR(SUMPRODUCT((Raw_Data_Daily!$B$2:$B$9999="Variant")*(Raw_Data_Daily!$A$2:$A$9999=$A25)*(Raw_Data_Daily!$C$2:$C$9999=$C$3)*Raw_Data_Daily!$D$2:$D$9999*Raw_Data_Daily!$AB$2:$AB$9999)/SUMIFS(Raw_Data_Daily!$D:$D, Raw_Data_Daily!$B:$B, "Variant", Raw_Data_Daily!$A:$A, $A25, Raw_Data_Daily!$C:$C, $C$3),""))</f>
        <v/>
      </c>
      <c r="CA25" s="244" t="str">
        <f t="shared" si="26"/>
        <v/>
      </c>
      <c r="CB25" s="246" t="str">
        <f>IF($A25="","",IFERROR(SUMPRODUCT((Raw_Data_Daily!$B$2:$B$9999="Control")*(Raw_Data_Daily!$A$2:$A$9999=$A25)*(Raw_Data_Daily!$C$2:$C$9999=$C$3)*Raw_Data_Daily!$D$2:$D$9999*Raw_Data_Daily!$AC$2:$AC$9999)/SUMIFS(Raw_Data_Daily!$D:$D, Raw_Data_Daily!$B:$B, "Control", Raw_Data_Daily!$A:$A, $A25, Raw_Data_Daily!$C:$C, $C$3),""))</f>
        <v/>
      </c>
      <c r="CC25" s="246" t="str">
        <f>IF($A25="","",IFERROR(SUMPRODUCT((Raw_Data_Daily!$B$2:$B$9999="Variant")*(Raw_Data_Daily!$A$2:$A$9999=$A25)*(Raw_Data_Daily!$C$2:$C$9999=$C$3)*Raw_Data_Daily!$D$2:$D$9999*Raw_Data_Daily!$AC$2:$AC$9999)/SUMIFS(Raw_Data_Daily!$D:$D, Raw_Data_Daily!$B:$B, "Variant", Raw_Data_Daily!$A:$A, $A25, Raw_Data_Daily!$C:$C, $C$3),""))</f>
        <v/>
      </c>
      <c r="CD25" s="244" t="str">
        <f t="shared" si="27"/>
        <v/>
      </c>
      <c r="CE25" s="246" t="str">
        <f>IF($A25="","",IFERROR(SUMPRODUCT((Raw_Data_Daily!$B$2:$B$9999="Control")*(Raw_Data_Daily!$A$2:$A$9999=$A25)*(Raw_Data_Daily!$C$2:$C$9999=$C$3)*Raw_Data_Daily!$D$2:$D$9999*Raw_Data_Daily!$AD$2:$AD$9999)/SUMIFS(Raw_Data_Daily!$D:$D, Raw_Data_Daily!$B:$B, "Control", Raw_Data_Daily!$A:$A, $A25, Raw_Data_Daily!$C:$C, $C$3),""))</f>
        <v/>
      </c>
      <c r="CF25" s="246" t="str">
        <f>IF($A25="","",IFERROR(SUMPRODUCT((Raw_Data_Daily!$B$2:$B$9999="Variant")*(Raw_Data_Daily!$A$2:$A$9999=$A25)*(Raw_Data_Daily!$C$2:$C$9999=$C$3)*Raw_Data_Daily!$D$2:$D$9999*Raw_Data_Daily!$AD$2:$AD$9999)/SUMIFS(Raw_Data_Daily!$D:$D, Raw_Data_Daily!$B:$B, "Variant", Raw_Data_Daily!$A:$A, $A25, Raw_Data_Daily!$C:$C, $C$3),""))</f>
        <v/>
      </c>
      <c r="CG25" s="244" t="str">
        <f t="shared" si="28"/>
        <v/>
      </c>
      <c r="CH25" s="246" t="str">
        <f>IF($A25="","",IFERROR(SUMPRODUCT((Raw_Data_Daily!$B$2:$B$9999="Control")*(Raw_Data_Daily!$A$2:$A$9999=$A25)*(Raw_Data_Daily!$C$2:$C$9999=$C$3)*Raw_Data_Daily!$D$2:$D$9999*Raw_Data_Daily!$AE$2:$AE$9999)/SUMIFS(Raw_Data_Daily!$D:$D, Raw_Data_Daily!$B:$B, "Control", Raw_Data_Daily!$A:$A, $A25, Raw_Data_Daily!$C:$C, $C$3),""))</f>
        <v/>
      </c>
      <c r="CI25" s="246" t="str">
        <f>IF($A25="","",IFERROR(SUMPRODUCT((Raw_Data_Daily!$B$2:$B$9999="Variant")*(Raw_Data_Daily!$A$2:$A$9999=$A25)*(Raw_Data_Daily!$C$2:$C$9999=$C$3)*Raw_Data_Daily!$D$2:$D$9999*Raw_Data_Daily!$AE$2:$AE$9999)/SUMIFS(Raw_Data_Daily!$D:$D, Raw_Data_Daily!$B:$B, "Variant", Raw_Data_Daily!$A:$A, $A25, Raw_Data_Daily!$C:$C, $C$3),""))</f>
        <v/>
      </c>
      <c r="CJ25" s="244" t="str">
        <f t="shared" si="29"/>
        <v/>
      </c>
      <c r="CK25" s="246" t="str">
        <f>IF($A25="","",IFERROR(SUMPRODUCT((Raw_Data_Daily!$B$2:$B$9999="Control")*(Raw_Data_Daily!$A$2:$A$9999=$A25)*(Raw_Data_Daily!$C$2:$C$9999=$C$3)*Raw_Data_Daily!$D$2:$D$9999*Raw_Data_Daily!$AF$2:$AF$9999)/SUMIFS(Raw_Data_Daily!$D:$D, Raw_Data_Daily!$B:$B, "Control", Raw_Data_Daily!$A:$A, $A25, Raw_Data_Daily!$C:$C, $C$3),""))</f>
        <v/>
      </c>
      <c r="CL25" s="246" t="str">
        <f>IF($A25="","",IFERROR(SUMPRODUCT((Raw_Data_Daily!$B$2:$B$9999="Variant")*(Raw_Data_Daily!$A$2:$A$9999=$A25)*(Raw_Data_Daily!$C$2:$C$9999=$C$3)*Raw_Data_Daily!$D$2:$D$9999*Raw_Data_Daily!$AF$2:$AF$9999)/SUMIFS(Raw_Data_Daily!$D:$D, Raw_Data_Daily!$B:$B, "Variant", Raw_Data_Daily!$A:$A, $A25, Raw_Data_Daily!$C:$C, $C$3),""))</f>
        <v/>
      </c>
      <c r="CM25" s="244" t="str">
        <f t="shared" si="30"/>
        <v/>
      </c>
      <c r="CN25" s="246" t="str">
        <f>IF($A25="","",IFERROR(SUMPRODUCT((Raw_Data_Daily!$B$2:$B$9999="Control")*(Raw_Data_Daily!$A$2:$A$9999=$A25)*(Raw_Data_Daily!$C$2:$C$9999=$C$3)*Raw_Data_Daily!$D$2:$D$9999*Raw_Data_Daily!$AG$2:$AG$9999)/SUMIFS(Raw_Data_Daily!$D:$D, Raw_Data_Daily!$B:$B, "Control", Raw_Data_Daily!$A:$A, $A25, Raw_Data_Daily!$C:$C, $C$3),""))</f>
        <v/>
      </c>
      <c r="CO25" s="246" t="str">
        <f>IF($A25="","",IFERROR(SUMPRODUCT((Raw_Data_Daily!$B$2:$B$9999="Variant")*(Raw_Data_Daily!$A$2:$A$9999=$A25)*(Raw_Data_Daily!$C$2:$C$9999=$C$3)*Raw_Data_Daily!$D$2:$D$9999*Raw_Data_Daily!$AG$2:$AG$9999)/SUMIFS(Raw_Data_Daily!$D:$D, Raw_Data_Daily!$B:$B, "Variant", Raw_Data_Daily!$A:$A, $A25, Raw_Data_Daily!$C:$C, $C$3),""))</f>
        <v/>
      </c>
      <c r="CP25" s="244" t="str">
        <f t="shared" si="31"/>
        <v/>
      </c>
      <c r="CQ25" s="246" t="str">
        <f>IF($A25="","",IFERROR(SUMPRODUCT((Raw_Data_Daily!$B$2:$B$9999="Control")*(Raw_Data_Daily!$A$2:$A$9999=$A25)*(Raw_Data_Daily!$C$2:$C$9999=$C$3)*Raw_Data_Daily!$D$2:$D$9999*Raw_Data_Daily!$AH$2:$AH$9999)/SUMIFS(Raw_Data_Daily!$D:$D, Raw_Data_Daily!$B:$B, "Control", Raw_Data_Daily!$A:$A, $A25, Raw_Data_Daily!$C:$C, $C$3),""))</f>
        <v/>
      </c>
      <c r="CR25" s="246" t="str">
        <f>IF($A25="","",IFERROR(SUMPRODUCT((Raw_Data_Daily!$B$2:$B$9999="Variant")*(Raw_Data_Daily!$A$2:$A$9999=$A25)*(Raw_Data_Daily!$C$2:$C$9999=$C$3)*Raw_Data_Daily!$D$2:$D$9999*Raw_Data_Daily!$AH$2:$AH$9999)/SUMIFS(Raw_Data_Daily!$D:$D, Raw_Data_Daily!$B:$B, "Variant", Raw_Data_Daily!$A:$A, $A25, Raw_Data_Daily!$C:$C, $C$3),""))</f>
        <v/>
      </c>
      <c r="CS25" s="244" t="str">
        <f t="shared" si="32"/>
        <v/>
      </c>
      <c r="CT25" s="242" t="str">
        <f>IF($A25="","",IFERROR(SUMPRODUCT((Raw_Data_Daily!$B$2:$B$9999="Control")*(Raw_Data_Daily!$A$2:$A$9999=$A25)*(Raw_Data_Daily!$C$2:$C$9999=$C$3)*Raw_Data_Daily!$D$2:$D$9999*Raw_Data_Daily!$AI$2:$AI$9999)/SUMIFS(Raw_Data_Daily!$D:$D, Raw_Data_Daily!$B:$B, "Control", Raw_Data_Daily!$A:$A, $A25, Raw_Data_Daily!$C:$C, $C$3),""))</f>
        <v/>
      </c>
      <c r="CU25" s="242" t="str">
        <f>IF($A25="","",IFERROR(SUMPRODUCT((Raw_Data_Daily!$B$2:$B$9999="Variant")*(Raw_Data_Daily!$A$2:$A$9999=$A25)*(Raw_Data_Daily!$C$2:$C$9999=$C$3)*Raw_Data_Daily!$D$2:$D$9999*Raw_Data_Daily!$AI$2:$AI$9999)/SUMIFS(Raw_Data_Daily!$D:$D, Raw_Data_Daily!$B:$B, "Variant", Raw_Data_Daily!$A:$A, $A25, Raw_Data_Daily!$C:$C, $C$3),""))</f>
        <v/>
      </c>
      <c r="CV25" s="249" t="str">
        <f t="shared" si="33"/>
        <v/>
      </c>
      <c r="CW25" s="242" t="str">
        <f>IF($A25="","",IFERROR(SUMPRODUCT((Raw_Data_Daily!$B$2:$B$9999="Control")*(Raw_Data_Daily!$A$2:$A$9999=$A25)*(Raw_Data_Daily!$C$2:$C$9999=$C$3)*Raw_Data_Daily!$D$2:$D$9999*Raw_Data_Daily!$AJ$2:$AJ$9999)/SUMIFS(Raw_Data_Daily!$D:$D, Raw_Data_Daily!$B:$B, "Control", Raw_Data_Daily!$A:$A, $A25, Raw_Data_Daily!$C:$C, $C$3),""))</f>
        <v/>
      </c>
      <c r="CX25" s="242" t="str">
        <f>IF($A25="","",IFERROR(SUMPRODUCT((Raw_Data_Daily!$B$2:$B$9999="Variant")*(Raw_Data_Daily!$A$2:$A$9999=$A25)*(Raw_Data_Daily!$C$2:$C$9999=$C$3)*Raw_Data_Daily!$D$2:$D$9999*Raw_Data_Daily!$AJ$2:$AJ$9999)/SUMIFS(Raw_Data_Daily!$D:$D, Raw_Data_Daily!$B:$B, "Variant", Raw_Data_Daily!$A:$A, $A25, Raw_Data_Daily!$C:$C, $C$3),""))</f>
        <v/>
      </c>
      <c r="CY25" s="249" t="str">
        <f t="shared" si="34"/>
        <v/>
      </c>
      <c r="CZ25" s="242" t="str">
        <f>IF($A25="","",IFERROR(SUMPRODUCT((Raw_Data_Daily!$B$2:$B$9999="Control")*(Raw_Data_Daily!$A$2:$A$9999=$A25)*(Raw_Data_Daily!$C$2:$C$9999=$C$3)*Raw_Data_Daily!$D$2:$D$9999*Raw_Data_Daily!$AK$2:$AK$9999)/SUMIFS(Raw_Data_Daily!$D:$D, Raw_Data_Daily!$B:$B, "Control", Raw_Data_Daily!$A:$A, $A25, Raw_Data_Daily!$C:$C, $C$3),""))</f>
        <v/>
      </c>
      <c r="DA25" s="242" t="str">
        <f>IF($A25="","",IFERROR(SUMPRODUCT((Raw_Data_Daily!$B$2:$B$9999="Variant")*(Raw_Data_Daily!$A$2:$A$9999=$A25)*(Raw_Data_Daily!$C$2:$C$9999=$C$3)*Raw_Data_Daily!$D$2:$D$9999*Raw_Data_Daily!$AK$2:$AK$9999)/SUMIFS(Raw_Data_Daily!$D:$D, Raw_Data_Daily!$B:$B, "Variant", Raw_Data_Daily!$A:$A, $A25, Raw_Data_Daily!$C:$C, $C$3),""))</f>
        <v/>
      </c>
      <c r="DB25" s="244" t="str">
        <f t="shared" si="35"/>
        <v/>
      </c>
      <c r="DC25" s="248" t="str">
        <f>IF($A25="","",IFERROR(SUMPRODUCT((Raw_Data_Daily!$B$2:$B$9999="Control")*(Raw_Data_Daily!$A$2:$A$9999=$A25)*(Raw_Data_Daily!$C$2:$C$9999=$C$3)*Raw_Data_Daily!$D$2:$D$9999*Raw_Data_Daily!$AL$2:$AL$9999)/SUMIFS(Raw_Data_Daily!$D:$D, Raw_Data_Daily!$B:$B, "Control", Raw_Data_Daily!$A:$A, $A25, Raw_Data_Daily!$C:$C, $C$3),""))</f>
        <v/>
      </c>
      <c r="DD25" s="248" t="str">
        <f>IF($A25="","",IFERROR(SUMPRODUCT((Raw_Data_Daily!$B$2:$B$9999="Variant")*(Raw_Data_Daily!$A$2:$A$9999=$A25)*(Raw_Data_Daily!$C$2:$C$9999=$C$3)*Raw_Data_Daily!$D$2:$D$9999*Raw_Data_Daily!$AL$2:$AL$9999)/SUMIFS(Raw_Data_Daily!$D:$D, Raw_Data_Daily!$B:$B, "Variant", Raw_Data_Daily!$A:$A, $A25, Raw_Data_Daily!$C:$C, $C$3),""))</f>
        <v/>
      </c>
      <c r="DE25" s="249" t="str">
        <f t="shared" si="36"/>
        <v/>
      </c>
      <c r="DF25" s="255"/>
      <c r="DG25" s="242" t="str">
        <f>IF($A25="","",IFERROR(SUMPRODUCT((Raw_Data_Daily!$B$2:$B$9999="Variant")*(Raw_Data_Daily!$A$2:$A$9999=$A25)*(Raw_Data_Daily!$C$2:$C$9999=$C$3)*Raw_Data_Daily!$D$2:$D$9999*Raw_Data_Daily!$AM$2:$AM$9999)/SUMIFS(Raw_Data_Daily!$D:$D, Raw_Data_Daily!$B:$B, "Variant", Raw_Data_Daily!$A:$A, $A25, Raw_Data_Daily!$C:$C, $C$3),""))</f>
        <v/>
      </c>
      <c r="DH25" s="256"/>
      <c r="DI25" s="255"/>
      <c r="DJ25" s="242" t="str">
        <f>IF($A25="","",IFERROR(SUMPRODUCT((Raw_Data_Daily!$B$2:$B$9999="Variant")*(Raw_Data_Daily!$A$2:$A$9999=$A25)*(Raw_Data_Daily!$C$2:$C$9999=$C$3)*Raw_Data_Daily!$D$2:$D$9999*Raw_Data_Daily!$AN$2:$AN$9999)/SUMIFS(Raw_Data_Daily!$D:$D, Raw_Data_Daily!$B:$B, "Variant", Raw_Data_Daily!$A:$A, $A25, Raw_Data_Daily!$C:$C, $C$3),""))</f>
        <v/>
      </c>
      <c r="DK25" s="256"/>
      <c r="DL25" s="255"/>
      <c r="DM25" s="242" t="str">
        <f>IF($A25="","",IFERROR(SUMPRODUCT((Raw_Data_Daily!$B$2:$B$9999="Variant")*(Raw_Data_Daily!$A$2:$A$9999=$A25)*(Raw_Data_Daily!$C$2:$C$9999=$C$3)*Raw_Data_Daily!$D$2:$D$9999*Raw_Data_Daily!$AO$2:$AO$9999)/SUMIFS(Raw_Data_Daily!$D:$D, Raw_Data_Daily!$B:$B, "Variant", Raw_Data_Daily!$A:$A, $A25, Raw_Data_Daily!$C:$C, $C$3),""))</f>
        <v/>
      </c>
      <c r="DN25" s="256"/>
      <c r="DO25" s="255"/>
      <c r="DP25" s="242" t="str">
        <f>IF($A25="","",IFERROR(SUMPRODUCT((Raw_Data_Daily!$B$2:$B$9999="Variant")*(Raw_Data_Daily!$A$2:$A$9999=$A25)*(Raw_Data_Daily!$C$2:$C$9999=$C$3)*Raw_Data_Daily!$D$2:$D$9999*Raw_Data_Daily!$AP$2:$AP$9999)/SUMIFS(Raw_Data_Daily!$D:$D, Raw_Data_Daily!$B:$B, "Variant", Raw_Data_Daily!$A:$A, $A25, Raw_Data_Daily!$C:$C, $C$3),""))</f>
        <v/>
      </c>
      <c r="DQ25" s="256"/>
      <c r="DR25" s="248" t="str">
        <f>IF($A25="","",IFERROR(SUMPRODUCT((Raw_Data_Daily!$B$2:$B$9999="Control")*(Raw_Data_Daily!$A$2:$A$9999=$A25)*(Raw_Data_Daily!$C$2:$C$9999=$C$3)*Raw_Data_Daily!$D$2:$D$9999*Raw_Data_Daily!$AQ$2:$AQ$9999)/SUMIFS(Raw_Data_Daily!$D:$D, Raw_Data_Daily!$B:$B, "Control", Raw_Data_Daily!$A:$A, $A25, Raw_Data_Daily!$C:$C, $C$3),""))</f>
        <v/>
      </c>
      <c r="DS25" s="248" t="str">
        <f>IF($A25="","",IFERROR(SUMPRODUCT((Raw_Data_Daily!$B$2:$B$9999="Variant")*(Raw_Data_Daily!$A$2:$A$9999=$A25)*(Raw_Data_Daily!$C$2:$C$9999=$C$3)*Raw_Data_Daily!$D$2:$D$9999*Raw_Data_Daily!$AQ$2:$AQ$9999)/SUMIFS(Raw_Data_Daily!$D:$D, Raw_Data_Daily!$B:$B, "Variant", Raw_Data_Daily!$A:$A, $A25, Raw_Data_Daily!$C:$C, $C$3),""))</f>
        <v/>
      </c>
      <c r="DT25" s="257" t="str">
        <f t="shared" si="37"/>
        <v/>
      </c>
      <c r="DU25" s="248" t="str">
        <f>IF($A25="","",IFERROR(SUMPRODUCT((Raw_Data_Daily!$B$2:$B$9999="Control")*(Raw_Data_Daily!$A$2:$A$9999=$A25)*(Raw_Data_Daily!$C$2:$C$9999=$C$3)*Raw_Data_Daily!$D$2:$D$9999*Raw_Data_Daily!$AR$2:$AR$9999)/SUMIFS(Raw_Data_Daily!$D:$D, Raw_Data_Daily!$B:$B, "Control", Raw_Data_Daily!$A:$A, $A25, Raw_Data_Daily!$C:$C, $C$3),""))</f>
        <v/>
      </c>
      <c r="DV25" s="248" t="str">
        <f>IF($A25="","",IFERROR(SUMPRODUCT((Raw_Data_Daily!$B$2:$B$9999="Variant")*(Raw_Data_Daily!$A$2:$A$9999=$A25)*(Raw_Data_Daily!$C$2:$C$9999=$C$3)*Raw_Data_Daily!$D$2:$D$9999*Raw_Data_Daily!$AR$2:$AR$9999)/SUMIFS(Raw_Data_Daily!$D:$D, Raw_Data_Daily!$B:$B, "Variant", Raw_Data_Daily!$A:$A, $A25, Raw_Data_Daily!$C:$C, $C$3),""))</f>
        <v/>
      </c>
      <c r="DW25" s="257" t="str">
        <f t="shared" si="38"/>
        <v/>
      </c>
      <c r="DX25" s="248" t="str">
        <f>IF($A25="","",IFERROR(SUMPRODUCT((Raw_Data_Daily!$B$2:$B$9999="Control")*(Raw_Data_Daily!$A$2:$A$9999=$A25)*(Raw_Data_Daily!$C$2:$C$9999=$C$3)*Raw_Data_Daily!$D$2:$D$9999*Raw_Data_Daily!$AS$2:$AS$9999)/SUMIFS(Raw_Data_Daily!$D:$D, Raw_Data_Daily!$B:$B, "Control", Raw_Data_Daily!$A:$A, $A25, Raw_Data_Daily!$C:$C, $C$3),""))</f>
        <v/>
      </c>
      <c r="DY25" s="248" t="str">
        <f>IF($A25="","",IFERROR(SUMPRODUCT((Raw_Data_Daily!$B$2:$B$9999="Variant")*(Raw_Data_Daily!$A$2:$A$9999=$A25)*(Raw_Data_Daily!$C$2:$C$9999=$C$3)*Raw_Data_Daily!$D$2:$D$9999*Raw_Data_Daily!$AS$2:$AS$9999)/SUMIFS(Raw_Data_Daily!$D:$D, Raw_Data_Daily!$B:$B, "Variant", Raw_Data_Daily!$A:$A, $A25, Raw_Data_Daily!$C:$C, $C$3),""))</f>
        <v/>
      </c>
      <c r="DZ25" s="257" t="str">
        <f t="shared" si="39"/>
        <v/>
      </c>
      <c r="EA25" s="248" t="str">
        <f>IF($A25="","",IFERROR(SUMPRODUCT((Raw_Data_Daily!$B$2:$B$9999="Control")*(Raw_Data_Daily!$A$2:$A$9999=$A25)*(Raw_Data_Daily!$C$2:$C$9999=$C$3)*Raw_Data_Daily!$D$2:$D$9999*Raw_Data_Daily!$AT$2:$AT$9999)/SUMIFS(Raw_Data_Daily!$D:$D, Raw_Data_Daily!$B:$B, "Control", Raw_Data_Daily!$A:$A, $A25, Raw_Data_Daily!$C:$C, $C$3),""))</f>
        <v/>
      </c>
      <c r="EB25" s="248" t="str">
        <f>IF($A25="","",IFERROR(SUMPRODUCT((Raw_Data_Daily!$B$2:$B$9999="Variant")*(Raw_Data_Daily!$A$2:$A$9999=$A25)*(Raw_Data_Daily!$C$2:$C$9999=$C$3)*Raw_Data_Daily!$D$2:$D$9999*Raw_Data_Daily!$AT$2:$AT$9999)/SUMIFS(Raw_Data_Daily!$D:$D, Raw_Data_Daily!$B:$B, "Variant", Raw_Data_Daily!$A:$A, $A25, Raw_Data_Daily!$C:$C, $C$3),""))</f>
        <v/>
      </c>
      <c r="EC25" s="257" t="str">
        <f t="shared" si="40"/>
        <v/>
      </c>
      <c r="ED25" s="248" t="str">
        <f>IF($A25="","",IFERROR(SUMPRODUCT((Raw_Data_Daily!$B$2:$B$9999="Control")*(Raw_Data_Daily!$A$2:$A$9999=$A25)*(Raw_Data_Daily!$C$2:$C$9999=$C$3)*Raw_Data_Daily!$D$2:$D$9999*(Raw_Data_Daily!$AQ$2:$AQ$9999-Raw_Data_Daily!$AT$2:$AT$9999))/SUMIFS(Raw_Data_Daily!$D:$D, Raw_Data_Daily!$B:$B, "Control", Raw_Data_Daily!$A:$A, $A25, Raw_Data_Daily!$C:$C, $C$3),""))</f>
        <v/>
      </c>
      <c r="EE25" s="248" t="str">
        <f>IF($A25="","",IFERROR(SUMPRODUCT((Raw_Data_Daily!$B$2:$B$9999="Variant")*(Raw_Data_Daily!$A$2:$A$9999=$A25)*(Raw_Data_Daily!$C$2:$C$9999=$C$3)*Raw_Data_Daily!$D$2:$D$9999*(Raw_Data_Daily!$AQ$2:$AQ$9999-Raw_Data_Daily!$AT$2:$AT$9999))/SUMIFS(Raw_Data_Daily!$D:$D, Raw_Data_Daily!$B:$B, "Variant", Raw_Data_Daily!$A:$A, $A25, Raw_Data_Daily!$C:$C, $C$3),""))</f>
        <v/>
      </c>
      <c r="EF25" s="257" t="str">
        <f t="shared" si="41"/>
        <v/>
      </c>
      <c r="EG25" s="248" t="str">
        <f>IF($A25="","",IFERROR(SUMPRODUCT((Raw_Data_Daily!$B$2:$B$9999="Control")*(Raw_Data_Daily!$A$2:$A$9999=$A25)*(Raw_Data_Daily!$C$2:$C$9999=$C$3)*Raw_Data_Daily!$D$2:$D$9999*Raw_Data_Daily!$AU$2:$AU$9999)/SUMIFS(Raw_Data_Daily!$D:$D, Raw_Data_Daily!$B:$B, "Control", Raw_Data_Daily!$A:$A, $A25, Raw_Data_Daily!$C:$C, $C$3),""))</f>
        <v/>
      </c>
      <c r="EH25" s="248" t="str">
        <f>IF($A25="","",IFERROR(SUMPRODUCT((Raw_Data_Daily!$B$2:$B$9999="Variant")*(Raw_Data_Daily!$A$2:$A$9999=$A25)*(Raw_Data_Daily!$C$2:$C$9999=$C$3)*Raw_Data_Daily!$D$2:$D$9999*Raw_Data_Daily!$AU$2:$AU$9999)/SUMIFS(Raw_Data_Daily!$D:$D, Raw_Data_Daily!$B:$B, "Variant", Raw_Data_Daily!$A:$A, $A25, Raw_Data_Daily!$C:$C, $C$3),""))</f>
        <v/>
      </c>
      <c r="EI25" s="257" t="str">
        <f t="shared" si="42"/>
        <v/>
      </c>
    </row>
    <row r="26" ht="15.75" customHeight="1">
      <c r="A26" s="239">
        <v>46249.0</v>
      </c>
      <c r="B26" s="240">
        <f>IF($A26="","",SUMIFS(Raw_Data_Daily!$D:$D, Raw_Data_Daily!$B:$B, "Control", Raw_Data_Daily!$A:$A, $A26, Raw_Data_Daily!$C:$C, $C$3))</f>
        <v>0</v>
      </c>
      <c r="C26" s="240">
        <f>IF($A26="","",SUMIFS(Raw_Data_Daily!$D:$D, Raw_Data_Daily!$B:$B, "Variant", Raw_Data_Daily!$A:$A, $A26, Raw_Data_Daily!$C:$C, $C$3))</f>
        <v>0</v>
      </c>
      <c r="D26" s="241" t="str">
        <f t="shared" si="1"/>
        <v/>
      </c>
      <c r="E26" s="242" t="str">
        <f>IF($A26="","",IFERROR(SUMPRODUCT((Raw_Data_Daily!$B$2:$B$9999="Control")*(Raw_Data_Daily!$A$2:$A$9999=$A26)*(Raw_Data_Daily!$C$2:$C$9999=$C$3)*Raw_Data_Daily!$D$2:$D$9999*Raw_Data_Daily!$E$2:$E$9999)/SUMIFS(Raw_Data_Daily!$D:$D, Raw_Data_Daily!$B:$B, "Control", Raw_Data_Daily!$A:$A, $A26, Raw_Data_Daily!$C:$C, $C$3),""))</f>
        <v/>
      </c>
      <c r="F26" s="242" t="str">
        <f>IF($A26="","",IFERROR(SUMPRODUCT((Raw_Data_Daily!$B$2:$B$9999="Variant")*(Raw_Data_Daily!$A$2:$A$9999=$A26)*(Raw_Data_Daily!$C$2:$C$9999=$C$3)*Raw_Data_Daily!$D$2:$D$9999*Raw_Data_Daily!$E$2:$E$9999)/SUMIFS(Raw_Data_Daily!$D:$D, Raw_Data_Daily!$B:$B, "Variant", Raw_Data_Daily!$A:$A, $A26, Raw_Data_Daily!$C:$C, $C$3),""))</f>
        <v/>
      </c>
      <c r="G26" s="241" t="str">
        <f t="shared" si="2"/>
        <v/>
      </c>
      <c r="H26" s="243">
        <f>IF($A26="","",SUMIFS(Raw_Data_Daily!$F:$F, Raw_Data_Daily!$B:$B, "Control", Raw_Data_Daily!$A:$A, $A26, Raw_Data_Daily!$C:$C, $C$3))</f>
        <v>0</v>
      </c>
      <c r="I26" s="243">
        <f>IF($A26="","",SUMIFS(Raw_Data_Daily!$F:$F, Raw_Data_Daily!$B:$B, "Variant", Raw_Data_Daily!$A:$A, $A26, Raw_Data_Daily!$C:$C, $C$3))</f>
        <v>0</v>
      </c>
      <c r="J26" s="244" t="str">
        <f t="shared" si="3"/>
        <v/>
      </c>
      <c r="K26" s="245" t="str">
        <f>IF($A26="","",IFERROR(SUMIFS(Raw_Data_Daily!$F:$F, Raw_Data_Daily!$B:$B, "Control", Raw_Data_Daily!$A:$A, $A26, Raw_Data_Daily!$C:$C, $C$3)/SUMIFS(Raw_Data_Daily!$D:$D, Raw_Data_Daily!$B:$B, "Control", Raw_Data_Daily!$A:$A, $A26, Raw_Data_Daily!$C:$C, $C$3),""))</f>
        <v/>
      </c>
      <c r="L26" s="245" t="str">
        <f>IF($A26="","",IFERROR(SUMIFS(Raw_Data_Daily!$F:$F, Raw_Data_Daily!$B:$B, "Variant", Raw_Data_Daily!$A:$A, $A26, Raw_Data_Daily!$C:$C, $C$3)/SUMIFS(Raw_Data_Daily!$D:$D, Raw_Data_Daily!$B:$B, "Variant", Raw_Data_Daily!$A:$A, $A26, Raw_Data_Daily!$C:$C, $C$3),""))</f>
        <v/>
      </c>
      <c r="M26" s="244" t="str">
        <f t="shared" si="4"/>
        <v/>
      </c>
      <c r="N26" s="242" t="str">
        <f>IF($A26="","",IFERROR(SUMPRODUCT((Raw_Data_Daily!$B$2:$B$9999="Control")*(Raw_Data_Daily!$A$2:$A$9999=$A26)*(Raw_Data_Daily!$C$2:$C$9999=$C$3)*Raw_Data_Daily!$D$2:$D$9999*Raw_Data_Daily!$H$2:$H$9999/100)/SUMIFS(Raw_Data_Daily!$D:$D, Raw_Data_Daily!$B:$B, "Control", Raw_Data_Daily!$A:$A, $A26, Raw_Data_Daily!$C:$C, $C$3)*100,""))</f>
        <v/>
      </c>
      <c r="O26" s="242" t="str">
        <f>IF($A26="","",IFERROR(SUMPRODUCT((Raw_Data_Daily!$B$2:$B$9999="Variant")*(Raw_Data_Daily!$A$2:$A$9999=$A26)*(Raw_Data_Daily!$C$2:$C$9999=$C$3)*Raw_Data_Daily!$D$2:$D$9999*Raw_Data_Daily!$H$2:$H$9999/100)/SUMIFS(Raw_Data_Daily!$D:$D, Raw_Data_Daily!$B:$B, "Variant", Raw_Data_Daily!$A:$A, $A26, Raw_Data_Daily!$C:$C, $C$3)*100,""))</f>
        <v/>
      </c>
      <c r="P26" s="244" t="str">
        <f t="shared" si="5"/>
        <v/>
      </c>
      <c r="Q26" s="245" t="str">
        <f>IF($A26="","",IFERROR(SUMIFS(Raw_Data_Daily!$F:$F, Raw_Data_Daily!$B:$B, "Control", Raw_Data_Daily!$A:$A, $A26, Raw_Data_Daily!$C:$C, $C$3)/SUMPRODUCT((Raw_Data_Daily!$B$2:$B$9999="Control")*(Raw_Data_Daily!$A$2:$A$9999=$A26)*(Raw_Data_Daily!$C$2:$C$9999=$C$3)*Raw_Data_Daily!$D$2:$D$9999*Raw_Data_Daily!$H$2:$H$9999/100),""))</f>
        <v/>
      </c>
      <c r="R26" s="245" t="str">
        <f>IF($A26="","",IFERROR(SUMIFS(Raw_Data_Daily!$F:$F, Raw_Data_Daily!$B:$B, "Variant", Raw_Data_Daily!$A:$A, $A26, Raw_Data_Daily!$C:$C, $C$3)/SUMPRODUCT((Raw_Data_Daily!$B$2:$B$9999="Variant")*(Raw_Data_Daily!$A$2:$A$9999=$A26)*(Raw_Data_Daily!$C$2:$C$9999=$C$3)*Raw_Data_Daily!$D$2:$D$9999*Raw_Data_Daily!$H$2:$H$9999/100),""))</f>
        <v/>
      </c>
      <c r="S26" s="244" t="str">
        <f t="shared" si="6"/>
        <v/>
      </c>
      <c r="T26" s="246" t="str">
        <f>IF($A26="","",IFERROR(SUMPRODUCT((Raw_Data_Daily!$B$2:$B$9999="Control")*(Raw_Data_Daily!$A$2:$A$9999=$A26)*(Raw_Data_Daily!$C$2:$C$9999=$C$3)*Raw_Data_Daily!$D$2:$D$9999*Raw_Data_Daily!$J$2:$J$9999)/SUMIFS(Raw_Data_Daily!$D:$D, Raw_Data_Daily!$B:$B, "Control", Raw_Data_Daily!$A:$A, $A26, Raw_Data_Daily!$C:$C, $C$3),""))</f>
        <v/>
      </c>
      <c r="U26" s="246" t="str">
        <f>IF($A26="","",IFERROR(SUMPRODUCT((Raw_Data_Daily!$B$2:$B$9999="Variant")*(Raw_Data_Daily!$A$2:$A$9999=$A26)*(Raw_Data_Daily!$C$2:$C$9999=$C$3)*Raw_Data_Daily!$D$2:$D$9999*Raw_Data_Daily!$J$2:$J$9999)/SUMIFS(Raw_Data_Daily!$D:$D, Raw_Data_Daily!$B:$B, "Variant", Raw_Data_Daily!$A:$A, $A26, Raw_Data_Daily!$C:$C, $C$3),""))</f>
        <v/>
      </c>
      <c r="V26" s="244" t="str">
        <f t="shared" si="7"/>
        <v/>
      </c>
      <c r="W26" s="246" t="str">
        <f>IF($A26="","",IFERROR(SUMPRODUCT((Raw_Data_Daily!$B$2:$B$9999="Control")*(Raw_Data_Daily!$A$2:$A$9999=$A26)*(Raw_Data_Daily!$C$2:$C$9999=$C$3)*Raw_Data_Daily!$D$2:$D$9999*Raw_Data_Daily!$K$2:$K$9999)/SUMIFS(Raw_Data_Daily!$D:$D, Raw_Data_Daily!$B:$B, "Control", Raw_Data_Daily!$A:$A, $A26, Raw_Data_Daily!$C:$C, $C$3),""))</f>
        <v/>
      </c>
      <c r="X26" s="246" t="str">
        <f>IF($A26="","",IFERROR(SUMPRODUCT((Raw_Data_Daily!$B$2:$B$9999="Variant")*(Raw_Data_Daily!$A$2:$A$9999=$A26)*(Raw_Data_Daily!$C$2:$C$9999=$C$3)*Raw_Data_Daily!$D$2:$D$9999*Raw_Data_Daily!$K$2:$K$9999)/SUMIFS(Raw_Data_Daily!$D:$D, Raw_Data_Daily!$B:$B, "Variant", Raw_Data_Daily!$A:$A, $A26, Raw_Data_Daily!$C:$C, $C$3),""))</f>
        <v/>
      </c>
      <c r="Y26" s="244" t="str">
        <f t="shared" si="8"/>
        <v/>
      </c>
      <c r="Z26" s="246" t="str">
        <f>IF($A26="","",IFERROR(SUMPRODUCT((Raw_Data_Daily!$B$2:$B$9999="Control")*(Raw_Data_Daily!$A$2:$A$9999=$A26)*(Raw_Data_Daily!$C$2:$C$9999=$C$3)*Raw_Data_Daily!$D$2:$D$9999*Raw_Data_Daily!$L$2:$L$9999)/SUMIFS(Raw_Data_Daily!$D:$D, Raw_Data_Daily!$B:$B, "Control", Raw_Data_Daily!$A:$A, $A26, Raw_Data_Daily!$C:$C, $C$3),""))</f>
        <v/>
      </c>
      <c r="AA26" s="246" t="str">
        <f>IF($A26="","",IFERROR(SUMPRODUCT((Raw_Data_Daily!$B$2:$B$9999="Variant")*(Raw_Data_Daily!$A$2:$A$9999=$A26)*(Raw_Data_Daily!$C$2:$C$9999=$C$3)*Raw_Data_Daily!$D$2:$D$9999*Raw_Data_Daily!$L$2:$L$9999)/SUMIFS(Raw_Data_Daily!$D:$D, Raw_Data_Daily!$B:$B, "Variant", Raw_Data_Daily!$A:$A, $A26, Raw_Data_Daily!$C:$C, $C$3),""))</f>
        <v/>
      </c>
      <c r="AB26" s="244" t="str">
        <f t="shared" si="9"/>
        <v/>
      </c>
      <c r="AC26" s="248" t="str">
        <f>IF($A26="","",IFERROR(SUMPRODUCT((Raw_Data_Daily!$B$2:$B$9999="Control")*(Raw_Data_Daily!$A$2:$A$9999=$A26)*(Raw_Data_Daily!$C$2:$C$9999=$C$3)*Raw_Data_Daily!$D$2:$D$9999*Raw_Data_Daily!$M$2:$M$9999)/SUMIFS(Raw_Data_Daily!$D:$D, Raw_Data_Daily!$B:$B, "Control", Raw_Data_Daily!$A:$A, $A26, Raw_Data_Daily!$C:$C, $C$3),""))</f>
        <v/>
      </c>
      <c r="AD26" s="248" t="str">
        <f>IF($A26="","",IFERROR(SUMPRODUCT((Raw_Data_Daily!$B$2:$B$9999="Variant")*(Raw_Data_Daily!$A$2:$A$9999=$A26)*(Raw_Data_Daily!$C$2:$C$9999=$C$3)*Raw_Data_Daily!$D$2:$D$9999*Raw_Data_Daily!$M$2:$M$9999)/SUMIFS(Raw_Data_Daily!$D:$D, Raw_Data_Daily!$B:$B, "Variant", Raw_Data_Daily!$A:$A, $A26, Raw_Data_Daily!$C:$C, $C$3),""))</f>
        <v/>
      </c>
      <c r="AE26" s="249" t="str">
        <f t="shared" si="10"/>
        <v/>
      </c>
      <c r="AF26" s="248" t="str">
        <f>IF($A26="","",IFERROR(SUMPRODUCT((Raw_Data_Daily!$B$2:$B$9999="Control")*(Raw_Data_Daily!$A$2:$A$9999=$A26)*(Raw_Data_Daily!$C$2:$C$9999=$C$3)*Raw_Data_Daily!$D$2:$D$9999*Raw_Data_Daily!$N$2:$N$9999)/SUMIFS(Raw_Data_Daily!$D:$D, Raw_Data_Daily!$B:$B, "Control", Raw_Data_Daily!$A:$A, $A26, Raw_Data_Daily!$C:$C, $C$3),""))</f>
        <v/>
      </c>
      <c r="AG26" s="248" t="str">
        <f>IF($A26="","",IFERROR(SUMPRODUCT((Raw_Data_Daily!$B$2:$B$9999="Variant")*(Raw_Data_Daily!$A$2:$A$9999=$A26)*(Raw_Data_Daily!$C$2:$C$9999=$C$3)*Raw_Data_Daily!$D$2:$D$9999*Raw_Data_Daily!$N$2:$N$9999)/SUMIFS(Raw_Data_Daily!$D:$D, Raw_Data_Daily!$B:$B, "Variant", Raw_Data_Daily!$A:$A, $A26, Raw_Data_Daily!$C:$C, $C$3),""))</f>
        <v/>
      </c>
      <c r="AH26" s="249" t="str">
        <f t="shared" si="11"/>
        <v/>
      </c>
      <c r="AI26" s="248" t="str">
        <f>IF($A26="","",IFERROR(SUMPRODUCT((Raw_Data_Daily!$B$2:$B$9999="Control")*(Raw_Data_Daily!$A$2:$A$9999=$A26)*(Raw_Data_Daily!$C$2:$C$9999=$C$3)*Raw_Data_Daily!$D$2:$D$9999*Raw_Data_Daily!$O$2:$O$9999)/SUMIFS(Raw_Data_Daily!$D:$D, Raw_Data_Daily!$B:$B, "Control", Raw_Data_Daily!$A:$A, $A26, Raw_Data_Daily!$C:$C, $C$3),""))</f>
        <v/>
      </c>
      <c r="AJ26" s="248" t="str">
        <f>IF($A26="","",IFERROR(SUMPRODUCT((Raw_Data_Daily!$B$2:$B$9999="Variant")*(Raw_Data_Daily!$A$2:$A$9999=$A26)*(Raw_Data_Daily!$C$2:$C$9999=$C$3)*Raw_Data_Daily!$D$2:$D$9999*Raw_Data_Daily!$O$2:$O$9999)/SUMIFS(Raw_Data_Daily!$D:$D, Raw_Data_Daily!$B:$B, "Variant", Raw_Data_Daily!$A:$A, $A26, Raw_Data_Daily!$C:$C, $C$3),""))</f>
        <v/>
      </c>
      <c r="AK26" s="244" t="str">
        <f t="shared" si="12"/>
        <v/>
      </c>
      <c r="AL26" s="246" t="str">
        <f>IF($A26="","",IFERROR(SUMPRODUCT((Raw_Data_Daily!$B$2:$B$9999="Control")*(Raw_Data_Daily!$A$2:$A$9999=$A26)*(Raw_Data_Daily!$C$2:$C$9999=$C$3)*Raw_Data_Daily!$D$2:$D$9999*Raw_Data_Daily!$P$2:$P$9999)/SUMIFS(Raw_Data_Daily!$D:$D, Raw_Data_Daily!$B:$B, "Control", Raw_Data_Daily!$A:$A, $A26, Raw_Data_Daily!$C:$C, $C$3),""))</f>
        <v/>
      </c>
      <c r="AM26" s="246" t="str">
        <f>IF($A26="","",IFERROR(SUMPRODUCT((Raw_Data_Daily!$B$2:$B$9999="Variant")*(Raw_Data_Daily!$A$2:$A$9999=$A26)*(Raw_Data_Daily!$C$2:$C$9999=$C$3)*Raw_Data_Daily!$D$2:$D$9999*Raw_Data_Daily!$P$2:$P$9999)/SUMIFS(Raw_Data_Daily!$D:$D, Raw_Data_Daily!$B:$B, "Variant", Raw_Data_Daily!$A:$A, $A26, Raw_Data_Daily!$C:$C, $C$3),""))</f>
        <v/>
      </c>
      <c r="AN26" s="244" t="str">
        <f t="shared" si="13"/>
        <v/>
      </c>
      <c r="AO26" s="246" t="str">
        <f>IF($A26="","",IFERROR(SUMPRODUCT((Raw_Data_Daily!$B$2:$B$9999="Control")*(Raw_Data_Daily!$A$2:$A$9999=$A26)*(Raw_Data_Daily!$C$2:$C$9999=$C$3)*Raw_Data_Daily!$D$2:$D$9999*Raw_Data_Daily!$Q$2:$Q$9999)/SUMIFS(Raw_Data_Daily!$D:$D, Raw_Data_Daily!$B:$B, "Control", Raw_Data_Daily!$A:$A, $A26, Raw_Data_Daily!$C:$C, $C$3),""))</f>
        <v/>
      </c>
      <c r="AP26" s="246" t="str">
        <f>IF($A26="","",IFERROR(SUMPRODUCT((Raw_Data_Daily!$B$2:$B$9999="Variant")*(Raw_Data_Daily!$A$2:$A$9999=$A26)*(Raw_Data_Daily!$C$2:$C$9999=$C$3)*Raw_Data_Daily!$D$2:$D$9999*Raw_Data_Daily!$Q$2:$Q$9999)/SUMIFS(Raw_Data_Daily!$D:$D, Raw_Data_Daily!$B:$B, "Variant", Raw_Data_Daily!$A:$A, $A26, Raw_Data_Daily!$C:$C, $C$3),""))</f>
        <v/>
      </c>
      <c r="AQ26" s="241" t="str">
        <f t="shared" si="14"/>
        <v/>
      </c>
      <c r="AR26" s="246" t="str">
        <f>IF($A26="","",IFERROR(SUMPRODUCT((Raw_Data_Daily!$B$2:$B$9999="Control")*(Raw_Data_Daily!$A$2:$A$9999=$A26)*(Raw_Data_Daily!$C$2:$C$9999=$C$3)*Raw_Data_Daily!$D$2:$D$9999*Raw_Data_Daily!$R$2:$R$9999)/SUMIFS(Raw_Data_Daily!$D:$D, Raw_Data_Daily!$B:$B, "Control", Raw_Data_Daily!$A:$A, $A26, Raw_Data_Daily!$C:$C, $C$3),""))</f>
        <v/>
      </c>
      <c r="AS26" s="246" t="str">
        <f>IF($A26="","",IFERROR(SUMPRODUCT((Raw_Data_Daily!$B$2:$B$9999="Variant")*(Raw_Data_Daily!$A$2:$A$9999=$A26)*(Raw_Data_Daily!$C$2:$C$9999=$C$3)*Raw_Data_Daily!$D$2:$D$9999*Raw_Data_Daily!$R$2:$R$9999)/SUMIFS(Raw_Data_Daily!$D:$D, Raw_Data_Daily!$B:$B, "Variant", Raw_Data_Daily!$A:$A, $A26, Raw_Data_Daily!$C:$C, $C$3),""))</f>
        <v/>
      </c>
      <c r="AT26" s="241" t="str">
        <f t="shared" si="15"/>
        <v/>
      </c>
      <c r="AU26" s="246" t="str">
        <f>IF($A26="","",IFERROR(SUMPRODUCT((Raw_Data_Daily!$B$2:$B$9999="Control")*(Raw_Data_Daily!$A$2:$A$9999=$A26)*(Raw_Data_Daily!$C$2:$C$9999=$C$3)*Raw_Data_Daily!$D$2:$D$9999*Raw_Data_Daily!$S$2:$S$9999)/SUMIFS(Raw_Data_Daily!$D:$D, Raw_Data_Daily!$B:$B, "Control", Raw_Data_Daily!$A:$A, $A26, Raw_Data_Daily!$C:$C, $C$3),""))</f>
        <v/>
      </c>
      <c r="AV26" s="246" t="str">
        <f>IF($A26="","",IFERROR(SUMPRODUCT((Raw_Data_Daily!$B$2:$B$9999="Variant")*(Raw_Data_Daily!$A$2:$A$9999=$A26)*(Raw_Data_Daily!$C$2:$C$9999=$C$3)*Raw_Data_Daily!$D$2:$D$9999*Raw_Data_Daily!$S$2:$S$9999)/SUMIFS(Raw_Data_Daily!$D:$D, Raw_Data_Daily!$B:$B, "Variant", Raw_Data_Daily!$A:$A, $A26, Raw_Data_Daily!$C:$C, $C$3),""))</f>
        <v/>
      </c>
      <c r="AW26" s="241" t="str">
        <f t="shared" si="16"/>
        <v/>
      </c>
      <c r="AX26" s="246" t="str">
        <f>IF($A26="","",IFERROR(SUMPRODUCT((Raw_Data_Daily!$B$2:$B$9999="Control")*(Raw_Data_Daily!$A$2:$A$9999=$A26)*(Raw_Data_Daily!$C$2:$C$9999=$C$3)*Raw_Data_Daily!$D$2:$D$9999*Raw_Data_Daily!$T$2:$T$9999)/SUMIFS(Raw_Data_Daily!$D:$D, Raw_Data_Daily!$B:$B, "Control", Raw_Data_Daily!$A:$A, $A26, Raw_Data_Daily!$C:$C, $C$3),""))</f>
        <v/>
      </c>
      <c r="AY26" s="246" t="str">
        <f>IF($A26="","",IFERROR(SUMPRODUCT((Raw_Data_Daily!$B$2:$B$9999="Variant")*(Raw_Data_Daily!$A$2:$A$9999=$A26)*(Raw_Data_Daily!$C$2:$C$9999=$C$3)*Raw_Data_Daily!$D$2:$D$9999*Raw_Data_Daily!$T$2:$T$9999)/SUMIFS(Raw_Data_Daily!$D:$D, Raw_Data_Daily!$B:$B, "Variant", Raw_Data_Daily!$A:$A, $A26, Raw_Data_Daily!$C:$C, $C$3),""))</f>
        <v/>
      </c>
      <c r="AZ26" s="244" t="str">
        <f t="shared" si="17"/>
        <v/>
      </c>
      <c r="BA26" s="246" t="str">
        <f>IF($A26="","",IFERROR(SUMPRODUCT((Raw_Data_Daily!$B$2:$B$9999="Control")*(Raw_Data_Daily!$A$2:$A$9999=$A26)*(Raw_Data_Daily!$C$2:$C$9999=$C$3)*Raw_Data_Daily!$D$2:$D$9999*Raw_Data_Daily!$U$2:$U$9999)/SUMIFS(Raw_Data_Daily!$D:$D, Raw_Data_Daily!$B:$B, "Control", Raw_Data_Daily!$A:$A, $A26, Raw_Data_Daily!$C:$C, $C$3),""))</f>
        <v/>
      </c>
      <c r="BB26" s="246" t="str">
        <f>IF($A26="","",IFERROR(SUMPRODUCT((Raw_Data_Daily!$B$2:$B$9999="Variant")*(Raw_Data_Daily!$A$2:$A$9999=$A26)*(Raw_Data_Daily!$C$2:$C$9999=$C$3)*Raw_Data_Daily!$D$2:$D$9999*Raw_Data_Daily!$U$2:$U$9999)/SUMIFS(Raw_Data_Daily!$D:$D, Raw_Data_Daily!$B:$B, "Variant", Raw_Data_Daily!$A:$A, $A26, Raw_Data_Daily!$C:$C, $C$3),""))</f>
        <v/>
      </c>
      <c r="BC26" s="241" t="str">
        <f t="shared" si="18"/>
        <v/>
      </c>
      <c r="BD26" s="246" t="str">
        <f>IF($A26="","",IFERROR(SUMPRODUCT((Raw_Data_Daily!$B$2:$B$9999="Control")*(Raw_Data_Daily!$A$2:$A$9999=$A26)*(Raw_Data_Daily!$C$2:$C$9999=$C$3)*Raw_Data_Daily!$D$2:$D$9999*Raw_Data_Daily!$V$2:$V$9999)/SUMIFS(Raw_Data_Daily!$D:$D, Raw_Data_Daily!$B:$B, "Control", Raw_Data_Daily!$A:$A, $A26, Raw_Data_Daily!$C:$C, $C$3),""))</f>
        <v/>
      </c>
      <c r="BE26" s="246" t="str">
        <f>IF($A26="","",IFERROR(SUMPRODUCT((Raw_Data_Daily!$B$2:$B$9999="Variant")*(Raw_Data_Daily!$A$2:$A$9999=$A26)*(Raw_Data_Daily!$C$2:$C$9999=$C$3)*Raw_Data_Daily!$D$2:$D$9999*Raw_Data_Daily!$V$2:$V$9999)/SUMIFS(Raw_Data_Daily!$D:$D, Raw_Data_Daily!$B:$B, "Variant", Raw_Data_Daily!$A:$A, $A26, Raw_Data_Daily!$C:$C, $C$3),""))</f>
        <v/>
      </c>
      <c r="BF26" s="251" t="str">
        <f t="shared" si="19"/>
        <v/>
      </c>
      <c r="BG26" s="252" t="str">
        <f>IF($A26="","",IFERROR(SUMPRODUCT((Raw_Data_Daily!$B$2:$B$9999="Control")*(Raw_Data_Daily!$A$2:$A$9999=$A26)*(Raw_Data_Daily!$C$2:$C$9999=$C$3)*Raw_Data_Daily!$D$2:$D$9999*(Raw_Data_Daily!$Q$2:$Q$9999-Raw_Data_Daily!$V$2:$V$9999))/SUMIFS(Raw_Data_Daily!$D:$D, Raw_Data_Daily!$B:$B, "Control", Raw_Data_Daily!$A:$A, $A26, Raw_Data_Daily!$C:$C, $C$3),""))</f>
        <v/>
      </c>
      <c r="BH26" s="246" t="str">
        <f>IF($A26="","",IFERROR(SUMPRODUCT((Raw_Data_Daily!$B$2:$B$9999="Variant")*(Raw_Data_Daily!$A$2:$A$9999=$A26)*(Raw_Data_Daily!$C$2:$C$9999=$C$3)*Raw_Data_Daily!$D$2:$D$9999*(Raw_Data_Daily!$Q$2:$Q$9999-Raw_Data_Daily!$V$2:$V$9999))/SUMIFS(Raw_Data_Daily!$D:$D, Raw_Data_Daily!$B:$B, "Variant", Raw_Data_Daily!$A:$A, $A26, Raw_Data_Daily!$C:$C, $C$3),""))</f>
        <v/>
      </c>
      <c r="BI26" s="253" t="str">
        <f t="shared" si="20"/>
        <v/>
      </c>
      <c r="BJ26" s="254" t="str">
        <f>IF($A26="","",IFERROR(SUMPRODUCT((Raw_Data_Daily!$B$2:$B$9999="Control")*(Raw_Data_Daily!$A$2:$A$9999=$A26)*(Raw_Data_Daily!$C$2:$C$9999=$C$3)*Raw_Data_Daily!$D$2:$D$9999*Raw_Data_Daily!$W$2:$W$9999)/SUMIFS(Raw_Data_Daily!$D:$D, Raw_Data_Daily!$B:$B, "Control", Raw_Data_Daily!$A:$A, $A26, Raw_Data_Daily!$C:$C, $C$3),""))</f>
        <v/>
      </c>
      <c r="BK26" s="246" t="str">
        <f>IF($A26="","",IFERROR(SUMPRODUCT((Raw_Data_Daily!$B$2:$B$9999="Variant")*(Raw_Data_Daily!$A$2:$A$9999=$A26)*(Raw_Data_Daily!$C$2:$C$9999=$C$3)*Raw_Data_Daily!$D$2:$D$9999*Raw_Data_Daily!$W$2:$W$9999)/SUMIFS(Raw_Data_Daily!$D:$D, Raw_Data_Daily!$B:$B, "Variant", Raw_Data_Daily!$A:$A, $A26, Raw_Data_Daily!$C:$C, $C$3),""))</f>
        <v/>
      </c>
      <c r="BL26" s="241" t="str">
        <f t="shared" si="21"/>
        <v/>
      </c>
      <c r="BM26" s="248" t="str">
        <f>IF($A26="","",IFERROR(SUMPRODUCT((Raw_Data_Daily!$B$2:$B$9999="Control")*(Raw_Data_Daily!$A$2:$A$9999=$A26)*(Raw_Data_Daily!$C$2:$C$9999=$C$3)*Raw_Data_Daily!$D$2:$D$9999*Raw_Data_Daily!$X$2:$X$9999)/SUMIFS(Raw_Data_Daily!$D:$D, Raw_Data_Daily!$B:$B, "Control", Raw_Data_Daily!$A:$A, $A26, Raw_Data_Daily!$C:$C, $C$3),""))</f>
        <v/>
      </c>
      <c r="BN26" s="248" t="str">
        <f>IF($A26="","",IFERROR(SUMPRODUCT((Raw_Data_Daily!$B$2:$B$9999="Variant")*(Raw_Data_Daily!$A$2:$A$9999=$A26)*(Raw_Data_Daily!$C$2:$C$9999=$C$3)*Raw_Data_Daily!$D$2:$D$9999*Raw_Data_Daily!$X$2:$X$9999)/SUMIFS(Raw_Data_Daily!$D:$D, Raw_Data_Daily!$B:$B, "Variant", Raw_Data_Daily!$A:$A, $A26, Raw_Data_Daily!$C:$C, $C$3),""))</f>
        <v/>
      </c>
      <c r="BO26" s="244" t="str">
        <f t="shared" si="22"/>
        <v/>
      </c>
      <c r="BP26" s="240" t="str">
        <f>IF($A26="","",IFERROR(SUMPRODUCT((Raw_Data_Daily!$B$2:$B$9999="Control")*(Raw_Data_Daily!$A$2:$A$9999=$A26)*(Raw_Data_Daily!$C$2:$C$9999=$C$3)*Raw_Data_Daily!$D$2:$D$9999*Raw_Data_Daily!$Y$2:$Y$9999)/SUMIFS(Raw_Data_Daily!$D:$D, Raw_Data_Daily!$B:$B, "Control", Raw_Data_Daily!$A:$A, $A26, Raw_Data_Daily!$C:$C, $C$3),""))</f>
        <v/>
      </c>
      <c r="BQ26" s="240" t="str">
        <f>IF($A26="","",IFERROR(SUMPRODUCT((Raw_Data_Daily!$B$2:$B$9999="Variant")*(Raw_Data_Daily!$A$2:$A$9999=$A26)*(Raw_Data_Daily!$C$2:$C$9999=$C$3)*Raw_Data_Daily!$D$2:$D$9999*Raw_Data_Daily!$Y$2:$Y$9999)/SUMIFS(Raw_Data_Daily!$D:$D, Raw_Data_Daily!$B:$B, "Variant", Raw_Data_Daily!$A:$A, $A26, Raw_Data_Daily!$C:$C, $C$3),""))</f>
        <v/>
      </c>
      <c r="BR26" s="241" t="str">
        <f t="shared" si="23"/>
        <v/>
      </c>
      <c r="BS26" s="240" t="str">
        <f>IF($A26="","",IFERROR(SUMPRODUCT((Raw_Data_Daily!$B$2:$B$9999="Control")*(Raw_Data_Daily!$A$2:$A$9999=$A26)*(Raw_Data_Daily!$C$2:$C$9999=$C$3)*Raw_Data_Daily!$D$2:$D$9999*Raw_Data_Daily!$Z$2:$Z$9999)/SUMIFS(Raw_Data_Daily!$D:$D, Raw_Data_Daily!$B:$B, "Control", Raw_Data_Daily!$A:$A, $A26, Raw_Data_Daily!$C:$C, $C$3),""))</f>
        <v/>
      </c>
      <c r="BT26" s="240" t="str">
        <f>IF($A26="","",IFERROR(SUMPRODUCT((Raw_Data_Daily!$B$2:$B$9999="Variant")*(Raw_Data_Daily!$A$2:$A$9999=$A26)*(Raw_Data_Daily!$C$2:$C$9999=$C$3)*Raw_Data_Daily!$D$2:$D$9999*Raw_Data_Daily!$Z$2:$Z$9999)/SUMIFS(Raw_Data_Daily!$D:$D, Raw_Data_Daily!$B:$B, "Variant", Raw_Data_Daily!$A:$A, $A26, Raw_Data_Daily!$C:$C, $C$3),""))</f>
        <v/>
      </c>
      <c r="BU26" s="241" t="str">
        <f t="shared" si="24"/>
        <v/>
      </c>
      <c r="BV26" s="240" t="str">
        <f>IF($A26="","",IFERROR(SUMPRODUCT((Raw_Data_Daily!$B$2:$B$9999="Control")*(Raw_Data_Daily!$A$2:$A$9999=$A26)*(Raw_Data_Daily!$C$2:$C$9999=$C$3)*Raw_Data_Daily!$D$2:$D$9999*Raw_Data_Daily!$AA$2:$AA$9999)/SUMIFS(Raw_Data_Daily!$D:$D, Raw_Data_Daily!$B:$B, "Control", Raw_Data_Daily!$A:$A, $A26, Raw_Data_Daily!$C:$C, $C$3),""))</f>
        <v/>
      </c>
      <c r="BW26" s="240" t="str">
        <f>IF($A26="","",IFERROR(SUMPRODUCT((Raw_Data_Daily!$B$2:$B$9999="Variant")*(Raw_Data_Daily!$A$2:$A$9999=$A26)*(Raw_Data_Daily!$C$2:$C$9999=$C$3)*Raw_Data_Daily!$D$2:$D$9999*Raw_Data_Daily!$AA$2:$AA$9999)/SUMIFS(Raw_Data_Daily!$D:$D, Raw_Data_Daily!$B:$B, "Variant", Raw_Data_Daily!$A:$A, $A26, Raw_Data_Daily!$C:$C, $C$3),""))</f>
        <v/>
      </c>
      <c r="BX26" s="241" t="str">
        <f t="shared" si="25"/>
        <v/>
      </c>
      <c r="BY26" s="246" t="str">
        <f>IF($A26="","",IFERROR(SUMPRODUCT((Raw_Data_Daily!$B$2:$B$9999="Control")*(Raw_Data_Daily!$A$2:$A$9999=$A26)*(Raw_Data_Daily!$C$2:$C$9999=$C$3)*Raw_Data_Daily!$D$2:$D$9999*Raw_Data_Daily!$AB$2:$AB$9999)/SUMIFS(Raw_Data_Daily!$D:$D, Raw_Data_Daily!$B:$B, "Control", Raw_Data_Daily!$A:$A, $A26, Raw_Data_Daily!$C:$C, $C$3),""))</f>
        <v/>
      </c>
      <c r="BZ26" s="246" t="str">
        <f>IF($A26="","",IFERROR(SUMPRODUCT((Raw_Data_Daily!$B$2:$B$9999="Variant")*(Raw_Data_Daily!$A$2:$A$9999=$A26)*(Raw_Data_Daily!$C$2:$C$9999=$C$3)*Raw_Data_Daily!$D$2:$D$9999*Raw_Data_Daily!$AB$2:$AB$9999)/SUMIFS(Raw_Data_Daily!$D:$D, Raw_Data_Daily!$B:$B, "Variant", Raw_Data_Daily!$A:$A, $A26, Raw_Data_Daily!$C:$C, $C$3),""))</f>
        <v/>
      </c>
      <c r="CA26" s="244" t="str">
        <f t="shared" si="26"/>
        <v/>
      </c>
      <c r="CB26" s="246" t="str">
        <f>IF($A26="","",IFERROR(SUMPRODUCT((Raw_Data_Daily!$B$2:$B$9999="Control")*(Raw_Data_Daily!$A$2:$A$9999=$A26)*(Raw_Data_Daily!$C$2:$C$9999=$C$3)*Raw_Data_Daily!$D$2:$D$9999*Raw_Data_Daily!$AC$2:$AC$9999)/SUMIFS(Raw_Data_Daily!$D:$D, Raw_Data_Daily!$B:$B, "Control", Raw_Data_Daily!$A:$A, $A26, Raw_Data_Daily!$C:$C, $C$3),""))</f>
        <v/>
      </c>
      <c r="CC26" s="246" t="str">
        <f>IF($A26="","",IFERROR(SUMPRODUCT((Raw_Data_Daily!$B$2:$B$9999="Variant")*(Raw_Data_Daily!$A$2:$A$9999=$A26)*(Raw_Data_Daily!$C$2:$C$9999=$C$3)*Raw_Data_Daily!$D$2:$D$9999*Raw_Data_Daily!$AC$2:$AC$9999)/SUMIFS(Raw_Data_Daily!$D:$D, Raw_Data_Daily!$B:$B, "Variant", Raw_Data_Daily!$A:$A, $A26, Raw_Data_Daily!$C:$C, $C$3),""))</f>
        <v/>
      </c>
      <c r="CD26" s="244" t="str">
        <f t="shared" si="27"/>
        <v/>
      </c>
      <c r="CE26" s="246" t="str">
        <f>IF($A26="","",IFERROR(SUMPRODUCT((Raw_Data_Daily!$B$2:$B$9999="Control")*(Raw_Data_Daily!$A$2:$A$9999=$A26)*(Raw_Data_Daily!$C$2:$C$9999=$C$3)*Raw_Data_Daily!$D$2:$D$9999*Raw_Data_Daily!$AD$2:$AD$9999)/SUMIFS(Raw_Data_Daily!$D:$D, Raw_Data_Daily!$B:$B, "Control", Raw_Data_Daily!$A:$A, $A26, Raw_Data_Daily!$C:$C, $C$3),""))</f>
        <v/>
      </c>
      <c r="CF26" s="246" t="str">
        <f>IF($A26="","",IFERROR(SUMPRODUCT((Raw_Data_Daily!$B$2:$B$9999="Variant")*(Raw_Data_Daily!$A$2:$A$9999=$A26)*(Raw_Data_Daily!$C$2:$C$9999=$C$3)*Raw_Data_Daily!$D$2:$D$9999*Raw_Data_Daily!$AD$2:$AD$9999)/SUMIFS(Raw_Data_Daily!$D:$D, Raw_Data_Daily!$B:$B, "Variant", Raw_Data_Daily!$A:$A, $A26, Raw_Data_Daily!$C:$C, $C$3),""))</f>
        <v/>
      </c>
      <c r="CG26" s="244" t="str">
        <f t="shared" si="28"/>
        <v/>
      </c>
      <c r="CH26" s="246" t="str">
        <f>IF($A26="","",IFERROR(SUMPRODUCT((Raw_Data_Daily!$B$2:$B$9999="Control")*(Raw_Data_Daily!$A$2:$A$9999=$A26)*(Raw_Data_Daily!$C$2:$C$9999=$C$3)*Raw_Data_Daily!$D$2:$D$9999*Raw_Data_Daily!$AE$2:$AE$9999)/SUMIFS(Raw_Data_Daily!$D:$D, Raw_Data_Daily!$B:$B, "Control", Raw_Data_Daily!$A:$A, $A26, Raw_Data_Daily!$C:$C, $C$3),""))</f>
        <v/>
      </c>
      <c r="CI26" s="246" t="str">
        <f>IF($A26="","",IFERROR(SUMPRODUCT((Raw_Data_Daily!$B$2:$B$9999="Variant")*(Raw_Data_Daily!$A$2:$A$9999=$A26)*(Raw_Data_Daily!$C$2:$C$9999=$C$3)*Raw_Data_Daily!$D$2:$D$9999*Raw_Data_Daily!$AE$2:$AE$9999)/SUMIFS(Raw_Data_Daily!$D:$D, Raw_Data_Daily!$B:$B, "Variant", Raw_Data_Daily!$A:$A, $A26, Raw_Data_Daily!$C:$C, $C$3),""))</f>
        <v/>
      </c>
      <c r="CJ26" s="244" t="str">
        <f t="shared" si="29"/>
        <v/>
      </c>
      <c r="CK26" s="246" t="str">
        <f>IF($A26="","",IFERROR(SUMPRODUCT((Raw_Data_Daily!$B$2:$B$9999="Control")*(Raw_Data_Daily!$A$2:$A$9999=$A26)*(Raw_Data_Daily!$C$2:$C$9999=$C$3)*Raw_Data_Daily!$D$2:$D$9999*Raw_Data_Daily!$AF$2:$AF$9999)/SUMIFS(Raw_Data_Daily!$D:$D, Raw_Data_Daily!$B:$B, "Control", Raw_Data_Daily!$A:$A, $A26, Raw_Data_Daily!$C:$C, $C$3),""))</f>
        <v/>
      </c>
      <c r="CL26" s="246" t="str">
        <f>IF($A26="","",IFERROR(SUMPRODUCT((Raw_Data_Daily!$B$2:$B$9999="Variant")*(Raw_Data_Daily!$A$2:$A$9999=$A26)*(Raw_Data_Daily!$C$2:$C$9999=$C$3)*Raw_Data_Daily!$D$2:$D$9999*Raw_Data_Daily!$AF$2:$AF$9999)/SUMIFS(Raw_Data_Daily!$D:$D, Raw_Data_Daily!$B:$B, "Variant", Raw_Data_Daily!$A:$A, $A26, Raw_Data_Daily!$C:$C, $C$3),""))</f>
        <v/>
      </c>
      <c r="CM26" s="244" t="str">
        <f t="shared" si="30"/>
        <v/>
      </c>
      <c r="CN26" s="246" t="str">
        <f>IF($A26="","",IFERROR(SUMPRODUCT((Raw_Data_Daily!$B$2:$B$9999="Control")*(Raw_Data_Daily!$A$2:$A$9999=$A26)*(Raw_Data_Daily!$C$2:$C$9999=$C$3)*Raw_Data_Daily!$D$2:$D$9999*Raw_Data_Daily!$AG$2:$AG$9999)/SUMIFS(Raw_Data_Daily!$D:$D, Raw_Data_Daily!$B:$B, "Control", Raw_Data_Daily!$A:$A, $A26, Raw_Data_Daily!$C:$C, $C$3),""))</f>
        <v/>
      </c>
      <c r="CO26" s="246" t="str">
        <f>IF($A26="","",IFERROR(SUMPRODUCT((Raw_Data_Daily!$B$2:$B$9999="Variant")*(Raw_Data_Daily!$A$2:$A$9999=$A26)*(Raw_Data_Daily!$C$2:$C$9999=$C$3)*Raw_Data_Daily!$D$2:$D$9999*Raw_Data_Daily!$AG$2:$AG$9999)/SUMIFS(Raw_Data_Daily!$D:$D, Raw_Data_Daily!$B:$B, "Variant", Raw_Data_Daily!$A:$A, $A26, Raw_Data_Daily!$C:$C, $C$3),""))</f>
        <v/>
      </c>
      <c r="CP26" s="244" t="str">
        <f t="shared" si="31"/>
        <v/>
      </c>
      <c r="CQ26" s="246" t="str">
        <f>IF($A26="","",IFERROR(SUMPRODUCT((Raw_Data_Daily!$B$2:$B$9999="Control")*(Raw_Data_Daily!$A$2:$A$9999=$A26)*(Raw_Data_Daily!$C$2:$C$9999=$C$3)*Raw_Data_Daily!$D$2:$D$9999*Raw_Data_Daily!$AH$2:$AH$9999)/SUMIFS(Raw_Data_Daily!$D:$D, Raw_Data_Daily!$B:$B, "Control", Raw_Data_Daily!$A:$A, $A26, Raw_Data_Daily!$C:$C, $C$3),""))</f>
        <v/>
      </c>
      <c r="CR26" s="246" t="str">
        <f>IF($A26="","",IFERROR(SUMPRODUCT((Raw_Data_Daily!$B$2:$B$9999="Variant")*(Raw_Data_Daily!$A$2:$A$9999=$A26)*(Raw_Data_Daily!$C$2:$C$9999=$C$3)*Raw_Data_Daily!$D$2:$D$9999*Raw_Data_Daily!$AH$2:$AH$9999)/SUMIFS(Raw_Data_Daily!$D:$D, Raw_Data_Daily!$B:$B, "Variant", Raw_Data_Daily!$A:$A, $A26, Raw_Data_Daily!$C:$C, $C$3),""))</f>
        <v/>
      </c>
      <c r="CS26" s="244" t="str">
        <f t="shared" si="32"/>
        <v/>
      </c>
      <c r="CT26" s="242" t="str">
        <f>IF($A26="","",IFERROR(SUMPRODUCT((Raw_Data_Daily!$B$2:$B$9999="Control")*(Raw_Data_Daily!$A$2:$A$9999=$A26)*(Raw_Data_Daily!$C$2:$C$9999=$C$3)*Raw_Data_Daily!$D$2:$D$9999*Raw_Data_Daily!$AI$2:$AI$9999)/SUMIFS(Raw_Data_Daily!$D:$D, Raw_Data_Daily!$B:$B, "Control", Raw_Data_Daily!$A:$A, $A26, Raw_Data_Daily!$C:$C, $C$3),""))</f>
        <v/>
      </c>
      <c r="CU26" s="242" t="str">
        <f>IF($A26="","",IFERROR(SUMPRODUCT((Raw_Data_Daily!$B$2:$B$9999="Variant")*(Raw_Data_Daily!$A$2:$A$9999=$A26)*(Raw_Data_Daily!$C$2:$C$9999=$C$3)*Raw_Data_Daily!$D$2:$D$9999*Raw_Data_Daily!$AI$2:$AI$9999)/SUMIFS(Raw_Data_Daily!$D:$D, Raw_Data_Daily!$B:$B, "Variant", Raw_Data_Daily!$A:$A, $A26, Raw_Data_Daily!$C:$C, $C$3),""))</f>
        <v/>
      </c>
      <c r="CV26" s="249" t="str">
        <f t="shared" si="33"/>
        <v/>
      </c>
      <c r="CW26" s="242" t="str">
        <f>IF($A26="","",IFERROR(SUMPRODUCT((Raw_Data_Daily!$B$2:$B$9999="Control")*(Raw_Data_Daily!$A$2:$A$9999=$A26)*(Raw_Data_Daily!$C$2:$C$9999=$C$3)*Raw_Data_Daily!$D$2:$D$9999*Raw_Data_Daily!$AJ$2:$AJ$9999)/SUMIFS(Raw_Data_Daily!$D:$D, Raw_Data_Daily!$B:$B, "Control", Raw_Data_Daily!$A:$A, $A26, Raw_Data_Daily!$C:$C, $C$3),""))</f>
        <v/>
      </c>
      <c r="CX26" s="242" t="str">
        <f>IF($A26="","",IFERROR(SUMPRODUCT((Raw_Data_Daily!$B$2:$B$9999="Variant")*(Raw_Data_Daily!$A$2:$A$9999=$A26)*(Raw_Data_Daily!$C$2:$C$9999=$C$3)*Raw_Data_Daily!$D$2:$D$9999*Raw_Data_Daily!$AJ$2:$AJ$9999)/SUMIFS(Raw_Data_Daily!$D:$D, Raw_Data_Daily!$B:$B, "Variant", Raw_Data_Daily!$A:$A, $A26, Raw_Data_Daily!$C:$C, $C$3),""))</f>
        <v/>
      </c>
      <c r="CY26" s="249" t="str">
        <f t="shared" si="34"/>
        <v/>
      </c>
      <c r="CZ26" s="242" t="str">
        <f>IF($A26="","",IFERROR(SUMPRODUCT((Raw_Data_Daily!$B$2:$B$9999="Control")*(Raw_Data_Daily!$A$2:$A$9999=$A26)*(Raw_Data_Daily!$C$2:$C$9999=$C$3)*Raw_Data_Daily!$D$2:$D$9999*Raw_Data_Daily!$AK$2:$AK$9999)/SUMIFS(Raw_Data_Daily!$D:$D, Raw_Data_Daily!$B:$B, "Control", Raw_Data_Daily!$A:$A, $A26, Raw_Data_Daily!$C:$C, $C$3),""))</f>
        <v/>
      </c>
      <c r="DA26" s="242" t="str">
        <f>IF($A26="","",IFERROR(SUMPRODUCT((Raw_Data_Daily!$B$2:$B$9999="Variant")*(Raw_Data_Daily!$A$2:$A$9999=$A26)*(Raw_Data_Daily!$C$2:$C$9999=$C$3)*Raw_Data_Daily!$D$2:$D$9999*Raw_Data_Daily!$AK$2:$AK$9999)/SUMIFS(Raw_Data_Daily!$D:$D, Raw_Data_Daily!$B:$B, "Variant", Raw_Data_Daily!$A:$A, $A26, Raw_Data_Daily!$C:$C, $C$3),""))</f>
        <v/>
      </c>
      <c r="DB26" s="244" t="str">
        <f t="shared" si="35"/>
        <v/>
      </c>
      <c r="DC26" s="248" t="str">
        <f>IF($A26="","",IFERROR(SUMPRODUCT((Raw_Data_Daily!$B$2:$B$9999="Control")*(Raw_Data_Daily!$A$2:$A$9999=$A26)*(Raw_Data_Daily!$C$2:$C$9999=$C$3)*Raw_Data_Daily!$D$2:$D$9999*Raw_Data_Daily!$AL$2:$AL$9999)/SUMIFS(Raw_Data_Daily!$D:$D, Raw_Data_Daily!$B:$B, "Control", Raw_Data_Daily!$A:$A, $A26, Raw_Data_Daily!$C:$C, $C$3),""))</f>
        <v/>
      </c>
      <c r="DD26" s="248" t="str">
        <f>IF($A26="","",IFERROR(SUMPRODUCT((Raw_Data_Daily!$B$2:$B$9999="Variant")*(Raw_Data_Daily!$A$2:$A$9999=$A26)*(Raw_Data_Daily!$C$2:$C$9999=$C$3)*Raw_Data_Daily!$D$2:$D$9999*Raw_Data_Daily!$AL$2:$AL$9999)/SUMIFS(Raw_Data_Daily!$D:$D, Raw_Data_Daily!$B:$B, "Variant", Raw_Data_Daily!$A:$A, $A26, Raw_Data_Daily!$C:$C, $C$3),""))</f>
        <v/>
      </c>
      <c r="DE26" s="249" t="str">
        <f t="shared" si="36"/>
        <v/>
      </c>
      <c r="DF26" s="255"/>
      <c r="DG26" s="242" t="str">
        <f>IF($A26="","",IFERROR(SUMPRODUCT((Raw_Data_Daily!$B$2:$B$9999="Variant")*(Raw_Data_Daily!$A$2:$A$9999=$A26)*(Raw_Data_Daily!$C$2:$C$9999=$C$3)*Raw_Data_Daily!$D$2:$D$9999*Raw_Data_Daily!$AM$2:$AM$9999)/SUMIFS(Raw_Data_Daily!$D:$D, Raw_Data_Daily!$B:$B, "Variant", Raw_Data_Daily!$A:$A, $A26, Raw_Data_Daily!$C:$C, $C$3),""))</f>
        <v/>
      </c>
      <c r="DH26" s="256"/>
      <c r="DI26" s="255"/>
      <c r="DJ26" s="242" t="str">
        <f>IF($A26="","",IFERROR(SUMPRODUCT((Raw_Data_Daily!$B$2:$B$9999="Variant")*(Raw_Data_Daily!$A$2:$A$9999=$A26)*(Raw_Data_Daily!$C$2:$C$9999=$C$3)*Raw_Data_Daily!$D$2:$D$9999*Raw_Data_Daily!$AN$2:$AN$9999)/SUMIFS(Raw_Data_Daily!$D:$D, Raw_Data_Daily!$B:$B, "Variant", Raw_Data_Daily!$A:$A, $A26, Raw_Data_Daily!$C:$C, $C$3),""))</f>
        <v/>
      </c>
      <c r="DK26" s="256"/>
      <c r="DL26" s="255"/>
      <c r="DM26" s="242" t="str">
        <f>IF($A26="","",IFERROR(SUMPRODUCT((Raw_Data_Daily!$B$2:$B$9999="Variant")*(Raw_Data_Daily!$A$2:$A$9999=$A26)*(Raw_Data_Daily!$C$2:$C$9999=$C$3)*Raw_Data_Daily!$D$2:$D$9999*Raw_Data_Daily!$AO$2:$AO$9999)/SUMIFS(Raw_Data_Daily!$D:$D, Raw_Data_Daily!$B:$B, "Variant", Raw_Data_Daily!$A:$A, $A26, Raw_Data_Daily!$C:$C, $C$3),""))</f>
        <v/>
      </c>
      <c r="DN26" s="256"/>
      <c r="DO26" s="255"/>
      <c r="DP26" s="242" t="str">
        <f>IF($A26="","",IFERROR(SUMPRODUCT((Raw_Data_Daily!$B$2:$B$9999="Variant")*(Raw_Data_Daily!$A$2:$A$9999=$A26)*(Raw_Data_Daily!$C$2:$C$9999=$C$3)*Raw_Data_Daily!$D$2:$D$9999*Raw_Data_Daily!$AP$2:$AP$9999)/SUMIFS(Raw_Data_Daily!$D:$D, Raw_Data_Daily!$B:$B, "Variant", Raw_Data_Daily!$A:$A, $A26, Raw_Data_Daily!$C:$C, $C$3),""))</f>
        <v/>
      </c>
      <c r="DQ26" s="256"/>
      <c r="DR26" s="248" t="str">
        <f>IF($A26="","",IFERROR(SUMPRODUCT((Raw_Data_Daily!$B$2:$B$9999="Control")*(Raw_Data_Daily!$A$2:$A$9999=$A26)*(Raw_Data_Daily!$C$2:$C$9999=$C$3)*Raw_Data_Daily!$D$2:$D$9999*Raw_Data_Daily!$AQ$2:$AQ$9999)/SUMIFS(Raw_Data_Daily!$D:$D, Raw_Data_Daily!$B:$B, "Control", Raw_Data_Daily!$A:$A, $A26, Raw_Data_Daily!$C:$C, $C$3),""))</f>
        <v/>
      </c>
      <c r="DS26" s="248" t="str">
        <f>IF($A26="","",IFERROR(SUMPRODUCT((Raw_Data_Daily!$B$2:$B$9999="Variant")*(Raw_Data_Daily!$A$2:$A$9999=$A26)*(Raw_Data_Daily!$C$2:$C$9999=$C$3)*Raw_Data_Daily!$D$2:$D$9999*Raw_Data_Daily!$AQ$2:$AQ$9999)/SUMIFS(Raw_Data_Daily!$D:$D, Raw_Data_Daily!$B:$B, "Variant", Raw_Data_Daily!$A:$A, $A26, Raw_Data_Daily!$C:$C, $C$3),""))</f>
        <v/>
      </c>
      <c r="DT26" s="257" t="str">
        <f t="shared" si="37"/>
        <v/>
      </c>
      <c r="DU26" s="248" t="str">
        <f>IF($A26="","",IFERROR(SUMPRODUCT((Raw_Data_Daily!$B$2:$B$9999="Control")*(Raw_Data_Daily!$A$2:$A$9999=$A26)*(Raw_Data_Daily!$C$2:$C$9999=$C$3)*Raw_Data_Daily!$D$2:$D$9999*Raw_Data_Daily!$AR$2:$AR$9999)/SUMIFS(Raw_Data_Daily!$D:$D, Raw_Data_Daily!$B:$B, "Control", Raw_Data_Daily!$A:$A, $A26, Raw_Data_Daily!$C:$C, $C$3),""))</f>
        <v/>
      </c>
      <c r="DV26" s="248" t="str">
        <f>IF($A26="","",IFERROR(SUMPRODUCT((Raw_Data_Daily!$B$2:$B$9999="Variant")*(Raw_Data_Daily!$A$2:$A$9999=$A26)*(Raw_Data_Daily!$C$2:$C$9999=$C$3)*Raw_Data_Daily!$D$2:$D$9999*Raw_Data_Daily!$AR$2:$AR$9999)/SUMIFS(Raw_Data_Daily!$D:$D, Raw_Data_Daily!$B:$B, "Variant", Raw_Data_Daily!$A:$A, $A26, Raw_Data_Daily!$C:$C, $C$3),""))</f>
        <v/>
      </c>
      <c r="DW26" s="257" t="str">
        <f t="shared" si="38"/>
        <v/>
      </c>
      <c r="DX26" s="248" t="str">
        <f>IF($A26="","",IFERROR(SUMPRODUCT((Raw_Data_Daily!$B$2:$B$9999="Control")*(Raw_Data_Daily!$A$2:$A$9999=$A26)*(Raw_Data_Daily!$C$2:$C$9999=$C$3)*Raw_Data_Daily!$D$2:$D$9999*Raw_Data_Daily!$AS$2:$AS$9999)/SUMIFS(Raw_Data_Daily!$D:$D, Raw_Data_Daily!$B:$B, "Control", Raw_Data_Daily!$A:$A, $A26, Raw_Data_Daily!$C:$C, $C$3),""))</f>
        <v/>
      </c>
      <c r="DY26" s="248" t="str">
        <f>IF($A26="","",IFERROR(SUMPRODUCT((Raw_Data_Daily!$B$2:$B$9999="Variant")*(Raw_Data_Daily!$A$2:$A$9999=$A26)*(Raw_Data_Daily!$C$2:$C$9999=$C$3)*Raw_Data_Daily!$D$2:$D$9999*Raw_Data_Daily!$AS$2:$AS$9999)/SUMIFS(Raw_Data_Daily!$D:$D, Raw_Data_Daily!$B:$B, "Variant", Raw_Data_Daily!$A:$A, $A26, Raw_Data_Daily!$C:$C, $C$3),""))</f>
        <v/>
      </c>
      <c r="DZ26" s="257" t="str">
        <f t="shared" si="39"/>
        <v/>
      </c>
      <c r="EA26" s="248" t="str">
        <f>IF($A26="","",IFERROR(SUMPRODUCT((Raw_Data_Daily!$B$2:$B$9999="Control")*(Raw_Data_Daily!$A$2:$A$9999=$A26)*(Raw_Data_Daily!$C$2:$C$9999=$C$3)*Raw_Data_Daily!$D$2:$D$9999*Raw_Data_Daily!$AT$2:$AT$9999)/SUMIFS(Raw_Data_Daily!$D:$D, Raw_Data_Daily!$B:$B, "Control", Raw_Data_Daily!$A:$A, $A26, Raw_Data_Daily!$C:$C, $C$3),""))</f>
        <v/>
      </c>
      <c r="EB26" s="248" t="str">
        <f>IF($A26="","",IFERROR(SUMPRODUCT((Raw_Data_Daily!$B$2:$B$9999="Variant")*(Raw_Data_Daily!$A$2:$A$9999=$A26)*(Raw_Data_Daily!$C$2:$C$9999=$C$3)*Raw_Data_Daily!$D$2:$D$9999*Raw_Data_Daily!$AT$2:$AT$9999)/SUMIFS(Raw_Data_Daily!$D:$D, Raw_Data_Daily!$B:$B, "Variant", Raw_Data_Daily!$A:$A, $A26, Raw_Data_Daily!$C:$C, $C$3),""))</f>
        <v/>
      </c>
      <c r="EC26" s="257" t="str">
        <f t="shared" si="40"/>
        <v/>
      </c>
      <c r="ED26" s="248" t="str">
        <f>IF($A26="","",IFERROR(SUMPRODUCT((Raw_Data_Daily!$B$2:$B$9999="Control")*(Raw_Data_Daily!$A$2:$A$9999=$A26)*(Raw_Data_Daily!$C$2:$C$9999=$C$3)*Raw_Data_Daily!$D$2:$D$9999*(Raw_Data_Daily!$AQ$2:$AQ$9999-Raw_Data_Daily!$AT$2:$AT$9999))/SUMIFS(Raw_Data_Daily!$D:$D, Raw_Data_Daily!$B:$B, "Control", Raw_Data_Daily!$A:$A, $A26, Raw_Data_Daily!$C:$C, $C$3),""))</f>
        <v/>
      </c>
      <c r="EE26" s="248" t="str">
        <f>IF($A26="","",IFERROR(SUMPRODUCT((Raw_Data_Daily!$B$2:$B$9999="Variant")*(Raw_Data_Daily!$A$2:$A$9999=$A26)*(Raw_Data_Daily!$C$2:$C$9999=$C$3)*Raw_Data_Daily!$D$2:$D$9999*(Raw_Data_Daily!$AQ$2:$AQ$9999-Raw_Data_Daily!$AT$2:$AT$9999))/SUMIFS(Raw_Data_Daily!$D:$D, Raw_Data_Daily!$B:$B, "Variant", Raw_Data_Daily!$A:$A, $A26, Raw_Data_Daily!$C:$C, $C$3),""))</f>
        <v/>
      </c>
      <c r="EF26" s="257" t="str">
        <f t="shared" si="41"/>
        <v/>
      </c>
      <c r="EG26" s="248" t="str">
        <f>IF($A26="","",IFERROR(SUMPRODUCT((Raw_Data_Daily!$B$2:$B$9999="Control")*(Raw_Data_Daily!$A$2:$A$9999=$A26)*(Raw_Data_Daily!$C$2:$C$9999=$C$3)*Raw_Data_Daily!$D$2:$D$9999*Raw_Data_Daily!$AU$2:$AU$9999)/SUMIFS(Raw_Data_Daily!$D:$D, Raw_Data_Daily!$B:$B, "Control", Raw_Data_Daily!$A:$A, $A26, Raw_Data_Daily!$C:$C, $C$3),""))</f>
        <v/>
      </c>
      <c r="EH26" s="248" t="str">
        <f>IF($A26="","",IFERROR(SUMPRODUCT((Raw_Data_Daily!$B$2:$B$9999="Variant")*(Raw_Data_Daily!$A$2:$A$9999=$A26)*(Raw_Data_Daily!$C$2:$C$9999=$C$3)*Raw_Data_Daily!$D$2:$D$9999*Raw_Data_Daily!$AU$2:$AU$9999)/SUMIFS(Raw_Data_Daily!$D:$D, Raw_Data_Daily!$B:$B, "Variant", Raw_Data_Daily!$A:$A, $A26, Raw_Data_Daily!$C:$C, $C$3),""))</f>
        <v/>
      </c>
      <c r="EI26" s="257" t="str">
        <f t="shared" si="42"/>
        <v/>
      </c>
    </row>
    <row r="27" ht="15.75" customHeight="1">
      <c r="A27" s="239">
        <v>46250.0</v>
      </c>
      <c r="B27" s="240">
        <f>IF($A27="","",SUMIFS(Raw_Data_Daily!$D:$D, Raw_Data_Daily!$B:$B, "Control", Raw_Data_Daily!$A:$A, $A27, Raw_Data_Daily!$C:$C, $C$3))</f>
        <v>0</v>
      </c>
      <c r="C27" s="240">
        <f>IF($A27="","",SUMIFS(Raw_Data_Daily!$D:$D, Raw_Data_Daily!$B:$B, "Variant", Raw_Data_Daily!$A:$A, $A27, Raw_Data_Daily!$C:$C, $C$3))</f>
        <v>0</v>
      </c>
      <c r="D27" s="241" t="str">
        <f t="shared" si="1"/>
        <v/>
      </c>
      <c r="E27" s="242" t="str">
        <f>IF($A27="","",IFERROR(SUMPRODUCT((Raw_Data_Daily!$B$2:$B$9999="Control")*(Raw_Data_Daily!$A$2:$A$9999=$A27)*(Raw_Data_Daily!$C$2:$C$9999=$C$3)*Raw_Data_Daily!$D$2:$D$9999*Raw_Data_Daily!$E$2:$E$9999)/SUMIFS(Raw_Data_Daily!$D:$D, Raw_Data_Daily!$B:$B, "Control", Raw_Data_Daily!$A:$A, $A27, Raw_Data_Daily!$C:$C, $C$3),""))</f>
        <v/>
      </c>
      <c r="F27" s="242" t="str">
        <f>IF($A27="","",IFERROR(SUMPRODUCT((Raw_Data_Daily!$B$2:$B$9999="Variant")*(Raw_Data_Daily!$A$2:$A$9999=$A27)*(Raw_Data_Daily!$C$2:$C$9999=$C$3)*Raw_Data_Daily!$D$2:$D$9999*Raw_Data_Daily!$E$2:$E$9999)/SUMIFS(Raw_Data_Daily!$D:$D, Raw_Data_Daily!$B:$B, "Variant", Raw_Data_Daily!$A:$A, $A27, Raw_Data_Daily!$C:$C, $C$3),""))</f>
        <v/>
      </c>
      <c r="G27" s="241" t="str">
        <f t="shared" si="2"/>
        <v/>
      </c>
      <c r="H27" s="243">
        <f>IF($A27="","",SUMIFS(Raw_Data_Daily!$F:$F, Raw_Data_Daily!$B:$B, "Control", Raw_Data_Daily!$A:$A, $A27, Raw_Data_Daily!$C:$C, $C$3))</f>
        <v>0</v>
      </c>
      <c r="I27" s="243">
        <f>IF($A27="","",SUMIFS(Raw_Data_Daily!$F:$F, Raw_Data_Daily!$B:$B, "Variant", Raw_Data_Daily!$A:$A, $A27, Raw_Data_Daily!$C:$C, $C$3))</f>
        <v>0</v>
      </c>
      <c r="J27" s="244" t="str">
        <f t="shared" si="3"/>
        <v/>
      </c>
      <c r="K27" s="245" t="str">
        <f>IF($A27="","",IFERROR(SUMIFS(Raw_Data_Daily!$F:$F, Raw_Data_Daily!$B:$B, "Control", Raw_Data_Daily!$A:$A, $A27, Raw_Data_Daily!$C:$C, $C$3)/SUMIFS(Raw_Data_Daily!$D:$D, Raw_Data_Daily!$B:$B, "Control", Raw_Data_Daily!$A:$A, $A27, Raw_Data_Daily!$C:$C, $C$3),""))</f>
        <v/>
      </c>
      <c r="L27" s="245" t="str">
        <f>IF($A27="","",IFERROR(SUMIFS(Raw_Data_Daily!$F:$F, Raw_Data_Daily!$B:$B, "Variant", Raw_Data_Daily!$A:$A, $A27, Raw_Data_Daily!$C:$C, $C$3)/SUMIFS(Raw_Data_Daily!$D:$D, Raw_Data_Daily!$B:$B, "Variant", Raw_Data_Daily!$A:$A, $A27, Raw_Data_Daily!$C:$C, $C$3),""))</f>
        <v/>
      </c>
      <c r="M27" s="244" t="str">
        <f t="shared" si="4"/>
        <v/>
      </c>
      <c r="N27" s="242" t="str">
        <f>IF($A27="","",IFERROR(SUMPRODUCT((Raw_Data_Daily!$B$2:$B$9999="Control")*(Raw_Data_Daily!$A$2:$A$9999=$A27)*(Raw_Data_Daily!$C$2:$C$9999=$C$3)*Raw_Data_Daily!$D$2:$D$9999*Raw_Data_Daily!$H$2:$H$9999/100)/SUMIFS(Raw_Data_Daily!$D:$D, Raw_Data_Daily!$B:$B, "Control", Raw_Data_Daily!$A:$A, $A27, Raw_Data_Daily!$C:$C, $C$3)*100,""))</f>
        <v/>
      </c>
      <c r="O27" s="242" t="str">
        <f>IF($A27="","",IFERROR(SUMPRODUCT((Raw_Data_Daily!$B$2:$B$9999="Variant")*(Raw_Data_Daily!$A$2:$A$9999=$A27)*(Raw_Data_Daily!$C$2:$C$9999=$C$3)*Raw_Data_Daily!$D$2:$D$9999*Raw_Data_Daily!$H$2:$H$9999/100)/SUMIFS(Raw_Data_Daily!$D:$D, Raw_Data_Daily!$B:$B, "Variant", Raw_Data_Daily!$A:$A, $A27, Raw_Data_Daily!$C:$C, $C$3)*100,""))</f>
        <v/>
      </c>
      <c r="P27" s="244" t="str">
        <f t="shared" si="5"/>
        <v/>
      </c>
      <c r="Q27" s="245" t="str">
        <f>IF($A27="","",IFERROR(SUMIFS(Raw_Data_Daily!$F:$F, Raw_Data_Daily!$B:$B, "Control", Raw_Data_Daily!$A:$A, $A27, Raw_Data_Daily!$C:$C, $C$3)/SUMPRODUCT((Raw_Data_Daily!$B$2:$B$9999="Control")*(Raw_Data_Daily!$A$2:$A$9999=$A27)*(Raw_Data_Daily!$C$2:$C$9999=$C$3)*Raw_Data_Daily!$D$2:$D$9999*Raw_Data_Daily!$H$2:$H$9999/100),""))</f>
        <v/>
      </c>
      <c r="R27" s="245" t="str">
        <f>IF($A27="","",IFERROR(SUMIFS(Raw_Data_Daily!$F:$F, Raw_Data_Daily!$B:$B, "Variant", Raw_Data_Daily!$A:$A, $A27, Raw_Data_Daily!$C:$C, $C$3)/SUMPRODUCT((Raw_Data_Daily!$B$2:$B$9999="Variant")*(Raw_Data_Daily!$A$2:$A$9999=$A27)*(Raw_Data_Daily!$C$2:$C$9999=$C$3)*Raw_Data_Daily!$D$2:$D$9999*Raw_Data_Daily!$H$2:$H$9999/100),""))</f>
        <v/>
      </c>
      <c r="S27" s="244" t="str">
        <f t="shared" si="6"/>
        <v/>
      </c>
      <c r="T27" s="246" t="str">
        <f>IF($A27="","",IFERROR(SUMPRODUCT((Raw_Data_Daily!$B$2:$B$9999="Control")*(Raw_Data_Daily!$A$2:$A$9999=$A27)*(Raw_Data_Daily!$C$2:$C$9999=$C$3)*Raw_Data_Daily!$D$2:$D$9999*Raw_Data_Daily!$J$2:$J$9999)/SUMIFS(Raw_Data_Daily!$D:$D, Raw_Data_Daily!$B:$B, "Control", Raw_Data_Daily!$A:$A, $A27, Raw_Data_Daily!$C:$C, $C$3),""))</f>
        <v/>
      </c>
      <c r="U27" s="246" t="str">
        <f>IF($A27="","",IFERROR(SUMPRODUCT((Raw_Data_Daily!$B$2:$B$9999="Variant")*(Raw_Data_Daily!$A$2:$A$9999=$A27)*(Raw_Data_Daily!$C$2:$C$9999=$C$3)*Raw_Data_Daily!$D$2:$D$9999*Raw_Data_Daily!$J$2:$J$9999)/SUMIFS(Raw_Data_Daily!$D:$D, Raw_Data_Daily!$B:$B, "Variant", Raw_Data_Daily!$A:$A, $A27, Raw_Data_Daily!$C:$C, $C$3),""))</f>
        <v/>
      </c>
      <c r="V27" s="244" t="str">
        <f t="shared" si="7"/>
        <v/>
      </c>
      <c r="W27" s="246" t="str">
        <f>IF($A27="","",IFERROR(SUMPRODUCT((Raw_Data_Daily!$B$2:$B$9999="Control")*(Raw_Data_Daily!$A$2:$A$9999=$A27)*(Raw_Data_Daily!$C$2:$C$9999=$C$3)*Raw_Data_Daily!$D$2:$D$9999*Raw_Data_Daily!$K$2:$K$9999)/SUMIFS(Raw_Data_Daily!$D:$D, Raw_Data_Daily!$B:$B, "Control", Raw_Data_Daily!$A:$A, $A27, Raw_Data_Daily!$C:$C, $C$3),""))</f>
        <v/>
      </c>
      <c r="X27" s="246" t="str">
        <f>IF($A27="","",IFERROR(SUMPRODUCT((Raw_Data_Daily!$B$2:$B$9999="Variant")*(Raw_Data_Daily!$A$2:$A$9999=$A27)*(Raw_Data_Daily!$C$2:$C$9999=$C$3)*Raw_Data_Daily!$D$2:$D$9999*Raw_Data_Daily!$K$2:$K$9999)/SUMIFS(Raw_Data_Daily!$D:$D, Raw_Data_Daily!$B:$B, "Variant", Raw_Data_Daily!$A:$A, $A27, Raw_Data_Daily!$C:$C, $C$3),""))</f>
        <v/>
      </c>
      <c r="Y27" s="244" t="str">
        <f t="shared" si="8"/>
        <v/>
      </c>
      <c r="Z27" s="246" t="str">
        <f>IF($A27="","",IFERROR(SUMPRODUCT((Raw_Data_Daily!$B$2:$B$9999="Control")*(Raw_Data_Daily!$A$2:$A$9999=$A27)*(Raw_Data_Daily!$C$2:$C$9999=$C$3)*Raw_Data_Daily!$D$2:$D$9999*Raw_Data_Daily!$L$2:$L$9999)/SUMIFS(Raw_Data_Daily!$D:$D, Raw_Data_Daily!$B:$B, "Control", Raw_Data_Daily!$A:$A, $A27, Raw_Data_Daily!$C:$C, $C$3),""))</f>
        <v/>
      </c>
      <c r="AA27" s="246" t="str">
        <f>IF($A27="","",IFERROR(SUMPRODUCT((Raw_Data_Daily!$B$2:$B$9999="Variant")*(Raw_Data_Daily!$A$2:$A$9999=$A27)*(Raw_Data_Daily!$C$2:$C$9999=$C$3)*Raw_Data_Daily!$D$2:$D$9999*Raw_Data_Daily!$L$2:$L$9999)/SUMIFS(Raw_Data_Daily!$D:$D, Raw_Data_Daily!$B:$B, "Variant", Raw_Data_Daily!$A:$A, $A27, Raw_Data_Daily!$C:$C, $C$3),""))</f>
        <v/>
      </c>
      <c r="AB27" s="244" t="str">
        <f t="shared" si="9"/>
        <v/>
      </c>
      <c r="AC27" s="248" t="str">
        <f>IF($A27="","",IFERROR(SUMPRODUCT((Raw_Data_Daily!$B$2:$B$9999="Control")*(Raw_Data_Daily!$A$2:$A$9999=$A27)*(Raw_Data_Daily!$C$2:$C$9999=$C$3)*Raw_Data_Daily!$D$2:$D$9999*Raw_Data_Daily!$M$2:$M$9999)/SUMIFS(Raw_Data_Daily!$D:$D, Raw_Data_Daily!$B:$B, "Control", Raw_Data_Daily!$A:$A, $A27, Raw_Data_Daily!$C:$C, $C$3),""))</f>
        <v/>
      </c>
      <c r="AD27" s="248" t="str">
        <f>IF($A27="","",IFERROR(SUMPRODUCT((Raw_Data_Daily!$B$2:$B$9999="Variant")*(Raw_Data_Daily!$A$2:$A$9999=$A27)*(Raw_Data_Daily!$C$2:$C$9999=$C$3)*Raw_Data_Daily!$D$2:$D$9999*Raw_Data_Daily!$M$2:$M$9999)/SUMIFS(Raw_Data_Daily!$D:$D, Raw_Data_Daily!$B:$B, "Variant", Raw_Data_Daily!$A:$A, $A27, Raw_Data_Daily!$C:$C, $C$3),""))</f>
        <v/>
      </c>
      <c r="AE27" s="249" t="str">
        <f t="shared" si="10"/>
        <v/>
      </c>
      <c r="AF27" s="248" t="str">
        <f>IF($A27="","",IFERROR(SUMPRODUCT((Raw_Data_Daily!$B$2:$B$9999="Control")*(Raw_Data_Daily!$A$2:$A$9999=$A27)*(Raw_Data_Daily!$C$2:$C$9999=$C$3)*Raw_Data_Daily!$D$2:$D$9999*Raw_Data_Daily!$N$2:$N$9999)/SUMIFS(Raw_Data_Daily!$D:$D, Raw_Data_Daily!$B:$B, "Control", Raw_Data_Daily!$A:$A, $A27, Raw_Data_Daily!$C:$C, $C$3),""))</f>
        <v/>
      </c>
      <c r="AG27" s="248" t="str">
        <f>IF($A27="","",IFERROR(SUMPRODUCT((Raw_Data_Daily!$B$2:$B$9999="Variant")*(Raw_Data_Daily!$A$2:$A$9999=$A27)*(Raw_Data_Daily!$C$2:$C$9999=$C$3)*Raw_Data_Daily!$D$2:$D$9999*Raw_Data_Daily!$N$2:$N$9999)/SUMIFS(Raw_Data_Daily!$D:$D, Raw_Data_Daily!$B:$B, "Variant", Raw_Data_Daily!$A:$A, $A27, Raw_Data_Daily!$C:$C, $C$3),""))</f>
        <v/>
      </c>
      <c r="AH27" s="249" t="str">
        <f t="shared" si="11"/>
        <v/>
      </c>
      <c r="AI27" s="248" t="str">
        <f>IF($A27="","",IFERROR(SUMPRODUCT((Raw_Data_Daily!$B$2:$B$9999="Control")*(Raw_Data_Daily!$A$2:$A$9999=$A27)*(Raw_Data_Daily!$C$2:$C$9999=$C$3)*Raw_Data_Daily!$D$2:$D$9999*Raw_Data_Daily!$O$2:$O$9999)/SUMIFS(Raw_Data_Daily!$D:$D, Raw_Data_Daily!$B:$B, "Control", Raw_Data_Daily!$A:$A, $A27, Raw_Data_Daily!$C:$C, $C$3),""))</f>
        <v/>
      </c>
      <c r="AJ27" s="248" t="str">
        <f>IF($A27="","",IFERROR(SUMPRODUCT((Raw_Data_Daily!$B$2:$B$9999="Variant")*(Raw_Data_Daily!$A$2:$A$9999=$A27)*(Raw_Data_Daily!$C$2:$C$9999=$C$3)*Raw_Data_Daily!$D$2:$D$9999*Raw_Data_Daily!$O$2:$O$9999)/SUMIFS(Raw_Data_Daily!$D:$D, Raw_Data_Daily!$B:$B, "Variant", Raw_Data_Daily!$A:$A, $A27, Raw_Data_Daily!$C:$C, $C$3),""))</f>
        <v/>
      </c>
      <c r="AK27" s="244" t="str">
        <f t="shared" si="12"/>
        <v/>
      </c>
      <c r="AL27" s="246" t="str">
        <f>IF($A27="","",IFERROR(SUMPRODUCT((Raw_Data_Daily!$B$2:$B$9999="Control")*(Raw_Data_Daily!$A$2:$A$9999=$A27)*(Raw_Data_Daily!$C$2:$C$9999=$C$3)*Raw_Data_Daily!$D$2:$D$9999*Raw_Data_Daily!$P$2:$P$9999)/SUMIFS(Raw_Data_Daily!$D:$D, Raw_Data_Daily!$B:$B, "Control", Raw_Data_Daily!$A:$A, $A27, Raw_Data_Daily!$C:$C, $C$3),""))</f>
        <v/>
      </c>
      <c r="AM27" s="246" t="str">
        <f>IF($A27="","",IFERROR(SUMPRODUCT((Raw_Data_Daily!$B$2:$B$9999="Variant")*(Raw_Data_Daily!$A$2:$A$9999=$A27)*(Raw_Data_Daily!$C$2:$C$9999=$C$3)*Raw_Data_Daily!$D$2:$D$9999*Raw_Data_Daily!$P$2:$P$9999)/SUMIFS(Raw_Data_Daily!$D:$D, Raw_Data_Daily!$B:$B, "Variant", Raw_Data_Daily!$A:$A, $A27, Raw_Data_Daily!$C:$C, $C$3),""))</f>
        <v/>
      </c>
      <c r="AN27" s="244" t="str">
        <f t="shared" si="13"/>
        <v/>
      </c>
      <c r="AO27" s="246" t="str">
        <f>IF($A27="","",IFERROR(SUMPRODUCT((Raw_Data_Daily!$B$2:$B$9999="Control")*(Raw_Data_Daily!$A$2:$A$9999=$A27)*(Raw_Data_Daily!$C$2:$C$9999=$C$3)*Raw_Data_Daily!$D$2:$D$9999*Raw_Data_Daily!$Q$2:$Q$9999)/SUMIFS(Raw_Data_Daily!$D:$D, Raw_Data_Daily!$B:$B, "Control", Raw_Data_Daily!$A:$A, $A27, Raw_Data_Daily!$C:$C, $C$3),""))</f>
        <v/>
      </c>
      <c r="AP27" s="246" t="str">
        <f>IF($A27="","",IFERROR(SUMPRODUCT((Raw_Data_Daily!$B$2:$B$9999="Variant")*(Raw_Data_Daily!$A$2:$A$9999=$A27)*(Raw_Data_Daily!$C$2:$C$9999=$C$3)*Raw_Data_Daily!$D$2:$D$9999*Raw_Data_Daily!$Q$2:$Q$9999)/SUMIFS(Raw_Data_Daily!$D:$D, Raw_Data_Daily!$B:$B, "Variant", Raw_Data_Daily!$A:$A, $A27, Raw_Data_Daily!$C:$C, $C$3),""))</f>
        <v/>
      </c>
      <c r="AQ27" s="241" t="str">
        <f t="shared" si="14"/>
        <v/>
      </c>
      <c r="AR27" s="246" t="str">
        <f>IF($A27="","",IFERROR(SUMPRODUCT((Raw_Data_Daily!$B$2:$B$9999="Control")*(Raw_Data_Daily!$A$2:$A$9999=$A27)*(Raw_Data_Daily!$C$2:$C$9999=$C$3)*Raw_Data_Daily!$D$2:$D$9999*Raw_Data_Daily!$R$2:$R$9999)/SUMIFS(Raw_Data_Daily!$D:$D, Raw_Data_Daily!$B:$B, "Control", Raw_Data_Daily!$A:$A, $A27, Raw_Data_Daily!$C:$C, $C$3),""))</f>
        <v/>
      </c>
      <c r="AS27" s="246" t="str">
        <f>IF($A27="","",IFERROR(SUMPRODUCT((Raw_Data_Daily!$B$2:$B$9999="Variant")*(Raw_Data_Daily!$A$2:$A$9999=$A27)*(Raw_Data_Daily!$C$2:$C$9999=$C$3)*Raw_Data_Daily!$D$2:$D$9999*Raw_Data_Daily!$R$2:$R$9999)/SUMIFS(Raw_Data_Daily!$D:$D, Raw_Data_Daily!$B:$B, "Variant", Raw_Data_Daily!$A:$A, $A27, Raw_Data_Daily!$C:$C, $C$3),""))</f>
        <v/>
      </c>
      <c r="AT27" s="241" t="str">
        <f t="shared" si="15"/>
        <v/>
      </c>
      <c r="AU27" s="246" t="str">
        <f>IF($A27="","",IFERROR(SUMPRODUCT((Raw_Data_Daily!$B$2:$B$9999="Control")*(Raw_Data_Daily!$A$2:$A$9999=$A27)*(Raw_Data_Daily!$C$2:$C$9999=$C$3)*Raw_Data_Daily!$D$2:$D$9999*Raw_Data_Daily!$S$2:$S$9999)/SUMIFS(Raw_Data_Daily!$D:$D, Raw_Data_Daily!$B:$B, "Control", Raw_Data_Daily!$A:$A, $A27, Raw_Data_Daily!$C:$C, $C$3),""))</f>
        <v/>
      </c>
      <c r="AV27" s="246" t="str">
        <f>IF($A27="","",IFERROR(SUMPRODUCT((Raw_Data_Daily!$B$2:$B$9999="Variant")*(Raw_Data_Daily!$A$2:$A$9999=$A27)*(Raw_Data_Daily!$C$2:$C$9999=$C$3)*Raw_Data_Daily!$D$2:$D$9999*Raw_Data_Daily!$S$2:$S$9999)/SUMIFS(Raw_Data_Daily!$D:$D, Raw_Data_Daily!$B:$B, "Variant", Raw_Data_Daily!$A:$A, $A27, Raw_Data_Daily!$C:$C, $C$3),""))</f>
        <v/>
      </c>
      <c r="AW27" s="241" t="str">
        <f t="shared" si="16"/>
        <v/>
      </c>
      <c r="AX27" s="246" t="str">
        <f>IF($A27="","",IFERROR(SUMPRODUCT((Raw_Data_Daily!$B$2:$B$9999="Control")*(Raw_Data_Daily!$A$2:$A$9999=$A27)*(Raw_Data_Daily!$C$2:$C$9999=$C$3)*Raw_Data_Daily!$D$2:$D$9999*Raw_Data_Daily!$T$2:$T$9999)/SUMIFS(Raw_Data_Daily!$D:$D, Raw_Data_Daily!$B:$B, "Control", Raw_Data_Daily!$A:$A, $A27, Raw_Data_Daily!$C:$C, $C$3),""))</f>
        <v/>
      </c>
      <c r="AY27" s="246" t="str">
        <f>IF($A27="","",IFERROR(SUMPRODUCT((Raw_Data_Daily!$B$2:$B$9999="Variant")*(Raw_Data_Daily!$A$2:$A$9999=$A27)*(Raw_Data_Daily!$C$2:$C$9999=$C$3)*Raw_Data_Daily!$D$2:$D$9999*Raw_Data_Daily!$T$2:$T$9999)/SUMIFS(Raw_Data_Daily!$D:$D, Raw_Data_Daily!$B:$B, "Variant", Raw_Data_Daily!$A:$A, $A27, Raw_Data_Daily!$C:$C, $C$3),""))</f>
        <v/>
      </c>
      <c r="AZ27" s="244" t="str">
        <f t="shared" si="17"/>
        <v/>
      </c>
      <c r="BA27" s="246" t="str">
        <f>IF($A27="","",IFERROR(SUMPRODUCT((Raw_Data_Daily!$B$2:$B$9999="Control")*(Raw_Data_Daily!$A$2:$A$9999=$A27)*(Raw_Data_Daily!$C$2:$C$9999=$C$3)*Raw_Data_Daily!$D$2:$D$9999*Raw_Data_Daily!$U$2:$U$9999)/SUMIFS(Raw_Data_Daily!$D:$D, Raw_Data_Daily!$B:$B, "Control", Raw_Data_Daily!$A:$A, $A27, Raw_Data_Daily!$C:$C, $C$3),""))</f>
        <v/>
      </c>
      <c r="BB27" s="246" t="str">
        <f>IF($A27="","",IFERROR(SUMPRODUCT((Raw_Data_Daily!$B$2:$B$9999="Variant")*(Raw_Data_Daily!$A$2:$A$9999=$A27)*(Raw_Data_Daily!$C$2:$C$9999=$C$3)*Raw_Data_Daily!$D$2:$D$9999*Raw_Data_Daily!$U$2:$U$9999)/SUMIFS(Raw_Data_Daily!$D:$D, Raw_Data_Daily!$B:$B, "Variant", Raw_Data_Daily!$A:$A, $A27, Raw_Data_Daily!$C:$C, $C$3),""))</f>
        <v/>
      </c>
      <c r="BC27" s="241" t="str">
        <f t="shared" si="18"/>
        <v/>
      </c>
      <c r="BD27" s="246" t="str">
        <f>IF($A27="","",IFERROR(SUMPRODUCT((Raw_Data_Daily!$B$2:$B$9999="Control")*(Raw_Data_Daily!$A$2:$A$9999=$A27)*(Raw_Data_Daily!$C$2:$C$9999=$C$3)*Raw_Data_Daily!$D$2:$D$9999*Raw_Data_Daily!$V$2:$V$9999)/SUMIFS(Raw_Data_Daily!$D:$D, Raw_Data_Daily!$B:$B, "Control", Raw_Data_Daily!$A:$A, $A27, Raw_Data_Daily!$C:$C, $C$3),""))</f>
        <v/>
      </c>
      <c r="BE27" s="246" t="str">
        <f>IF($A27="","",IFERROR(SUMPRODUCT((Raw_Data_Daily!$B$2:$B$9999="Variant")*(Raw_Data_Daily!$A$2:$A$9999=$A27)*(Raw_Data_Daily!$C$2:$C$9999=$C$3)*Raw_Data_Daily!$D$2:$D$9999*Raw_Data_Daily!$V$2:$V$9999)/SUMIFS(Raw_Data_Daily!$D:$D, Raw_Data_Daily!$B:$B, "Variant", Raw_Data_Daily!$A:$A, $A27, Raw_Data_Daily!$C:$C, $C$3),""))</f>
        <v/>
      </c>
      <c r="BF27" s="251" t="str">
        <f t="shared" si="19"/>
        <v/>
      </c>
      <c r="BG27" s="252" t="str">
        <f>IF($A27="","",IFERROR(SUMPRODUCT((Raw_Data_Daily!$B$2:$B$9999="Control")*(Raw_Data_Daily!$A$2:$A$9999=$A27)*(Raw_Data_Daily!$C$2:$C$9999=$C$3)*Raw_Data_Daily!$D$2:$D$9999*(Raw_Data_Daily!$Q$2:$Q$9999-Raw_Data_Daily!$V$2:$V$9999))/SUMIFS(Raw_Data_Daily!$D:$D, Raw_Data_Daily!$B:$B, "Control", Raw_Data_Daily!$A:$A, $A27, Raw_Data_Daily!$C:$C, $C$3),""))</f>
        <v/>
      </c>
      <c r="BH27" s="246" t="str">
        <f>IF($A27="","",IFERROR(SUMPRODUCT((Raw_Data_Daily!$B$2:$B$9999="Variant")*(Raw_Data_Daily!$A$2:$A$9999=$A27)*(Raw_Data_Daily!$C$2:$C$9999=$C$3)*Raw_Data_Daily!$D$2:$D$9999*(Raw_Data_Daily!$Q$2:$Q$9999-Raw_Data_Daily!$V$2:$V$9999))/SUMIFS(Raw_Data_Daily!$D:$D, Raw_Data_Daily!$B:$B, "Variant", Raw_Data_Daily!$A:$A, $A27, Raw_Data_Daily!$C:$C, $C$3),""))</f>
        <v/>
      </c>
      <c r="BI27" s="253" t="str">
        <f t="shared" si="20"/>
        <v/>
      </c>
      <c r="BJ27" s="254" t="str">
        <f>IF($A27="","",IFERROR(SUMPRODUCT((Raw_Data_Daily!$B$2:$B$9999="Control")*(Raw_Data_Daily!$A$2:$A$9999=$A27)*(Raw_Data_Daily!$C$2:$C$9999=$C$3)*Raw_Data_Daily!$D$2:$D$9999*Raw_Data_Daily!$W$2:$W$9999)/SUMIFS(Raw_Data_Daily!$D:$D, Raw_Data_Daily!$B:$B, "Control", Raw_Data_Daily!$A:$A, $A27, Raw_Data_Daily!$C:$C, $C$3),""))</f>
        <v/>
      </c>
      <c r="BK27" s="246" t="str">
        <f>IF($A27="","",IFERROR(SUMPRODUCT((Raw_Data_Daily!$B$2:$B$9999="Variant")*(Raw_Data_Daily!$A$2:$A$9999=$A27)*(Raw_Data_Daily!$C$2:$C$9999=$C$3)*Raw_Data_Daily!$D$2:$D$9999*Raw_Data_Daily!$W$2:$W$9999)/SUMIFS(Raw_Data_Daily!$D:$D, Raw_Data_Daily!$B:$B, "Variant", Raw_Data_Daily!$A:$A, $A27, Raw_Data_Daily!$C:$C, $C$3),""))</f>
        <v/>
      </c>
      <c r="BL27" s="241" t="str">
        <f t="shared" si="21"/>
        <v/>
      </c>
      <c r="BM27" s="248" t="str">
        <f>IF($A27="","",IFERROR(SUMPRODUCT((Raw_Data_Daily!$B$2:$B$9999="Control")*(Raw_Data_Daily!$A$2:$A$9999=$A27)*(Raw_Data_Daily!$C$2:$C$9999=$C$3)*Raw_Data_Daily!$D$2:$D$9999*Raw_Data_Daily!$X$2:$X$9999)/SUMIFS(Raw_Data_Daily!$D:$D, Raw_Data_Daily!$B:$B, "Control", Raw_Data_Daily!$A:$A, $A27, Raw_Data_Daily!$C:$C, $C$3),""))</f>
        <v/>
      </c>
      <c r="BN27" s="248" t="str">
        <f>IF($A27="","",IFERROR(SUMPRODUCT((Raw_Data_Daily!$B$2:$B$9999="Variant")*(Raw_Data_Daily!$A$2:$A$9999=$A27)*(Raw_Data_Daily!$C$2:$C$9999=$C$3)*Raw_Data_Daily!$D$2:$D$9999*Raw_Data_Daily!$X$2:$X$9999)/SUMIFS(Raw_Data_Daily!$D:$D, Raw_Data_Daily!$B:$B, "Variant", Raw_Data_Daily!$A:$A, $A27, Raw_Data_Daily!$C:$C, $C$3),""))</f>
        <v/>
      </c>
      <c r="BO27" s="244" t="str">
        <f t="shared" si="22"/>
        <v/>
      </c>
      <c r="BP27" s="240" t="str">
        <f>IF($A27="","",IFERROR(SUMPRODUCT((Raw_Data_Daily!$B$2:$B$9999="Control")*(Raw_Data_Daily!$A$2:$A$9999=$A27)*(Raw_Data_Daily!$C$2:$C$9999=$C$3)*Raw_Data_Daily!$D$2:$D$9999*Raw_Data_Daily!$Y$2:$Y$9999)/SUMIFS(Raw_Data_Daily!$D:$D, Raw_Data_Daily!$B:$B, "Control", Raw_Data_Daily!$A:$A, $A27, Raw_Data_Daily!$C:$C, $C$3),""))</f>
        <v/>
      </c>
      <c r="BQ27" s="240" t="str">
        <f>IF($A27="","",IFERROR(SUMPRODUCT((Raw_Data_Daily!$B$2:$B$9999="Variant")*(Raw_Data_Daily!$A$2:$A$9999=$A27)*(Raw_Data_Daily!$C$2:$C$9999=$C$3)*Raw_Data_Daily!$D$2:$D$9999*Raw_Data_Daily!$Y$2:$Y$9999)/SUMIFS(Raw_Data_Daily!$D:$D, Raw_Data_Daily!$B:$B, "Variant", Raw_Data_Daily!$A:$A, $A27, Raw_Data_Daily!$C:$C, $C$3),""))</f>
        <v/>
      </c>
      <c r="BR27" s="241" t="str">
        <f t="shared" si="23"/>
        <v/>
      </c>
      <c r="BS27" s="240" t="str">
        <f>IF($A27="","",IFERROR(SUMPRODUCT((Raw_Data_Daily!$B$2:$B$9999="Control")*(Raw_Data_Daily!$A$2:$A$9999=$A27)*(Raw_Data_Daily!$C$2:$C$9999=$C$3)*Raw_Data_Daily!$D$2:$D$9999*Raw_Data_Daily!$Z$2:$Z$9999)/SUMIFS(Raw_Data_Daily!$D:$D, Raw_Data_Daily!$B:$B, "Control", Raw_Data_Daily!$A:$A, $A27, Raw_Data_Daily!$C:$C, $C$3),""))</f>
        <v/>
      </c>
      <c r="BT27" s="240" t="str">
        <f>IF($A27="","",IFERROR(SUMPRODUCT((Raw_Data_Daily!$B$2:$B$9999="Variant")*(Raw_Data_Daily!$A$2:$A$9999=$A27)*(Raw_Data_Daily!$C$2:$C$9999=$C$3)*Raw_Data_Daily!$D$2:$D$9999*Raw_Data_Daily!$Z$2:$Z$9999)/SUMIFS(Raw_Data_Daily!$D:$D, Raw_Data_Daily!$B:$B, "Variant", Raw_Data_Daily!$A:$A, $A27, Raw_Data_Daily!$C:$C, $C$3),""))</f>
        <v/>
      </c>
      <c r="BU27" s="241" t="str">
        <f t="shared" si="24"/>
        <v/>
      </c>
      <c r="BV27" s="240" t="str">
        <f>IF($A27="","",IFERROR(SUMPRODUCT((Raw_Data_Daily!$B$2:$B$9999="Control")*(Raw_Data_Daily!$A$2:$A$9999=$A27)*(Raw_Data_Daily!$C$2:$C$9999=$C$3)*Raw_Data_Daily!$D$2:$D$9999*Raw_Data_Daily!$AA$2:$AA$9999)/SUMIFS(Raw_Data_Daily!$D:$D, Raw_Data_Daily!$B:$B, "Control", Raw_Data_Daily!$A:$A, $A27, Raw_Data_Daily!$C:$C, $C$3),""))</f>
        <v/>
      </c>
      <c r="BW27" s="240" t="str">
        <f>IF($A27="","",IFERROR(SUMPRODUCT((Raw_Data_Daily!$B$2:$B$9999="Variant")*(Raw_Data_Daily!$A$2:$A$9999=$A27)*(Raw_Data_Daily!$C$2:$C$9999=$C$3)*Raw_Data_Daily!$D$2:$D$9999*Raw_Data_Daily!$AA$2:$AA$9999)/SUMIFS(Raw_Data_Daily!$D:$D, Raw_Data_Daily!$B:$B, "Variant", Raw_Data_Daily!$A:$A, $A27, Raw_Data_Daily!$C:$C, $C$3),""))</f>
        <v/>
      </c>
      <c r="BX27" s="241" t="str">
        <f t="shared" si="25"/>
        <v/>
      </c>
      <c r="BY27" s="246" t="str">
        <f>IF($A27="","",IFERROR(SUMPRODUCT((Raw_Data_Daily!$B$2:$B$9999="Control")*(Raw_Data_Daily!$A$2:$A$9999=$A27)*(Raw_Data_Daily!$C$2:$C$9999=$C$3)*Raw_Data_Daily!$D$2:$D$9999*Raw_Data_Daily!$AB$2:$AB$9999)/SUMIFS(Raw_Data_Daily!$D:$D, Raw_Data_Daily!$B:$B, "Control", Raw_Data_Daily!$A:$A, $A27, Raw_Data_Daily!$C:$C, $C$3),""))</f>
        <v/>
      </c>
      <c r="BZ27" s="246" t="str">
        <f>IF($A27="","",IFERROR(SUMPRODUCT((Raw_Data_Daily!$B$2:$B$9999="Variant")*(Raw_Data_Daily!$A$2:$A$9999=$A27)*(Raw_Data_Daily!$C$2:$C$9999=$C$3)*Raw_Data_Daily!$D$2:$D$9999*Raw_Data_Daily!$AB$2:$AB$9999)/SUMIFS(Raw_Data_Daily!$D:$D, Raw_Data_Daily!$B:$B, "Variant", Raw_Data_Daily!$A:$A, $A27, Raw_Data_Daily!$C:$C, $C$3),""))</f>
        <v/>
      </c>
      <c r="CA27" s="244" t="str">
        <f t="shared" si="26"/>
        <v/>
      </c>
      <c r="CB27" s="246" t="str">
        <f>IF($A27="","",IFERROR(SUMPRODUCT((Raw_Data_Daily!$B$2:$B$9999="Control")*(Raw_Data_Daily!$A$2:$A$9999=$A27)*(Raw_Data_Daily!$C$2:$C$9999=$C$3)*Raw_Data_Daily!$D$2:$D$9999*Raw_Data_Daily!$AC$2:$AC$9999)/SUMIFS(Raw_Data_Daily!$D:$D, Raw_Data_Daily!$B:$B, "Control", Raw_Data_Daily!$A:$A, $A27, Raw_Data_Daily!$C:$C, $C$3),""))</f>
        <v/>
      </c>
      <c r="CC27" s="246" t="str">
        <f>IF($A27="","",IFERROR(SUMPRODUCT((Raw_Data_Daily!$B$2:$B$9999="Variant")*(Raw_Data_Daily!$A$2:$A$9999=$A27)*(Raw_Data_Daily!$C$2:$C$9999=$C$3)*Raw_Data_Daily!$D$2:$D$9999*Raw_Data_Daily!$AC$2:$AC$9999)/SUMIFS(Raw_Data_Daily!$D:$D, Raw_Data_Daily!$B:$B, "Variant", Raw_Data_Daily!$A:$A, $A27, Raw_Data_Daily!$C:$C, $C$3),""))</f>
        <v/>
      </c>
      <c r="CD27" s="244" t="str">
        <f t="shared" si="27"/>
        <v/>
      </c>
      <c r="CE27" s="246" t="str">
        <f>IF($A27="","",IFERROR(SUMPRODUCT((Raw_Data_Daily!$B$2:$B$9999="Control")*(Raw_Data_Daily!$A$2:$A$9999=$A27)*(Raw_Data_Daily!$C$2:$C$9999=$C$3)*Raw_Data_Daily!$D$2:$D$9999*Raw_Data_Daily!$AD$2:$AD$9999)/SUMIFS(Raw_Data_Daily!$D:$D, Raw_Data_Daily!$B:$B, "Control", Raw_Data_Daily!$A:$A, $A27, Raw_Data_Daily!$C:$C, $C$3),""))</f>
        <v/>
      </c>
      <c r="CF27" s="246" t="str">
        <f>IF($A27="","",IFERROR(SUMPRODUCT((Raw_Data_Daily!$B$2:$B$9999="Variant")*(Raw_Data_Daily!$A$2:$A$9999=$A27)*(Raw_Data_Daily!$C$2:$C$9999=$C$3)*Raw_Data_Daily!$D$2:$D$9999*Raw_Data_Daily!$AD$2:$AD$9999)/SUMIFS(Raw_Data_Daily!$D:$D, Raw_Data_Daily!$B:$B, "Variant", Raw_Data_Daily!$A:$A, $A27, Raw_Data_Daily!$C:$C, $C$3),""))</f>
        <v/>
      </c>
      <c r="CG27" s="244" t="str">
        <f t="shared" si="28"/>
        <v/>
      </c>
      <c r="CH27" s="246" t="str">
        <f>IF($A27="","",IFERROR(SUMPRODUCT((Raw_Data_Daily!$B$2:$B$9999="Control")*(Raw_Data_Daily!$A$2:$A$9999=$A27)*(Raw_Data_Daily!$C$2:$C$9999=$C$3)*Raw_Data_Daily!$D$2:$D$9999*Raw_Data_Daily!$AE$2:$AE$9999)/SUMIFS(Raw_Data_Daily!$D:$D, Raw_Data_Daily!$B:$B, "Control", Raw_Data_Daily!$A:$A, $A27, Raw_Data_Daily!$C:$C, $C$3),""))</f>
        <v/>
      </c>
      <c r="CI27" s="246" t="str">
        <f>IF($A27="","",IFERROR(SUMPRODUCT((Raw_Data_Daily!$B$2:$B$9999="Variant")*(Raw_Data_Daily!$A$2:$A$9999=$A27)*(Raw_Data_Daily!$C$2:$C$9999=$C$3)*Raw_Data_Daily!$D$2:$D$9999*Raw_Data_Daily!$AE$2:$AE$9999)/SUMIFS(Raw_Data_Daily!$D:$D, Raw_Data_Daily!$B:$B, "Variant", Raw_Data_Daily!$A:$A, $A27, Raw_Data_Daily!$C:$C, $C$3),""))</f>
        <v/>
      </c>
      <c r="CJ27" s="244" t="str">
        <f t="shared" si="29"/>
        <v/>
      </c>
      <c r="CK27" s="246" t="str">
        <f>IF($A27="","",IFERROR(SUMPRODUCT((Raw_Data_Daily!$B$2:$B$9999="Control")*(Raw_Data_Daily!$A$2:$A$9999=$A27)*(Raw_Data_Daily!$C$2:$C$9999=$C$3)*Raw_Data_Daily!$D$2:$D$9999*Raw_Data_Daily!$AF$2:$AF$9999)/SUMIFS(Raw_Data_Daily!$D:$D, Raw_Data_Daily!$B:$B, "Control", Raw_Data_Daily!$A:$A, $A27, Raw_Data_Daily!$C:$C, $C$3),""))</f>
        <v/>
      </c>
      <c r="CL27" s="246" t="str">
        <f>IF($A27="","",IFERROR(SUMPRODUCT((Raw_Data_Daily!$B$2:$B$9999="Variant")*(Raw_Data_Daily!$A$2:$A$9999=$A27)*(Raw_Data_Daily!$C$2:$C$9999=$C$3)*Raw_Data_Daily!$D$2:$D$9999*Raw_Data_Daily!$AF$2:$AF$9999)/SUMIFS(Raw_Data_Daily!$D:$D, Raw_Data_Daily!$B:$B, "Variant", Raw_Data_Daily!$A:$A, $A27, Raw_Data_Daily!$C:$C, $C$3),""))</f>
        <v/>
      </c>
      <c r="CM27" s="244" t="str">
        <f t="shared" si="30"/>
        <v/>
      </c>
      <c r="CN27" s="246" t="str">
        <f>IF($A27="","",IFERROR(SUMPRODUCT((Raw_Data_Daily!$B$2:$B$9999="Control")*(Raw_Data_Daily!$A$2:$A$9999=$A27)*(Raw_Data_Daily!$C$2:$C$9999=$C$3)*Raw_Data_Daily!$D$2:$D$9999*Raw_Data_Daily!$AG$2:$AG$9999)/SUMIFS(Raw_Data_Daily!$D:$D, Raw_Data_Daily!$B:$B, "Control", Raw_Data_Daily!$A:$A, $A27, Raw_Data_Daily!$C:$C, $C$3),""))</f>
        <v/>
      </c>
      <c r="CO27" s="246" t="str">
        <f>IF($A27="","",IFERROR(SUMPRODUCT((Raw_Data_Daily!$B$2:$B$9999="Variant")*(Raw_Data_Daily!$A$2:$A$9999=$A27)*(Raw_Data_Daily!$C$2:$C$9999=$C$3)*Raw_Data_Daily!$D$2:$D$9999*Raw_Data_Daily!$AG$2:$AG$9999)/SUMIFS(Raw_Data_Daily!$D:$D, Raw_Data_Daily!$B:$B, "Variant", Raw_Data_Daily!$A:$A, $A27, Raw_Data_Daily!$C:$C, $C$3),""))</f>
        <v/>
      </c>
      <c r="CP27" s="244" t="str">
        <f t="shared" si="31"/>
        <v/>
      </c>
      <c r="CQ27" s="246" t="str">
        <f>IF($A27="","",IFERROR(SUMPRODUCT((Raw_Data_Daily!$B$2:$B$9999="Control")*(Raw_Data_Daily!$A$2:$A$9999=$A27)*(Raw_Data_Daily!$C$2:$C$9999=$C$3)*Raw_Data_Daily!$D$2:$D$9999*Raw_Data_Daily!$AH$2:$AH$9999)/SUMIFS(Raw_Data_Daily!$D:$D, Raw_Data_Daily!$B:$B, "Control", Raw_Data_Daily!$A:$A, $A27, Raw_Data_Daily!$C:$C, $C$3),""))</f>
        <v/>
      </c>
      <c r="CR27" s="246" t="str">
        <f>IF($A27="","",IFERROR(SUMPRODUCT((Raw_Data_Daily!$B$2:$B$9999="Variant")*(Raw_Data_Daily!$A$2:$A$9999=$A27)*(Raw_Data_Daily!$C$2:$C$9999=$C$3)*Raw_Data_Daily!$D$2:$D$9999*Raw_Data_Daily!$AH$2:$AH$9999)/SUMIFS(Raw_Data_Daily!$D:$D, Raw_Data_Daily!$B:$B, "Variant", Raw_Data_Daily!$A:$A, $A27, Raw_Data_Daily!$C:$C, $C$3),""))</f>
        <v/>
      </c>
      <c r="CS27" s="244" t="str">
        <f t="shared" si="32"/>
        <v/>
      </c>
      <c r="CT27" s="242" t="str">
        <f>IF($A27="","",IFERROR(SUMPRODUCT((Raw_Data_Daily!$B$2:$B$9999="Control")*(Raw_Data_Daily!$A$2:$A$9999=$A27)*(Raw_Data_Daily!$C$2:$C$9999=$C$3)*Raw_Data_Daily!$D$2:$D$9999*Raw_Data_Daily!$AI$2:$AI$9999)/SUMIFS(Raw_Data_Daily!$D:$D, Raw_Data_Daily!$B:$B, "Control", Raw_Data_Daily!$A:$A, $A27, Raw_Data_Daily!$C:$C, $C$3),""))</f>
        <v/>
      </c>
      <c r="CU27" s="242" t="str">
        <f>IF($A27="","",IFERROR(SUMPRODUCT((Raw_Data_Daily!$B$2:$B$9999="Variant")*(Raw_Data_Daily!$A$2:$A$9999=$A27)*(Raw_Data_Daily!$C$2:$C$9999=$C$3)*Raw_Data_Daily!$D$2:$D$9999*Raw_Data_Daily!$AI$2:$AI$9999)/SUMIFS(Raw_Data_Daily!$D:$D, Raw_Data_Daily!$B:$B, "Variant", Raw_Data_Daily!$A:$A, $A27, Raw_Data_Daily!$C:$C, $C$3),""))</f>
        <v/>
      </c>
      <c r="CV27" s="249" t="str">
        <f t="shared" si="33"/>
        <v/>
      </c>
      <c r="CW27" s="242" t="str">
        <f>IF($A27="","",IFERROR(SUMPRODUCT((Raw_Data_Daily!$B$2:$B$9999="Control")*(Raw_Data_Daily!$A$2:$A$9999=$A27)*(Raw_Data_Daily!$C$2:$C$9999=$C$3)*Raw_Data_Daily!$D$2:$D$9999*Raw_Data_Daily!$AJ$2:$AJ$9999)/SUMIFS(Raw_Data_Daily!$D:$D, Raw_Data_Daily!$B:$B, "Control", Raw_Data_Daily!$A:$A, $A27, Raw_Data_Daily!$C:$C, $C$3),""))</f>
        <v/>
      </c>
      <c r="CX27" s="242" t="str">
        <f>IF($A27="","",IFERROR(SUMPRODUCT((Raw_Data_Daily!$B$2:$B$9999="Variant")*(Raw_Data_Daily!$A$2:$A$9999=$A27)*(Raw_Data_Daily!$C$2:$C$9999=$C$3)*Raw_Data_Daily!$D$2:$D$9999*Raw_Data_Daily!$AJ$2:$AJ$9999)/SUMIFS(Raw_Data_Daily!$D:$D, Raw_Data_Daily!$B:$B, "Variant", Raw_Data_Daily!$A:$A, $A27, Raw_Data_Daily!$C:$C, $C$3),""))</f>
        <v/>
      </c>
      <c r="CY27" s="249" t="str">
        <f t="shared" si="34"/>
        <v/>
      </c>
      <c r="CZ27" s="242" t="str">
        <f>IF($A27="","",IFERROR(SUMPRODUCT((Raw_Data_Daily!$B$2:$B$9999="Control")*(Raw_Data_Daily!$A$2:$A$9999=$A27)*(Raw_Data_Daily!$C$2:$C$9999=$C$3)*Raw_Data_Daily!$D$2:$D$9999*Raw_Data_Daily!$AK$2:$AK$9999)/SUMIFS(Raw_Data_Daily!$D:$D, Raw_Data_Daily!$B:$B, "Control", Raw_Data_Daily!$A:$A, $A27, Raw_Data_Daily!$C:$C, $C$3),""))</f>
        <v/>
      </c>
      <c r="DA27" s="242" t="str">
        <f>IF($A27="","",IFERROR(SUMPRODUCT((Raw_Data_Daily!$B$2:$B$9999="Variant")*(Raw_Data_Daily!$A$2:$A$9999=$A27)*(Raw_Data_Daily!$C$2:$C$9999=$C$3)*Raw_Data_Daily!$D$2:$D$9999*Raw_Data_Daily!$AK$2:$AK$9999)/SUMIFS(Raw_Data_Daily!$D:$D, Raw_Data_Daily!$B:$B, "Variant", Raw_Data_Daily!$A:$A, $A27, Raw_Data_Daily!$C:$C, $C$3),""))</f>
        <v/>
      </c>
      <c r="DB27" s="244" t="str">
        <f t="shared" si="35"/>
        <v/>
      </c>
      <c r="DC27" s="248" t="str">
        <f>IF($A27="","",IFERROR(SUMPRODUCT((Raw_Data_Daily!$B$2:$B$9999="Control")*(Raw_Data_Daily!$A$2:$A$9999=$A27)*(Raw_Data_Daily!$C$2:$C$9999=$C$3)*Raw_Data_Daily!$D$2:$D$9999*Raw_Data_Daily!$AL$2:$AL$9999)/SUMIFS(Raw_Data_Daily!$D:$D, Raw_Data_Daily!$B:$B, "Control", Raw_Data_Daily!$A:$A, $A27, Raw_Data_Daily!$C:$C, $C$3),""))</f>
        <v/>
      </c>
      <c r="DD27" s="248" t="str">
        <f>IF($A27="","",IFERROR(SUMPRODUCT((Raw_Data_Daily!$B$2:$B$9999="Variant")*(Raw_Data_Daily!$A$2:$A$9999=$A27)*(Raw_Data_Daily!$C$2:$C$9999=$C$3)*Raw_Data_Daily!$D$2:$D$9999*Raw_Data_Daily!$AL$2:$AL$9999)/SUMIFS(Raw_Data_Daily!$D:$D, Raw_Data_Daily!$B:$B, "Variant", Raw_Data_Daily!$A:$A, $A27, Raw_Data_Daily!$C:$C, $C$3),""))</f>
        <v/>
      </c>
      <c r="DE27" s="249" t="str">
        <f t="shared" si="36"/>
        <v/>
      </c>
      <c r="DF27" s="255"/>
      <c r="DG27" s="242" t="str">
        <f>IF($A27="","",IFERROR(SUMPRODUCT((Raw_Data_Daily!$B$2:$B$9999="Variant")*(Raw_Data_Daily!$A$2:$A$9999=$A27)*(Raw_Data_Daily!$C$2:$C$9999=$C$3)*Raw_Data_Daily!$D$2:$D$9999*Raw_Data_Daily!$AM$2:$AM$9999)/SUMIFS(Raw_Data_Daily!$D:$D, Raw_Data_Daily!$B:$B, "Variant", Raw_Data_Daily!$A:$A, $A27, Raw_Data_Daily!$C:$C, $C$3),""))</f>
        <v/>
      </c>
      <c r="DH27" s="256"/>
      <c r="DI27" s="255"/>
      <c r="DJ27" s="242" t="str">
        <f>IF($A27="","",IFERROR(SUMPRODUCT((Raw_Data_Daily!$B$2:$B$9999="Variant")*(Raw_Data_Daily!$A$2:$A$9999=$A27)*(Raw_Data_Daily!$C$2:$C$9999=$C$3)*Raw_Data_Daily!$D$2:$D$9999*Raw_Data_Daily!$AN$2:$AN$9999)/SUMIFS(Raw_Data_Daily!$D:$D, Raw_Data_Daily!$B:$B, "Variant", Raw_Data_Daily!$A:$A, $A27, Raw_Data_Daily!$C:$C, $C$3),""))</f>
        <v/>
      </c>
      <c r="DK27" s="256"/>
      <c r="DL27" s="255"/>
      <c r="DM27" s="242" t="str">
        <f>IF($A27="","",IFERROR(SUMPRODUCT((Raw_Data_Daily!$B$2:$B$9999="Variant")*(Raw_Data_Daily!$A$2:$A$9999=$A27)*(Raw_Data_Daily!$C$2:$C$9999=$C$3)*Raw_Data_Daily!$D$2:$D$9999*Raw_Data_Daily!$AO$2:$AO$9999)/SUMIFS(Raw_Data_Daily!$D:$D, Raw_Data_Daily!$B:$B, "Variant", Raw_Data_Daily!$A:$A, $A27, Raw_Data_Daily!$C:$C, $C$3),""))</f>
        <v/>
      </c>
      <c r="DN27" s="256"/>
      <c r="DO27" s="255"/>
      <c r="DP27" s="242" t="str">
        <f>IF($A27="","",IFERROR(SUMPRODUCT((Raw_Data_Daily!$B$2:$B$9999="Variant")*(Raw_Data_Daily!$A$2:$A$9999=$A27)*(Raw_Data_Daily!$C$2:$C$9999=$C$3)*Raw_Data_Daily!$D$2:$D$9999*Raw_Data_Daily!$AP$2:$AP$9999)/SUMIFS(Raw_Data_Daily!$D:$D, Raw_Data_Daily!$B:$B, "Variant", Raw_Data_Daily!$A:$A, $A27, Raw_Data_Daily!$C:$C, $C$3),""))</f>
        <v/>
      </c>
      <c r="DQ27" s="256"/>
      <c r="DR27" s="248" t="str">
        <f>IF($A27="","",IFERROR(SUMPRODUCT((Raw_Data_Daily!$B$2:$B$9999="Control")*(Raw_Data_Daily!$A$2:$A$9999=$A27)*(Raw_Data_Daily!$C$2:$C$9999=$C$3)*Raw_Data_Daily!$D$2:$D$9999*Raw_Data_Daily!$AQ$2:$AQ$9999)/SUMIFS(Raw_Data_Daily!$D:$D, Raw_Data_Daily!$B:$B, "Control", Raw_Data_Daily!$A:$A, $A27, Raw_Data_Daily!$C:$C, $C$3),""))</f>
        <v/>
      </c>
      <c r="DS27" s="248" t="str">
        <f>IF($A27="","",IFERROR(SUMPRODUCT((Raw_Data_Daily!$B$2:$B$9999="Variant")*(Raw_Data_Daily!$A$2:$A$9999=$A27)*(Raw_Data_Daily!$C$2:$C$9999=$C$3)*Raw_Data_Daily!$D$2:$D$9999*Raw_Data_Daily!$AQ$2:$AQ$9999)/SUMIFS(Raw_Data_Daily!$D:$D, Raw_Data_Daily!$B:$B, "Variant", Raw_Data_Daily!$A:$A, $A27, Raw_Data_Daily!$C:$C, $C$3),""))</f>
        <v/>
      </c>
      <c r="DT27" s="257" t="str">
        <f t="shared" si="37"/>
        <v/>
      </c>
      <c r="DU27" s="248" t="str">
        <f>IF($A27="","",IFERROR(SUMPRODUCT((Raw_Data_Daily!$B$2:$B$9999="Control")*(Raw_Data_Daily!$A$2:$A$9999=$A27)*(Raw_Data_Daily!$C$2:$C$9999=$C$3)*Raw_Data_Daily!$D$2:$D$9999*Raw_Data_Daily!$AR$2:$AR$9999)/SUMIFS(Raw_Data_Daily!$D:$D, Raw_Data_Daily!$B:$B, "Control", Raw_Data_Daily!$A:$A, $A27, Raw_Data_Daily!$C:$C, $C$3),""))</f>
        <v/>
      </c>
      <c r="DV27" s="248" t="str">
        <f>IF($A27="","",IFERROR(SUMPRODUCT((Raw_Data_Daily!$B$2:$B$9999="Variant")*(Raw_Data_Daily!$A$2:$A$9999=$A27)*(Raw_Data_Daily!$C$2:$C$9999=$C$3)*Raw_Data_Daily!$D$2:$D$9999*Raw_Data_Daily!$AR$2:$AR$9999)/SUMIFS(Raw_Data_Daily!$D:$D, Raw_Data_Daily!$B:$B, "Variant", Raw_Data_Daily!$A:$A, $A27, Raw_Data_Daily!$C:$C, $C$3),""))</f>
        <v/>
      </c>
      <c r="DW27" s="257" t="str">
        <f t="shared" si="38"/>
        <v/>
      </c>
      <c r="DX27" s="248" t="str">
        <f>IF($A27="","",IFERROR(SUMPRODUCT((Raw_Data_Daily!$B$2:$B$9999="Control")*(Raw_Data_Daily!$A$2:$A$9999=$A27)*(Raw_Data_Daily!$C$2:$C$9999=$C$3)*Raw_Data_Daily!$D$2:$D$9999*Raw_Data_Daily!$AS$2:$AS$9999)/SUMIFS(Raw_Data_Daily!$D:$D, Raw_Data_Daily!$B:$B, "Control", Raw_Data_Daily!$A:$A, $A27, Raw_Data_Daily!$C:$C, $C$3),""))</f>
        <v/>
      </c>
      <c r="DY27" s="248" t="str">
        <f>IF($A27="","",IFERROR(SUMPRODUCT((Raw_Data_Daily!$B$2:$B$9999="Variant")*(Raw_Data_Daily!$A$2:$A$9999=$A27)*(Raw_Data_Daily!$C$2:$C$9999=$C$3)*Raw_Data_Daily!$D$2:$D$9999*Raw_Data_Daily!$AS$2:$AS$9999)/SUMIFS(Raw_Data_Daily!$D:$D, Raw_Data_Daily!$B:$B, "Variant", Raw_Data_Daily!$A:$A, $A27, Raw_Data_Daily!$C:$C, $C$3),""))</f>
        <v/>
      </c>
      <c r="DZ27" s="257" t="str">
        <f t="shared" si="39"/>
        <v/>
      </c>
      <c r="EA27" s="248" t="str">
        <f>IF($A27="","",IFERROR(SUMPRODUCT((Raw_Data_Daily!$B$2:$B$9999="Control")*(Raw_Data_Daily!$A$2:$A$9999=$A27)*(Raw_Data_Daily!$C$2:$C$9999=$C$3)*Raw_Data_Daily!$D$2:$D$9999*Raw_Data_Daily!$AT$2:$AT$9999)/SUMIFS(Raw_Data_Daily!$D:$D, Raw_Data_Daily!$B:$B, "Control", Raw_Data_Daily!$A:$A, $A27, Raw_Data_Daily!$C:$C, $C$3),""))</f>
        <v/>
      </c>
      <c r="EB27" s="248" t="str">
        <f>IF($A27="","",IFERROR(SUMPRODUCT((Raw_Data_Daily!$B$2:$B$9999="Variant")*(Raw_Data_Daily!$A$2:$A$9999=$A27)*(Raw_Data_Daily!$C$2:$C$9999=$C$3)*Raw_Data_Daily!$D$2:$D$9999*Raw_Data_Daily!$AT$2:$AT$9999)/SUMIFS(Raw_Data_Daily!$D:$D, Raw_Data_Daily!$B:$B, "Variant", Raw_Data_Daily!$A:$A, $A27, Raw_Data_Daily!$C:$C, $C$3),""))</f>
        <v/>
      </c>
      <c r="EC27" s="257" t="str">
        <f t="shared" si="40"/>
        <v/>
      </c>
      <c r="ED27" s="248" t="str">
        <f>IF($A27="","",IFERROR(SUMPRODUCT((Raw_Data_Daily!$B$2:$B$9999="Control")*(Raw_Data_Daily!$A$2:$A$9999=$A27)*(Raw_Data_Daily!$C$2:$C$9999=$C$3)*Raw_Data_Daily!$D$2:$D$9999*(Raw_Data_Daily!$AQ$2:$AQ$9999-Raw_Data_Daily!$AT$2:$AT$9999))/SUMIFS(Raw_Data_Daily!$D:$D, Raw_Data_Daily!$B:$B, "Control", Raw_Data_Daily!$A:$A, $A27, Raw_Data_Daily!$C:$C, $C$3),""))</f>
        <v/>
      </c>
      <c r="EE27" s="248" t="str">
        <f>IF($A27="","",IFERROR(SUMPRODUCT((Raw_Data_Daily!$B$2:$B$9999="Variant")*(Raw_Data_Daily!$A$2:$A$9999=$A27)*(Raw_Data_Daily!$C$2:$C$9999=$C$3)*Raw_Data_Daily!$D$2:$D$9999*(Raw_Data_Daily!$AQ$2:$AQ$9999-Raw_Data_Daily!$AT$2:$AT$9999))/SUMIFS(Raw_Data_Daily!$D:$D, Raw_Data_Daily!$B:$B, "Variant", Raw_Data_Daily!$A:$A, $A27, Raw_Data_Daily!$C:$C, $C$3),""))</f>
        <v/>
      </c>
      <c r="EF27" s="257" t="str">
        <f t="shared" si="41"/>
        <v/>
      </c>
      <c r="EG27" s="248" t="str">
        <f>IF($A27="","",IFERROR(SUMPRODUCT((Raw_Data_Daily!$B$2:$B$9999="Control")*(Raw_Data_Daily!$A$2:$A$9999=$A27)*(Raw_Data_Daily!$C$2:$C$9999=$C$3)*Raw_Data_Daily!$D$2:$D$9999*Raw_Data_Daily!$AU$2:$AU$9999)/SUMIFS(Raw_Data_Daily!$D:$D, Raw_Data_Daily!$B:$B, "Control", Raw_Data_Daily!$A:$A, $A27, Raw_Data_Daily!$C:$C, $C$3),""))</f>
        <v/>
      </c>
      <c r="EH27" s="248" t="str">
        <f>IF($A27="","",IFERROR(SUMPRODUCT((Raw_Data_Daily!$B$2:$B$9999="Variant")*(Raw_Data_Daily!$A$2:$A$9999=$A27)*(Raw_Data_Daily!$C$2:$C$9999=$C$3)*Raw_Data_Daily!$D$2:$D$9999*Raw_Data_Daily!$AU$2:$AU$9999)/SUMIFS(Raw_Data_Daily!$D:$D, Raw_Data_Daily!$B:$B, "Variant", Raw_Data_Daily!$A:$A, $A27, Raw_Data_Daily!$C:$C, $C$3),""))</f>
        <v/>
      </c>
      <c r="EI27" s="257" t="str">
        <f t="shared" si="42"/>
        <v/>
      </c>
    </row>
    <row r="28" ht="15.75" customHeight="1">
      <c r="A28" s="126">
        <v>46251.0</v>
      </c>
      <c r="B28" s="128">
        <f>IF($A28="","",SUMIFS(Raw_Data_Daily!$D:$D, Raw_Data_Daily!$B:$B, "Control", Raw_Data_Daily!$A:$A, $A28, Raw_Data_Daily!$C:$C, $C$3))</f>
        <v>0</v>
      </c>
      <c r="C28" s="128">
        <f>IF($A28="","",SUMIFS(Raw_Data_Daily!$D:$D, Raw_Data_Daily!$B:$B, "Variant", Raw_Data_Daily!$A:$A, $A28, Raw_Data_Daily!$C:$C, $C$3))</f>
        <v>0</v>
      </c>
      <c r="D28" s="129" t="str">
        <f t="shared" si="1"/>
        <v/>
      </c>
      <c r="E28" s="130" t="str">
        <f>IF($A28="","",IFERROR(SUMPRODUCT((Raw_Data_Daily!$B$2:$B$9999="Control")*(Raw_Data_Daily!$A$2:$A$9999=$A28)*(Raw_Data_Daily!$C$2:$C$9999=$C$3)*Raw_Data_Daily!$D$2:$D$9999*Raw_Data_Daily!$E$2:$E$9999)/SUMIFS(Raw_Data_Daily!$D:$D, Raw_Data_Daily!$B:$B, "Control", Raw_Data_Daily!$A:$A, $A28, Raw_Data_Daily!$C:$C, $C$3),""))</f>
        <v/>
      </c>
      <c r="F28" s="130" t="str">
        <f>IF($A28="","",IFERROR(SUMPRODUCT((Raw_Data_Daily!$B$2:$B$9999="Variant")*(Raw_Data_Daily!$A$2:$A$9999=$A28)*(Raw_Data_Daily!$C$2:$C$9999=$C$3)*Raw_Data_Daily!$D$2:$D$9999*Raw_Data_Daily!$E$2:$E$9999)/SUMIFS(Raw_Data_Daily!$D:$D, Raw_Data_Daily!$B:$B, "Variant", Raw_Data_Daily!$A:$A, $A28, Raw_Data_Daily!$C:$C, $C$3),""))</f>
        <v/>
      </c>
      <c r="G28" s="129" t="str">
        <f t="shared" si="2"/>
        <v/>
      </c>
      <c r="H28" s="131">
        <f>IF($A28="","",SUMIFS(Raw_Data_Daily!$F:$F, Raw_Data_Daily!$B:$B, "Control", Raw_Data_Daily!$A:$A, $A28, Raw_Data_Daily!$C:$C, $C$3))</f>
        <v>0</v>
      </c>
      <c r="I28" s="131">
        <f>IF($A28="","",SUMIFS(Raw_Data_Daily!$F:$F, Raw_Data_Daily!$B:$B, "Variant", Raw_Data_Daily!$A:$A, $A28, Raw_Data_Daily!$C:$C, $C$3))</f>
        <v>0</v>
      </c>
      <c r="J28" s="132" t="str">
        <f t="shared" si="3"/>
        <v/>
      </c>
      <c r="K28" s="134" t="str">
        <f>IF($A28="","",IFERROR(SUMIFS(Raw_Data_Daily!$F:$F, Raw_Data_Daily!$B:$B, "Control", Raw_Data_Daily!$A:$A, $A28, Raw_Data_Daily!$C:$C, $C$3)/SUMIFS(Raw_Data_Daily!$D:$D, Raw_Data_Daily!$B:$B, "Control", Raw_Data_Daily!$A:$A, $A28, Raw_Data_Daily!$C:$C, $C$3),""))</f>
        <v/>
      </c>
      <c r="L28" s="134" t="str">
        <f>IF($A28="","",IFERROR(SUMIFS(Raw_Data_Daily!$F:$F, Raw_Data_Daily!$B:$B, "Variant", Raw_Data_Daily!$A:$A, $A28, Raw_Data_Daily!$C:$C, $C$3)/SUMIFS(Raw_Data_Daily!$D:$D, Raw_Data_Daily!$B:$B, "Variant", Raw_Data_Daily!$A:$A, $A28, Raw_Data_Daily!$C:$C, $C$3),""))</f>
        <v/>
      </c>
      <c r="M28" s="132" t="str">
        <f t="shared" si="4"/>
        <v/>
      </c>
      <c r="N28" s="130" t="str">
        <f>IF($A28="","",IFERROR(SUMPRODUCT((Raw_Data_Daily!$B$2:$B$9999="Control")*(Raw_Data_Daily!$A$2:$A$9999=$A28)*(Raw_Data_Daily!$C$2:$C$9999=$C$3)*Raw_Data_Daily!$D$2:$D$9999*Raw_Data_Daily!$H$2:$H$9999/100)/SUMIFS(Raw_Data_Daily!$D:$D, Raw_Data_Daily!$B:$B, "Control", Raw_Data_Daily!$A:$A, $A28, Raw_Data_Daily!$C:$C, $C$3)*100,""))</f>
        <v/>
      </c>
      <c r="O28" s="130" t="str">
        <f>IF($A28="","",IFERROR(SUMPRODUCT((Raw_Data_Daily!$B$2:$B$9999="Variant")*(Raw_Data_Daily!$A$2:$A$9999=$A28)*(Raw_Data_Daily!$C$2:$C$9999=$C$3)*Raw_Data_Daily!$D$2:$D$9999*Raw_Data_Daily!$H$2:$H$9999/100)/SUMIFS(Raw_Data_Daily!$D:$D, Raw_Data_Daily!$B:$B, "Variant", Raw_Data_Daily!$A:$A, $A28, Raw_Data_Daily!$C:$C, $C$3)*100,""))</f>
        <v/>
      </c>
      <c r="P28" s="132" t="str">
        <f t="shared" si="5"/>
        <v/>
      </c>
      <c r="Q28" s="134" t="str">
        <f>IF($A28="","",IFERROR(SUMIFS(Raw_Data_Daily!$F:$F, Raw_Data_Daily!$B:$B, "Control", Raw_Data_Daily!$A:$A, $A28, Raw_Data_Daily!$C:$C, $C$3)/SUMPRODUCT((Raw_Data_Daily!$B$2:$B$9999="Control")*(Raw_Data_Daily!$A$2:$A$9999=$A28)*(Raw_Data_Daily!$C$2:$C$9999=$C$3)*Raw_Data_Daily!$D$2:$D$9999*Raw_Data_Daily!$H$2:$H$9999/100),""))</f>
        <v/>
      </c>
      <c r="R28" s="134" t="str">
        <f>IF($A28="","",IFERROR(SUMIFS(Raw_Data_Daily!$F:$F, Raw_Data_Daily!$B:$B, "Variant", Raw_Data_Daily!$A:$A, $A28, Raw_Data_Daily!$C:$C, $C$3)/SUMPRODUCT((Raw_Data_Daily!$B$2:$B$9999="Variant")*(Raw_Data_Daily!$A$2:$A$9999=$A28)*(Raw_Data_Daily!$C$2:$C$9999=$C$3)*Raw_Data_Daily!$D$2:$D$9999*Raw_Data_Daily!$H$2:$H$9999/100),""))</f>
        <v/>
      </c>
      <c r="S28" s="132" t="str">
        <f t="shared" si="6"/>
        <v/>
      </c>
      <c r="T28" s="137" t="str">
        <f>IF($A28="","",IFERROR(SUMPRODUCT((Raw_Data_Daily!$B$2:$B$9999="Control")*(Raw_Data_Daily!$A$2:$A$9999=$A28)*(Raw_Data_Daily!$C$2:$C$9999=$C$3)*Raw_Data_Daily!$D$2:$D$9999*Raw_Data_Daily!$J$2:$J$9999)/SUMIFS(Raw_Data_Daily!$D:$D, Raw_Data_Daily!$B:$B, "Control", Raw_Data_Daily!$A:$A, $A28, Raw_Data_Daily!$C:$C, $C$3),""))</f>
        <v/>
      </c>
      <c r="U28" s="137" t="str">
        <f>IF($A28="","",IFERROR(SUMPRODUCT((Raw_Data_Daily!$B$2:$B$9999="Variant")*(Raw_Data_Daily!$A$2:$A$9999=$A28)*(Raw_Data_Daily!$C$2:$C$9999=$C$3)*Raw_Data_Daily!$D$2:$D$9999*Raw_Data_Daily!$J$2:$J$9999)/SUMIFS(Raw_Data_Daily!$D:$D, Raw_Data_Daily!$B:$B, "Variant", Raw_Data_Daily!$A:$A, $A28, Raw_Data_Daily!$C:$C, $C$3),""))</f>
        <v/>
      </c>
      <c r="V28" s="132" t="str">
        <f t="shared" si="7"/>
        <v/>
      </c>
      <c r="W28" s="137" t="str">
        <f>IF($A28="","",IFERROR(SUMPRODUCT((Raw_Data_Daily!$B$2:$B$9999="Control")*(Raw_Data_Daily!$A$2:$A$9999=$A28)*(Raw_Data_Daily!$C$2:$C$9999=$C$3)*Raw_Data_Daily!$D$2:$D$9999*Raw_Data_Daily!$K$2:$K$9999)/SUMIFS(Raw_Data_Daily!$D:$D, Raw_Data_Daily!$B:$B, "Control", Raw_Data_Daily!$A:$A, $A28, Raw_Data_Daily!$C:$C, $C$3),""))</f>
        <v/>
      </c>
      <c r="X28" s="137" t="str">
        <f>IF($A28="","",IFERROR(SUMPRODUCT((Raw_Data_Daily!$B$2:$B$9999="Variant")*(Raw_Data_Daily!$A$2:$A$9999=$A28)*(Raw_Data_Daily!$C$2:$C$9999=$C$3)*Raw_Data_Daily!$D$2:$D$9999*Raw_Data_Daily!$K$2:$K$9999)/SUMIFS(Raw_Data_Daily!$D:$D, Raw_Data_Daily!$B:$B, "Variant", Raw_Data_Daily!$A:$A, $A28, Raw_Data_Daily!$C:$C, $C$3),""))</f>
        <v/>
      </c>
      <c r="Y28" s="132" t="str">
        <f t="shared" si="8"/>
        <v/>
      </c>
      <c r="Z28" s="137" t="str">
        <f>IF($A28="","",IFERROR(SUMPRODUCT((Raw_Data_Daily!$B$2:$B$9999="Control")*(Raw_Data_Daily!$A$2:$A$9999=$A28)*(Raw_Data_Daily!$C$2:$C$9999=$C$3)*Raw_Data_Daily!$D$2:$D$9999*Raw_Data_Daily!$L$2:$L$9999)/SUMIFS(Raw_Data_Daily!$D:$D, Raw_Data_Daily!$B:$B, "Control", Raw_Data_Daily!$A:$A, $A28, Raw_Data_Daily!$C:$C, $C$3),""))</f>
        <v/>
      </c>
      <c r="AA28" s="137" t="str">
        <f>IF($A28="","",IFERROR(SUMPRODUCT((Raw_Data_Daily!$B$2:$B$9999="Variant")*(Raw_Data_Daily!$A$2:$A$9999=$A28)*(Raw_Data_Daily!$C$2:$C$9999=$C$3)*Raw_Data_Daily!$D$2:$D$9999*Raw_Data_Daily!$L$2:$L$9999)/SUMIFS(Raw_Data_Daily!$D:$D, Raw_Data_Daily!$B:$B, "Variant", Raw_Data_Daily!$A:$A, $A28, Raw_Data_Daily!$C:$C, $C$3),""))</f>
        <v/>
      </c>
      <c r="AB28" s="132" t="str">
        <f t="shared" si="9"/>
        <v/>
      </c>
      <c r="AC28" s="139" t="str">
        <f>IF($A28="","",IFERROR(SUMPRODUCT((Raw_Data_Daily!$B$2:$B$9999="Control")*(Raw_Data_Daily!$A$2:$A$9999=$A28)*(Raw_Data_Daily!$C$2:$C$9999=$C$3)*Raw_Data_Daily!$D$2:$D$9999*Raw_Data_Daily!$M$2:$M$9999)/SUMIFS(Raw_Data_Daily!$D:$D, Raw_Data_Daily!$B:$B, "Control", Raw_Data_Daily!$A:$A, $A28, Raw_Data_Daily!$C:$C, $C$3),""))</f>
        <v/>
      </c>
      <c r="AD28" s="139" t="str">
        <f>IF($A28="","",IFERROR(SUMPRODUCT((Raw_Data_Daily!$B$2:$B$9999="Variant")*(Raw_Data_Daily!$A$2:$A$9999=$A28)*(Raw_Data_Daily!$C$2:$C$9999=$C$3)*Raw_Data_Daily!$D$2:$D$9999*Raw_Data_Daily!$M$2:$M$9999)/SUMIFS(Raw_Data_Daily!$D:$D, Raw_Data_Daily!$B:$B, "Variant", Raw_Data_Daily!$A:$A, $A28, Raw_Data_Daily!$C:$C, $C$3),""))</f>
        <v/>
      </c>
      <c r="AE28" s="140" t="str">
        <f t="shared" si="10"/>
        <v/>
      </c>
      <c r="AF28" s="139" t="str">
        <f>IF($A28="","",IFERROR(SUMPRODUCT((Raw_Data_Daily!$B$2:$B$9999="Control")*(Raw_Data_Daily!$A$2:$A$9999=$A28)*(Raw_Data_Daily!$C$2:$C$9999=$C$3)*Raw_Data_Daily!$D$2:$D$9999*Raw_Data_Daily!$N$2:$N$9999)/SUMIFS(Raw_Data_Daily!$D:$D, Raw_Data_Daily!$B:$B, "Control", Raw_Data_Daily!$A:$A, $A28, Raw_Data_Daily!$C:$C, $C$3),""))</f>
        <v/>
      </c>
      <c r="AG28" s="139" t="str">
        <f>IF($A28="","",IFERROR(SUMPRODUCT((Raw_Data_Daily!$B$2:$B$9999="Variant")*(Raw_Data_Daily!$A$2:$A$9999=$A28)*(Raw_Data_Daily!$C$2:$C$9999=$C$3)*Raw_Data_Daily!$D$2:$D$9999*Raw_Data_Daily!$N$2:$N$9999)/SUMIFS(Raw_Data_Daily!$D:$D, Raw_Data_Daily!$B:$B, "Variant", Raw_Data_Daily!$A:$A, $A28, Raw_Data_Daily!$C:$C, $C$3),""))</f>
        <v/>
      </c>
      <c r="AH28" s="140" t="str">
        <f t="shared" si="11"/>
        <v/>
      </c>
      <c r="AI28" s="139" t="str">
        <f>IF($A28="","",IFERROR(SUMPRODUCT((Raw_Data_Daily!$B$2:$B$9999="Control")*(Raw_Data_Daily!$A$2:$A$9999=$A28)*(Raw_Data_Daily!$C$2:$C$9999=$C$3)*Raw_Data_Daily!$D$2:$D$9999*Raw_Data_Daily!$O$2:$O$9999)/SUMIFS(Raw_Data_Daily!$D:$D, Raw_Data_Daily!$B:$B, "Control", Raw_Data_Daily!$A:$A, $A28, Raw_Data_Daily!$C:$C, $C$3),""))</f>
        <v/>
      </c>
      <c r="AJ28" s="139" t="str">
        <f>IF($A28="","",IFERROR(SUMPRODUCT((Raw_Data_Daily!$B$2:$B$9999="Variant")*(Raw_Data_Daily!$A$2:$A$9999=$A28)*(Raw_Data_Daily!$C$2:$C$9999=$C$3)*Raw_Data_Daily!$D$2:$D$9999*Raw_Data_Daily!$O$2:$O$9999)/SUMIFS(Raw_Data_Daily!$D:$D, Raw_Data_Daily!$B:$B, "Variant", Raw_Data_Daily!$A:$A, $A28, Raw_Data_Daily!$C:$C, $C$3),""))</f>
        <v/>
      </c>
      <c r="AK28" s="132" t="str">
        <f t="shared" si="12"/>
        <v/>
      </c>
      <c r="AL28" s="137" t="str">
        <f>IF($A28="","",IFERROR(SUMPRODUCT((Raw_Data_Daily!$B$2:$B$9999="Control")*(Raw_Data_Daily!$A$2:$A$9999=$A28)*(Raw_Data_Daily!$C$2:$C$9999=$C$3)*Raw_Data_Daily!$D$2:$D$9999*Raw_Data_Daily!$P$2:$P$9999)/SUMIFS(Raw_Data_Daily!$D:$D, Raw_Data_Daily!$B:$B, "Control", Raw_Data_Daily!$A:$A, $A28, Raw_Data_Daily!$C:$C, $C$3),""))</f>
        <v/>
      </c>
      <c r="AM28" s="137" t="str">
        <f>IF($A28="","",IFERROR(SUMPRODUCT((Raw_Data_Daily!$B$2:$B$9999="Variant")*(Raw_Data_Daily!$A$2:$A$9999=$A28)*(Raw_Data_Daily!$C$2:$C$9999=$C$3)*Raw_Data_Daily!$D$2:$D$9999*Raw_Data_Daily!$P$2:$P$9999)/SUMIFS(Raw_Data_Daily!$D:$D, Raw_Data_Daily!$B:$B, "Variant", Raw_Data_Daily!$A:$A, $A28, Raw_Data_Daily!$C:$C, $C$3),""))</f>
        <v/>
      </c>
      <c r="AN28" s="132" t="str">
        <f t="shared" si="13"/>
        <v/>
      </c>
      <c r="AO28" s="137" t="str">
        <f>IF($A28="","",IFERROR(SUMPRODUCT((Raw_Data_Daily!$B$2:$B$9999="Control")*(Raw_Data_Daily!$A$2:$A$9999=$A28)*(Raw_Data_Daily!$C$2:$C$9999=$C$3)*Raw_Data_Daily!$D$2:$D$9999*Raw_Data_Daily!$Q$2:$Q$9999)/SUMIFS(Raw_Data_Daily!$D:$D, Raw_Data_Daily!$B:$B, "Control", Raw_Data_Daily!$A:$A, $A28, Raw_Data_Daily!$C:$C, $C$3),""))</f>
        <v/>
      </c>
      <c r="AP28" s="137" t="str">
        <f>IF($A28="","",IFERROR(SUMPRODUCT((Raw_Data_Daily!$B$2:$B$9999="Variant")*(Raw_Data_Daily!$A$2:$A$9999=$A28)*(Raw_Data_Daily!$C$2:$C$9999=$C$3)*Raw_Data_Daily!$D$2:$D$9999*Raw_Data_Daily!$Q$2:$Q$9999)/SUMIFS(Raw_Data_Daily!$D:$D, Raw_Data_Daily!$B:$B, "Variant", Raw_Data_Daily!$A:$A, $A28, Raw_Data_Daily!$C:$C, $C$3),""))</f>
        <v/>
      </c>
      <c r="AQ28" s="129" t="str">
        <f t="shared" si="14"/>
        <v/>
      </c>
      <c r="AR28" s="137" t="str">
        <f>IF($A28="","",IFERROR(SUMPRODUCT((Raw_Data_Daily!$B$2:$B$9999="Control")*(Raw_Data_Daily!$A$2:$A$9999=$A28)*(Raw_Data_Daily!$C$2:$C$9999=$C$3)*Raw_Data_Daily!$D$2:$D$9999*Raw_Data_Daily!$R$2:$R$9999)/SUMIFS(Raw_Data_Daily!$D:$D, Raw_Data_Daily!$B:$B, "Control", Raw_Data_Daily!$A:$A, $A28, Raw_Data_Daily!$C:$C, $C$3),""))</f>
        <v/>
      </c>
      <c r="AS28" s="137" t="str">
        <f>IF($A28="","",IFERROR(SUMPRODUCT((Raw_Data_Daily!$B$2:$B$9999="Variant")*(Raw_Data_Daily!$A$2:$A$9999=$A28)*(Raw_Data_Daily!$C$2:$C$9999=$C$3)*Raw_Data_Daily!$D$2:$D$9999*Raw_Data_Daily!$R$2:$R$9999)/SUMIFS(Raw_Data_Daily!$D:$D, Raw_Data_Daily!$B:$B, "Variant", Raw_Data_Daily!$A:$A, $A28, Raw_Data_Daily!$C:$C, $C$3),""))</f>
        <v/>
      </c>
      <c r="AT28" s="129" t="str">
        <f t="shared" si="15"/>
        <v/>
      </c>
      <c r="AU28" s="137" t="str">
        <f>IF($A28="","",IFERROR(SUMPRODUCT((Raw_Data_Daily!$B$2:$B$9999="Control")*(Raw_Data_Daily!$A$2:$A$9999=$A28)*(Raw_Data_Daily!$C$2:$C$9999=$C$3)*Raw_Data_Daily!$D$2:$D$9999*Raw_Data_Daily!$S$2:$S$9999)/SUMIFS(Raw_Data_Daily!$D:$D, Raw_Data_Daily!$B:$B, "Control", Raw_Data_Daily!$A:$A, $A28, Raw_Data_Daily!$C:$C, $C$3),""))</f>
        <v/>
      </c>
      <c r="AV28" s="137" t="str">
        <f>IF($A28="","",IFERROR(SUMPRODUCT((Raw_Data_Daily!$B$2:$B$9999="Variant")*(Raw_Data_Daily!$A$2:$A$9999=$A28)*(Raw_Data_Daily!$C$2:$C$9999=$C$3)*Raw_Data_Daily!$D$2:$D$9999*Raw_Data_Daily!$S$2:$S$9999)/SUMIFS(Raw_Data_Daily!$D:$D, Raw_Data_Daily!$B:$B, "Variant", Raw_Data_Daily!$A:$A, $A28, Raw_Data_Daily!$C:$C, $C$3),""))</f>
        <v/>
      </c>
      <c r="AW28" s="129" t="str">
        <f t="shared" si="16"/>
        <v/>
      </c>
      <c r="AX28" s="137" t="str">
        <f>IF($A28="","",IFERROR(SUMPRODUCT((Raw_Data_Daily!$B$2:$B$9999="Control")*(Raw_Data_Daily!$A$2:$A$9999=$A28)*(Raw_Data_Daily!$C$2:$C$9999=$C$3)*Raw_Data_Daily!$D$2:$D$9999*Raw_Data_Daily!$T$2:$T$9999)/SUMIFS(Raw_Data_Daily!$D:$D, Raw_Data_Daily!$B:$B, "Control", Raw_Data_Daily!$A:$A, $A28, Raw_Data_Daily!$C:$C, $C$3),""))</f>
        <v/>
      </c>
      <c r="AY28" s="137" t="str">
        <f>IF($A28="","",IFERROR(SUMPRODUCT((Raw_Data_Daily!$B$2:$B$9999="Variant")*(Raw_Data_Daily!$A$2:$A$9999=$A28)*(Raw_Data_Daily!$C$2:$C$9999=$C$3)*Raw_Data_Daily!$D$2:$D$9999*Raw_Data_Daily!$T$2:$T$9999)/SUMIFS(Raw_Data_Daily!$D:$D, Raw_Data_Daily!$B:$B, "Variant", Raw_Data_Daily!$A:$A, $A28, Raw_Data_Daily!$C:$C, $C$3),""))</f>
        <v/>
      </c>
      <c r="AZ28" s="132" t="str">
        <f t="shared" si="17"/>
        <v/>
      </c>
      <c r="BA28" s="137" t="str">
        <f>IF($A28="","",IFERROR(SUMPRODUCT((Raw_Data_Daily!$B$2:$B$9999="Control")*(Raw_Data_Daily!$A$2:$A$9999=$A28)*(Raw_Data_Daily!$C$2:$C$9999=$C$3)*Raw_Data_Daily!$D$2:$D$9999*Raw_Data_Daily!$U$2:$U$9999)/SUMIFS(Raw_Data_Daily!$D:$D, Raw_Data_Daily!$B:$B, "Control", Raw_Data_Daily!$A:$A, $A28, Raw_Data_Daily!$C:$C, $C$3),""))</f>
        <v/>
      </c>
      <c r="BB28" s="137" t="str">
        <f>IF($A28="","",IFERROR(SUMPRODUCT((Raw_Data_Daily!$B$2:$B$9999="Variant")*(Raw_Data_Daily!$A$2:$A$9999=$A28)*(Raw_Data_Daily!$C$2:$C$9999=$C$3)*Raw_Data_Daily!$D$2:$D$9999*Raw_Data_Daily!$U$2:$U$9999)/SUMIFS(Raw_Data_Daily!$D:$D, Raw_Data_Daily!$B:$B, "Variant", Raw_Data_Daily!$A:$A, $A28, Raw_Data_Daily!$C:$C, $C$3),""))</f>
        <v/>
      </c>
      <c r="BC28" s="129" t="str">
        <f t="shared" si="18"/>
        <v/>
      </c>
      <c r="BD28" s="137" t="str">
        <f>IF($A28="","",IFERROR(SUMPRODUCT((Raw_Data_Daily!$B$2:$B$9999="Control")*(Raw_Data_Daily!$A$2:$A$9999=$A28)*(Raw_Data_Daily!$C$2:$C$9999=$C$3)*Raw_Data_Daily!$D$2:$D$9999*Raw_Data_Daily!$V$2:$V$9999)/SUMIFS(Raw_Data_Daily!$D:$D, Raw_Data_Daily!$B:$B, "Control", Raw_Data_Daily!$A:$A, $A28, Raw_Data_Daily!$C:$C, $C$3),""))</f>
        <v/>
      </c>
      <c r="BE28" s="137" t="str">
        <f>IF($A28="","",IFERROR(SUMPRODUCT((Raw_Data_Daily!$B$2:$B$9999="Variant")*(Raw_Data_Daily!$A$2:$A$9999=$A28)*(Raw_Data_Daily!$C$2:$C$9999=$C$3)*Raw_Data_Daily!$D$2:$D$9999*Raw_Data_Daily!$V$2:$V$9999)/SUMIFS(Raw_Data_Daily!$D:$D, Raw_Data_Daily!$B:$B, "Variant", Raw_Data_Daily!$A:$A, $A28, Raw_Data_Daily!$C:$C, $C$3),""))</f>
        <v/>
      </c>
      <c r="BF28" s="148" t="str">
        <f t="shared" si="19"/>
        <v/>
      </c>
      <c r="BG28" s="149" t="str">
        <f>IF($A28="","",IFERROR(SUMPRODUCT((Raw_Data_Daily!$B$2:$B$9999="Control")*(Raw_Data_Daily!$A$2:$A$9999=$A28)*(Raw_Data_Daily!$C$2:$C$9999=$C$3)*Raw_Data_Daily!$D$2:$D$9999*(Raw_Data_Daily!$Q$2:$Q$9999-Raw_Data_Daily!$V$2:$V$9999))/SUMIFS(Raw_Data_Daily!$D:$D, Raw_Data_Daily!$B:$B, "Control", Raw_Data_Daily!$A:$A, $A28, Raw_Data_Daily!$C:$C, $C$3),""))</f>
        <v/>
      </c>
      <c r="BH28" s="137" t="str">
        <f>IF($A28="","",IFERROR(SUMPRODUCT((Raw_Data_Daily!$B$2:$B$9999="Variant")*(Raw_Data_Daily!$A$2:$A$9999=$A28)*(Raw_Data_Daily!$C$2:$C$9999=$C$3)*Raw_Data_Daily!$D$2:$D$9999*(Raw_Data_Daily!$Q$2:$Q$9999-Raw_Data_Daily!$V$2:$V$9999))/SUMIFS(Raw_Data_Daily!$D:$D, Raw_Data_Daily!$B:$B, "Variant", Raw_Data_Daily!$A:$A, $A28, Raw_Data_Daily!$C:$C, $C$3),""))</f>
        <v/>
      </c>
      <c r="BI28" s="155" t="str">
        <f t="shared" si="20"/>
        <v/>
      </c>
      <c r="BJ28" s="156" t="str">
        <f>IF($A28="","",IFERROR(SUMPRODUCT((Raw_Data_Daily!$B$2:$B$9999="Control")*(Raw_Data_Daily!$A$2:$A$9999=$A28)*(Raw_Data_Daily!$C$2:$C$9999=$C$3)*Raw_Data_Daily!$D$2:$D$9999*Raw_Data_Daily!$W$2:$W$9999)/SUMIFS(Raw_Data_Daily!$D:$D, Raw_Data_Daily!$B:$B, "Control", Raw_Data_Daily!$A:$A, $A28, Raw_Data_Daily!$C:$C, $C$3),""))</f>
        <v/>
      </c>
      <c r="BK28" s="137" t="str">
        <f>IF($A28="","",IFERROR(SUMPRODUCT((Raw_Data_Daily!$B$2:$B$9999="Variant")*(Raw_Data_Daily!$A$2:$A$9999=$A28)*(Raw_Data_Daily!$C$2:$C$9999=$C$3)*Raw_Data_Daily!$D$2:$D$9999*Raw_Data_Daily!$W$2:$W$9999)/SUMIFS(Raw_Data_Daily!$D:$D, Raw_Data_Daily!$B:$B, "Variant", Raw_Data_Daily!$A:$A, $A28, Raw_Data_Daily!$C:$C, $C$3),""))</f>
        <v/>
      </c>
      <c r="BL28" s="129" t="str">
        <f t="shared" si="21"/>
        <v/>
      </c>
      <c r="BM28" s="139" t="str">
        <f>IF($A28="","",IFERROR(SUMPRODUCT((Raw_Data_Daily!$B$2:$B$9999="Control")*(Raw_Data_Daily!$A$2:$A$9999=$A28)*(Raw_Data_Daily!$C$2:$C$9999=$C$3)*Raw_Data_Daily!$D$2:$D$9999*Raw_Data_Daily!$X$2:$X$9999)/SUMIFS(Raw_Data_Daily!$D:$D, Raw_Data_Daily!$B:$B, "Control", Raw_Data_Daily!$A:$A, $A28, Raw_Data_Daily!$C:$C, $C$3),""))</f>
        <v/>
      </c>
      <c r="BN28" s="139" t="str">
        <f>IF($A28="","",IFERROR(SUMPRODUCT((Raw_Data_Daily!$B$2:$B$9999="Variant")*(Raw_Data_Daily!$A$2:$A$9999=$A28)*(Raw_Data_Daily!$C$2:$C$9999=$C$3)*Raw_Data_Daily!$D$2:$D$9999*Raw_Data_Daily!$X$2:$X$9999)/SUMIFS(Raw_Data_Daily!$D:$D, Raw_Data_Daily!$B:$B, "Variant", Raw_Data_Daily!$A:$A, $A28, Raw_Data_Daily!$C:$C, $C$3),""))</f>
        <v/>
      </c>
      <c r="BO28" s="132" t="str">
        <f t="shared" si="22"/>
        <v/>
      </c>
      <c r="BP28" s="128" t="str">
        <f>IF($A28="","",IFERROR(SUMPRODUCT((Raw_Data_Daily!$B$2:$B$9999="Control")*(Raw_Data_Daily!$A$2:$A$9999=$A28)*(Raw_Data_Daily!$C$2:$C$9999=$C$3)*Raw_Data_Daily!$D$2:$D$9999*Raw_Data_Daily!$Y$2:$Y$9999)/SUMIFS(Raw_Data_Daily!$D:$D, Raw_Data_Daily!$B:$B, "Control", Raw_Data_Daily!$A:$A, $A28, Raw_Data_Daily!$C:$C, $C$3),""))</f>
        <v/>
      </c>
      <c r="BQ28" s="128" t="str">
        <f>IF($A28="","",IFERROR(SUMPRODUCT((Raw_Data_Daily!$B$2:$B$9999="Variant")*(Raw_Data_Daily!$A$2:$A$9999=$A28)*(Raw_Data_Daily!$C$2:$C$9999=$C$3)*Raw_Data_Daily!$D$2:$D$9999*Raw_Data_Daily!$Y$2:$Y$9999)/SUMIFS(Raw_Data_Daily!$D:$D, Raw_Data_Daily!$B:$B, "Variant", Raw_Data_Daily!$A:$A, $A28, Raw_Data_Daily!$C:$C, $C$3),""))</f>
        <v/>
      </c>
      <c r="BR28" s="129" t="str">
        <f t="shared" si="23"/>
        <v/>
      </c>
      <c r="BS28" s="128" t="str">
        <f>IF($A28="","",IFERROR(SUMPRODUCT((Raw_Data_Daily!$B$2:$B$9999="Control")*(Raw_Data_Daily!$A$2:$A$9999=$A28)*(Raw_Data_Daily!$C$2:$C$9999=$C$3)*Raw_Data_Daily!$D$2:$D$9999*Raw_Data_Daily!$Z$2:$Z$9999)/SUMIFS(Raw_Data_Daily!$D:$D, Raw_Data_Daily!$B:$B, "Control", Raw_Data_Daily!$A:$A, $A28, Raw_Data_Daily!$C:$C, $C$3),""))</f>
        <v/>
      </c>
      <c r="BT28" s="128" t="str">
        <f>IF($A28="","",IFERROR(SUMPRODUCT((Raw_Data_Daily!$B$2:$B$9999="Variant")*(Raw_Data_Daily!$A$2:$A$9999=$A28)*(Raw_Data_Daily!$C$2:$C$9999=$C$3)*Raw_Data_Daily!$D$2:$D$9999*Raw_Data_Daily!$Z$2:$Z$9999)/SUMIFS(Raw_Data_Daily!$D:$D, Raw_Data_Daily!$B:$B, "Variant", Raw_Data_Daily!$A:$A, $A28, Raw_Data_Daily!$C:$C, $C$3),""))</f>
        <v/>
      </c>
      <c r="BU28" s="129" t="str">
        <f t="shared" si="24"/>
        <v/>
      </c>
      <c r="BV28" s="128" t="str">
        <f>IF($A28="","",IFERROR(SUMPRODUCT((Raw_Data_Daily!$B$2:$B$9999="Control")*(Raw_Data_Daily!$A$2:$A$9999=$A28)*(Raw_Data_Daily!$C$2:$C$9999=$C$3)*Raw_Data_Daily!$D$2:$D$9999*Raw_Data_Daily!$AA$2:$AA$9999)/SUMIFS(Raw_Data_Daily!$D:$D, Raw_Data_Daily!$B:$B, "Control", Raw_Data_Daily!$A:$A, $A28, Raw_Data_Daily!$C:$C, $C$3),""))</f>
        <v/>
      </c>
      <c r="BW28" s="128" t="str">
        <f>IF($A28="","",IFERROR(SUMPRODUCT((Raw_Data_Daily!$B$2:$B$9999="Variant")*(Raw_Data_Daily!$A$2:$A$9999=$A28)*(Raw_Data_Daily!$C$2:$C$9999=$C$3)*Raw_Data_Daily!$D$2:$D$9999*Raw_Data_Daily!$AA$2:$AA$9999)/SUMIFS(Raw_Data_Daily!$D:$D, Raw_Data_Daily!$B:$B, "Variant", Raw_Data_Daily!$A:$A, $A28, Raw_Data_Daily!$C:$C, $C$3),""))</f>
        <v/>
      </c>
      <c r="BX28" s="129" t="str">
        <f t="shared" si="25"/>
        <v/>
      </c>
      <c r="BY28" s="137" t="str">
        <f>IF($A28="","",IFERROR(SUMPRODUCT((Raw_Data_Daily!$B$2:$B$9999="Control")*(Raw_Data_Daily!$A$2:$A$9999=$A28)*(Raw_Data_Daily!$C$2:$C$9999=$C$3)*Raw_Data_Daily!$D$2:$D$9999*Raw_Data_Daily!$AB$2:$AB$9999)/SUMIFS(Raw_Data_Daily!$D:$D, Raw_Data_Daily!$B:$B, "Control", Raw_Data_Daily!$A:$A, $A28, Raw_Data_Daily!$C:$C, $C$3),""))</f>
        <v/>
      </c>
      <c r="BZ28" s="137" t="str">
        <f>IF($A28="","",IFERROR(SUMPRODUCT((Raw_Data_Daily!$B$2:$B$9999="Variant")*(Raw_Data_Daily!$A$2:$A$9999=$A28)*(Raw_Data_Daily!$C$2:$C$9999=$C$3)*Raw_Data_Daily!$D$2:$D$9999*Raw_Data_Daily!$AB$2:$AB$9999)/SUMIFS(Raw_Data_Daily!$D:$D, Raw_Data_Daily!$B:$B, "Variant", Raw_Data_Daily!$A:$A, $A28, Raw_Data_Daily!$C:$C, $C$3),""))</f>
        <v/>
      </c>
      <c r="CA28" s="132" t="str">
        <f t="shared" si="26"/>
        <v/>
      </c>
      <c r="CB28" s="137" t="str">
        <f>IF($A28="","",IFERROR(SUMPRODUCT((Raw_Data_Daily!$B$2:$B$9999="Control")*(Raw_Data_Daily!$A$2:$A$9999=$A28)*(Raw_Data_Daily!$C$2:$C$9999=$C$3)*Raw_Data_Daily!$D$2:$D$9999*Raw_Data_Daily!$AC$2:$AC$9999)/SUMIFS(Raw_Data_Daily!$D:$D, Raw_Data_Daily!$B:$B, "Control", Raw_Data_Daily!$A:$A, $A28, Raw_Data_Daily!$C:$C, $C$3),""))</f>
        <v/>
      </c>
      <c r="CC28" s="137" t="str">
        <f>IF($A28="","",IFERROR(SUMPRODUCT((Raw_Data_Daily!$B$2:$B$9999="Variant")*(Raw_Data_Daily!$A$2:$A$9999=$A28)*(Raw_Data_Daily!$C$2:$C$9999=$C$3)*Raw_Data_Daily!$D$2:$D$9999*Raw_Data_Daily!$AC$2:$AC$9999)/SUMIFS(Raw_Data_Daily!$D:$D, Raw_Data_Daily!$B:$B, "Variant", Raw_Data_Daily!$A:$A, $A28, Raw_Data_Daily!$C:$C, $C$3),""))</f>
        <v/>
      </c>
      <c r="CD28" s="132" t="str">
        <f t="shared" si="27"/>
        <v/>
      </c>
      <c r="CE28" s="137" t="str">
        <f>IF($A28="","",IFERROR(SUMPRODUCT((Raw_Data_Daily!$B$2:$B$9999="Control")*(Raw_Data_Daily!$A$2:$A$9999=$A28)*(Raw_Data_Daily!$C$2:$C$9999=$C$3)*Raw_Data_Daily!$D$2:$D$9999*Raw_Data_Daily!$AD$2:$AD$9999)/SUMIFS(Raw_Data_Daily!$D:$D, Raw_Data_Daily!$B:$B, "Control", Raw_Data_Daily!$A:$A, $A28, Raw_Data_Daily!$C:$C, $C$3),""))</f>
        <v/>
      </c>
      <c r="CF28" s="137" t="str">
        <f>IF($A28="","",IFERROR(SUMPRODUCT((Raw_Data_Daily!$B$2:$B$9999="Variant")*(Raw_Data_Daily!$A$2:$A$9999=$A28)*(Raw_Data_Daily!$C$2:$C$9999=$C$3)*Raw_Data_Daily!$D$2:$D$9999*Raw_Data_Daily!$AD$2:$AD$9999)/SUMIFS(Raw_Data_Daily!$D:$D, Raw_Data_Daily!$B:$B, "Variant", Raw_Data_Daily!$A:$A, $A28, Raw_Data_Daily!$C:$C, $C$3),""))</f>
        <v/>
      </c>
      <c r="CG28" s="132" t="str">
        <f t="shared" si="28"/>
        <v/>
      </c>
      <c r="CH28" s="137" t="str">
        <f>IF($A28="","",IFERROR(SUMPRODUCT((Raw_Data_Daily!$B$2:$B$9999="Control")*(Raw_Data_Daily!$A$2:$A$9999=$A28)*(Raw_Data_Daily!$C$2:$C$9999=$C$3)*Raw_Data_Daily!$D$2:$D$9999*Raw_Data_Daily!$AE$2:$AE$9999)/SUMIFS(Raw_Data_Daily!$D:$D, Raw_Data_Daily!$B:$B, "Control", Raw_Data_Daily!$A:$A, $A28, Raw_Data_Daily!$C:$C, $C$3),""))</f>
        <v/>
      </c>
      <c r="CI28" s="137" t="str">
        <f>IF($A28="","",IFERROR(SUMPRODUCT((Raw_Data_Daily!$B$2:$B$9999="Variant")*(Raw_Data_Daily!$A$2:$A$9999=$A28)*(Raw_Data_Daily!$C$2:$C$9999=$C$3)*Raw_Data_Daily!$D$2:$D$9999*Raw_Data_Daily!$AE$2:$AE$9999)/SUMIFS(Raw_Data_Daily!$D:$D, Raw_Data_Daily!$B:$B, "Variant", Raw_Data_Daily!$A:$A, $A28, Raw_Data_Daily!$C:$C, $C$3),""))</f>
        <v/>
      </c>
      <c r="CJ28" s="132" t="str">
        <f t="shared" si="29"/>
        <v/>
      </c>
      <c r="CK28" s="137" t="str">
        <f>IF($A28="","",IFERROR(SUMPRODUCT((Raw_Data_Daily!$B$2:$B$9999="Control")*(Raw_Data_Daily!$A$2:$A$9999=$A28)*(Raw_Data_Daily!$C$2:$C$9999=$C$3)*Raw_Data_Daily!$D$2:$D$9999*Raw_Data_Daily!$AF$2:$AF$9999)/SUMIFS(Raw_Data_Daily!$D:$D, Raw_Data_Daily!$B:$B, "Control", Raw_Data_Daily!$A:$A, $A28, Raw_Data_Daily!$C:$C, $C$3),""))</f>
        <v/>
      </c>
      <c r="CL28" s="137" t="str">
        <f>IF($A28="","",IFERROR(SUMPRODUCT((Raw_Data_Daily!$B$2:$B$9999="Variant")*(Raw_Data_Daily!$A$2:$A$9999=$A28)*(Raw_Data_Daily!$C$2:$C$9999=$C$3)*Raw_Data_Daily!$D$2:$D$9999*Raw_Data_Daily!$AF$2:$AF$9999)/SUMIFS(Raw_Data_Daily!$D:$D, Raw_Data_Daily!$B:$B, "Variant", Raw_Data_Daily!$A:$A, $A28, Raw_Data_Daily!$C:$C, $C$3),""))</f>
        <v/>
      </c>
      <c r="CM28" s="132" t="str">
        <f t="shared" si="30"/>
        <v/>
      </c>
      <c r="CN28" s="137" t="str">
        <f>IF($A28="","",IFERROR(SUMPRODUCT((Raw_Data_Daily!$B$2:$B$9999="Control")*(Raw_Data_Daily!$A$2:$A$9999=$A28)*(Raw_Data_Daily!$C$2:$C$9999=$C$3)*Raw_Data_Daily!$D$2:$D$9999*Raw_Data_Daily!$AG$2:$AG$9999)/SUMIFS(Raw_Data_Daily!$D:$D, Raw_Data_Daily!$B:$B, "Control", Raw_Data_Daily!$A:$A, $A28, Raw_Data_Daily!$C:$C, $C$3),""))</f>
        <v/>
      </c>
      <c r="CO28" s="137" t="str">
        <f>IF($A28="","",IFERROR(SUMPRODUCT((Raw_Data_Daily!$B$2:$B$9999="Variant")*(Raw_Data_Daily!$A$2:$A$9999=$A28)*(Raw_Data_Daily!$C$2:$C$9999=$C$3)*Raw_Data_Daily!$D$2:$D$9999*Raw_Data_Daily!$AG$2:$AG$9999)/SUMIFS(Raw_Data_Daily!$D:$D, Raw_Data_Daily!$B:$B, "Variant", Raw_Data_Daily!$A:$A, $A28, Raw_Data_Daily!$C:$C, $C$3),""))</f>
        <v/>
      </c>
      <c r="CP28" s="132" t="str">
        <f t="shared" si="31"/>
        <v/>
      </c>
      <c r="CQ28" s="137" t="str">
        <f>IF($A28="","",IFERROR(SUMPRODUCT((Raw_Data_Daily!$B$2:$B$9999="Control")*(Raw_Data_Daily!$A$2:$A$9999=$A28)*(Raw_Data_Daily!$C$2:$C$9999=$C$3)*Raw_Data_Daily!$D$2:$D$9999*Raw_Data_Daily!$AH$2:$AH$9999)/SUMIFS(Raw_Data_Daily!$D:$D, Raw_Data_Daily!$B:$B, "Control", Raw_Data_Daily!$A:$A, $A28, Raw_Data_Daily!$C:$C, $C$3),""))</f>
        <v/>
      </c>
      <c r="CR28" s="137" t="str">
        <f>IF($A28="","",IFERROR(SUMPRODUCT((Raw_Data_Daily!$B$2:$B$9999="Variant")*(Raw_Data_Daily!$A$2:$A$9999=$A28)*(Raw_Data_Daily!$C$2:$C$9999=$C$3)*Raw_Data_Daily!$D$2:$D$9999*Raw_Data_Daily!$AH$2:$AH$9999)/SUMIFS(Raw_Data_Daily!$D:$D, Raw_Data_Daily!$B:$B, "Variant", Raw_Data_Daily!$A:$A, $A28, Raw_Data_Daily!$C:$C, $C$3),""))</f>
        <v/>
      </c>
      <c r="CS28" s="132" t="str">
        <f t="shared" si="32"/>
        <v/>
      </c>
      <c r="CT28" s="130" t="str">
        <f>IF($A28="","",IFERROR(SUMPRODUCT((Raw_Data_Daily!$B$2:$B$9999="Control")*(Raw_Data_Daily!$A$2:$A$9999=$A28)*(Raw_Data_Daily!$C$2:$C$9999=$C$3)*Raw_Data_Daily!$D$2:$D$9999*Raw_Data_Daily!$AI$2:$AI$9999)/SUMIFS(Raw_Data_Daily!$D:$D, Raw_Data_Daily!$B:$B, "Control", Raw_Data_Daily!$A:$A, $A28, Raw_Data_Daily!$C:$C, $C$3),""))</f>
        <v/>
      </c>
      <c r="CU28" s="130" t="str">
        <f>IF($A28="","",IFERROR(SUMPRODUCT((Raw_Data_Daily!$B$2:$B$9999="Variant")*(Raw_Data_Daily!$A$2:$A$9999=$A28)*(Raw_Data_Daily!$C$2:$C$9999=$C$3)*Raw_Data_Daily!$D$2:$D$9999*Raw_Data_Daily!$AI$2:$AI$9999)/SUMIFS(Raw_Data_Daily!$D:$D, Raw_Data_Daily!$B:$B, "Variant", Raw_Data_Daily!$A:$A, $A28, Raw_Data_Daily!$C:$C, $C$3),""))</f>
        <v/>
      </c>
      <c r="CV28" s="140" t="str">
        <f t="shared" si="33"/>
        <v/>
      </c>
      <c r="CW28" s="130" t="str">
        <f>IF($A28="","",IFERROR(SUMPRODUCT((Raw_Data_Daily!$B$2:$B$9999="Control")*(Raw_Data_Daily!$A$2:$A$9999=$A28)*(Raw_Data_Daily!$C$2:$C$9999=$C$3)*Raw_Data_Daily!$D$2:$D$9999*Raw_Data_Daily!$AJ$2:$AJ$9999)/SUMIFS(Raw_Data_Daily!$D:$D, Raw_Data_Daily!$B:$B, "Control", Raw_Data_Daily!$A:$A, $A28, Raw_Data_Daily!$C:$C, $C$3),""))</f>
        <v/>
      </c>
      <c r="CX28" s="130" t="str">
        <f>IF($A28="","",IFERROR(SUMPRODUCT((Raw_Data_Daily!$B$2:$B$9999="Variant")*(Raw_Data_Daily!$A$2:$A$9999=$A28)*(Raw_Data_Daily!$C$2:$C$9999=$C$3)*Raw_Data_Daily!$D$2:$D$9999*Raw_Data_Daily!$AJ$2:$AJ$9999)/SUMIFS(Raw_Data_Daily!$D:$D, Raw_Data_Daily!$B:$B, "Variant", Raw_Data_Daily!$A:$A, $A28, Raw_Data_Daily!$C:$C, $C$3),""))</f>
        <v/>
      </c>
      <c r="CY28" s="140" t="str">
        <f t="shared" si="34"/>
        <v/>
      </c>
      <c r="CZ28" s="130" t="str">
        <f>IF($A28="","",IFERROR(SUMPRODUCT((Raw_Data_Daily!$B$2:$B$9999="Control")*(Raw_Data_Daily!$A$2:$A$9999=$A28)*(Raw_Data_Daily!$C$2:$C$9999=$C$3)*Raw_Data_Daily!$D$2:$D$9999*Raw_Data_Daily!$AK$2:$AK$9999)/SUMIFS(Raw_Data_Daily!$D:$D, Raw_Data_Daily!$B:$B, "Control", Raw_Data_Daily!$A:$A, $A28, Raw_Data_Daily!$C:$C, $C$3),""))</f>
        <v/>
      </c>
      <c r="DA28" s="130" t="str">
        <f>IF($A28="","",IFERROR(SUMPRODUCT((Raw_Data_Daily!$B$2:$B$9999="Variant")*(Raw_Data_Daily!$A$2:$A$9999=$A28)*(Raw_Data_Daily!$C$2:$C$9999=$C$3)*Raw_Data_Daily!$D$2:$D$9999*Raw_Data_Daily!$AK$2:$AK$9999)/SUMIFS(Raw_Data_Daily!$D:$D, Raw_Data_Daily!$B:$B, "Variant", Raw_Data_Daily!$A:$A, $A28, Raw_Data_Daily!$C:$C, $C$3),""))</f>
        <v/>
      </c>
      <c r="DB28" s="132" t="str">
        <f t="shared" si="35"/>
        <v/>
      </c>
      <c r="DC28" s="139" t="str">
        <f>IF($A28="","",IFERROR(SUMPRODUCT((Raw_Data_Daily!$B$2:$B$9999="Control")*(Raw_Data_Daily!$A$2:$A$9999=$A28)*(Raw_Data_Daily!$C$2:$C$9999=$C$3)*Raw_Data_Daily!$D$2:$D$9999*Raw_Data_Daily!$AL$2:$AL$9999)/SUMIFS(Raw_Data_Daily!$D:$D, Raw_Data_Daily!$B:$B, "Control", Raw_Data_Daily!$A:$A, $A28, Raw_Data_Daily!$C:$C, $C$3),""))</f>
        <v/>
      </c>
      <c r="DD28" s="139" t="str">
        <f>IF($A28="","",IFERROR(SUMPRODUCT((Raw_Data_Daily!$B$2:$B$9999="Variant")*(Raw_Data_Daily!$A$2:$A$9999=$A28)*(Raw_Data_Daily!$C$2:$C$9999=$C$3)*Raw_Data_Daily!$D$2:$D$9999*Raw_Data_Daily!$AL$2:$AL$9999)/SUMIFS(Raw_Data_Daily!$D:$D, Raw_Data_Daily!$B:$B, "Variant", Raw_Data_Daily!$A:$A, $A28, Raw_Data_Daily!$C:$C, $C$3),""))</f>
        <v/>
      </c>
      <c r="DE28" s="140" t="str">
        <f t="shared" si="36"/>
        <v/>
      </c>
      <c r="DF28" s="165"/>
      <c r="DG28" s="130" t="str">
        <f>IF($A28="","",IFERROR(SUMPRODUCT((Raw_Data_Daily!$B$2:$B$9999="Variant")*(Raw_Data_Daily!$A$2:$A$9999=$A28)*(Raw_Data_Daily!$C$2:$C$9999=$C$3)*Raw_Data_Daily!$D$2:$D$9999*Raw_Data_Daily!$AM$2:$AM$9999)/SUMIFS(Raw_Data_Daily!$D:$D, Raw_Data_Daily!$B:$B, "Variant", Raw_Data_Daily!$A:$A, $A28, Raw_Data_Daily!$C:$C, $C$3),""))</f>
        <v/>
      </c>
      <c r="DH28" s="166"/>
      <c r="DI28" s="165"/>
      <c r="DJ28" s="130" t="str">
        <f>IF($A28="","",IFERROR(SUMPRODUCT((Raw_Data_Daily!$B$2:$B$9999="Variant")*(Raw_Data_Daily!$A$2:$A$9999=$A28)*(Raw_Data_Daily!$C$2:$C$9999=$C$3)*Raw_Data_Daily!$D$2:$D$9999*Raw_Data_Daily!$AN$2:$AN$9999)/SUMIFS(Raw_Data_Daily!$D:$D, Raw_Data_Daily!$B:$B, "Variant", Raw_Data_Daily!$A:$A, $A28, Raw_Data_Daily!$C:$C, $C$3),""))</f>
        <v/>
      </c>
      <c r="DK28" s="166"/>
      <c r="DL28" s="165"/>
      <c r="DM28" s="130" t="str">
        <f>IF($A28="","",IFERROR(SUMPRODUCT((Raw_Data_Daily!$B$2:$B$9999="Variant")*(Raw_Data_Daily!$A$2:$A$9999=$A28)*(Raw_Data_Daily!$C$2:$C$9999=$C$3)*Raw_Data_Daily!$D$2:$D$9999*Raw_Data_Daily!$AO$2:$AO$9999)/SUMIFS(Raw_Data_Daily!$D:$D, Raw_Data_Daily!$B:$B, "Variant", Raw_Data_Daily!$A:$A, $A28, Raw_Data_Daily!$C:$C, $C$3),""))</f>
        <v/>
      </c>
      <c r="DN28" s="166"/>
      <c r="DO28" s="165"/>
      <c r="DP28" s="130" t="str">
        <f>IF($A28="","",IFERROR(SUMPRODUCT((Raw_Data_Daily!$B$2:$B$9999="Variant")*(Raw_Data_Daily!$A$2:$A$9999=$A28)*(Raw_Data_Daily!$C$2:$C$9999=$C$3)*Raw_Data_Daily!$D$2:$D$9999*Raw_Data_Daily!$AP$2:$AP$9999)/SUMIFS(Raw_Data_Daily!$D:$D, Raw_Data_Daily!$B:$B, "Variant", Raw_Data_Daily!$A:$A, $A28, Raw_Data_Daily!$C:$C, $C$3),""))</f>
        <v/>
      </c>
      <c r="DQ28" s="166"/>
      <c r="DR28" s="139" t="str">
        <f>IF($A28="","",IFERROR(SUMPRODUCT((Raw_Data_Daily!$B$2:$B$9999="Control")*(Raw_Data_Daily!$A$2:$A$9999=$A28)*(Raw_Data_Daily!$C$2:$C$9999=$C$3)*Raw_Data_Daily!$D$2:$D$9999*Raw_Data_Daily!$AQ$2:$AQ$9999)/SUMIFS(Raw_Data_Daily!$D:$D, Raw_Data_Daily!$B:$B, "Control", Raw_Data_Daily!$A:$A, $A28, Raw_Data_Daily!$C:$C, $C$3),""))</f>
        <v/>
      </c>
      <c r="DS28" s="139" t="str">
        <f>IF($A28="","",IFERROR(SUMPRODUCT((Raw_Data_Daily!$B$2:$B$9999="Variant")*(Raw_Data_Daily!$A$2:$A$9999=$A28)*(Raw_Data_Daily!$C$2:$C$9999=$C$3)*Raw_Data_Daily!$D$2:$D$9999*Raw_Data_Daily!$AQ$2:$AQ$9999)/SUMIFS(Raw_Data_Daily!$D:$D, Raw_Data_Daily!$B:$B, "Variant", Raw_Data_Daily!$A:$A, $A28, Raw_Data_Daily!$C:$C, $C$3),""))</f>
        <v/>
      </c>
      <c r="DT28" s="167" t="str">
        <f t="shared" si="37"/>
        <v/>
      </c>
      <c r="DU28" s="139" t="str">
        <f>IF($A28="","",IFERROR(SUMPRODUCT((Raw_Data_Daily!$B$2:$B$9999="Control")*(Raw_Data_Daily!$A$2:$A$9999=$A28)*(Raw_Data_Daily!$C$2:$C$9999=$C$3)*Raw_Data_Daily!$D$2:$D$9999*Raw_Data_Daily!$AR$2:$AR$9999)/SUMIFS(Raw_Data_Daily!$D:$D, Raw_Data_Daily!$B:$B, "Control", Raw_Data_Daily!$A:$A, $A28, Raw_Data_Daily!$C:$C, $C$3),""))</f>
        <v/>
      </c>
      <c r="DV28" s="139" t="str">
        <f>IF($A28="","",IFERROR(SUMPRODUCT((Raw_Data_Daily!$B$2:$B$9999="Variant")*(Raw_Data_Daily!$A$2:$A$9999=$A28)*(Raw_Data_Daily!$C$2:$C$9999=$C$3)*Raw_Data_Daily!$D$2:$D$9999*Raw_Data_Daily!$AR$2:$AR$9999)/SUMIFS(Raw_Data_Daily!$D:$D, Raw_Data_Daily!$B:$B, "Variant", Raw_Data_Daily!$A:$A, $A28, Raw_Data_Daily!$C:$C, $C$3),""))</f>
        <v/>
      </c>
      <c r="DW28" s="167" t="str">
        <f t="shared" si="38"/>
        <v/>
      </c>
      <c r="DX28" s="139" t="str">
        <f>IF($A28="","",IFERROR(SUMPRODUCT((Raw_Data_Daily!$B$2:$B$9999="Control")*(Raw_Data_Daily!$A$2:$A$9999=$A28)*(Raw_Data_Daily!$C$2:$C$9999=$C$3)*Raw_Data_Daily!$D$2:$D$9999*Raw_Data_Daily!$AS$2:$AS$9999)/SUMIFS(Raw_Data_Daily!$D:$D, Raw_Data_Daily!$B:$B, "Control", Raw_Data_Daily!$A:$A, $A28, Raw_Data_Daily!$C:$C, $C$3),""))</f>
        <v/>
      </c>
      <c r="DY28" s="139" t="str">
        <f>IF($A28="","",IFERROR(SUMPRODUCT((Raw_Data_Daily!$B$2:$B$9999="Variant")*(Raw_Data_Daily!$A$2:$A$9999=$A28)*(Raw_Data_Daily!$C$2:$C$9999=$C$3)*Raw_Data_Daily!$D$2:$D$9999*Raw_Data_Daily!$AS$2:$AS$9999)/SUMIFS(Raw_Data_Daily!$D:$D, Raw_Data_Daily!$B:$B, "Variant", Raw_Data_Daily!$A:$A, $A28, Raw_Data_Daily!$C:$C, $C$3),""))</f>
        <v/>
      </c>
      <c r="DZ28" s="168" t="str">
        <f t="shared" si="39"/>
        <v/>
      </c>
      <c r="EA28" s="139" t="str">
        <f>IF($A28="","",IFERROR(SUMPRODUCT((Raw_Data_Daily!$B$2:$B$9999="Control")*(Raw_Data_Daily!$A$2:$A$9999=$A28)*(Raw_Data_Daily!$C$2:$C$9999=$C$3)*Raw_Data_Daily!$D$2:$D$9999*Raw_Data_Daily!$AT$2:$AT$9999)/SUMIFS(Raw_Data_Daily!$D:$D, Raw_Data_Daily!$B:$B, "Control", Raw_Data_Daily!$A:$A, $A28, Raw_Data_Daily!$C:$C, $C$3),""))</f>
        <v/>
      </c>
      <c r="EB28" s="139" t="str">
        <f>IF($A28="","",IFERROR(SUMPRODUCT((Raw_Data_Daily!$B$2:$B$9999="Variant")*(Raw_Data_Daily!$A$2:$A$9999=$A28)*(Raw_Data_Daily!$C$2:$C$9999=$C$3)*Raw_Data_Daily!$D$2:$D$9999*Raw_Data_Daily!$AT$2:$AT$9999)/SUMIFS(Raw_Data_Daily!$D:$D, Raw_Data_Daily!$B:$B, "Variant", Raw_Data_Daily!$A:$A, $A28, Raw_Data_Daily!$C:$C, $C$3),""))</f>
        <v/>
      </c>
      <c r="EC28" s="167" t="str">
        <f t="shared" si="40"/>
        <v/>
      </c>
      <c r="ED28" s="139" t="str">
        <f>IF($A28="","",IFERROR(SUMPRODUCT((Raw_Data_Daily!$B$2:$B$9999="Control")*(Raw_Data_Daily!$A$2:$A$9999=$A28)*(Raw_Data_Daily!$C$2:$C$9999=$C$3)*Raw_Data_Daily!$D$2:$D$9999*(Raw_Data_Daily!$AQ$2:$AQ$9999-Raw_Data_Daily!$AT$2:$AT$9999))/SUMIFS(Raw_Data_Daily!$D:$D, Raw_Data_Daily!$B:$B, "Control", Raw_Data_Daily!$A:$A, $A28, Raw_Data_Daily!$C:$C, $C$3),""))</f>
        <v/>
      </c>
      <c r="EE28" s="139" t="str">
        <f>IF($A28="","",IFERROR(SUMPRODUCT((Raw_Data_Daily!$B$2:$B$9999="Variant")*(Raw_Data_Daily!$A$2:$A$9999=$A28)*(Raw_Data_Daily!$C$2:$C$9999=$C$3)*Raw_Data_Daily!$D$2:$D$9999*(Raw_Data_Daily!$AQ$2:$AQ$9999-Raw_Data_Daily!$AT$2:$AT$9999))/SUMIFS(Raw_Data_Daily!$D:$D, Raw_Data_Daily!$B:$B, "Variant", Raw_Data_Daily!$A:$A, $A28, Raw_Data_Daily!$C:$C, $C$3),""))</f>
        <v/>
      </c>
      <c r="EF28" s="168" t="str">
        <f t="shared" si="41"/>
        <v/>
      </c>
      <c r="EG28" s="139" t="str">
        <f>IF($A28="","",IFERROR(SUMPRODUCT((Raw_Data_Daily!$B$2:$B$9999="Control")*(Raw_Data_Daily!$A$2:$A$9999=$A28)*(Raw_Data_Daily!$C$2:$C$9999=$C$3)*Raw_Data_Daily!$D$2:$D$9999*Raw_Data_Daily!$AU$2:$AU$9999)/SUMIFS(Raw_Data_Daily!$D:$D, Raw_Data_Daily!$B:$B, "Control", Raw_Data_Daily!$A:$A, $A28, Raw_Data_Daily!$C:$C, $C$3),""))</f>
        <v/>
      </c>
      <c r="EH28" s="139" t="str">
        <f>IF($A28="","",IFERROR(SUMPRODUCT((Raw_Data_Daily!$B$2:$B$9999="Variant")*(Raw_Data_Daily!$A$2:$A$9999=$A28)*(Raw_Data_Daily!$C$2:$C$9999=$C$3)*Raw_Data_Daily!$D$2:$D$9999*Raw_Data_Daily!$AU$2:$AU$9999)/SUMIFS(Raw_Data_Daily!$D:$D, Raw_Data_Daily!$B:$B, "Variant", Raw_Data_Daily!$A:$A, $A28, Raw_Data_Daily!$C:$C, $C$3),""))</f>
        <v/>
      </c>
      <c r="EI28" s="167" t="str">
        <f t="shared" si="42"/>
        <v/>
      </c>
    </row>
    <row r="29" ht="15.75" customHeight="1">
      <c r="A29" s="126">
        <v>46252.0</v>
      </c>
      <c r="B29" s="128">
        <f>IF($A29="","",SUMIFS(Raw_Data_Daily!$D:$D, Raw_Data_Daily!$B:$B, "Control", Raw_Data_Daily!$A:$A, $A29, Raw_Data_Daily!$C:$C, $C$3))</f>
        <v>0</v>
      </c>
      <c r="C29" s="128">
        <f>IF($A29="","",SUMIFS(Raw_Data_Daily!$D:$D, Raw_Data_Daily!$B:$B, "Variant", Raw_Data_Daily!$A:$A, $A29, Raw_Data_Daily!$C:$C, $C$3))</f>
        <v>0</v>
      </c>
      <c r="D29" s="129" t="str">
        <f t="shared" si="1"/>
        <v/>
      </c>
      <c r="E29" s="130" t="str">
        <f>IF($A29="","",IFERROR(SUMPRODUCT((Raw_Data_Daily!$B$2:$B$9999="Control")*(Raw_Data_Daily!$A$2:$A$9999=$A29)*(Raw_Data_Daily!$C$2:$C$9999=$C$3)*Raw_Data_Daily!$D$2:$D$9999*Raw_Data_Daily!$E$2:$E$9999)/SUMIFS(Raw_Data_Daily!$D:$D, Raw_Data_Daily!$B:$B, "Control", Raw_Data_Daily!$A:$A, $A29, Raw_Data_Daily!$C:$C, $C$3),""))</f>
        <v/>
      </c>
      <c r="F29" s="130" t="str">
        <f>IF($A29="","",IFERROR(SUMPRODUCT((Raw_Data_Daily!$B$2:$B$9999="Variant")*(Raw_Data_Daily!$A$2:$A$9999=$A29)*(Raw_Data_Daily!$C$2:$C$9999=$C$3)*Raw_Data_Daily!$D$2:$D$9999*Raw_Data_Daily!$E$2:$E$9999)/SUMIFS(Raw_Data_Daily!$D:$D, Raw_Data_Daily!$B:$B, "Variant", Raw_Data_Daily!$A:$A, $A29, Raw_Data_Daily!$C:$C, $C$3),""))</f>
        <v/>
      </c>
      <c r="G29" s="129" t="str">
        <f t="shared" si="2"/>
        <v/>
      </c>
      <c r="H29" s="131">
        <f>IF($A29="","",SUMIFS(Raw_Data_Daily!$F:$F, Raw_Data_Daily!$B:$B, "Control", Raw_Data_Daily!$A:$A, $A29, Raw_Data_Daily!$C:$C, $C$3))</f>
        <v>0</v>
      </c>
      <c r="I29" s="131">
        <f>IF($A29="","",SUMIFS(Raw_Data_Daily!$F:$F, Raw_Data_Daily!$B:$B, "Variant", Raw_Data_Daily!$A:$A, $A29, Raw_Data_Daily!$C:$C, $C$3))</f>
        <v>0</v>
      </c>
      <c r="J29" s="132" t="str">
        <f t="shared" si="3"/>
        <v/>
      </c>
      <c r="K29" s="134" t="str">
        <f>IF($A29="","",IFERROR(SUMIFS(Raw_Data_Daily!$F:$F, Raw_Data_Daily!$B:$B, "Control", Raw_Data_Daily!$A:$A, $A29, Raw_Data_Daily!$C:$C, $C$3)/SUMIFS(Raw_Data_Daily!$D:$D, Raw_Data_Daily!$B:$B, "Control", Raw_Data_Daily!$A:$A, $A29, Raw_Data_Daily!$C:$C, $C$3),""))</f>
        <v/>
      </c>
      <c r="L29" s="134" t="str">
        <f>IF($A29="","",IFERROR(SUMIFS(Raw_Data_Daily!$F:$F, Raw_Data_Daily!$B:$B, "Variant", Raw_Data_Daily!$A:$A, $A29, Raw_Data_Daily!$C:$C, $C$3)/SUMIFS(Raw_Data_Daily!$D:$D, Raw_Data_Daily!$B:$B, "Variant", Raw_Data_Daily!$A:$A, $A29, Raw_Data_Daily!$C:$C, $C$3),""))</f>
        <v/>
      </c>
      <c r="M29" s="132" t="str">
        <f t="shared" si="4"/>
        <v/>
      </c>
      <c r="N29" s="130" t="str">
        <f>IF($A29="","",IFERROR(SUMPRODUCT((Raw_Data_Daily!$B$2:$B$9999="Control")*(Raw_Data_Daily!$A$2:$A$9999=$A29)*(Raw_Data_Daily!$C$2:$C$9999=$C$3)*Raw_Data_Daily!$D$2:$D$9999*Raw_Data_Daily!$H$2:$H$9999/100)/SUMIFS(Raw_Data_Daily!$D:$D, Raw_Data_Daily!$B:$B, "Control", Raw_Data_Daily!$A:$A, $A29, Raw_Data_Daily!$C:$C, $C$3)*100,""))</f>
        <v/>
      </c>
      <c r="O29" s="130" t="str">
        <f>IF($A29="","",IFERROR(SUMPRODUCT((Raw_Data_Daily!$B$2:$B$9999="Variant")*(Raw_Data_Daily!$A$2:$A$9999=$A29)*(Raw_Data_Daily!$C$2:$C$9999=$C$3)*Raw_Data_Daily!$D$2:$D$9999*Raw_Data_Daily!$H$2:$H$9999/100)/SUMIFS(Raw_Data_Daily!$D:$D, Raw_Data_Daily!$B:$B, "Variant", Raw_Data_Daily!$A:$A, $A29, Raw_Data_Daily!$C:$C, $C$3)*100,""))</f>
        <v/>
      </c>
      <c r="P29" s="132" t="str">
        <f t="shared" si="5"/>
        <v/>
      </c>
      <c r="Q29" s="134" t="str">
        <f>IF($A29="","",IFERROR(SUMIFS(Raw_Data_Daily!$F:$F, Raw_Data_Daily!$B:$B, "Control", Raw_Data_Daily!$A:$A, $A29, Raw_Data_Daily!$C:$C, $C$3)/SUMPRODUCT((Raw_Data_Daily!$B$2:$B$9999="Control")*(Raw_Data_Daily!$A$2:$A$9999=$A29)*(Raw_Data_Daily!$C$2:$C$9999=$C$3)*Raw_Data_Daily!$D$2:$D$9999*Raw_Data_Daily!$H$2:$H$9999/100),""))</f>
        <v/>
      </c>
      <c r="R29" s="134" t="str">
        <f>IF($A29="","",IFERROR(SUMIFS(Raw_Data_Daily!$F:$F, Raw_Data_Daily!$B:$B, "Variant", Raw_Data_Daily!$A:$A, $A29, Raw_Data_Daily!$C:$C, $C$3)/SUMPRODUCT((Raw_Data_Daily!$B$2:$B$9999="Variant")*(Raw_Data_Daily!$A$2:$A$9999=$A29)*(Raw_Data_Daily!$C$2:$C$9999=$C$3)*Raw_Data_Daily!$D$2:$D$9999*Raw_Data_Daily!$H$2:$H$9999/100),""))</f>
        <v/>
      </c>
      <c r="S29" s="132" t="str">
        <f t="shared" si="6"/>
        <v/>
      </c>
      <c r="T29" s="137" t="str">
        <f>IF($A29="","",IFERROR(SUMPRODUCT((Raw_Data_Daily!$B$2:$B$9999="Control")*(Raw_Data_Daily!$A$2:$A$9999=$A29)*(Raw_Data_Daily!$C$2:$C$9999=$C$3)*Raw_Data_Daily!$D$2:$D$9999*Raw_Data_Daily!$J$2:$J$9999)/SUMIFS(Raw_Data_Daily!$D:$D, Raw_Data_Daily!$B:$B, "Control", Raw_Data_Daily!$A:$A, $A29, Raw_Data_Daily!$C:$C, $C$3),""))</f>
        <v/>
      </c>
      <c r="U29" s="137" t="str">
        <f>IF($A29="","",IFERROR(SUMPRODUCT((Raw_Data_Daily!$B$2:$B$9999="Variant")*(Raw_Data_Daily!$A$2:$A$9999=$A29)*(Raw_Data_Daily!$C$2:$C$9999=$C$3)*Raw_Data_Daily!$D$2:$D$9999*Raw_Data_Daily!$J$2:$J$9999)/SUMIFS(Raw_Data_Daily!$D:$D, Raw_Data_Daily!$B:$B, "Variant", Raw_Data_Daily!$A:$A, $A29, Raw_Data_Daily!$C:$C, $C$3),""))</f>
        <v/>
      </c>
      <c r="V29" s="132" t="str">
        <f t="shared" si="7"/>
        <v/>
      </c>
      <c r="W29" s="137" t="str">
        <f>IF($A29="","",IFERROR(SUMPRODUCT((Raw_Data_Daily!$B$2:$B$9999="Control")*(Raw_Data_Daily!$A$2:$A$9999=$A29)*(Raw_Data_Daily!$C$2:$C$9999=$C$3)*Raw_Data_Daily!$D$2:$D$9999*Raw_Data_Daily!$K$2:$K$9999)/SUMIFS(Raw_Data_Daily!$D:$D, Raw_Data_Daily!$B:$B, "Control", Raw_Data_Daily!$A:$A, $A29, Raw_Data_Daily!$C:$C, $C$3),""))</f>
        <v/>
      </c>
      <c r="X29" s="137" t="str">
        <f>IF($A29="","",IFERROR(SUMPRODUCT((Raw_Data_Daily!$B$2:$B$9999="Variant")*(Raw_Data_Daily!$A$2:$A$9999=$A29)*(Raw_Data_Daily!$C$2:$C$9999=$C$3)*Raw_Data_Daily!$D$2:$D$9999*Raw_Data_Daily!$K$2:$K$9999)/SUMIFS(Raw_Data_Daily!$D:$D, Raw_Data_Daily!$B:$B, "Variant", Raw_Data_Daily!$A:$A, $A29, Raw_Data_Daily!$C:$C, $C$3),""))</f>
        <v/>
      </c>
      <c r="Y29" s="132" t="str">
        <f t="shared" si="8"/>
        <v/>
      </c>
      <c r="Z29" s="137" t="str">
        <f>IF($A29="","",IFERROR(SUMPRODUCT((Raw_Data_Daily!$B$2:$B$9999="Control")*(Raw_Data_Daily!$A$2:$A$9999=$A29)*(Raw_Data_Daily!$C$2:$C$9999=$C$3)*Raw_Data_Daily!$D$2:$D$9999*Raw_Data_Daily!$L$2:$L$9999)/SUMIFS(Raw_Data_Daily!$D:$D, Raw_Data_Daily!$B:$B, "Control", Raw_Data_Daily!$A:$A, $A29, Raw_Data_Daily!$C:$C, $C$3),""))</f>
        <v/>
      </c>
      <c r="AA29" s="137" t="str">
        <f>IF($A29="","",IFERROR(SUMPRODUCT((Raw_Data_Daily!$B$2:$B$9999="Variant")*(Raw_Data_Daily!$A$2:$A$9999=$A29)*(Raw_Data_Daily!$C$2:$C$9999=$C$3)*Raw_Data_Daily!$D$2:$D$9999*Raw_Data_Daily!$L$2:$L$9999)/SUMIFS(Raw_Data_Daily!$D:$D, Raw_Data_Daily!$B:$B, "Variant", Raw_Data_Daily!$A:$A, $A29, Raw_Data_Daily!$C:$C, $C$3),""))</f>
        <v/>
      </c>
      <c r="AB29" s="132" t="str">
        <f t="shared" si="9"/>
        <v/>
      </c>
      <c r="AC29" s="139" t="str">
        <f>IF($A29="","",IFERROR(SUMPRODUCT((Raw_Data_Daily!$B$2:$B$9999="Control")*(Raw_Data_Daily!$A$2:$A$9999=$A29)*(Raw_Data_Daily!$C$2:$C$9999=$C$3)*Raw_Data_Daily!$D$2:$D$9999*Raw_Data_Daily!$M$2:$M$9999)/SUMIFS(Raw_Data_Daily!$D:$D, Raw_Data_Daily!$B:$B, "Control", Raw_Data_Daily!$A:$A, $A29, Raw_Data_Daily!$C:$C, $C$3),""))</f>
        <v/>
      </c>
      <c r="AD29" s="139" t="str">
        <f>IF($A29="","",IFERROR(SUMPRODUCT((Raw_Data_Daily!$B$2:$B$9999="Variant")*(Raw_Data_Daily!$A$2:$A$9999=$A29)*(Raw_Data_Daily!$C$2:$C$9999=$C$3)*Raw_Data_Daily!$D$2:$D$9999*Raw_Data_Daily!$M$2:$M$9999)/SUMIFS(Raw_Data_Daily!$D:$D, Raw_Data_Daily!$B:$B, "Variant", Raw_Data_Daily!$A:$A, $A29, Raw_Data_Daily!$C:$C, $C$3),""))</f>
        <v/>
      </c>
      <c r="AE29" s="140" t="str">
        <f t="shared" si="10"/>
        <v/>
      </c>
      <c r="AF29" s="139" t="str">
        <f>IF($A29="","",IFERROR(SUMPRODUCT((Raw_Data_Daily!$B$2:$B$9999="Control")*(Raw_Data_Daily!$A$2:$A$9999=$A29)*(Raw_Data_Daily!$C$2:$C$9999=$C$3)*Raw_Data_Daily!$D$2:$D$9999*Raw_Data_Daily!$N$2:$N$9999)/SUMIFS(Raw_Data_Daily!$D:$D, Raw_Data_Daily!$B:$B, "Control", Raw_Data_Daily!$A:$A, $A29, Raw_Data_Daily!$C:$C, $C$3),""))</f>
        <v/>
      </c>
      <c r="AG29" s="139" t="str">
        <f>IF($A29="","",IFERROR(SUMPRODUCT((Raw_Data_Daily!$B$2:$B$9999="Variant")*(Raw_Data_Daily!$A$2:$A$9999=$A29)*(Raw_Data_Daily!$C$2:$C$9999=$C$3)*Raw_Data_Daily!$D$2:$D$9999*Raw_Data_Daily!$N$2:$N$9999)/SUMIFS(Raw_Data_Daily!$D:$D, Raw_Data_Daily!$B:$B, "Variant", Raw_Data_Daily!$A:$A, $A29, Raw_Data_Daily!$C:$C, $C$3),""))</f>
        <v/>
      </c>
      <c r="AH29" s="140" t="str">
        <f t="shared" si="11"/>
        <v/>
      </c>
      <c r="AI29" s="139" t="str">
        <f>IF($A29="","",IFERROR(SUMPRODUCT((Raw_Data_Daily!$B$2:$B$9999="Control")*(Raw_Data_Daily!$A$2:$A$9999=$A29)*(Raw_Data_Daily!$C$2:$C$9999=$C$3)*Raw_Data_Daily!$D$2:$D$9999*Raw_Data_Daily!$O$2:$O$9999)/SUMIFS(Raw_Data_Daily!$D:$D, Raw_Data_Daily!$B:$B, "Control", Raw_Data_Daily!$A:$A, $A29, Raw_Data_Daily!$C:$C, $C$3),""))</f>
        <v/>
      </c>
      <c r="AJ29" s="139" t="str">
        <f>IF($A29="","",IFERROR(SUMPRODUCT((Raw_Data_Daily!$B$2:$B$9999="Variant")*(Raw_Data_Daily!$A$2:$A$9999=$A29)*(Raw_Data_Daily!$C$2:$C$9999=$C$3)*Raw_Data_Daily!$D$2:$D$9999*Raw_Data_Daily!$O$2:$O$9999)/SUMIFS(Raw_Data_Daily!$D:$D, Raw_Data_Daily!$B:$B, "Variant", Raw_Data_Daily!$A:$A, $A29, Raw_Data_Daily!$C:$C, $C$3),""))</f>
        <v/>
      </c>
      <c r="AK29" s="132" t="str">
        <f t="shared" si="12"/>
        <v/>
      </c>
      <c r="AL29" s="137" t="str">
        <f>IF($A29="","",IFERROR(SUMPRODUCT((Raw_Data_Daily!$B$2:$B$9999="Control")*(Raw_Data_Daily!$A$2:$A$9999=$A29)*(Raw_Data_Daily!$C$2:$C$9999=$C$3)*Raw_Data_Daily!$D$2:$D$9999*Raw_Data_Daily!$P$2:$P$9999)/SUMIFS(Raw_Data_Daily!$D:$D, Raw_Data_Daily!$B:$B, "Control", Raw_Data_Daily!$A:$A, $A29, Raw_Data_Daily!$C:$C, $C$3),""))</f>
        <v/>
      </c>
      <c r="AM29" s="137" t="str">
        <f>IF($A29="","",IFERROR(SUMPRODUCT((Raw_Data_Daily!$B$2:$B$9999="Variant")*(Raw_Data_Daily!$A$2:$A$9999=$A29)*(Raw_Data_Daily!$C$2:$C$9999=$C$3)*Raw_Data_Daily!$D$2:$D$9999*Raw_Data_Daily!$P$2:$P$9999)/SUMIFS(Raw_Data_Daily!$D:$D, Raw_Data_Daily!$B:$B, "Variant", Raw_Data_Daily!$A:$A, $A29, Raw_Data_Daily!$C:$C, $C$3),""))</f>
        <v/>
      </c>
      <c r="AN29" s="132" t="str">
        <f t="shared" si="13"/>
        <v/>
      </c>
      <c r="AO29" s="137" t="str">
        <f>IF($A29="","",IFERROR(SUMPRODUCT((Raw_Data_Daily!$B$2:$B$9999="Control")*(Raw_Data_Daily!$A$2:$A$9999=$A29)*(Raw_Data_Daily!$C$2:$C$9999=$C$3)*Raw_Data_Daily!$D$2:$D$9999*Raw_Data_Daily!$Q$2:$Q$9999)/SUMIFS(Raw_Data_Daily!$D:$D, Raw_Data_Daily!$B:$B, "Control", Raw_Data_Daily!$A:$A, $A29, Raw_Data_Daily!$C:$C, $C$3),""))</f>
        <v/>
      </c>
      <c r="AP29" s="137" t="str">
        <f>IF($A29="","",IFERROR(SUMPRODUCT((Raw_Data_Daily!$B$2:$B$9999="Variant")*(Raw_Data_Daily!$A$2:$A$9999=$A29)*(Raw_Data_Daily!$C$2:$C$9999=$C$3)*Raw_Data_Daily!$D$2:$D$9999*Raw_Data_Daily!$Q$2:$Q$9999)/SUMIFS(Raw_Data_Daily!$D:$D, Raw_Data_Daily!$B:$B, "Variant", Raw_Data_Daily!$A:$A, $A29, Raw_Data_Daily!$C:$C, $C$3),""))</f>
        <v/>
      </c>
      <c r="AQ29" s="129" t="str">
        <f t="shared" si="14"/>
        <v/>
      </c>
      <c r="AR29" s="137" t="str">
        <f>IF($A29="","",IFERROR(SUMPRODUCT((Raw_Data_Daily!$B$2:$B$9999="Control")*(Raw_Data_Daily!$A$2:$A$9999=$A29)*(Raw_Data_Daily!$C$2:$C$9999=$C$3)*Raw_Data_Daily!$D$2:$D$9999*Raw_Data_Daily!$R$2:$R$9999)/SUMIFS(Raw_Data_Daily!$D:$D, Raw_Data_Daily!$B:$B, "Control", Raw_Data_Daily!$A:$A, $A29, Raw_Data_Daily!$C:$C, $C$3),""))</f>
        <v/>
      </c>
      <c r="AS29" s="137" t="str">
        <f>IF($A29="","",IFERROR(SUMPRODUCT((Raw_Data_Daily!$B$2:$B$9999="Variant")*(Raw_Data_Daily!$A$2:$A$9999=$A29)*(Raw_Data_Daily!$C$2:$C$9999=$C$3)*Raw_Data_Daily!$D$2:$D$9999*Raw_Data_Daily!$R$2:$R$9999)/SUMIFS(Raw_Data_Daily!$D:$D, Raw_Data_Daily!$B:$B, "Variant", Raw_Data_Daily!$A:$A, $A29, Raw_Data_Daily!$C:$C, $C$3),""))</f>
        <v/>
      </c>
      <c r="AT29" s="129" t="str">
        <f t="shared" si="15"/>
        <v/>
      </c>
      <c r="AU29" s="137" t="str">
        <f>IF($A29="","",IFERROR(SUMPRODUCT((Raw_Data_Daily!$B$2:$B$9999="Control")*(Raw_Data_Daily!$A$2:$A$9999=$A29)*(Raw_Data_Daily!$C$2:$C$9999=$C$3)*Raw_Data_Daily!$D$2:$D$9999*Raw_Data_Daily!$S$2:$S$9999)/SUMIFS(Raw_Data_Daily!$D:$D, Raw_Data_Daily!$B:$B, "Control", Raw_Data_Daily!$A:$A, $A29, Raw_Data_Daily!$C:$C, $C$3),""))</f>
        <v/>
      </c>
      <c r="AV29" s="137" t="str">
        <f>IF($A29="","",IFERROR(SUMPRODUCT((Raw_Data_Daily!$B$2:$B$9999="Variant")*(Raw_Data_Daily!$A$2:$A$9999=$A29)*(Raw_Data_Daily!$C$2:$C$9999=$C$3)*Raw_Data_Daily!$D$2:$D$9999*Raw_Data_Daily!$S$2:$S$9999)/SUMIFS(Raw_Data_Daily!$D:$D, Raw_Data_Daily!$B:$B, "Variant", Raw_Data_Daily!$A:$A, $A29, Raw_Data_Daily!$C:$C, $C$3),""))</f>
        <v/>
      </c>
      <c r="AW29" s="129" t="str">
        <f t="shared" si="16"/>
        <v/>
      </c>
      <c r="AX29" s="137" t="str">
        <f>IF($A29="","",IFERROR(SUMPRODUCT((Raw_Data_Daily!$B$2:$B$9999="Control")*(Raw_Data_Daily!$A$2:$A$9999=$A29)*(Raw_Data_Daily!$C$2:$C$9999=$C$3)*Raw_Data_Daily!$D$2:$D$9999*Raw_Data_Daily!$T$2:$T$9999)/SUMIFS(Raw_Data_Daily!$D:$D, Raw_Data_Daily!$B:$B, "Control", Raw_Data_Daily!$A:$A, $A29, Raw_Data_Daily!$C:$C, $C$3),""))</f>
        <v/>
      </c>
      <c r="AY29" s="137" t="str">
        <f>IF($A29="","",IFERROR(SUMPRODUCT((Raw_Data_Daily!$B$2:$B$9999="Variant")*(Raw_Data_Daily!$A$2:$A$9999=$A29)*(Raw_Data_Daily!$C$2:$C$9999=$C$3)*Raw_Data_Daily!$D$2:$D$9999*Raw_Data_Daily!$T$2:$T$9999)/SUMIFS(Raw_Data_Daily!$D:$D, Raw_Data_Daily!$B:$B, "Variant", Raw_Data_Daily!$A:$A, $A29, Raw_Data_Daily!$C:$C, $C$3),""))</f>
        <v/>
      </c>
      <c r="AZ29" s="132" t="str">
        <f t="shared" si="17"/>
        <v/>
      </c>
      <c r="BA29" s="137" t="str">
        <f>IF($A29="","",IFERROR(SUMPRODUCT((Raw_Data_Daily!$B$2:$B$9999="Control")*(Raw_Data_Daily!$A$2:$A$9999=$A29)*(Raw_Data_Daily!$C$2:$C$9999=$C$3)*Raw_Data_Daily!$D$2:$D$9999*Raw_Data_Daily!$U$2:$U$9999)/SUMIFS(Raw_Data_Daily!$D:$D, Raw_Data_Daily!$B:$B, "Control", Raw_Data_Daily!$A:$A, $A29, Raw_Data_Daily!$C:$C, $C$3),""))</f>
        <v/>
      </c>
      <c r="BB29" s="137" t="str">
        <f>IF($A29="","",IFERROR(SUMPRODUCT((Raw_Data_Daily!$B$2:$B$9999="Variant")*(Raw_Data_Daily!$A$2:$A$9999=$A29)*(Raw_Data_Daily!$C$2:$C$9999=$C$3)*Raw_Data_Daily!$D$2:$D$9999*Raw_Data_Daily!$U$2:$U$9999)/SUMIFS(Raw_Data_Daily!$D:$D, Raw_Data_Daily!$B:$B, "Variant", Raw_Data_Daily!$A:$A, $A29, Raw_Data_Daily!$C:$C, $C$3),""))</f>
        <v/>
      </c>
      <c r="BC29" s="129" t="str">
        <f t="shared" si="18"/>
        <v/>
      </c>
      <c r="BD29" s="137" t="str">
        <f>IF($A29="","",IFERROR(SUMPRODUCT((Raw_Data_Daily!$B$2:$B$9999="Control")*(Raw_Data_Daily!$A$2:$A$9999=$A29)*(Raw_Data_Daily!$C$2:$C$9999=$C$3)*Raw_Data_Daily!$D$2:$D$9999*Raw_Data_Daily!$V$2:$V$9999)/SUMIFS(Raw_Data_Daily!$D:$D, Raw_Data_Daily!$B:$B, "Control", Raw_Data_Daily!$A:$A, $A29, Raw_Data_Daily!$C:$C, $C$3),""))</f>
        <v/>
      </c>
      <c r="BE29" s="137" t="str">
        <f>IF($A29="","",IFERROR(SUMPRODUCT((Raw_Data_Daily!$B$2:$B$9999="Variant")*(Raw_Data_Daily!$A$2:$A$9999=$A29)*(Raw_Data_Daily!$C$2:$C$9999=$C$3)*Raw_Data_Daily!$D$2:$D$9999*Raw_Data_Daily!$V$2:$V$9999)/SUMIFS(Raw_Data_Daily!$D:$D, Raw_Data_Daily!$B:$B, "Variant", Raw_Data_Daily!$A:$A, $A29, Raw_Data_Daily!$C:$C, $C$3),""))</f>
        <v/>
      </c>
      <c r="BF29" s="148" t="str">
        <f t="shared" si="19"/>
        <v/>
      </c>
      <c r="BG29" s="149" t="str">
        <f>IF($A29="","",IFERROR(SUMPRODUCT((Raw_Data_Daily!$B$2:$B$9999="Control")*(Raw_Data_Daily!$A$2:$A$9999=$A29)*(Raw_Data_Daily!$C$2:$C$9999=$C$3)*Raw_Data_Daily!$D$2:$D$9999*(Raw_Data_Daily!$Q$2:$Q$9999-Raw_Data_Daily!$V$2:$V$9999))/SUMIFS(Raw_Data_Daily!$D:$D, Raw_Data_Daily!$B:$B, "Control", Raw_Data_Daily!$A:$A, $A29, Raw_Data_Daily!$C:$C, $C$3),""))</f>
        <v/>
      </c>
      <c r="BH29" s="137" t="str">
        <f>IF($A29="","",IFERROR(SUMPRODUCT((Raw_Data_Daily!$B$2:$B$9999="Variant")*(Raw_Data_Daily!$A$2:$A$9999=$A29)*(Raw_Data_Daily!$C$2:$C$9999=$C$3)*Raw_Data_Daily!$D$2:$D$9999*(Raw_Data_Daily!$Q$2:$Q$9999-Raw_Data_Daily!$V$2:$V$9999))/SUMIFS(Raw_Data_Daily!$D:$D, Raw_Data_Daily!$B:$B, "Variant", Raw_Data_Daily!$A:$A, $A29, Raw_Data_Daily!$C:$C, $C$3),""))</f>
        <v/>
      </c>
      <c r="BI29" s="155" t="str">
        <f t="shared" si="20"/>
        <v/>
      </c>
      <c r="BJ29" s="156" t="str">
        <f>IF($A29="","",IFERROR(SUMPRODUCT((Raw_Data_Daily!$B$2:$B$9999="Control")*(Raw_Data_Daily!$A$2:$A$9999=$A29)*(Raw_Data_Daily!$C$2:$C$9999=$C$3)*Raw_Data_Daily!$D$2:$D$9999*Raw_Data_Daily!$W$2:$W$9999)/SUMIFS(Raw_Data_Daily!$D:$D, Raw_Data_Daily!$B:$B, "Control", Raw_Data_Daily!$A:$A, $A29, Raw_Data_Daily!$C:$C, $C$3),""))</f>
        <v/>
      </c>
      <c r="BK29" s="137" t="str">
        <f>IF($A29="","",IFERROR(SUMPRODUCT((Raw_Data_Daily!$B$2:$B$9999="Variant")*(Raw_Data_Daily!$A$2:$A$9999=$A29)*(Raw_Data_Daily!$C$2:$C$9999=$C$3)*Raw_Data_Daily!$D$2:$D$9999*Raw_Data_Daily!$W$2:$W$9999)/SUMIFS(Raw_Data_Daily!$D:$D, Raw_Data_Daily!$B:$B, "Variant", Raw_Data_Daily!$A:$A, $A29, Raw_Data_Daily!$C:$C, $C$3),""))</f>
        <v/>
      </c>
      <c r="BL29" s="129" t="str">
        <f t="shared" si="21"/>
        <v/>
      </c>
      <c r="BM29" s="139" t="str">
        <f>IF($A29="","",IFERROR(SUMPRODUCT((Raw_Data_Daily!$B$2:$B$9999="Control")*(Raw_Data_Daily!$A$2:$A$9999=$A29)*(Raw_Data_Daily!$C$2:$C$9999=$C$3)*Raw_Data_Daily!$D$2:$D$9999*Raw_Data_Daily!$X$2:$X$9999)/SUMIFS(Raw_Data_Daily!$D:$D, Raw_Data_Daily!$B:$B, "Control", Raw_Data_Daily!$A:$A, $A29, Raw_Data_Daily!$C:$C, $C$3),""))</f>
        <v/>
      </c>
      <c r="BN29" s="139" t="str">
        <f>IF($A29="","",IFERROR(SUMPRODUCT((Raw_Data_Daily!$B$2:$B$9999="Variant")*(Raw_Data_Daily!$A$2:$A$9999=$A29)*(Raw_Data_Daily!$C$2:$C$9999=$C$3)*Raw_Data_Daily!$D$2:$D$9999*Raw_Data_Daily!$X$2:$X$9999)/SUMIFS(Raw_Data_Daily!$D:$D, Raw_Data_Daily!$B:$B, "Variant", Raw_Data_Daily!$A:$A, $A29, Raw_Data_Daily!$C:$C, $C$3),""))</f>
        <v/>
      </c>
      <c r="BO29" s="132" t="str">
        <f t="shared" si="22"/>
        <v/>
      </c>
      <c r="BP29" s="128" t="str">
        <f>IF($A29="","",IFERROR(SUMPRODUCT((Raw_Data_Daily!$B$2:$B$9999="Control")*(Raw_Data_Daily!$A$2:$A$9999=$A29)*(Raw_Data_Daily!$C$2:$C$9999=$C$3)*Raw_Data_Daily!$D$2:$D$9999*Raw_Data_Daily!$Y$2:$Y$9999)/SUMIFS(Raw_Data_Daily!$D:$D, Raw_Data_Daily!$B:$B, "Control", Raw_Data_Daily!$A:$A, $A29, Raw_Data_Daily!$C:$C, $C$3),""))</f>
        <v/>
      </c>
      <c r="BQ29" s="128" t="str">
        <f>IF($A29="","",IFERROR(SUMPRODUCT((Raw_Data_Daily!$B$2:$B$9999="Variant")*(Raw_Data_Daily!$A$2:$A$9999=$A29)*(Raw_Data_Daily!$C$2:$C$9999=$C$3)*Raw_Data_Daily!$D$2:$D$9999*Raw_Data_Daily!$Y$2:$Y$9999)/SUMIFS(Raw_Data_Daily!$D:$D, Raw_Data_Daily!$B:$B, "Variant", Raw_Data_Daily!$A:$A, $A29, Raw_Data_Daily!$C:$C, $C$3),""))</f>
        <v/>
      </c>
      <c r="BR29" s="129" t="str">
        <f t="shared" si="23"/>
        <v/>
      </c>
      <c r="BS29" s="128" t="str">
        <f>IF($A29="","",IFERROR(SUMPRODUCT((Raw_Data_Daily!$B$2:$B$9999="Control")*(Raw_Data_Daily!$A$2:$A$9999=$A29)*(Raw_Data_Daily!$C$2:$C$9999=$C$3)*Raw_Data_Daily!$D$2:$D$9999*Raw_Data_Daily!$Z$2:$Z$9999)/SUMIFS(Raw_Data_Daily!$D:$D, Raw_Data_Daily!$B:$B, "Control", Raw_Data_Daily!$A:$A, $A29, Raw_Data_Daily!$C:$C, $C$3),""))</f>
        <v/>
      </c>
      <c r="BT29" s="128" t="str">
        <f>IF($A29="","",IFERROR(SUMPRODUCT((Raw_Data_Daily!$B$2:$B$9999="Variant")*(Raw_Data_Daily!$A$2:$A$9999=$A29)*(Raw_Data_Daily!$C$2:$C$9999=$C$3)*Raw_Data_Daily!$D$2:$D$9999*Raw_Data_Daily!$Z$2:$Z$9999)/SUMIFS(Raw_Data_Daily!$D:$D, Raw_Data_Daily!$B:$B, "Variant", Raw_Data_Daily!$A:$A, $A29, Raw_Data_Daily!$C:$C, $C$3),""))</f>
        <v/>
      </c>
      <c r="BU29" s="129" t="str">
        <f t="shared" si="24"/>
        <v/>
      </c>
      <c r="BV29" s="128" t="str">
        <f>IF($A29="","",IFERROR(SUMPRODUCT((Raw_Data_Daily!$B$2:$B$9999="Control")*(Raw_Data_Daily!$A$2:$A$9999=$A29)*(Raw_Data_Daily!$C$2:$C$9999=$C$3)*Raw_Data_Daily!$D$2:$D$9999*Raw_Data_Daily!$AA$2:$AA$9999)/SUMIFS(Raw_Data_Daily!$D:$D, Raw_Data_Daily!$B:$B, "Control", Raw_Data_Daily!$A:$A, $A29, Raw_Data_Daily!$C:$C, $C$3),""))</f>
        <v/>
      </c>
      <c r="BW29" s="128" t="str">
        <f>IF($A29="","",IFERROR(SUMPRODUCT((Raw_Data_Daily!$B$2:$B$9999="Variant")*(Raw_Data_Daily!$A$2:$A$9999=$A29)*(Raw_Data_Daily!$C$2:$C$9999=$C$3)*Raw_Data_Daily!$D$2:$D$9999*Raw_Data_Daily!$AA$2:$AA$9999)/SUMIFS(Raw_Data_Daily!$D:$D, Raw_Data_Daily!$B:$B, "Variant", Raw_Data_Daily!$A:$A, $A29, Raw_Data_Daily!$C:$C, $C$3),""))</f>
        <v/>
      </c>
      <c r="BX29" s="129" t="str">
        <f t="shared" si="25"/>
        <v/>
      </c>
      <c r="BY29" s="137" t="str">
        <f>IF($A29="","",IFERROR(SUMPRODUCT((Raw_Data_Daily!$B$2:$B$9999="Control")*(Raw_Data_Daily!$A$2:$A$9999=$A29)*(Raw_Data_Daily!$C$2:$C$9999=$C$3)*Raw_Data_Daily!$D$2:$D$9999*Raw_Data_Daily!$AB$2:$AB$9999)/SUMIFS(Raw_Data_Daily!$D:$D, Raw_Data_Daily!$B:$B, "Control", Raw_Data_Daily!$A:$A, $A29, Raw_Data_Daily!$C:$C, $C$3),""))</f>
        <v/>
      </c>
      <c r="BZ29" s="137" t="str">
        <f>IF($A29="","",IFERROR(SUMPRODUCT((Raw_Data_Daily!$B$2:$B$9999="Variant")*(Raw_Data_Daily!$A$2:$A$9999=$A29)*(Raw_Data_Daily!$C$2:$C$9999=$C$3)*Raw_Data_Daily!$D$2:$D$9999*Raw_Data_Daily!$AB$2:$AB$9999)/SUMIFS(Raw_Data_Daily!$D:$D, Raw_Data_Daily!$B:$B, "Variant", Raw_Data_Daily!$A:$A, $A29, Raw_Data_Daily!$C:$C, $C$3),""))</f>
        <v/>
      </c>
      <c r="CA29" s="132" t="str">
        <f t="shared" si="26"/>
        <v/>
      </c>
      <c r="CB29" s="137" t="str">
        <f>IF($A29="","",IFERROR(SUMPRODUCT((Raw_Data_Daily!$B$2:$B$9999="Control")*(Raw_Data_Daily!$A$2:$A$9999=$A29)*(Raw_Data_Daily!$C$2:$C$9999=$C$3)*Raw_Data_Daily!$D$2:$D$9999*Raw_Data_Daily!$AC$2:$AC$9999)/SUMIFS(Raw_Data_Daily!$D:$D, Raw_Data_Daily!$B:$B, "Control", Raw_Data_Daily!$A:$A, $A29, Raw_Data_Daily!$C:$C, $C$3),""))</f>
        <v/>
      </c>
      <c r="CC29" s="137" t="str">
        <f>IF($A29="","",IFERROR(SUMPRODUCT((Raw_Data_Daily!$B$2:$B$9999="Variant")*(Raw_Data_Daily!$A$2:$A$9999=$A29)*(Raw_Data_Daily!$C$2:$C$9999=$C$3)*Raw_Data_Daily!$D$2:$D$9999*Raw_Data_Daily!$AC$2:$AC$9999)/SUMIFS(Raw_Data_Daily!$D:$D, Raw_Data_Daily!$B:$B, "Variant", Raw_Data_Daily!$A:$A, $A29, Raw_Data_Daily!$C:$C, $C$3),""))</f>
        <v/>
      </c>
      <c r="CD29" s="132" t="str">
        <f t="shared" si="27"/>
        <v/>
      </c>
      <c r="CE29" s="137" t="str">
        <f>IF($A29="","",IFERROR(SUMPRODUCT((Raw_Data_Daily!$B$2:$B$9999="Control")*(Raw_Data_Daily!$A$2:$A$9999=$A29)*(Raw_Data_Daily!$C$2:$C$9999=$C$3)*Raw_Data_Daily!$D$2:$D$9999*Raw_Data_Daily!$AD$2:$AD$9999)/SUMIFS(Raw_Data_Daily!$D:$D, Raw_Data_Daily!$B:$B, "Control", Raw_Data_Daily!$A:$A, $A29, Raw_Data_Daily!$C:$C, $C$3),""))</f>
        <v/>
      </c>
      <c r="CF29" s="137" t="str">
        <f>IF($A29="","",IFERROR(SUMPRODUCT((Raw_Data_Daily!$B$2:$B$9999="Variant")*(Raw_Data_Daily!$A$2:$A$9999=$A29)*(Raw_Data_Daily!$C$2:$C$9999=$C$3)*Raw_Data_Daily!$D$2:$D$9999*Raw_Data_Daily!$AD$2:$AD$9999)/SUMIFS(Raw_Data_Daily!$D:$D, Raw_Data_Daily!$B:$B, "Variant", Raw_Data_Daily!$A:$A, $A29, Raw_Data_Daily!$C:$C, $C$3),""))</f>
        <v/>
      </c>
      <c r="CG29" s="132" t="str">
        <f t="shared" si="28"/>
        <v/>
      </c>
      <c r="CH29" s="137" t="str">
        <f>IF($A29="","",IFERROR(SUMPRODUCT((Raw_Data_Daily!$B$2:$B$9999="Control")*(Raw_Data_Daily!$A$2:$A$9999=$A29)*(Raw_Data_Daily!$C$2:$C$9999=$C$3)*Raw_Data_Daily!$D$2:$D$9999*Raw_Data_Daily!$AE$2:$AE$9999)/SUMIFS(Raw_Data_Daily!$D:$D, Raw_Data_Daily!$B:$B, "Control", Raw_Data_Daily!$A:$A, $A29, Raw_Data_Daily!$C:$C, $C$3),""))</f>
        <v/>
      </c>
      <c r="CI29" s="137" t="str">
        <f>IF($A29="","",IFERROR(SUMPRODUCT((Raw_Data_Daily!$B$2:$B$9999="Variant")*(Raw_Data_Daily!$A$2:$A$9999=$A29)*(Raw_Data_Daily!$C$2:$C$9999=$C$3)*Raw_Data_Daily!$D$2:$D$9999*Raw_Data_Daily!$AE$2:$AE$9999)/SUMIFS(Raw_Data_Daily!$D:$D, Raw_Data_Daily!$B:$B, "Variant", Raw_Data_Daily!$A:$A, $A29, Raw_Data_Daily!$C:$C, $C$3),""))</f>
        <v/>
      </c>
      <c r="CJ29" s="132" t="str">
        <f t="shared" si="29"/>
        <v/>
      </c>
      <c r="CK29" s="137" t="str">
        <f>IF($A29="","",IFERROR(SUMPRODUCT((Raw_Data_Daily!$B$2:$B$9999="Control")*(Raw_Data_Daily!$A$2:$A$9999=$A29)*(Raw_Data_Daily!$C$2:$C$9999=$C$3)*Raw_Data_Daily!$D$2:$D$9999*Raw_Data_Daily!$AF$2:$AF$9999)/SUMIFS(Raw_Data_Daily!$D:$D, Raw_Data_Daily!$B:$B, "Control", Raw_Data_Daily!$A:$A, $A29, Raw_Data_Daily!$C:$C, $C$3),""))</f>
        <v/>
      </c>
      <c r="CL29" s="137" t="str">
        <f>IF($A29="","",IFERROR(SUMPRODUCT((Raw_Data_Daily!$B$2:$B$9999="Variant")*(Raw_Data_Daily!$A$2:$A$9999=$A29)*(Raw_Data_Daily!$C$2:$C$9999=$C$3)*Raw_Data_Daily!$D$2:$D$9999*Raw_Data_Daily!$AF$2:$AF$9999)/SUMIFS(Raw_Data_Daily!$D:$D, Raw_Data_Daily!$B:$B, "Variant", Raw_Data_Daily!$A:$A, $A29, Raw_Data_Daily!$C:$C, $C$3),""))</f>
        <v/>
      </c>
      <c r="CM29" s="132" t="str">
        <f t="shared" si="30"/>
        <v/>
      </c>
      <c r="CN29" s="137" t="str">
        <f>IF($A29="","",IFERROR(SUMPRODUCT((Raw_Data_Daily!$B$2:$B$9999="Control")*(Raw_Data_Daily!$A$2:$A$9999=$A29)*(Raw_Data_Daily!$C$2:$C$9999=$C$3)*Raw_Data_Daily!$D$2:$D$9999*Raw_Data_Daily!$AG$2:$AG$9999)/SUMIFS(Raw_Data_Daily!$D:$D, Raw_Data_Daily!$B:$B, "Control", Raw_Data_Daily!$A:$A, $A29, Raw_Data_Daily!$C:$C, $C$3),""))</f>
        <v/>
      </c>
      <c r="CO29" s="137" t="str">
        <f>IF($A29="","",IFERROR(SUMPRODUCT((Raw_Data_Daily!$B$2:$B$9999="Variant")*(Raw_Data_Daily!$A$2:$A$9999=$A29)*(Raw_Data_Daily!$C$2:$C$9999=$C$3)*Raw_Data_Daily!$D$2:$D$9999*Raw_Data_Daily!$AG$2:$AG$9999)/SUMIFS(Raw_Data_Daily!$D:$D, Raw_Data_Daily!$B:$B, "Variant", Raw_Data_Daily!$A:$A, $A29, Raw_Data_Daily!$C:$C, $C$3),""))</f>
        <v/>
      </c>
      <c r="CP29" s="132" t="str">
        <f t="shared" si="31"/>
        <v/>
      </c>
      <c r="CQ29" s="137" t="str">
        <f>IF($A29="","",IFERROR(SUMPRODUCT((Raw_Data_Daily!$B$2:$B$9999="Control")*(Raw_Data_Daily!$A$2:$A$9999=$A29)*(Raw_Data_Daily!$C$2:$C$9999=$C$3)*Raw_Data_Daily!$D$2:$D$9999*Raw_Data_Daily!$AH$2:$AH$9999)/SUMIFS(Raw_Data_Daily!$D:$D, Raw_Data_Daily!$B:$B, "Control", Raw_Data_Daily!$A:$A, $A29, Raw_Data_Daily!$C:$C, $C$3),""))</f>
        <v/>
      </c>
      <c r="CR29" s="137" t="str">
        <f>IF($A29="","",IFERROR(SUMPRODUCT((Raw_Data_Daily!$B$2:$B$9999="Variant")*(Raw_Data_Daily!$A$2:$A$9999=$A29)*(Raw_Data_Daily!$C$2:$C$9999=$C$3)*Raw_Data_Daily!$D$2:$D$9999*Raw_Data_Daily!$AH$2:$AH$9999)/SUMIFS(Raw_Data_Daily!$D:$D, Raw_Data_Daily!$B:$B, "Variant", Raw_Data_Daily!$A:$A, $A29, Raw_Data_Daily!$C:$C, $C$3),""))</f>
        <v/>
      </c>
      <c r="CS29" s="132" t="str">
        <f t="shared" si="32"/>
        <v/>
      </c>
      <c r="CT29" s="130" t="str">
        <f>IF($A29="","",IFERROR(SUMPRODUCT((Raw_Data_Daily!$B$2:$B$9999="Control")*(Raw_Data_Daily!$A$2:$A$9999=$A29)*(Raw_Data_Daily!$C$2:$C$9999=$C$3)*Raw_Data_Daily!$D$2:$D$9999*Raw_Data_Daily!$AI$2:$AI$9999)/SUMIFS(Raw_Data_Daily!$D:$D, Raw_Data_Daily!$B:$B, "Control", Raw_Data_Daily!$A:$A, $A29, Raw_Data_Daily!$C:$C, $C$3),""))</f>
        <v/>
      </c>
      <c r="CU29" s="130" t="str">
        <f>IF($A29="","",IFERROR(SUMPRODUCT((Raw_Data_Daily!$B$2:$B$9999="Variant")*(Raw_Data_Daily!$A$2:$A$9999=$A29)*(Raw_Data_Daily!$C$2:$C$9999=$C$3)*Raw_Data_Daily!$D$2:$D$9999*Raw_Data_Daily!$AI$2:$AI$9999)/SUMIFS(Raw_Data_Daily!$D:$D, Raw_Data_Daily!$B:$B, "Variant", Raw_Data_Daily!$A:$A, $A29, Raw_Data_Daily!$C:$C, $C$3),""))</f>
        <v/>
      </c>
      <c r="CV29" s="140" t="str">
        <f t="shared" si="33"/>
        <v/>
      </c>
      <c r="CW29" s="130" t="str">
        <f>IF($A29="","",IFERROR(SUMPRODUCT((Raw_Data_Daily!$B$2:$B$9999="Control")*(Raw_Data_Daily!$A$2:$A$9999=$A29)*(Raw_Data_Daily!$C$2:$C$9999=$C$3)*Raw_Data_Daily!$D$2:$D$9999*Raw_Data_Daily!$AJ$2:$AJ$9999)/SUMIFS(Raw_Data_Daily!$D:$D, Raw_Data_Daily!$B:$B, "Control", Raw_Data_Daily!$A:$A, $A29, Raw_Data_Daily!$C:$C, $C$3),""))</f>
        <v/>
      </c>
      <c r="CX29" s="130" t="str">
        <f>IF($A29="","",IFERROR(SUMPRODUCT((Raw_Data_Daily!$B$2:$B$9999="Variant")*(Raw_Data_Daily!$A$2:$A$9999=$A29)*(Raw_Data_Daily!$C$2:$C$9999=$C$3)*Raw_Data_Daily!$D$2:$D$9999*Raw_Data_Daily!$AJ$2:$AJ$9999)/SUMIFS(Raw_Data_Daily!$D:$D, Raw_Data_Daily!$B:$B, "Variant", Raw_Data_Daily!$A:$A, $A29, Raw_Data_Daily!$C:$C, $C$3),""))</f>
        <v/>
      </c>
      <c r="CY29" s="140" t="str">
        <f t="shared" si="34"/>
        <v/>
      </c>
      <c r="CZ29" s="130" t="str">
        <f>IF($A29="","",IFERROR(SUMPRODUCT((Raw_Data_Daily!$B$2:$B$9999="Control")*(Raw_Data_Daily!$A$2:$A$9999=$A29)*(Raw_Data_Daily!$C$2:$C$9999=$C$3)*Raw_Data_Daily!$D$2:$D$9999*Raw_Data_Daily!$AK$2:$AK$9999)/SUMIFS(Raw_Data_Daily!$D:$D, Raw_Data_Daily!$B:$B, "Control", Raw_Data_Daily!$A:$A, $A29, Raw_Data_Daily!$C:$C, $C$3),""))</f>
        <v/>
      </c>
      <c r="DA29" s="130" t="str">
        <f>IF($A29="","",IFERROR(SUMPRODUCT((Raw_Data_Daily!$B$2:$B$9999="Variant")*(Raw_Data_Daily!$A$2:$A$9999=$A29)*(Raw_Data_Daily!$C$2:$C$9999=$C$3)*Raw_Data_Daily!$D$2:$D$9999*Raw_Data_Daily!$AK$2:$AK$9999)/SUMIFS(Raw_Data_Daily!$D:$D, Raw_Data_Daily!$B:$B, "Variant", Raw_Data_Daily!$A:$A, $A29, Raw_Data_Daily!$C:$C, $C$3),""))</f>
        <v/>
      </c>
      <c r="DB29" s="132" t="str">
        <f t="shared" si="35"/>
        <v/>
      </c>
      <c r="DC29" s="139" t="str">
        <f>IF($A29="","",IFERROR(SUMPRODUCT((Raw_Data_Daily!$B$2:$B$9999="Control")*(Raw_Data_Daily!$A$2:$A$9999=$A29)*(Raw_Data_Daily!$C$2:$C$9999=$C$3)*Raw_Data_Daily!$D$2:$D$9999*Raw_Data_Daily!$AL$2:$AL$9999)/SUMIFS(Raw_Data_Daily!$D:$D, Raw_Data_Daily!$B:$B, "Control", Raw_Data_Daily!$A:$A, $A29, Raw_Data_Daily!$C:$C, $C$3),""))</f>
        <v/>
      </c>
      <c r="DD29" s="139" t="str">
        <f>IF($A29="","",IFERROR(SUMPRODUCT((Raw_Data_Daily!$B$2:$B$9999="Variant")*(Raw_Data_Daily!$A$2:$A$9999=$A29)*(Raw_Data_Daily!$C$2:$C$9999=$C$3)*Raw_Data_Daily!$D$2:$D$9999*Raw_Data_Daily!$AL$2:$AL$9999)/SUMIFS(Raw_Data_Daily!$D:$D, Raw_Data_Daily!$B:$B, "Variant", Raw_Data_Daily!$A:$A, $A29, Raw_Data_Daily!$C:$C, $C$3),""))</f>
        <v/>
      </c>
      <c r="DE29" s="140" t="str">
        <f t="shared" si="36"/>
        <v/>
      </c>
      <c r="DF29" s="165"/>
      <c r="DG29" s="130" t="str">
        <f>IF($A29="","",IFERROR(SUMPRODUCT((Raw_Data_Daily!$B$2:$B$9999="Variant")*(Raw_Data_Daily!$A$2:$A$9999=$A29)*(Raw_Data_Daily!$C$2:$C$9999=$C$3)*Raw_Data_Daily!$D$2:$D$9999*Raw_Data_Daily!$AM$2:$AM$9999)/SUMIFS(Raw_Data_Daily!$D:$D, Raw_Data_Daily!$B:$B, "Variant", Raw_Data_Daily!$A:$A, $A29, Raw_Data_Daily!$C:$C, $C$3),""))</f>
        <v/>
      </c>
      <c r="DH29" s="166"/>
      <c r="DI29" s="165"/>
      <c r="DJ29" s="130" t="str">
        <f>IF($A29="","",IFERROR(SUMPRODUCT((Raw_Data_Daily!$B$2:$B$9999="Variant")*(Raw_Data_Daily!$A$2:$A$9999=$A29)*(Raw_Data_Daily!$C$2:$C$9999=$C$3)*Raw_Data_Daily!$D$2:$D$9999*Raw_Data_Daily!$AN$2:$AN$9999)/SUMIFS(Raw_Data_Daily!$D:$D, Raw_Data_Daily!$B:$B, "Variant", Raw_Data_Daily!$A:$A, $A29, Raw_Data_Daily!$C:$C, $C$3),""))</f>
        <v/>
      </c>
      <c r="DK29" s="166"/>
      <c r="DL29" s="165"/>
      <c r="DM29" s="130" t="str">
        <f>IF($A29="","",IFERROR(SUMPRODUCT((Raw_Data_Daily!$B$2:$B$9999="Variant")*(Raw_Data_Daily!$A$2:$A$9999=$A29)*(Raw_Data_Daily!$C$2:$C$9999=$C$3)*Raw_Data_Daily!$D$2:$D$9999*Raw_Data_Daily!$AO$2:$AO$9999)/SUMIFS(Raw_Data_Daily!$D:$D, Raw_Data_Daily!$B:$B, "Variant", Raw_Data_Daily!$A:$A, $A29, Raw_Data_Daily!$C:$C, $C$3),""))</f>
        <v/>
      </c>
      <c r="DN29" s="166"/>
      <c r="DO29" s="165"/>
      <c r="DP29" s="130" t="str">
        <f>IF($A29="","",IFERROR(SUMPRODUCT((Raw_Data_Daily!$B$2:$B$9999="Variant")*(Raw_Data_Daily!$A$2:$A$9999=$A29)*(Raw_Data_Daily!$C$2:$C$9999=$C$3)*Raw_Data_Daily!$D$2:$D$9999*Raw_Data_Daily!$AP$2:$AP$9999)/SUMIFS(Raw_Data_Daily!$D:$D, Raw_Data_Daily!$B:$B, "Variant", Raw_Data_Daily!$A:$A, $A29, Raw_Data_Daily!$C:$C, $C$3),""))</f>
        <v/>
      </c>
      <c r="DQ29" s="166"/>
      <c r="DR29" s="139" t="str">
        <f>IF($A29="","",IFERROR(SUMPRODUCT((Raw_Data_Daily!$B$2:$B$9999="Control")*(Raw_Data_Daily!$A$2:$A$9999=$A29)*(Raw_Data_Daily!$C$2:$C$9999=$C$3)*Raw_Data_Daily!$D$2:$D$9999*Raw_Data_Daily!$AQ$2:$AQ$9999)/SUMIFS(Raw_Data_Daily!$D:$D, Raw_Data_Daily!$B:$B, "Control", Raw_Data_Daily!$A:$A, $A29, Raw_Data_Daily!$C:$C, $C$3),""))</f>
        <v/>
      </c>
      <c r="DS29" s="139" t="str">
        <f>IF($A29="","",IFERROR(SUMPRODUCT((Raw_Data_Daily!$B$2:$B$9999="Variant")*(Raw_Data_Daily!$A$2:$A$9999=$A29)*(Raw_Data_Daily!$C$2:$C$9999=$C$3)*Raw_Data_Daily!$D$2:$D$9999*Raw_Data_Daily!$AQ$2:$AQ$9999)/SUMIFS(Raw_Data_Daily!$D:$D, Raw_Data_Daily!$B:$B, "Variant", Raw_Data_Daily!$A:$A, $A29, Raw_Data_Daily!$C:$C, $C$3),""))</f>
        <v/>
      </c>
      <c r="DT29" s="167" t="str">
        <f t="shared" si="37"/>
        <v/>
      </c>
      <c r="DU29" s="139" t="str">
        <f>IF($A29="","",IFERROR(SUMPRODUCT((Raw_Data_Daily!$B$2:$B$9999="Control")*(Raw_Data_Daily!$A$2:$A$9999=$A29)*(Raw_Data_Daily!$C$2:$C$9999=$C$3)*Raw_Data_Daily!$D$2:$D$9999*Raw_Data_Daily!$AR$2:$AR$9999)/SUMIFS(Raw_Data_Daily!$D:$D, Raw_Data_Daily!$B:$B, "Control", Raw_Data_Daily!$A:$A, $A29, Raw_Data_Daily!$C:$C, $C$3),""))</f>
        <v/>
      </c>
      <c r="DV29" s="139" t="str">
        <f>IF($A29="","",IFERROR(SUMPRODUCT((Raw_Data_Daily!$B$2:$B$9999="Variant")*(Raw_Data_Daily!$A$2:$A$9999=$A29)*(Raw_Data_Daily!$C$2:$C$9999=$C$3)*Raw_Data_Daily!$D$2:$D$9999*Raw_Data_Daily!$AR$2:$AR$9999)/SUMIFS(Raw_Data_Daily!$D:$D, Raw_Data_Daily!$B:$B, "Variant", Raw_Data_Daily!$A:$A, $A29, Raw_Data_Daily!$C:$C, $C$3),""))</f>
        <v/>
      </c>
      <c r="DW29" s="167" t="str">
        <f t="shared" si="38"/>
        <v/>
      </c>
      <c r="DX29" s="139" t="str">
        <f>IF($A29="","",IFERROR(SUMPRODUCT((Raw_Data_Daily!$B$2:$B$9999="Control")*(Raw_Data_Daily!$A$2:$A$9999=$A29)*(Raw_Data_Daily!$C$2:$C$9999=$C$3)*Raw_Data_Daily!$D$2:$D$9999*Raw_Data_Daily!$AS$2:$AS$9999)/SUMIFS(Raw_Data_Daily!$D:$D, Raw_Data_Daily!$B:$B, "Control", Raw_Data_Daily!$A:$A, $A29, Raw_Data_Daily!$C:$C, $C$3),""))</f>
        <v/>
      </c>
      <c r="DY29" s="139" t="str">
        <f>IF($A29="","",IFERROR(SUMPRODUCT((Raw_Data_Daily!$B$2:$B$9999="Variant")*(Raw_Data_Daily!$A$2:$A$9999=$A29)*(Raw_Data_Daily!$C$2:$C$9999=$C$3)*Raw_Data_Daily!$D$2:$D$9999*Raw_Data_Daily!$AS$2:$AS$9999)/SUMIFS(Raw_Data_Daily!$D:$D, Raw_Data_Daily!$B:$B, "Variant", Raw_Data_Daily!$A:$A, $A29, Raw_Data_Daily!$C:$C, $C$3),""))</f>
        <v/>
      </c>
      <c r="DZ29" s="168" t="str">
        <f t="shared" si="39"/>
        <v/>
      </c>
      <c r="EA29" s="139" t="str">
        <f>IF($A29="","",IFERROR(SUMPRODUCT((Raw_Data_Daily!$B$2:$B$9999="Control")*(Raw_Data_Daily!$A$2:$A$9999=$A29)*(Raw_Data_Daily!$C$2:$C$9999=$C$3)*Raw_Data_Daily!$D$2:$D$9999*Raw_Data_Daily!$AT$2:$AT$9999)/SUMIFS(Raw_Data_Daily!$D:$D, Raw_Data_Daily!$B:$B, "Control", Raw_Data_Daily!$A:$A, $A29, Raw_Data_Daily!$C:$C, $C$3),""))</f>
        <v/>
      </c>
      <c r="EB29" s="139" t="str">
        <f>IF($A29="","",IFERROR(SUMPRODUCT((Raw_Data_Daily!$B$2:$B$9999="Variant")*(Raw_Data_Daily!$A$2:$A$9999=$A29)*(Raw_Data_Daily!$C$2:$C$9999=$C$3)*Raw_Data_Daily!$D$2:$D$9999*Raw_Data_Daily!$AT$2:$AT$9999)/SUMIFS(Raw_Data_Daily!$D:$D, Raw_Data_Daily!$B:$B, "Variant", Raw_Data_Daily!$A:$A, $A29, Raw_Data_Daily!$C:$C, $C$3),""))</f>
        <v/>
      </c>
      <c r="EC29" s="167" t="str">
        <f t="shared" si="40"/>
        <v/>
      </c>
      <c r="ED29" s="139" t="str">
        <f>IF($A29="","",IFERROR(SUMPRODUCT((Raw_Data_Daily!$B$2:$B$9999="Control")*(Raw_Data_Daily!$A$2:$A$9999=$A29)*(Raw_Data_Daily!$C$2:$C$9999=$C$3)*Raw_Data_Daily!$D$2:$D$9999*(Raw_Data_Daily!$AQ$2:$AQ$9999-Raw_Data_Daily!$AT$2:$AT$9999))/SUMIFS(Raw_Data_Daily!$D:$D, Raw_Data_Daily!$B:$B, "Control", Raw_Data_Daily!$A:$A, $A29, Raw_Data_Daily!$C:$C, $C$3),""))</f>
        <v/>
      </c>
      <c r="EE29" s="139" t="str">
        <f>IF($A29="","",IFERROR(SUMPRODUCT((Raw_Data_Daily!$B$2:$B$9999="Variant")*(Raw_Data_Daily!$A$2:$A$9999=$A29)*(Raw_Data_Daily!$C$2:$C$9999=$C$3)*Raw_Data_Daily!$D$2:$D$9999*(Raw_Data_Daily!$AQ$2:$AQ$9999-Raw_Data_Daily!$AT$2:$AT$9999))/SUMIFS(Raw_Data_Daily!$D:$D, Raw_Data_Daily!$B:$B, "Variant", Raw_Data_Daily!$A:$A, $A29, Raw_Data_Daily!$C:$C, $C$3),""))</f>
        <v/>
      </c>
      <c r="EF29" s="168" t="str">
        <f t="shared" si="41"/>
        <v/>
      </c>
      <c r="EG29" s="139" t="str">
        <f>IF($A29="","",IFERROR(SUMPRODUCT((Raw_Data_Daily!$B$2:$B$9999="Control")*(Raw_Data_Daily!$A$2:$A$9999=$A29)*(Raw_Data_Daily!$C$2:$C$9999=$C$3)*Raw_Data_Daily!$D$2:$D$9999*Raw_Data_Daily!$AU$2:$AU$9999)/SUMIFS(Raw_Data_Daily!$D:$D, Raw_Data_Daily!$B:$B, "Control", Raw_Data_Daily!$A:$A, $A29, Raw_Data_Daily!$C:$C, $C$3),""))</f>
        <v/>
      </c>
      <c r="EH29" s="139" t="str">
        <f>IF($A29="","",IFERROR(SUMPRODUCT((Raw_Data_Daily!$B$2:$B$9999="Variant")*(Raw_Data_Daily!$A$2:$A$9999=$A29)*(Raw_Data_Daily!$C$2:$C$9999=$C$3)*Raw_Data_Daily!$D$2:$D$9999*Raw_Data_Daily!$AU$2:$AU$9999)/SUMIFS(Raw_Data_Daily!$D:$D, Raw_Data_Daily!$B:$B, "Variant", Raw_Data_Daily!$A:$A, $A29, Raw_Data_Daily!$C:$C, $C$3),""))</f>
        <v/>
      </c>
      <c r="EI29" s="167" t="str">
        <f t="shared" si="42"/>
        <v/>
      </c>
    </row>
    <row r="30" ht="15.75" customHeight="1">
      <c r="A30" s="126">
        <v>46253.0</v>
      </c>
      <c r="B30" s="128">
        <f>IF($A30="","",SUMIFS(Raw_Data_Daily!$D:$D, Raw_Data_Daily!$B:$B, "Control", Raw_Data_Daily!$A:$A, $A30, Raw_Data_Daily!$C:$C, $C$3))</f>
        <v>0</v>
      </c>
      <c r="C30" s="128">
        <f>IF($A30="","",SUMIFS(Raw_Data_Daily!$D:$D, Raw_Data_Daily!$B:$B, "Variant", Raw_Data_Daily!$A:$A, $A30, Raw_Data_Daily!$C:$C, $C$3))</f>
        <v>0</v>
      </c>
      <c r="D30" s="129" t="str">
        <f t="shared" si="1"/>
        <v/>
      </c>
      <c r="E30" s="130" t="str">
        <f>IF($A30="","",IFERROR(SUMPRODUCT((Raw_Data_Daily!$B$2:$B$9999="Control")*(Raw_Data_Daily!$A$2:$A$9999=$A30)*(Raw_Data_Daily!$C$2:$C$9999=$C$3)*Raw_Data_Daily!$D$2:$D$9999*Raw_Data_Daily!$E$2:$E$9999)/SUMIFS(Raw_Data_Daily!$D:$D, Raw_Data_Daily!$B:$B, "Control", Raw_Data_Daily!$A:$A, $A30, Raw_Data_Daily!$C:$C, $C$3),""))</f>
        <v/>
      </c>
      <c r="F30" s="130" t="str">
        <f>IF($A30="","",IFERROR(SUMPRODUCT((Raw_Data_Daily!$B$2:$B$9999="Variant")*(Raw_Data_Daily!$A$2:$A$9999=$A30)*(Raw_Data_Daily!$C$2:$C$9999=$C$3)*Raw_Data_Daily!$D$2:$D$9999*Raw_Data_Daily!$E$2:$E$9999)/SUMIFS(Raw_Data_Daily!$D:$D, Raw_Data_Daily!$B:$B, "Variant", Raw_Data_Daily!$A:$A, $A30, Raw_Data_Daily!$C:$C, $C$3),""))</f>
        <v/>
      </c>
      <c r="G30" s="129" t="str">
        <f t="shared" si="2"/>
        <v/>
      </c>
      <c r="H30" s="131">
        <f>IF($A30="","",SUMIFS(Raw_Data_Daily!$F:$F, Raw_Data_Daily!$B:$B, "Control", Raw_Data_Daily!$A:$A, $A30, Raw_Data_Daily!$C:$C, $C$3))</f>
        <v>0</v>
      </c>
      <c r="I30" s="131">
        <f>IF($A30="","",SUMIFS(Raw_Data_Daily!$F:$F, Raw_Data_Daily!$B:$B, "Variant", Raw_Data_Daily!$A:$A, $A30, Raw_Data_Daily!$C:$C, $C$3))</f>
        <v>0</v>
      </c>
      <c r="J30" s="132" t="str">
        <f t="shared" si="3"/>
        <v/>
      </c>
      <c r="K30" s="134" t="str">
        <f>IF($A30="","",IFERROR(SUMIFS(Raw_Data_Daily!$F:$F, Raw_Data_Daily!$B:$B, "Control", Raw_Data_Daily!$A:$A, $A30, Raw_Data_Daily!$C:$C, $C$3)/SUMIFS(Raw_Data_Daily!$D:$D, Raw_Data_Daily!$B:$B, "Control", Raw_Data_Daily!$A:$A, $A30, Raw_Data_Daily!$C:$C, $C$3),""))</f>
        <v/>
      </c>
      <c r="L30" s="134" t="str">
        <f>IF($A30="","",IFERROR(SUMIFS(Raw_Data_Daily!$F:$F, Raw_Data_Daily!$B:$B, "Variant", Raw_Data_Daily!$A:$A, $A30, Raw_Data_Daily!$C:$C, $C$3)/SUMIFS(Raw_Data_Daily!$D:$D, Raw_Data_Daily!$B:$B, "Variant", Raw_Data_Daily!$A:$A, $A30, Raw_Data_Daily!$C:$C, $C$3),""))</f>
        <v/>
      </c>
      <c r="M30" s="132" t="str">
        <f t="shared" si="4"/>
        <v/>
      </c>
      <c r="N30" s="130" t="str">
        <f>IF($A30="","",IFERROR(SUMPRODUCT((Raw_Data_Daily!$B$2:$B$9999="Control")*(Raw_Data_Daily!$A$2:$A$9999=$A30)*(Raw_Data_Daily!$C$2:$C$9999=$C$3)*Raw_Data_Daily!$D$2:$D$9999*Raw_Data_Daily!$H$2:$H$9999/100)/SUMIFS(Raw_Data_Daily!$D:$D, Raw_Data_Daily!$B:$B, "Control", Raw_Data_Daily!$A:$A, $A30, Raw_Data_Daily!$C:$C, $C$3)*100,""))</f>
        <v/>
      </c>
      <c r="O30" s="130" t="str">
        <f>IF($A30="","",IFERROR(SUMPRODUCT((Raw_Data_Daily!$B$2:$B$9999="Variant")*(Raw_Data_Daily!$A$2:$A$9999=$A30)*(Raw_Data_Daily!$C$2:$C$9999=$C$3)*Raw_Data_Daily!$D$2:$D$9999*Raw_Data_Daily!$H$2:$H$9999/100)/SUMIFS(Raw_Data_Daily!$D:$D, Raw_Data_Daily!$B:$B, "Variant", Raw_Data_Daily!$A:$A, $A30, Raw_Data_Daily!$C:$C, $C$3)*100,""))</f>
        <v/>
      </c>
      <c r="P30" s="132" t="str">
        <f t="shared" si="5"/>
        <v/>
      </c>
      <c r="Q30" s="134" t="str">
        <f>IF($A30="","",IFERROR(SUMIFS(Raw_Data_Daily!$F:$F, Raw_Data_Daily!$B:$B, "Control", Raw_Data_Daily!$A:$A, $A30, Raw_Data_Daily!$C:$C, $C$3)/SUMPRODUCT((Raw_Data_Daily!$B$2:$B$9999="Control")*(Raw_Data_Daily!$A$2:$A$9999=$A30)*(Raw_Data_Daily!$C$2:$C$9999=$C$3)*Raw_Data_Daily!$D$2:$D$9999*Raw_Data_Daily!$H$2:$H$9999/100),""))</f>
        <v/>
      </c>
      <c r="R30" s="134" t="str">
        <f>IF($A30="","",IFERROR(SUMIFS(Raw_Data_Daily!$F:$F, Raw_Data_Daily!$B:$B, "Variant", Raw_Data_Daily!$A:$A, $A30, Raw_Data_Daily!$C:$C, $C$3)/SUMPRODUCT((Raw_Data_Daily!$B$2:$B$9999="Variant")*(Raw_Data_Daily!$A$2:$A$9999=$A30)*(Raw_Data_Daily!$C$2:$C$9999=$C$3)*Raw_Data_Daily!$D$2:$D$9999*Raw_Data_Daily!$H$2:$H$9999/100),""))</f>
        <v/>
      </c>
      <c r="S30" s="132" t="str">
        <f t="shared" si="6"/>
        <v/>
      </c>
      <c r="T30" s="137" t="str">
        <f>IF($A30="","",IFERROR(SUMPRODUCT((Raw_Data_Daily!$B$2:$B$9999="Control")*(Raw_Data_Daily!$A$2:$A$9999=$A30)*(Raw_Data_Daily!$C$2:$C$9999=$C$3)*Raw_Data_Daily!$D$2:$D$9999*Raw_Data_Daily!$J$2:$J$9999)/SUMIFS(Raw_Data_Daily!$D:$D, Raw_Data_Daily!$B:$B, "Control", Raw_Data_Daily!$A:$A, $A30, Raw_Data_Daily!$C:$C, $C$3),""))</f>
        <v/>
      </c>
      <c r="U30" s="137" t="str">
        <f>IF($A30="","",IFERROR(SUMPRODUCT((Raw_Data_Daily!$B$2:$B$9999="Variant")*(Raw_Data_Daily!$A$2:$A$9999=$A30)*(Raw_Data_Daily!$C$2:$C$9999=$C$3)*Raw_Data_Daily!$D$2:$D$9999*Raw_Data_Daily!$J$2:$J$9999)/SUMIFS(Raw_Data_Daily!$D:$D, Raw_Data_Daily!$B:$B, "Variant", Raw_Data_Daily!$A:$A, $A30, Raw_Data_Daily!$C:$C, $C$3),""))</f>
        <v/>
      </c>
      <c r="V30" s="132" t="str">
        <f t="shared" si="7"/>
        <v/>
      </c>
      <c r="W30" s="137" t="str">
        <f>IF($A30="","",IFERROR(SUMPRODUCT((Raw_Data_Daily!$B$2:$B$9999="Control")*(Raw_Data_Daily!$A$2:$A$9999=$A30)*(Raw_Data_Daily!$C$2:$C$9999=$C$3)*Raw_Data_Daily!$D$2:$D$9999*Raw_Data_Daily!$K$2:$K$9999)/SUMIFS(Raw_Data_Daily!$D:$D, Raw_Data_Daily!$B:$B, "Control", Raw_Data_Daily!$A:$A, $A30, Raw_Data_Daily!$C:$C, $C$3),""))</f>
        <v/>
      </c>
      <c r="X30" s="137" t="str">
        <f>IF($A30="","",IFERROR(SUMPRODUCT((Raw_Data_Daily!$B$2:$B$9999="Variant")*(Raw_Data_Daily!$A$2:$A$9999=$A30)*(Raw_Data_Daily!$C$2:$C$9999=$C$3)*Raw_Data_Daily!$D$2:$D$9999*Raw_Data_Daily!$K$2:$K$9999)/SUMIFS(Raw_Data_Daily!$D:$D, Raw_Data_Daily!$B:$B, "Variant", Raw_Data_Daily!$A:$A, $A30, Raw_Data_Daily!$C:$C, $C$3),""))</f>
        <v/>
      </c>
      <c r="Y30" s="132" t="str">
        <f t="shared" si="8"/>
        <v/>
      </c>
      <c r="Z30" s="137" t="str">
        <f>IF($A30="","",IFERROR(SUMPRODUCT((Raw_Data_Daily!$B$2:$B$9999="Control")*(Raw_Data_Daily!$A$2:$A$9999=$A30)*(Raw_Data_Daily!$C$2:$C$9999=$C$3)*Raw_Data_Daily!$D$2:$D$9999*Raw_Data_Daily!$L$2:$L$9999)/SUMIFS(Raw_Data_Daily!$D:$D, Raw_Data_Daily!$B:$B, "Control", Raw_Data_Daily!$A:$A, $A30, Raw_Data_Daily!$C:$C, $C$3),""))</f>
        <v/>
      </c>
      <c r="AA30" s="137" t="str">
        <f>IF($A30="","",IFERROR(SUMPRODUCT((Raw_Data_Daily!$B$2:$B$9999="Variant")*(Raw_Data_Daily!$A$2:$A$9999=$A30)*(Raw_Data_Daily!$C$2:$C$9999=$C$3)*Raw_Data_Daily!$D$2:$D$9999*Raw_Data_Daily!$L$2:$L$9999)/SUMIFS(Raw_Data_Daily!$D:$D, Raw_Data_Daily!$B:$B, "Variant", Raw_Data_Daily!$A:$A, $A30, Raw_Data_Daily!$C:$C, $C$3),""))</f>
        <v/>
      </c>
      <c r="AB30" s="132" t="str">
        <f t="shared" si="9"/>
        <v/>
      </c>
      <c r="AC30" s="139" t="str">
        <f>IF($A30="","",IFERROR(SUMPRODUCT((Raw_Data_Daily!$B$2:$B$9999="Control")*(Raw_Data_Daily!$A$2:$A$9999=$A30)*(Raw_Data_Daily!$C$2:$C$9999=$C$3)*Raw_Data_Daily!$D$2:$D$9999*Raw_Data_Daily!$M$2:$M$9999)/SUMIFS(Raw_Data_Daily!$D:$D, Raw_Data_Daily!$B:$B, "Control", Raw_Data_Daily!$A:$A, $A30, Raw_Data_Daily!$C:$C, $C$3),""))</f>
        <v/>
      </c>
      <c r="AD30" s="139" t="str">
        <f>IF($A30="","",IFERROR(SUMPRODUCT((Raw_Data_Daily!$B$2:$B$9999="Variant")*(Raw_Data_Daily!$A$2:$A$9999=$A30)*(Raw_Data_Daily!$C$2:$C$9999=$C$3)*Raw_Data_Daily!$D$2:$D$9999*Raw_Data_Daily!$M$2:$M$9999)/SUMIFS(Raw_Data_Daily!$D:$D, Raw_Data_Daily!$B:$B, "Variant", Raw_Data_Daily!$A:$A, $A30, Raw_Data_Daily!$C:$C, $C$3),""))</f>
        <v/>
      </c>
      <c r="AE30" s="140" t="str">
        <f t="shared" si="10"/>
        <v/>
      </c>
      <c r="AF30" s="139" t="str">
        <f>IF($A30="","",IFERROR(SUMPRODUCT((Raw_Data_Daily!$B$2:$B$9999="Control")*(Raw_Data_Daily!$A$2:$A$9999=$A30)*(Raw_Data_Daily!$C$2:$C$9999=$C$3)*Raw_Data_Daily!$D$2:$D$9999*Raw_Data_Daily!$N$2:$N$9999)/SUMIFS(Raw_Data_Daily!$D:$D, Raw_Data_Daily!$B:$B, "Control", Raw_Data_Daily!$A:$A, $A30, Raw_Data_Daily!$C:$C, $C$3),""))</f>
        <v/>
      </c>
      <c r="AG30" s="139" t="str">
        <f>IF($A30="","",IFERROR(SUMPRODUCT((Raw_Data_Daily!$B$2:$B$9999="Variant")*(Raw_Data_Daily!$A$2:$A$9999=$A30)*(Raw_Data_Daily!$C$2:$C$9999=$C$3)*Raw_Data_Daily!$D$2:$D$9999*Raw_Data_Daily!$N$2:$N$9999)/SUMIFS(Raw_Data_Daily!$D:$D, Raw_Data_Daily!$B:$B, "Variant", Raw_Data_Daily!$A:$A, $A30, Raw_Data_Daily!$C:$C, $C$3),""))</f>
        <v/>
      </c>
      <c r="AH30" s="140" t="str">
        <f t="shared" si="11"/>
        <v/>
      </c>
      <c r="AI30" s="139" t="str">
        <f>IF($A30="","",IFERROR(SUMPRODUCT((Raw_Data_Daily!$B$2:$B$9999="Control")*(Raw_Data_Daily!$A$2:$A$9999=$A30)*(Raw_Data_Daily!$C$2:$C$9999=$C$3)*Raw_Data_Daily!$D$2:$D$9999*Raw_Data_Daily!$O$2:$O$9999)/SUMIFS(Raw_Data_Daily!$D:$D, Raw_Data_Daily!$B:$B, "Control", Raw_Data_Daily!$A:$A, $A30, Raw_Data_Daily!$C:$C, $C$3),""))</f>
        <v/>
      </c>
      <c r="AJ30" s="139" t="str">
        <f>IF($A30="","",IFERROR(SUMPRODUCT((Raw_Data_Daily!$B$2:$B$9999="Variant")*(Raw_Data_Daily!$A$2:$A$9999=$A30)*(Raw_Data_Daily!$C$2:$C$9999=$C$3)*Raw_Data_Daily!$D$2:$D$9999*Raw_Data_Daily!$O$2:$O$9999)/SUMIFS(Raw_Data_Daily!$D:$D, Raw_Data_Daily!$B:$B, "Variant", Raw_Data_Daily!$A:$A, $A30, Raw_Data_Daily!$C:$C, $C$3),""))</f>
        <v/>
      </c>
      <c r="AK30" s="132" t="str">
        <f t="shared" si="12"/>
        <v/>
      </c>
      <c r="AL30" s="137" t="str">
        <f>IF($A30="","",IFERROR(SUMPRODUCT((Raw_Data_Daily!$B$2:$B$9999="Control")*(Raw_Data_Daily!$A$2:$A$9999=$A30)*(Raw_Data_Daily!$C$2:$C$9999=$C$3)*Raw_Data_Daily!$D$2:$D$9999*Raw_Data_Daily!$P$2:$P$9999)/SUMIFS(Raw_Data_Daily!$D:$D, Raw_Data_Daily!$B:$B, "Control", Raw_Data_Daily!$A:$A, $A30, Raw_Data_Daily!$C:$C, $C$3),""))</f>
        <v/>
      </c>
      <c r="AM30" s="137" t="str">
        <f>IF($A30="","",IFERROR(SUMPRODUCT((Raw_Data_Daily!$B$2:$B$9999="Variant")*(Raw_Data_Daily!$A$2:$A$9999=$A30)*(Raw_Data_Daily!$C$2:$C$9999=$C$3)*Raw_Data_Daily!$D$2:$D$9999*Raw_Data_Daily!$P$2:$P$9999)/SUMIFS(Raw_Data_Daily!$D:$D, Raw_Data_Daily!$B:$B, "Variant", Raw_Data_Daily!$A:$A, $A30, Raw_Data_Daily!$C:$C, $C$3),""))</f>
        <v/>
      </c>
      <c r="AN30" s="132" t="str">
        <f t="shared" si="13"/>
        <v/>
      </c>
      <c r="AO30" s="137" t="str">
        <f>IF($A30="","",IFERROR(SUMPRODUCT((Raw_Data_Daily!$B$2:$B$9999="Control")*(Raw_Data_Daily!$A$2:$A$9999=$A30)*(Raw_Data_Daily!$C$2:$C$9999=$C$3)*Raw_Data_Daily!$D$2:$D$9999*Raw_Data_Daily!$Q$2:$Q$9999)/SUMIFS(Raw_Data_Daily!$D:$D, Raw_Data_Daily!$B:$B, "Control", Raw_Data_Daily!$A:$A, $A30, Raw_Data_Daily!$C:$C, $C$3),""))</f>
        <v/>
      </c>
      <c r="AP30" s="137" t="str">
        <f>IF($A30="","",IFERROR(SUMPRODUCT((Raw_Data_Daily!$B$2:$B$9999="Variant")*(Raw_Data_Daily!$A$2:$A$9999=$A30)*(Raw_Data_Daily!$C$2:$C$9999=$C$3)*Raw_Data_Daily!$D$2:$D$9999*Raw_Data_Daily!$Q$2:$Q$9999)/SUMIFS(Raw_Data_Daily!$D:$D, Raw_Data_Daily!$B:$B, "Variant", Raw_Data_Daily!$A:$A, $A30, Raw_Data_Daily!$C:$C, $C$3),""))</f>
        <v/>
      </c>
      <c r="AQ30" s="129" t="str">
        <f t="shared" si="14"/>
        <v/>
      </c>
      <c r="AR30" s="137" t="str">
        <f>IF($A30="","",IFERROR(SUMPRODUCT((Raw_Data_Daily!$B$2:$B$9999="Control")*(Raw_Data_Daily!$A$2:$A$9999=$A30)*(Raw_Data_Daily!$C$2:$C$9999=$C$3)*Raw_Data_Daily!$D$2:$D$9999*Raw_Data_Daily!$R$2:$R$9999)/SUMIFS(Raw_Data_Daily!$D:$D, Raw_Data_Daily!$B:$B, "Control", Raw_Data_Daily!$A:$A, $A30, Raw_Data_Daily!$C:$C, $C$3),""))</f>
        <v/>
      </c>
      <c r="AS30" s="137" t="str">
        <f>IF($A30="","",IFERROR(SUMPRODUCT((Raw_Data_Daily!$B$2:$B$9999="Variant")*(Raw_Data_Daily!$A$2:$A$9999=$A30)*(Raw_Data_Daily!$C$2:$C$9999=$C$3)*Raw_Data_Daily!$D$2:$D$9999*Raw_Data_Daily!$R$2:$R$9999)/SUMIFS(Raw_Data_Daily!$D:$D, Raw_Data_Daily!$B:$B, "Variant", Raw_Data_Daily!$A:$A, $A30, Raw_Data_Daily!$C:$C, $C$3),""))</f>
        <v/>
      </c>
      <c r="AT30" s="129" t="str">
        <f t="shared" si="15"/>
        <v/>
      </c>
      <c r="AU30" s="137" t="str">
        <f>IF($A30="","",IFERROR(SUMPRODUCT((Raw_Data_Daily!$B$2:$B$9999="Control")*(Raw_Data_Daily!$A$2:$A$9999=$A30)*(Raw_Data_Daily!$C$2:$C$9999=$C$3)*Raw_Data_Daily!$D$2:$D$9999*Raw_Data_Daily!$S$2:$S$9999)/SUMIFS(Raw_Data_Daily!$D:$D, Raw_Data_Daily!$B:$B, "Control", Raw_Data_Daily!$A:$A, $A30, Raw_Data_Daily!$C:$C, $C$3),""))</f>
        <v/>
      </c>
      <c r="AV30" s="137" t="str">
        <f>IF($A30="","",IFERROR(SUMPRODUCT((Raw_Data_Daily!$B$2:$B$9999="Variant")*(Raw_Data_Daily!$A$2:$A$9999=$A30)*(Raw_Data_Daily!$C$2:$C$9999=$C$3)*Raw_Data_Daily!$D$2:$D$9999*Raw_Data_Daily!$S$2:$S$9999)/SUMIFS(Raw_Data_Daily!$D:$D, Raw_Data_Daily!$B:$B, "Variant", Raw_Data_Daily!$A:$A, $A30, Raw_Data_Daily!$C:$C, $C$3),""))</f>
        <v/>
      </c>
      <c r="AW30" s="129" t="str">
        <f t="shared" si="16"/>
        <v/>
      </c>
      <c r="AX30" s="137" t="str">
        <f>IF($A30="","",IFERROR(SUMPRODUCT((Raw_Data_Daily!$B$2:$B$9999="Control")*(Raw_Data_Daily!$A$2:$A$9999=$A30)*(Raw_Data_Daily!$C$2:$C$9999=$C$3)*Raw_Data_Daily!$D$2:$D$9999*Raw_Data_Daily!$T$2:$T$9999)/SUMIFS(Raw_Data_Daily!$D:$D, Raw_Data_Daily!$B:$B, "Control", Raw_Data_Daily!$A:$A, $A30, Raw_Data_Daily!$C:$C, $C$3),""))</f>
        <v/>
      </c>
      <c r="AY30" s="137" t="str">
        <f>IF($A30="","",IFERROR(SUMPRODUCT((Raw_Data_Daily!$B$2:$B$9999="Variant")*(Raw_Data_Daily!$A$2:$A$9999=$A30)*(Raw_Data_Daily!$C$2:$C$9999=$C$3)*Raw_Data_Daily!$D$2:$D$9999*Raw_Data_Daily!$T$2:$T$9999)/SUMIFS(Raw_Data_Daily!$D:$D, Raw_Data_Daily!$B:$B, "Variant", Raw_Data_Daily!$A:$A, $A30, Raw_Data_Daily!$C:$C, $C$3),""))</f>
        <v/>
      </c>
      <c r="AZ30" s="132" t="str">
        <f t="shared" si="17"/>
        <v/>
      </c>
      <c r="BA30" s="137" t="str">
        <f>IF($A30="","",IFERROR(SUMPRODUCT((Raw_Data_Daily!$B$2:$B$9999="Control")*(Raw_Data_Daily!$A$2:$A$9999=$A30)*(Raw_Data_Daily!$C$2:$C$9999=$C$3)*Raw_Data_Daily!$D$2:$D$9999*Raw_Data_Daily!$U$2:$U$9999)/SUMIFS(Raw_Data_Daily!$D:$D, Raw_Data_Daily!$B:$B, "Control", Raw_Data_Daily!$A:$A, $A30, Raw_Data_Daily!$C:$C, $C$3),""))</f>
        <v/>
      </c>
      <c r="BB30" s="137" t="str">
        <f>IF($A30="","",IFERROR(SUMPRODUCT((Raw_Data_Daily!$B$2:$B$9999="Variant")*(Raw_Data_Daily!$A$2:$A$9999=$A30)*(Raw_Data_Daily!$C$2:$C$9999=$C$3)*Raw_Data_Daily!$D$2:$D$9999*Raw_Data_Daily!$U$2:$U$9999)/SUMIFS(Raw_Data_Daily!$D:$D, Raw_Data_Daily!$B:$B, "Variant", Raw_Data_Daily!$A:$A, $A30, Raw_Data_Daily!$C:$C, $C$3),""))</f>
        <v/>
      </c>
      <c r="BC30" s="129" t="str">
        <f t="shared" si="18"/>
        <v/>
      </c>
      <c r="BD30" s="137" t="str">
        <f>IF($A30="","",IFERROR(SUMPRODUCT((Raw_Data_Daily!$B$2:$B$9999="Control")*(Raw_Data_Daily!$A$2:$A$9999=$A30)*(Raw_Data_Daily!$C$2:$C$9999=$C$3)*Raw_Data_Daily!$D$2:$D$9999*Raw_Data_Daily!$V$2:$V$9999)/SUMIFS(Raw_Data_Daily!$D:$D, Raw_Data_Daily!$B:$B, "Control", Raw_Data_Daily!$A:$A, $A30, Raw_Data_Daily!$C:$C, $C$3),""))</f>
        <v/>
      </c>
      <c r="BE30" s="137" t="str">
        <f>IF($A30="","",IFERROR(SUMPRODUCT((Raw_Data_Daily!$B$2:$B$9999="Variant")*(Raw_Data_Daily!$A$2:$A$9999=$A30)*(Raw_Data_Daily!$C$2:$C$9999=$C$3)*Raw_Data_Daily!$D$2:$D$9999*Raw_Data_Daily!$V$2:$V$9999)/SUMIFS(Raw_Data_Daily!$D:$D, Raw_Data_Daily!$B:$B, "Variant", Raw_Data_Daily!$A:$A, $A30, Raw_Data_Daily!$C:$C, $C$3),""))</f>
        <v/>
      </c>
      <c r="BF30" s="148" t="str">
        <f t="shared" si="19"/>
        <v/>
      </c>
      <c r="BG30" s="149" t="str">
        <f>IF($A30="","",IFERROR(SUMPRODUCT((Raw_Data_Daily!$B$2:$B$9999="Control")*(Raw_Data_Daily!$A$2:$A$9999=$A30)*(Raw_Data_Daily!$C$2:$C$9999=$C$3)*Raw_Data_Daily!$D$2:$D$9999*(Raw_Data_Daily!$Q$2:$Q$9999-Raw_Data_Daily!$V$2:$V$9999))/SUMIFS(Raw_Data_Daily!$D:$D, Raw_Data_Daily!$B:$B, "Control", Raw_Data_Daily!$A:$A, $A30, Raw_Data_Daily!$C:$C, $C$3),""))</f>
        <v/>
      </c>
      <c r="BH30" s="137" t="str">
        <f>IF($A30="","",IFERROR(SUMPRODUCT((Raw_Data_Daily!$B$2:$B$9999="Variant")*(Raw_Data_Daily!$A$2:$A$9999=$A30)*(Raw_Data_Daily!$C$2:$C$9999=$C$3)*Raw_Data_Daily!$D$2:$D$9999*(Raw_Data_Daily!$Q$2:$Q$9999-Raw_Data_Daily!$V$2:$V$9999))/SUMIFS(Raw_Data_Daily!$D:$D, Raw_Data_Daily!$B:$B, "Variant", Raw_Data_Daily!$A:$A, $A30, Raw_Data_Daily!$C:$C, $C$3),""))</f>
        <v/>
      </c>
      <c r="BI30" s="155" t="str">
        <f t="shared" si="20"/>
        <v/>
      </c>
      <c r="BJ30" s="156" t="str">
        <f>IF($A30="","",IFERROR(SUMPRODUCT((Raw_Data_Daily!$B$2:$B$9999="Control")*(Raw_Data_Daily!$A$2:$A$9999=$A30)*(Raw_Data_Daily!$C$2:$C$9999=$C$3)*Raw_Data_Daily!$D$2:$D$9999*Raw_Data_Daily!$W$2:$W$9999)/SUMIFS(Raw_Data_Daily!$D:$D, Raw_Data_Daily!$B:$B, "Control", Raw_Data_Daily!$A:$A, $A30, Raw_Data_Daily!$C:$C, $C$3),""))</f>
        <v/>
      </c>
      <c r="BK30" s="137" t="str">
        <f>IF($A30="","",IFERROR(SUMPRODUCT((Raw_Data_Daily!$B$2:$B$9999="Variant")*(Raw_Data_Daily!$A$2:$A$9999=$A30)*(Raw_Data_Daily!$C$2:$C$9999=$C$3)*Raw_Data_Daily!$D$2:$D$9999*Raw_Data_Daily!$W$2:$W$9999)/SUMIFS(Raw_Data_Daily!$D:$D, Raw_Data_Daily!$B:$B, "Variant", Raw_Data_Daily!$A:$A, $A30, Raw_Data_Daily!$C:$C, $C$3),""))</f>
        <v/>
      </c>
      <c r="BL30" s="129" t="str">
        <f t="shared" si="21"/>
        <v/>
      </c>
      <c r="BM30" s="139" t="str">
        <f>IF($A30="","",IFERROR(SUMPRODUCT((Raw_Data_Daily!$B$2:$B$9999="Control")*(Raw_Data_Daily!$A$2:$A$9999=$A30)*(Raw_Data_Daily!$C$2:$C$9999=$C$3)*Raw_Data_Daily!$D$2:$D$9999*Raw_Data_Daily!$X$2:$X$9999)/SUMIFS(Raw_Data_Daily!$D:$D, Raw_Data_Daily!$B:$B, "Control", Raw_Data_Daily!$A:$A, $A30, Raw_Data_Daily!$C:$C, $C$3),""))</f>
        <v/>
      </c>
      <c r="BN30" s="139" t="str">
        <f>IF($A30="","",IFERROR(SUMPRODUCT((Raw_Data_Daily!$B$2:$B$9999="Variant")*(Raw_Data_Daily!$A$2:$A$9999=$A30)*(Raw_Data_Daily!$C$2:$C$9999=$C$3)*Raw_Data_Daily!$D$2:$D$9999*Raw_Data_Daily!$X$2:$X$9999)/SUMIFS(Raw_Data_Daily!$D:$D, Raw_Data_Daily!$B:$B, "Variant", Raw_Data_Daily!$A:$A, $A30, Raw_Data_Daily!$C:$C, $C$3),""))</f>
        <v/>
      </c>
      <c r="BO30" s="132" t="str">
        <f t="shared" si="22"/>
        <v/>
      </c>
      <c r="BP30" s="128" t="str">
        <f>IF($A30="","",IFERROR(SUMPRODUCT((Raw_Data_Daily!$B$2:$B$9999="Control")*(Raw_Data_Daily!$A$2:$A$9999=$A30)*(Raw_Data_Daily!$C$2:$C$9999=$C$3)*Raw_Data_Daily!$D$2:$D$9999*Raw_Data_Daily!$Y$2:$Y$9999)/SUMIFS(Raw_Data_Daily!$D:$D, Raw_Data_Daily!$B:$B, "Control", Raw_Data_Daily!$A:$A, $A30, Raw_Data_Daily!$C:$C, $C$3),""))</f>
        <v/>
      </c>
      <c r="BQ30" s="128" t="str">
        <f>IF($A30="","",IFERROR(SUMPRODUCT((Raw_Data_Daily!$B$2:$B$9999="Variant")*(Raw_Data_Daily!$A$2:$A$9999=$A30)*(Raw_Data_Daily!$C$2:$C$9999=$C$3)*Raw_Data_Daily!$D$2:$D$9999*Raw_Data_Daily!$Y$2:$Y$9999)/SUMIFS(Raw_Data_Daily!$D:$D, Raw_Data_Daily!$B:$B, "Variant", Raw_Data_Daily!$A:$A, $A30, Raw_Data_Daily!$C:$C, $C$3),""))</f>
        <v/>
      </c>
      <c r="BR30" s="129" t="str">
        <f t="shared" si="23"/>
        <v/>
      </c>
      <c r="BS30" s="128" t="str">
        <f>IF($A30="","",IFERROR(SUMPRODUCT((Raw_Data_Daily!$B$2:$B$9999="Control")*(Raw_Data_Daily!$A$2:$A$9999=$A30)*(Raw_Data_Daily!$C$2:$C$9999=$C$3)*Raw_Data_Daily!$D$2:$D$9999*Raw_Data_Daily!$Z$2:$Z$9999)/SUMIFS(Raw_Data_Daily!$D:$D, Raw_Data_Daily!$B:$B, "Control", Raw_Data_Daily!$A:$A, $A30, Raw_Data_Daily!$C:$C, $C$3),""))</f>
        <v/>
      </c>
      <c r="BT30" s="128" t="str">
        <f>IF($A30="","",IFERROR(SUMPRODUCT((Raw_Data_Daily!$B$2:$B$9999="Variant")*(Raw_Data_Daily!$A$2:$A$9999=$A30)*(Raw_Data_Daily!$C$2:$C$9999=$C$3)*Raw_Data_Daily!$D$2:$D$9999*Raw_Data_Daily!$Z$2:$Z$9999)/SUMIFS(Raw_Data_Daily!$D:$D, Raw_Data_Daily!$B:$B, "Variant", Raw_Data_Daily!$A:$A, $A30, Raw_Data_Daily!$C:$C, $C$3),""))</f>
        <v/>
      </c>
      <c r="BU30" s="129" t="str">
        <f t="shared" si="24"/>
        <v/>
      </c>
      <c r="BV30" s="128" t="str">
        <f>IF($A30="","",IFERROR(SUMPRODUCT((Raw_Data_Daily!$B$2:$B$9999="Control")*(Raw_Data_Daily!$A$2:$A$9999=$A30)*(Raw_Data_Daily!$C$2:$C$9999=$C$3)*Raw_Data_Daily!$D$2:$D$9999*Raw_Data_Daily!$AA$2:$AA$9999)/SUMIFS(Raw_Data_Daily!$D:$D, Raw_Data_Daily!$B:$B, "Control", Raw_Data_Daily!$A:$A, $A30, Raw_Data_Daily!$C:$C, $C$3),""))</f>
        <v/>
      </c>
      <c r="BW30" s="128" t="str">
        <f>IF($A30="","",IFERROR(SUMPRODUCT((Raw_Data_Daily!$B$2:$B$9999="Variant")*(Raw_Data_Daily!$A$2:$A$9999=$A30)*(Raw_Data_Daily!$C$2:$C$9999=$C$3)*Raw_Data_Daily!$D$2:$D$9999*Raw_Data_Daily!$AA$2:$AA$9999)/SUMIFS(Raw_Data_Daily!$D:$D, Raw_Data_Daily!$B:$B, "Variant", Raw_Data_Daily!$A:$A, $A30, Raw_Data_Daily!$C:$C, $C$3),""))</f>
        <v/>
      </c>
      <c r="BX30" s="129" t="str">
        <f t="shared" si="25"/>
        <v/>
      </c>
      <c r="BY30" s="137" t="str">
        <f>IF($A30="","",IFERROR(SUMPRODUCT((Raw_Data_Daily!$B$2:$B$9999="Control")*(Raw_Data_Daily!$A$2:$A$9999=$A30)*(Raw_Data_Daily!$C$2:$C$9999=$C$3)*Raw_Data_Daily!$D$2:$D$9999*Raw_Data_Daily!$AB$2:$AB$9999)/SUMIFS(Raw_Data_Daily!$D:$D, Raw_Data_Daily!$B:$B, "Control", Raw_Data_Daily!$A:$A, $A30, Raw_Data_Daily!$C:$C, $C$3),""))</f>
        <v/>
      </c>
      <c r="BZ30" s="137" t="str">
        <f>IF($A30="","",IFERROR(SUMPRODUCT((Raw_Data_Daily!$B$2:$B$9999="Variant")*(Raw_Data_Daily!$A$2:$A$9999=$A30)*(Raw_Data_Daily!$C$2:$C$9999=$C$3)*Raw_Data_Daily!$D$2:$D$9999*Raw_Data_Daily!$AB$2:$AB$9999)/SUMIFS(Raw_Data_Daily!$D:$D, Raw_Data_Daily!$B:$B, "Variant", Raw_Data_Daily!$A:$A, $A30, Raw_Data_Daily!$C:$C, $C$3),""))</f>
        <v/>
      </c>
      <c r="CA30" s="132" t="str">
        <f t="shared" si="26"/>
        <v/>
      </c>
      <c r="CB30" s="137" t="str">
        <f>IF($A30="","",IFERROR(SUMPRODUCT((Raw_Data_Daily!$B$2:$B$9999="Control")*(Raw_Data_Daily!$A$2:$A$9999=$A30)*(Raw_Data_Daily!$C$2:$C$9999=$C$3)*Raw_Data_Daily!$D$2:$D$9999*Raw_Data_Daily!$AC$2:$AC$9999)/SUMIFS(Raw_Data_Daily!$D:$D, Raw_Data_Daily!$B:$B, "Control", Raw_Data_Daily!$A:$A, $A30, Raw_Data_Daily!$C:$C, $C$3),""))</f>
        <v/>
      </c>
      <c r="CC30" s="137" t="str">
        <f>IF($A30="","",IFERROR(SUMPRODUCT((Raw_Data_Daily!$B$2:$B$9999="Variant")*(Raw_Data_Daily!$A$2:$A$9999=$A30)*(Raw_Data_Daily!$C$2:$C$9999=$C$3)*Raw_Data_Daily!$D$2:$D$9999*Raw_Data_Daily!$AC$2:$AC$9999)/SUMIFS(Raw_Data_Daily!$D:$D, Raw_Data_Daily!$B:$B, "Variant", Raw_Data_Daily!$A:$A, $A30, Raw_Data_Daily!$C:$C, $C$3),""))</f>
        <v/>
      </c>
      <c r="CD30" s="132" t="str">
        <f t="shared" si="27"/>
        <v/>
      </c>
      <c r="CE30" s="137" t="str">
        <f>IF($A30="","",IFERROR(SUMPRODUCT((Raw_Data_Daily!$B$2:$B$9999="Control")*(Raw_Data_Daily!$A$2:$A$9999=$A30)*(Raw_Data_Daily!$C$2:$C$9999=$C$3)*Raw_Data_Daily!$D$2:$D$9999*Raw_Data_Daily!$AD$2:$AD$9999)/SUMIFS(Raw_Data_Daily!$D:$D, Raw_Data_Daily!$B:$B, "Control", Raw_Data_Daily!$A:$A, $A30, Raw_Data_Daily!$C:$C, $C$3),""))</f>
        <v/>
      </c>
      <c r="CF30" s="137" t="str">
        <f>IF($A30="","",IFERROR(SUMPRODUCT((Raw_Data_Daily!$B$2:$B$9999="Variant")*(Raw_Data_Daily!$A$2:$A$9999=$A30)*(Raw_Data_Daily!$C$2:$C$9999=$C$3)*Raw_Data_Daily!$D$2:$D$9999*Raw_Data_Daily!$AD$2:$AD$9999)/SUMIFS(Raw_Data_Daily!$D:$D, Raw_Data_Daily!$B:$B, "Variant", Raw_Data_Daily!$A:$A, $A30, Raw_Data_Daily!$C:$C, $C$3),""))</f>
        <v/>
      </c>
      <c r="CG30" s="132" t="str">
        <f t="shared" si="28"/>
        <v/>
      </c>
      <c r="CH30" s="137" t="str">
        <f>IF($A30="","",IFERROR(SUMPRODUCT((Raw_Data_Daily!$B$2:$B$9999="Control")*(Raw_Data_Daily!$A$2:$A$9999=$A30)*(Raw_Data_Daily!$C$2:$C$9999=$C$3)*Raw_Data_Daily!$D$2:$D$9999*Raw_Data_Daily!$AE$2:$AE$9999)/SUMIFS(Raw_Data_Daily!$D:$D, Raw_Data_Daily!$B:$B, "Control", Raw_Data_Daily!$A:$A, $A30, Raw_Data_Daily!$C:$C, $C$3),""))</f>
        <v/>
      </c>
      <c r="CI30" s="137" t="str">
        <f>IF($A30="","",IFERROR(SUMPRODUCT((Raw_Data_Daily!$B$2:$B$9999="Variant")*(Raw_Data_Daily!$A$2:$A$9999=$A30)*(Raw_Data_Daily!$C$2:$C$9999=$C$3)*Raw_Data_Daily!$D$2:$D$9999*Raw_Data_Daily!$AE$2:$AE$9999)/SUMIFS(Raw_Data_Daily!$D:$D, Raw_Data_Daily!$B:$B, "Variant", Raw_Data_Daily!$A:$A, $A30, Raw_Data_Daily!$C:$C, $C$3),""))</f>
        <v/>
      </c>
      <c r="CJ30" s="132" t="str">
        <f t="shared" si="29"/>
        <v/>
      </c>
      <c r="CK30" s="137" t="str">
        <f>IF($A30="","",IFERROR(SUMPRODUCT((Raw_Data_Daily!$B$2:$B$9999="Control")*(Raw_Data_Daily!$A$2:$A$9999=$A30)*(Raw_Data_Daily!$C$2:$C$9999=$C$3)*Raw_Data_Daily!$D$2:$D$9999*Raw_Data_Daily!$AF$2:$AF$9999)/SUMIFS(Raw_Data_Daily!$D:$D, Raw_Data_Daily!$B:$B, "Control", Raw_Data_Daily!$A:$A, $A30, Raw_Data_Daily!$C:$C, $C$3),""))</f>
        <v/>
      </c>
      <c r="CL30" s="137" t="str">
        <f>IF($A30="","",IFERROR(SUMPRODUCT((Raw_Data_Daily!$B$2:$B$9999="Variant")*(Raw_Data_Daily!$A$2:$A$9999=$A30)*(Raw_Data_Daily!$C$2:$C$9999=$C$3)*Raw_Data_Daily!$D$2:$D$9999*Raw_Data_Daily!$AF$2:$AF$9999)/SUMIFS(Raw_Data_Daily!$D:$D, Raw_Data_Daily!$B:$B, "Variant", Raw_Data_Daily!$A:$A, $A30, Raw_Data_Daily!$C:$C, $C$3),""))</f>
        <v/>
      </c>
      <c r="CM30" s="132" t="str">
        <f t="shared" si="30"/>
        <v/>
      </c>
      <c r="CN30" s="137" t="str">
        <f>IF($A30="","",IFERROR(SUMPRODUCT((Raw_Data_Daily!$B$2:$B$9999="Control")*(Raw_Data_Daily!$A$2:$A$9999=$A30)*(Raw_Data_Daily!$C$2:$C$9999=$C$3)*Raw_Data_Daily!$D$2:$D$9999*Raw_Data_Daily!$AG$2:$AG$9999)/SUMIFS(Raw_Data_Daily!$D:$D, Raw_Data_Daily!$B:$B, "Control", Raw_Data_Daily!$A:$A, $A30, Raw_Data_Daily!$C:$C, $C$3),""))</f>
        <v/>
      </c>
      <c r="CO30" s="137" t="str">
        <f>IF($A30="","",IFERROR(SUMPRODUCT((Raw_Data_Daily!$B$2:$B$9999="Variant")*(Raw_Data_Daily!$A$2:$A$9999=$A30)*(Raw_Data_Daily!$C$2:$C$9999=$C$3)*Raw_Data_Daily!$D$2:$D$9999*Raw_Data_Daily!$AG$2:$AG$9999)/SUMIFS(Raw_Data_Daily!$D:$D, Raw_Data_Daily!$B:$B, "Variant", Raw_Data_Daily!$A:$A, $A30, Raw_Data_Daily!$C:$C, $C$3),""))</f>
        <v/>
      </c>
      <c r="CP30" s="132" t="str">
        <f t="shared" si="31"/>
        <v/>
      </c>
      <c r="CQ30" s="137" t="str">
        <f>IF($A30="","",IFERROR(SUMPRODUCT((Raw_Data_Daily!$B$2:$B$9999="Control")*(Raw_Data_Daily!$A$2:$A$9999=$A30)*(Raw_Data_Daily!$C$2:$C$9999=$C$3)*Raw_Data_Daily!$D$2:$D$9999*Raw_Data_Daily!$AH$2:$AH$9999)/SUMIFS(Raw_Data_Daily!$D:$D, Raw_Data_Daily!$B:$B, "Control", Raw_Data_Daily!$A:$A, $A30, Raw_Data_Daily!$C:$C, $C$3),""))</f>
        <v/>
      </c>
      <c r="CR30" s="137" t="str">
        <f>IF($A30="","",IFERROR(SUMPRODUCT((Raw_Data_Daily!$B$2:$B$9999="Variant")*(Raw_Data_Daily!$A$2:$A$9999=$A30)*(Raw_Data_Daily!$C$2:$C$9999=$C$3)*Raw_Data_Daily!$D$2:$D$9999*Raw_Data_Daily!$AH$2:$AH$9999)/SUMIFS(Raw_Data_Daily!$D:$D, Raw_Data_Daily!$B:$B, "Variant", Raw_Data_Daily!$A:$A, $A30, Raw_Data_Daily!$C:$C, $C$3),""))</f>
        <v/>
      </c>
      <c r="CS30" s="132" t="str">
        <f t="shared" si="32"/>
        <v/>
      </c>
      <c r="CT30" s="130" t="str">
        <f>IF($A30="","",IFERROR(SUMPRODUCT((Raw_Data_Daily!$B$2:$B$9999="Control")*(Raw_Data_Daily!$A$2:$A$9999=$A30)*(Raw_Data_Daily!$C$2:$C$9999=$C$3)*Raw_Data_Daily!$D$2:$D$9999*Raw_Data_Daily!$AI$2:$AI$9999)/SUMIFS(Raw_Data_Daily!$D:$D, Raw_Data_Daily!$B:$B, "Control", Raw_Data_Daily!$A:$A, $A30, Raw_Data_Daily!$C:$C, $C$3),""))</f>
        <v/>
      </c>
      <c r="CU30" s="130" t="str">
        <f>IF($A30="","",IFERROR(SUMPRODUCT((Raw_Data_Daily!$B$2:$B$9999="Variant")*(Raw_Data_Daily!$A$2:$A$9999=$A30)*(Raw_Data_Daily!$C$2:$C$9999=$C$3)*Raw_Data_Daily!$D$2:$D$9999*Raw_Data_Daily!$AI$2:$AI$9999)/SUMIFS(Raw_Data_Daily!$D:$D, Raw_Data_Daily!$B:$B, "Variant", Raw_Data_Daily!$A:$A, $A30, Raw_Data_Daily!$C:$C, $C$3),""))</f>
        <v/>
      </c>
      <c r="CV30" s="140" t="str">
        <f t="shared" si="33"/>
        <v/>
      </c>
      <c r="CW30" s="130" t="str">
        <f>IF($A30="","",IFERROR(SUMPRODUCT((Raw_Data_Daily!$B$2:$B$9999="Control")*(Raw_Data_Daily!$A$2:$A$9999=$A30)*(Raw_Data_Daily!$C$2:$C$9999=$C$3)*Raw_Data_Daily!$D$2:$D$9999*Raw_Data_Daily!$AJ$2:$AJ$9999)/SUMIFS(Raw_Data_Daily!$D:$D, Raw_Data_Daily!$B:$B, "Control", Raw_Data_Daily!$A:$A, $A30, Raw_Data_Daily!$C:$C, $C$3),""))</f>
        <v/>
      </c>
      <c r="CX30" s="130" t="str">
        <f>IF($A30="","",IFERROR(SUMPRODUCT((Raw_Data_Daily!$B$2:$B$9999="Variant")*(Raw_Data_Daily!$A$2:$A$9999=$A30)*(Raw_Data_Daily!$C$2:$C$9999=$C$3)*Raw_Data_Daily!$D$2:$D$9999*Raw_Data_Daily!$AJ$2:$AJ$9999)/SUMIFS(Raw_Data_Daily!$D:$D, Raw_Data_Daily!$B:$B, "Variant", Raw_Data_Daily!$A:$A, $A30, Raw_Data_Daily!$C:$C, $C$3),""))</f>
        <v/>
      </c>
      <c r="CY30" s="140" t="str">
        <f t="shared" si="34"/>
        <v/>
      </c>
      <c r="CZ30" s="130" t="str">
        <f>IF($A30="","",IFERROR(SUMPRODUCT((Raw_Data_Daily!$B$2:$B$9999="Control")*(Raw_Data_Daily!$A$2:$A$9999=$A30)*(Raw_Data_Daily!$C$2:$C$9999=$C$3)*Raw_Data_Daily!$D$2:$D$9999*Raw_Data_Daily!$AK$2:$AK$9999)/SUMIFS(Raw_Data_Daily!$D:$D, Raw_Data_Daily!$B:$B, "Control", Raw_Data_Daily!$A:$A, $A30, Raw_Data_Daily!$C:$C, $C$3),""))</f>
        <v/>
      </c>
      <c r="DA30" s="130" t="str">
        <f>IF($A30="","",IFERROR(SUMPRODUCT((Raw_Data_Daily!$B$2:$B$9999="Variant")*(Raw_Data_Daily!$A$2:$A$9999=$A30)*(Raw_Data_Daily!$C$2:$C$9999=$C$3)*Raw_Data_Daily!$D$2:$D$9999*Raw_Data_Daily!$AK$2:$AK$9999)/SUMIFS(Raw_Data_Daily!$D:$D, Raw_Data_Daily!$B:$B, "Variant", Raw_Data_Daily!$A:$A, $A30, Raw_Data_Daily!$C:$C, $C$3),""))</f>
        <v/>
      </c>
      <c r="DB30" s="132" t="str">
        <f t="shared" si="35"/>
        <v/>
      </c>
      <c r="DC30" s="139" t="str">
        <f>IF($A30="","",IFERROR(SUMPRODUCT((Raw_Data_Daily!$B$2:$B$9999="Control")*(Raw_Data_Daily!$A$2:$A$9999=$A30)*(Raw_Data_Daily!$C$2:$C$9999=$C$3)*Raw_Data_Daily!$D$2:$D$9999*Raw_Data_Daily!$AL$2:$AL$9999)/SUMIFS(Raw_Data_Daily!$D:$D, Raw_Data_Daily!$B:$B, "Control", Raw_Data_Daily!$A:$A, $A30, Raw_Data_Daily!$C:$C, $C$3),""))</f>
        <v/>
      </c>
      <c r="DD30" s="139" t="str">
        <f>IF($A30="","",IFERROR(SUMPRODUCT((Raw_Data_Daily!$B$2:$B$9999="Variant")*(Raw_Data_Daily!$A$2:$A$9999=$A30)*(Raw_Data_Daily!$C$2:$C$9999=$C$3)*Raw_Data_Daily!$D$2:$D$9999*Raw_Data_Daily!$AL$2:$AL$9999)/SUMIFS(Raw_Data_Daily!$D:$D, Raw_Data_Daily!$B:$B, "Variant", Raw_Data_Daily!$A:$A, $A30, Raw_Data_Daily!$C:$C, $C$3),""))</f>
        <v/>
      </c>
      <c r="DE30" s="140" t="str">
        <f t="shared" si="36"/>
        <v/>
      </c>
      <c r="DF30" s="165"/>
      <c r="DG30" s="130" t="str">
        <f>IF($A30="","",IFERROR(SUMPRODUCT((Raw_Data_Daily!$B$2:$B$9999="Variant")*(Raw_Data_Daily!$A$2:$A$9999=$A30)*(Raw_Data_Daily!$C$2:$C$9999=$C$3)*Raw_Data_Daily!$D$2:$D$9999*Raw_Data_Daily!$AM$2:$AM$9999)/SUMIFS(Raw_Data_Daily!$D:$D, Raw_Data_Daily!$B:$B, "Variant", Raw_Data_Daily!$A:$A, $A30, Raw_Data_Daily!$C:$C, $C$3),""))</f>
        <v/>
      </c>
      <c r="DH30" s="166"/>
      <c r="DI30" s="165"/>
      <c r="DJ30" s="130" t="str">
        <f>IF($A30="","",IFERROR(SUMPRODUCT((Raw_Data_Daily!$B$2:$B$9999="Variant")*(Raw_Data_Daily!$A$2:$A$9999=$A30)*(Raw_Data_Daily!$C$2:$C$9999=$C$3)*Raw_Data_Daily!$D$2:$D$9999*Raw_Data_Daily!$AN$2:$AN$9999)/SUMIFS(Raw_Data_Daily!$D:$D, Raw_Data_Daily!$B:$B, "Variant", Raw_Data_Daily!$A:$A, $A30, Raw_Data_Daily!$C:$C, $C$3),""))</f>
        <v/>
      </c>
      <c r="DK30" s="166"/>
      <c r="DL30" s="165"/>
      <c r="DM30" s="130" t="str">
        <f>IF($A30="","",IFERROR(SUMPRODUCT((Raw_Data_Daily!$B$2:$B$9999="Variant")*(Raw_Data_Daily!$A$2:$A$9999=$A30)*(Raw_Data_Daily!$C$2:$C$9999=$C$3)*Raw_Data_Daily!$D$2:$D$9999*Raw_Data_Daily!$AO$2:$AO$9999)/SUMIFS(Raw_Data_Daily!$D:$D, Raw_Data_Daily!$B:$B, "Variant", Raw_Data_Daily!$A:$A, $A30, Raw_Data_Daily!$C:$C, $C$3),""))</f>
        <v/>
      </c>
      <c r="DN30" s="166"/>
      <c r="DO30" s="165"/>
      <c r="DP30" s="130" t="str">
        <f>IF($A30="","",IFERROR(SUMPRODUCT((Raw_Data_Daily!$B$2:$B$9999="Variant")*(Raw_Data_Daily!$A$2:$A$9999=$A30)*(Raw_Data_Daily!$C$2:$C$9999=$C$3)*Raw_Data_Daily!$D$2:$D$9999*Raw_Data_Daily!$AP$2:$AP$9999)/SUMIFS(Raw_Data_Daily!$D:$D, Raw_Data_Daily!$B:$B, "Variant", Raw_Data_Daily!$A:$A, $A30, Raw_Data_Daily!$C:$C, $C$3),""))</f>
        <v/>
      </c>
      <c r="DQ30" s="166"/>
      <c r="DR30" s="139" t="str">
        <f>IF($A30="","",IFERROR(SUMPRODUCT((Raw_Data_Daily!$B$2:$B$9999="Control")*(Raw_Data_Daily!$A$2:$A$9999=$A30)*(Raw_Data_Daily!$C$2:$C$9999=$C$3)*Raw_Data_Daily!$D$2:$D$9999*Raw_Data_Daily!$AQ$2:$AQ$9999)/SUMIFS(Raw_Data_Daily!$D:$D, Raw_Data_Daily!$B:$B, "Control", Raw_Data_Daily!$A:$A, $A30, Raw_Data_Daily!$C:$C, $C$3),""))</f>
        <v/>
      </c>
      <c r="DS30" s="139" t="str">
        <f>IF($A30="","",IFERROR(SUMPRODUCT((Raw_Data_Daily!$B$2:$B$9999="Variant")*(Raw_Data_Daily!$A$2:$A$9999=$A30)*(Raw_Data_Daily!$C$2:$C$9999=$C$3)*Raw_Data_Daily!$D$2:$D$9999*Raw_Data_Daily!$AQ$2:$AQ$9999)/SUMIFS(Raw_Data_Daily!$D:$D, Raw_Data_Daily!$B:$B, "Variant", Raw_Data_Daily!$A:$A, $A30, Raw_Data_Daily!$C:$C, $C$3),""))</f>
        <v/>
      </c>
      <c r="DT30" s="167" t="str">
        <f t="shared" si="37"/>
        <v/>
      </c>
      <c r="DU30" s="139" t="str">
        <f>IF($A30="","",IFERROR(SUMPRODUCT((Raw_Data_Daily!$B$2:$B$9999="Control")*(Raw_Data_Daily!$A$2:$A$9999=$A30)*(Raw_Data_Daily!$C$2:$C$9999=$C$3)*Raw_Data_Daily!$D$2:$D$9999*Raw_Data_Daily!$AR$2:$AR$9999)/SUMIFS(Raw_Data_Daily!$D:$D, Raw_Data_Daily!$B:$B, "Control", Raw_Data_Daily!$A:$A, $A30, Raw_Data_Daily!$C:$C, $C$3),""))</f>
        <v/>
      </c>
      <c r="DV30" s="139" t="str">
        <f>IF($A30="","",IFERROR(SUMPRODUCT((Raw_Data_Daily!$B$2:$B$9999="Variant")*(Raw_Data_Daily!$A$2:$A$9999=$A30)*(Raw_Data_Daily!$C$2:$C$9999=$C$3)*Raw_Data_Daily!$D$2:$D$9999*Raw_Data_Daily!$AR$2:$AR$9999)/SUMIFS(Raw_Data_Daily!$D:$D, Raw_Data_Daily!$B:$B, "Variant", Raw_Data_Daily!$A:$A, $A30, Raw_Data_Daily!$C:$C, $C$3),""))</f>
        <v/>
      </c>
      <c r="DW30" s="167" t="str">
        <f t="shared" si="38"/>
        <v/>
      </c>
      <c r="DX30" s="139" t="str">
        <f>IF($A30="","",IFERROR(SUMPRODUCT((Raw_Data_Daily!$B$2:$B$9999="Control")*(Raw_Data_Daily!$A$2:$A$9999=$A30)*(Raw_Data_Daily!$C$2:$C$9999=$C$3)*Raw_Data_Daily!$D$2:$D$9999*Raw_Data_Daily!$AS$2:$AS$9999)/SUMIFS(Raw_Data_Daily!$D:$D, Raw_Data_Daily!$B:$B, "Control", Raw_Data_Daily!$A:$A, $A30, Raw_Data_Daily!$C:$C, $C$3),""))</f>
        <v/>
      </c>
      <c r="DY30" s="139" t="str">
        <f>IF($A30="","",IFERROR(SUMPRODUCT((Raw_Data_Daily!$B$2:$B$9999="Variant")*(Raw_Data_Daily!$A$2:$A$9999=$A30)*(Raw_Data_Daily!$C$2:$C$9999=$C$3)*Raw_Data_Daily!$D$2:$D$9999*Raw_Data_Daily!$AS$2:$AS$9999)/SUMIFS(Raw_Data_Daily!$D:$D, Raw_Data_Daily!$B:$B, "Variant", Raw_Data_Daily!$A:$A, $A30, Raw_Data_Daily!$C:$C, $C$3),""))</f>
        <v/>
      </c>
      <c r="DZ30" s="168" t="str">
        <f t="shared" si="39"/>
        <v/>
      </c>
      <c r="EA30" s="139" t="str">
        <f>IF($A30="","",IFERROR(SUMPRODUCT((Raw_Data_Daily!$B$2:$B$9999="Control")*(Raw_Data_Daily!$A$2:$A$9999=$A30)*(Raw_Data_Daily!$C$2:$C$9999=$C$3)*Raw_Data_Daily!$D$2:$D$9999*Raw_Data_Daily!$AT$2:$AT$9999)/SUMIFS(Raw_Data_Daily!$D:$D, Raw_Data_Daily!$B:$B, "Control", Raw_Data_Daily!$A:$A, $A30, Raw_Data_Daily!$C:$C, $C$3),""))</f>
        <v/>
      </c>
      <c r="EB30" s="139" t="str">
        <f>IF($A30="","",IFERROR(SUMPRODUCT((Raw_Data_Daily!$B$2:$B$9999="Variant")*(Raw_Data_Daily!$A$2:$A$9999=$A30)*(Raw_Data_Daily!$C$2:$C$9999=$C$3)*Raw_Data_Daily!$D$2:$D$9999*Raw_Data_Daily!$AT$2:$AT$9999)/SUMIFS(Raw_Data_Daily!$D:$D, Raw_Data_Daily!$B:$B, "Variant", Raw_Data_Daily!$A:$A, $A30, Raw_Data_Daily!$C:$C, $C$3),""))</f>
        <v/>
      </c>
      <c r="EC30" s="167" t="str">
        <f t="shared" si="40"/>
        <v/>
      </c>
      <c r="ED30" s="139" t="str">
        <f>IF($A30="","",IFERROR(SUMPRODUCT((Raw_Data_Daily!$B$2:$B$9999="Control")*(Raw_Data_Daily!$A$2:$A$9999=$A30)*(Raw_Data_Daily!$C$2:$C$9999=$C$3)*Raw_Data_Daily!$D$2:$D$9999*(Raw_Data_Daily!$AQ$2:$AQ$9999-Raw_Data_Daily!$AT$2:$AT$9999))/SUMIFS(Raw_Data_Daily!$D:$D, Raw_Data_Daily!$B:$B, "Control", Raw_Data_Daily!$A:$A, $A30, Raw_Data_Daily!$C:$C, $C$3),""))</f>
        <v/>
      </c>
      <c r="EE30" s="139" t="str">
        <f>IF($A30="","",IFERROR(SUMPRODUCT((Raw_Data_Daily!$B$2:$B$9999="Variant")*(Raw_Data_Daily!$A$2:$A$9999=$A30)*(Raw_Data_Daily!$C$2:$C$9999=$C$3)*Raw_Data_Daily!$D$2:$D$9999*(Raw_Data_Daily!$AQ$2:$AQ$9999-Raw_Data_Daily!$AT$2:$AT$9999))/SUMIFS(Raw_Data_Daily!$D:$D, Raw_Data_Daily!$B:$B, "Variant", Raw_Data_Daily!$A:$A, $A30, Raw_Data_Daily!$C:$C, $C$3),""))</f>
        <v/>
      </c>
      <c r="EF30" s="168" t="str">
        <f t="shared" si="41"/>
        <v/>
      </c>
      <c r="EG30" s="139" t="str">
        <f>IF($A30="","",IFERROR(SUMPRODUCT((Raw_Data_Daily!$B$2:$B$9999="Control")*(Raw_Data_Daily!$A$2:$A$9999=$A30)*(Raw_Data_Daily!$C$2:$C$9999=$C$3)*Raw_Data_Daily!$D$2:$D$9999*Raw_Data_Daily!$AU$2:$AU$9999)/SUMIFS(Raw_Data_Daily!$D:$D, Raw_Data_Daily!$B:$B, "Control", Raw_Data_Daily!$A:$A, $A30, Raw_Data_Daily!$C:$C, $C$3),""))</f>
        <v/>
      </c>
      <c r="EH30" s="139" t="str">
        <f>IF($A30="","",IFERROR(SUMPRODUCT((Raw_Data_Daily!$B$2:$B$9999="Variant")*(Raw_Data_Daily!$A$2:$A$9999=$A30)*(Raw_Data_Daily!$C$2:$C$9999=$C$3)*Raw_Data_Daily!$D$2:$D$9999*Raw_Data_Daily!$AU$2:$AU$9999)/SUMIFS(Raw_Data_Daily!$D:$D, Raw_Data_Daily!$B:$B, "Variant", Raw_Data_Daily!$A:$A, $A30, Raw_Data_Daily!$C:$C, $C$3),""))</f>
        <v/>
      </c>
      <c r="EI30" s="167" t="str">
        <f t="shared" si="42"/>
        <v/>
      </c>
    </row>
    <row r="31" ht="15.75" customHeight="1">
      <c r="A31" s="126">
        <v>46254.0</v>
      </c>
      <c r="B31" s="128">
        <f>IF($A31="","",SUMIFS(Raw_Data_Daily!$D:$D, Raw_Data_Daily!$B:$B, "Control", Raw_Data_Daily!$A:$A, $A31, Raw_Data_Daily!$C:$C, $C$3))</f>
        <v>0</v>
      </c>
      <c r="C31" s="128">
        <f>IF($A31="","",SUMIFS(Raw_Data_Daily!$D:$D, Raw_Data_Daily!$B:$B, "Variant", Raw_Data_Daily!$A:$A, $A31, Raw_Data_Daily!$C:$C, $C$3))</f>
        <v>0</v>
      </c>
      <c r="D31" s="129" t="str">
        <f t="shared" si="1"/>
        <v/>
      </c>
      <c r="E31" s="130" t="str">
        <f>IF($A31="","",IFERROR(SUMPRODUCT((Raw_Data_Daily!$B$2:$B$9999="Control")*(Raw_Data_Daily!$A$2:$A$9999=$A31)*(Raw_Data_Daily!$C$2:$C$9999=$C$3)*Raw_Data_Daily!$D$2:$D$9999*Raw_Data_Daily!$E$2:$E$9999)/SUMIFS(Raw_Data_Daily!$D:$D, Raw_Data_Daily!$B:$B, "Control", Raw_Data_Daily!$A:$A, $A31, Raw_Data_Daily!$C:$C, $C$3),""))</f>
        <v/>
      </c>
      <c r="F31" s="130" t="str">
        <f>IF($A31="","",IFERROR(SUMPRODUCT((Raw_Data_Daily!$B$2:$B$9999="Variant")*(Raw_Data_Daily!$A$2:$A$9999=$A31)*(Raw_Data_Daily!$C$2:$C$9999=$C$3)*Raw_Data_Daily!$D$2:$D$9999*Raw_Data_Daily!$E$2:$E$9999)/SUMIFS(Raw_Data_Daily!$D:$D, Raw_Data_Daily!$B:$B, "Variant", Raw_Data_Daily!$A:$A, $A31, Raw_Data_Daily!$C:$C, $C$3),""))</f>
        <v/>
      </c>
      <c r="G31" s="129" t="str">
        <f t="shared" si="2"/>
        <v/>
      </c>
      <c r="H31" s="131">
        <f>IF($A31="","",SUMIFS(Raw_Data_Daily!$F:$F, Raw_Data_Daily!$B:$B, "Control", Raw_Data_Daily!$A:$A, $A31, Raw_Data_Daily!$C:$C, $C$3))</f>
        <v>0</v>
      </c>
      <c r="I31" s="131">
        <f>IF($A31="","",SUMIFS(Raw_Data_Daily!$F:$F, Raw_Data_Daily!$B:$B, "Variant", Raw_Data_Daily!$A:$A, $A31, Raw_Data_Daily!$C:$C, $C$3))</f>
        <v>0</v>
      </c>
      <c r="J31" s="132" t="str">
        <f t="shared" si="3"/>
        <v/>
      </c>
      <c r="K31" s="134" t="str">
        <f>IF($A31="","",IFERROR(SUMIFS(Raw_Data_Daily!$F:$F, Raw_Data_Daily!$B:$B, "Control", Raw_Data_Daily!$A:$A, $A31, Raw_Data_Daily!$C:$C, $C$3)/SUMIFS(Raw_Data_Daily!$D:$D, Raw_Data_Daily!$B:$B, "Control", Raw_Data_Daily!$A:$A, $A31, Raw_Data_Daily!$C:$C, $C$3),""))</f>
        <v/>
      </c>
      <c r="L31" s="134" t="str">
        <f>IF($A31="","",IFERROR(SUMIFS(Raw_Data_Daily!$F:$F, Raw_Data_Daily!$B:$B, "Variant", Raw_Data_Daily!$A:$A, $A31, Raw_Data_Daily!$C:$C, $C$3)/SUMIFS(Raw_Data_Daily!$D:$D, Raw_Data_Daily!$B:$B, "Variant", Raw_Data_Daily!$A:$A, $A31, Raw_Data_Daily!$C:$C, $C$3),""))</f>
        <v/>
      </c>
      <c r="M31" s="132" t="str">
        <f t="shared" si="4"/>
        <v/>
      </c>
      <c r="N31" s="130" t="str">
        <f>IF($A31="","",IFERROR(SUMPRODUCT((Raw_Data_Daily!$B$2:$B$9999="Control")*(Raw_Data_Daily!$A$2:$A$9999=$A31)*(Raw_Data_Daily!$C$2:$C$9999=$C$3)*Raw_Data_Daily!$D$2:$D$9999*Raw_Data_Daily!$H$2:$H$9999/100)/SUMIFS(Raw_Data_Daily!$D:$D, Raw_Data_Daily!$B:$B, "Control", Raw_Data_Daily!$A:$A, $A31, Raw_Data_Daily!$C:$C, $C$3)*100,""))</f>
        <v/>
      </c>
      <c r="O31" s="130" t="str">
        <f>IF($A31="","",IFERROR(SUMPRODUCT((Raw_Data_Daily!$B$2:$B$9999="Variant")*(Raw_Data_Daily!$A$2:$A$9999=$A31)*(Raw_Data_Daily!$C$2:$C$9999=$C$3)*Raw_Data_Daily!$D$2:$D$9999*Raw_Data_Daily!$H$2:$H$9999/100)/SUMIFS(Raw_Data_Daily!$D:$D, Raw_Data_Daily!$B:$B, "Variant", Raw_Data_Daily!$A:$A, $A31, Raw_Data_Daily!$C:$C, $C$3)*100,""))</f>
        <v/>
      </c>
      <c r="P31" s="132" t="str">
        <f t="shared" si="5"/>
        <v/>
      </c>
      <c r="Q31" s="134" t="str">
        <f>IF($A31="","",IFERROR(SUMIFS(Raw_Data_Daily!$F:$F, Raw_Data_Daily!$B:$B, "Control", Raw_Data_Daily!$A:$A, $A31, Raw_Data_Daily!$C:$C, $C$3)/SUMPRODUCT((Raw_Data_Daily!$B$2:$B$9999="Control")*(Raw_Data_Daily!$A$2:$A$9999=$A31)*(Raw_Data_Daily!$C$2:$C$9999=$C$3)*Raw_Data_Daily!$D$2:$D$9999*Raw_Data_Daily!$H$2:$H$9999/100),""))</f>
        <v/>
      </c>
      <c r="R31" s="134" t="str">
        <f>IF($A31="","",IFERROR(SUMIFS(Raw_Data_Daily!$F:$F, Raw_Data_Daily!$B:$B, "Variant", Raw_Data_Daily!$A:$A, $A31, Raw_Data_Daily!$C:$C, $C$3)/SUMPRODUCT((Raw_Data_Daily!$B$2:$B$9999="Variant")*(Raw_Data_Daily!$A$2:$A$9999=$A31)*(Raw_Data_Daily!$C$2:$C$9999=$C$3)*Raw_Data_Daily!$D$2:$D$9999*Raw_Data_Daily!$H$2:$H$9999/100),""))</f>
        <v/>
      </c>
      <c r="S31" s="132" t="str">
        <f t="shared" si="6"/>
        <v/>
      </c>
      <c r="T31" s="137" t="str">
        <f>IF($A31="","",IFERROR(SUMPRODUCT((Raw_Data_Daily!$B$2:$B$9999="Control")*(Raw_Data_Daily!$A$2:$A$9999=$A31)*(Raw_Data_Daily!$C$2:$C$9999=$C$3)*Raw_Data_Daily!$D$2:$D$9999*Raw_Data_Daily!$J$2:$J$9999)/SUMIFS(Raw_Data_Daily!$D:$D, Raw_Data_Daily!$B:$B, "Control", Raw_Data_Daily!$A:$A, $A31, Raw_Data_Daily!$C:$C, $C$3),""))</f>
        <v/>
      </c>
      <c r="U31" s="137" t="str">
        <f>IF($A31="","",IFERROR(SUMPRODUCT((Raw_Data_Daily!$B$2:$B$9999="Variant")*(Raw_Data_Daily!$A$2:$A$9999=$A31)*(Raw_Data_Daily!$C$2:$C$9999=$C$3)*Raw_Data_Daily!$D$2:$D$9999*Raw_Data_Daily!$J$2:$J$9999)/SUMIFS(Raw_Data_Daily!$D:$D, Raw_Data_Daily!$B:$B, "Variant", Raw_Data_Daily!$A:$A, $A31, Raw_Data_Daily!$C:$C, $C$3),""))</f>
        <v/>
      </c>
      <c r="V31" s="132" t="str">
        <f t="shared" si="7"/>
        <v/>
      </c>
      <c r="W31" s="137" t="str">
        <f>IF($A31="","",IFERROR(SUMPRODUCT((Raw_Data_Daily!$B$2:$B$9999="Control")*(Raw_Data_Daily!$A$2:$A$9999=$A31)*(Raw_Data_Daily!$C$2:$C$9999=$C$3)*Raw_Data_Daily!$D$2:$D$9999*Raw_Data_Daily!$K$2:$K$9999)/SUMIFS(Raw_Data_Daily!$D:$D, Raw_Data_Daily!$B:$B, "Control", Raw_Data_Daily!$A:$A, $A31, Raw_Data_Daily!$C:$C, $C$3),""))</f>
        <v/>
      </c>
      <c r="X31" s="137" t="str">
        <f>IF($A31="","",IFERROR(SUMPRODUCT((Raw_Data_Daily!$B$2:$B$9999="Variant")*(Raw_Data_Daily!$A$2:$A$9999=$A31)*(Raw_Data_Daily!$C$2:$C$9999=$C$3)*Raw_Data_Daily!$D$2:$D$9999*Raw_Data_Daily!$K$2:$K$9999)/SUMIFS(Raw_Data_Daily!$D:$D, Raw_Data_Daily!$B:$B, "Variant", Raw_Data_Daily!$A:$A, $A31, Raw_Data_Daily!$C:$C, $C$3),""))</f>
        <v/>
      </c>
      <c r="Y31" s="132" t="str">
        <f t="shared" si="8"/>
        <v/>
      </c>
      <c r="Z31" s="137" t="str">
        <f>IF($A31="","",IFERROR(SUMPRODUCT((Raw_Data_Daily!$B$2:$B$9999="Control")*(Raw_Data_Daily!$A$2:$A$9999=$A31)*(Raw_Data_Daily!$C$2:$C$9999=$C$3)*Raw_Data_Daily!$D$2:$D$9999*Raw_Data_Daily!$L$2:$L$9999)/SUMIFS(Raw_Data_Daily!$D:$D, Raw_Data_Daily!$B:$B, "Control", Raw_Data_Daily!$A:$A, $A31, Raw_Data_Daily!$C:$C, $C$3),""))</f>
        <v/>
      </c>
      <c r="AA31" s="137" t="str">
        <f>IF($A31="","",IFERROR(SUMPRODUCT((Raw_Data_Daily!$B$2:$B$9999="Variant")*(Raw_Data_Daily!$A$2:$A$9999=$A31)*(Raw_Data_Daily!$C$2:$C$9999=$C$3)*Raw_Data_Daily!$D$2:$D$9999*Raw_Data_Daily!$L$2:$L$9999)/SUMIFS(Raw_Data_Daily!$D:$D, Raw_Data_Daily!$B:$B, "Variant", Raw_Data_Daily!$A:$A, $A31, Raw_Data_Daily!$C:$C, $C$3),""))</f>
        <v/>
      </c>
      <c r="AB31" s="132" t="str">
        <f t="shared" si="9"/>
        <v/>
      </c>
      <c r="AC31" s="139" t="str">
        <f>IF($A31="","",IFERROR(SUMPRODUCT((Raw_Data_Daily!$B$2:$B$9999="Control")*(Raw_Data_Daily!$A$2:$A$9999=$A31)*(Raw_Data_Daily!$C$2:$C$9999=$C$3)*Raw_Data_Daily!$D$2:$D$9999*Raw_Data_Daily!$M$2:$M$9999)/SUMIFS(Raw_Data_Daily!$D:$D, Raw_Data_Daily!$B:$B, "Control", Raw_Data_Daily!$A:$A, $A31, Raw_Data_Daily!$C:$C, $C$3),""))</f>
        <v/>
      </c>
      <c r="AD31" s="139" t="str">
        <f>IF($A31="","",IFERROR(SUMPRODUCT((Raw_Data_Daily!$B$2:$B$9999="Variant")*(Raw_Data_Daily!$A$2:$A$9999=$A31)*(Raw_Data_Daily!$C$2:$C$9999=$C$3)*Raw_Data_Daily!$D$2:$D$9999*Raw_Data_Daily!$M$2:$M$9999)/SUMIFS(Raw_Data_Daily!$D:$D, Raw_Data_Daily!$B:$B, "Variant", Raw_Data_Daily!$A:$A, $A31, Raw_Data_Daily!$C:$C, $C$3),""))</f>
        <v/>
      </c>
      <c r="AE31" s="140" t="str">
        <f t="shared" si="10"/>
        <v/>
      </c>
      <c r="AF31" s="139" t="str">
        <f>IF($A31="","",IFERROR(SUMPRODUCT((Raw_Data_Daily!$B$2:$B$9999="Control")*(Raw_Data_Daily!$A$2:$A$9999=$A31)*(Raw_Data_Daily!$C$2:$C$9999=$C$3)*Raw_Data_Daily!$D$2:$D$9999*Raw_Data_Daily!$N$2:$N$9999)/SUMIFS(Raw_Data_Daily!$D:$D, Raw_Data_Daily!$B:$B, "Control", Raw_Data_Daily!$A:$A, $A31, Raw_Data_Daily!$C:$C, $C$3),""))</f>
        <v/>
      </c>
      <c r="AG31" s="139" t="str">
        <f>IF($A31="","",IFERROR(SUMPRODUCT((Raw_Data_Daily!$B$2:$B$9999="Variant")*(Raw_Data_Daily!$A$2:$A$9999=$A31)*(Raw_Data_Daily!$C$2:$C$9999=$C$3)*Raw_Data_Daily!$D$2:$D$9999*Raw_Data_Daily!$N$2:$N$9999)/SUMIFS(Raw_Data_Daily!$D:$D, Raw_Data_Daily!$B:$B, "Variant", Raw_Data_Daily!$A:$A, $A31, Raw_Data_Daily!$C:$C, $C$3),""))</f>
        <v/>
      </c>
      <c r="AH31" s="140" t="str">
        <f t="shared" si="11"/>
        <v/>
      </c>
      <c r="AI31" s="139" t="str">
        <f>IF($A31="","",IFERROR(SUMPRODUCT((Raw_Data_Daily!$B$2:$B$9999="Control")*(Raw_Data_Daily!$A$2:$A$9999=$A31)*(Raw_Data_Daily!$C$2:$C$9999=$C$3)*Raw_Data_Daily!$D$2:$D$9999*Raw_Data_Daily!$O$2:$O$9999)/SUMIFS(Raw_Data_Daily!$D:$D, Raw_Data_Daily!$B:$B, "Control", Raw_Data_Daily!$A:$A, $A31, Raw_Data_Daily!$C:$C, $C$3),""))</f>
        <v/>
      </c>
      <c r="AJ31" s="139" t="str">
        <f>IF($A31="","",IFERROR(SUMPRODUCT((Raw_Data_Daily!$B$2:$B$9999="Variant")*(Raw_Data_Daily!$A$2:$A$9999=$A31)*(Raw_Data_Daily!$C$2:$C$9999=$C$3)*Raw_Data_Daily!$D$2:$D$9999*Raw_Data_Daily!$O$2:$O$9999)/SUMIFS(Raw_Data_Daily!$D:$D, Raw_Data_Daily!$B:$B, "Variant", Raw_Data_Daily!$A:$A, $A31, Raw_Data_Daily!$C:$C, $C$3),""))</f>
        <v/>
      </c>
      <c r="AK31" s="132" t="str">
        <f t="shared" si="12"/>
        <v/>
      </c>
      <c r="AL31" s="137" t="str">
        <f>IF($A31="","",IFERROR(SUMPRODUCT((Raw_Data_Daily!$B$2:$B$9999="Control")*(Raw_Data_Daily!$A$2:$A$9999=$A31)*(Raw_Data_Daily!$C$2:$C$9999=$C$3)*Raw_Data_Daily!$D$2:$D$9999*Raw_Data_Daily!$P$2:$P$9999)/SUMIFS(Raw_Data_Daily!$D:$D, Raw_Data_Daily!$B:$B, "Control", Raw_Data_Daily!$A:$A, $A31, Raw_Data_Daily!$C:$C, $C$3),""))</f>
        <v/>
      </c>
      <c r="AM31" s="137" t="str">
        <f>IF($A31="","",IFERROR(SUMPRODUCT((Raw_Data_Daily!$B$2:$B$9999="Variant")*(Raw_Data_Daily!$A$2:$A$9999=$A31)*(Raw_Data_Daily!$C$2:$C$9999=$C$3)*Raw_Data_Daily!$D$2:$D$9999*Raw_Data_Daily!$P$2:$P$9999)/SUMIFS(Raw_Data_Daily!$D:$D, Raw_Data_Daily!$B:$B, "Variant", Raw_Data_Daily!$A:$A, $A31, Raw_Data_Daily!$C:$C, $C$3),""))</f>
        <v/>
      </c>
      <c r="AN31" s="132" t="str">
        <f t="shared" si="13"/>
        <v/>
      </c>
      <c r="AO31" s="137" t="str">
        <f>IF($A31="","",IFERROR(SUMPRODUCT((Raw_Data_Daily!$B$2:$B$9999="Control")*(Raw_Data_Daily!$A$2:$A$9999=$A31)*(Raw_Data_Daily!$C$2:$C$9999=$C$3)*Raw_Data_Daily!$D$2:$D$9999*Raw_Data_Daily!$Q$2:$Q$9999)/SUMIFS(Raw_Data_Daily!$D:$D, Raw_Data_Daily!$B:$B, "Control", Raw_Data_Daily!$A:$A, $A31, Raw_Data_Daily!$C:$C, $C$3),""))</f>
        <v/>
      </c>
      <c r="AP31" s="137" t="str">
        <f>IF($A31="","",IFERROR(SUMPRODUCT((Raw_Data_Daily!$B$2:$B$9999="Variant")*(Raw_Data_Daily!$A$2:$A$9999=$A31)*(Raw_Data_Daily!$C$2:$C$9999=$C$3)*Raw_Data_Daily!$D$2:$D$9999*Raw_Data_Daily!$Q$2:$Q$9999)/SUMIFS(Raw_Data_Daily!$D:$D, Raw_Data_Daily!$B:$B, "Variant", Raw_Data_Daily!$A:$A, $A31, Raw_Data_Daily!$C:$C, $C$3),""))</f>
        <v/>
      </c>
      <c r="AQ31" s="129" t="str">
        <f t="shared" si="14"/>
        <v/>
      </c>
      <c r="AR31" s="137" t="str">
        <f>IF($A31="","",IFERROR(SUMPRODUCT((Raw_Data_Daily!$B$2:$B$9999="Control")*(Raw_Data_Daily!$A$2:$A$9999=$A31)*(Raw_Data_Daily!$C$2:$C$9999=$C$3)*Raw_Data_Daily!$D$2:$D$9999*Raw_Data_Daily!$R$2:$R$9999)/SUMIFS(Raw_Data_Daily!$D:$D, Raw_Data_Daily!$B:$B, "Control", Raw_Data_Daily!$A:$A, $A31, Raw_Data_Daily!$C:$C, $C$3),""))</f>
        <v/>
      </c>
      <c r="AS31" s="137" t="str">
        <f>IF($A31="","",IFERROR(SUMPRODUCT((Raw_Data_Daily!$B$2:$B$9999="Variant")*(Raw_Data_Daily!$A$2:$A$9999=$A31)*(Raw_Data_Daily!$C$2:$C$9999=$C$3)*Raw_Data_Daily!$D$2:$D$9999*Raw_Data_Daily!$R$2:$R$9999)/SUMIFS(Raw_Data_Daily!$D:$D, Raw_Data_Daily!$B:$B, "Variant", Raw_Data_Daily!$A:$A, $A31, Raw_Data_Daily!$C:$C, $C$3),""))</f>
        <v/>
      </c>
      <c r="AT31" s="129" t="str">
        <f t="shared" si="15"/>
        <v/>
      </c>
      <c r="AU31" s="137" t="str">
        <f>IF($A31="","",IFERROR(SUMPRODUCT((Raw_Data_Daily!$B$2:$B$9999="Control")*(Raw_Data_Daily!$A$2:$A$9999=$A31)*(Raw_Data_Daily!$C$2:$C$9999=$C$3)*Raw_Data_Daily!$D$2:$D$9999*Raw_Data_Daily!$S$2:$S$9999)/SUMIFS(Raw_Data_Daily!$D:$D, Raw_Data_Daily!$B:$B, "Control", Raw_Data_Daily!$A:$A, $A31, Raw_Data_Daily!$C:$C, $C$3),""))</f>
        <v/>
      </c>
      <c r="AV31" s="137" t="str">
        <f>IF($A31="","",IFERROR(SUMPRODUCT((Raw_Data_Daily!$B$2:$B$9999="Variant")*(Raw_Data_Daily!$A$2:$A$9999=$A31)*(Raw_Data_Daily!$C$2:$C$9999=$C$3)*Raw_Data_Daily!$D$2:$D$9999*Raw_Data_Daily!$S$2:$S$9999)/SUMIFS(Raw_Data_Daily!$D:$D, Raw_Data_Daily!$B:$B, "Variant", Raw_Data_Daily!$A:$A, $A31, Raw_Data_Daily!$C:$C, $C$3),""))</f>
        <v/>
      </c>
      <c r="AW31" s="129" t="str">
        <f t="shared" si="16"/>
        <v/>
      </c>
      <c r="AX31" s="137" t="str">
        <f>IF($A31="","",IFERROR(SUMPRODUCT((Raw_Data_Daily!$B$2:$B$9999="Control")*(Raw_Data_Daily!$A$2:$A$9999=$A31)*(Raw_Data_Daily!$C$2:$C$9999=$C$3)*Raw_Data_Daily!$D$2:$D$9999*Raw_Data_Daily!$T$2:$T$9999)/SUMIFS(Raw_Data_Daily!$D:$D, Raw_Data_Daily!$B:$B, "Control", Raw_Data_Daily!$A:$A, $A31, Raw_Data_Daily!$C:$C, $C$3),""))</f>
        <v/>
      </c>
      <c r="AY31" s="137" t="str">
        <f>IF($A31="","",IFERROR(SUMPRODUCT((Raw_Data_Daily!$B$2:$B$9999="Variant")*(Raw_Data_Daily!$A$2:$A$9999=$A31)*(Raw_Data_Daily!$C$2:$C$9999=$C$3)*Raw_Data_Daily!$D$2:$D$9999*Raw_Data_Daily!$T$2:$T$9999)/SUMIFS(Raw_Data_Daily!$D:$D, Raw_Data_Daily!$B:$B, "Variant", Raw_Data_Daily!$A:$A, $A31, Raw_Data_Daily!$C:$C, $C$3),""))</f>
        <v/>
      </c>
      <c r="AZ31" s="132" t="str">
        <f t="shared" si="17"/>
        <v/>
      </c>
      <c r="BA31" s="137" t="str">
        <f>IF($A31="","",IFERROR(SUMPRODUCT((Raw_Data_Daily!$B$2:$B$9999="Control")*(Raw_Data_Daily!$A$2:$A$9999=$A31)*(Raw_Data_Daily!$C$2:$C$9999=$C$3)*Raw_Data_Daily!$D$2:$D$9999*Raw_Data_Daily!$U$2:$U$9999)/SUMIFS(Raw_Data_Daily!$D:$D, Raw_Data_Daily!$B:$B, "Control", Raw_Data_Daily!$A:$A, $A31, Raw_Data_Daily!$C:$C, $C$3),""))</f>
        <v/>
      </c>
      <c r="BB31" s="137" t="str">
        <f>IF($A31="","",IFERROR(SUMPRODUCT((Raw_Data_Daily!$B$2:$B$9999="Variant")*(Raw_Data_Daily!$A$2:$A$9999=$A31)*(Raw_Data_Daily!$C$2:$C$9999=$C$3)*Raw_Data_Daily!$D$2:$D$9999*Raw_Data_Daily!$U$2:$U$9999)/SUMIFS(Raw_Data_Daily!$D:$D, Raw_Data_Daily!$B:$B, "Variant", Raw_Data_Daily!$A:$A, $A31, Raw_Data_Daily!$C:$C, $C$3),""))</f>
        <v/>
      </c>
      <c r="BC31" s="129" t="str">
        <f t="shared" si="18"/>
        <v/>
      </c>
      <c r="BD31" s="137" t="str">
        <f>IF($A31="","",IFERROR(SUMPRODUCT((Raw_Data_Daily!$B$2:$B$9999="Control")*(Raw_Data_Daily!$A$2:$A$9999=$A31)*(Raw_Data_Daily!$C$2:$C$9999=$C$3)*Raw_Data_Daily!$D$2:$D$9999*Raw_Data_Daily!$V$2:$V$9999)/SUMIFS(Raw_Data_Daily!$D:$D, Raw_Data_Daily!$B:$B, "Control", Raw_Data_Daily!$A:$A, $A31, Raw_Data_Daily!$C:$C, $C$3),""))</f>
        <v/>
      </c>
      <c r="BE31" s="137" t="str">
        <f>IF($A31="","",IFERROR(SUMPRODUCT((Raw_Data_Daily!$B$2:$B$9999="Variant")*(Raw_Data_Daily!$A$2:$A$9999=$A31)*(Raw_Data_Daily!$C$2:$C$9999=$C$3)*Raw_Data_Daily!$D$2:$D$9999*Raw_Data_Daily!$V$2:$V$9999)/SUMIFS(Raw_Data_Daily!$D:$D, Raw_Data_Daily!$B:$B, "Variant", Raw_Data_Daily!$A:$A, $A31, Raw_Data_Daily!$C:$C, $C$3),""))</f>
        <v/>
      </c>
      <c r="BF31" s="148" t="str">
        <f t="shared" si="19"/>
        <v/>
      </c>
      <c r="BG31" s="149" t="str">
        <f>IF($A31="","",IFERROR(SUMPRODUCT((Raw_Data_Daily!$B$2:$B$9999="Control")*(Raw_Data_Daily!$A$2:$A$9999=$A31)*(Raw_Data_Daily!$C$2:$C$9999=$C$3)*Raw_Data_Daily!$D$2:$D$9999*(Raw_Data_Daily!$Q$2:$Q$9999-Raw_Data_Daily!$V$2:$V$9999))/SUMIFS(Raw_Data_Daily!$D:$D, Raw_Data_Daily!$B:$B, "Control", Raw_Data_Daily!$A:$A, $A31, Raw_Data_Daily!$C:$C, $C$3),""))</f>
        <v/>
      </c>
      <c r="BH31" s="137" t="str">
        <f>IF($A31="","",IFERROR(SUMPRODUCT((Raw_Data_Daily!$B$2:$B$9999="Variant")*(Raw_Data_Daily!$A$2:$A$9999=$A31)*(Raw_Data_Daily!$C$2:$C$9999=$C$3)*Raw_Data_Daily!$D$2:$D$9999*(Raw_Data_Daily!$Q$2:$Q$9999-Raw_Data_Daily!$V$2:$V$9999))/SUMIFS(Raw_Data_Daily!$D:$D, Raw_Data_Daily!$B:$B, "Variant", Raw_Data_Daily!$A:$A, $A31, Raw_Data_Daily!$C:$C, $C$3),""))</f>
        <v/>
      </c>
      <c r="BI31" s="155" t="str">
        <f t="shared" si="20"/>
        <v/>
      </c>
      <c r="BJ31" s="156" t="str">
        <f>IF($A31="","",IFERROR(SUMPRODUCT((Raw_Data_Daily!$B$2:$B$9999="Control")*(Raw_Data_Daily!$A$2:$A$9999=$A31)*(Raw_Data_Daily!$C$2:$C$9999=$C$3)*Raw_Data_Daily!$D$2:$D$9999*Raw_Data_Daily!$W$2:$W$9999)/SUMIFS(Raw_Data_Daily!$D:$D, Raw_Data_Daily!$B:$B, "Control", Raw_Data_Daily!$A:$A, $A31, Raw_Data_Daily!$C:$C, $C$3),""))</f>
        <v/>
      </c>
      <c r="BK31" s="137" t="str">
        <f>IF($A31="","",IFERROR(SUMPRODUCT((Raw_Data_Daily!$B$2:$B$9999="Variant")*(Raw_Data_Daily!$A$2:$A$9999=$A31)*(Raw_Data_Daily!$C$2:$C$9999=$C$3)*Raw_Data_Daily!$D$2:$D$9999*Raw_Data_Daily!$W$2:$W$9999)/SUMIFS(Raw_Data_Daily!$D:$D, Raw_Data_Daily!$B:$B, "Variant", Raw_Data_Daily!$A:$A, $A31, Raw_Data_Daily!$C:$C, $C$3),""))</f>
        <v/>
      </c>
      <c r="BL31" s="129" t="str">
        <f t="shared" si="21"/>
        <v/>
      </c>
      <c r="BM31" s="139" t="str">
        <f>IF($A31="","",IFERROR(SUMPRODUCT((Raw_Data_Daily!$B$2:$B$9999="Control")*(Raw_Data_Daily!$A$2:$A$9999=$A31)*(Raw_Data_Daily!$C$2:$C$9999=$C$3)*Raw_Data_Daily!$D$2:$D$9999*Raw_Data_Daily!$X$2:$X$9999)/SUMIFS(Raw_Data_Daily!$D:$D, Raw_Data_Daily!$B:$B, "Control", Raw_Data_Daily!$A:$A, $A31, Raw_Data_Daily!$C:$C, $C$3),""))</f>
        <v/>
      </c>
      <c r="BN31" s="139" t="str">
        <f>IF($A31="","",IFERROR(SUMPRODUCT((Raw_Data_Daily!$B$2:$B$9999="Variant")*(Raw_Data_Daily!$A$2:$A$9999=$A31)*(Raw_Data_Daily!$C$2:$C$9999=$C$3)*Raw_Data_Daily!$D$2:$D$9999*Raw_Data_Daily!$X$2:$X$9999)/SUMIFS(Raw_Data_Daily!$D:$D, Raw_Data_Daily!$B:$B, "Variant", Raw_Data_Daily!$A:$A, $A31, Raw_Data_Daily!$C:$C, $C$3),""))</f>
        <v/>
      </c>
      <c r="BO31" s="132" t="str">
        <f t="shared" si="22"/>
        <v/>
      </c>
      <c r="BP31" s="128" t="str">
        <f>IF($A31="","",IFERROR(SUMPRODUCT((Raw_Data_Daily!$B$2:$B$9999="Control")*(Raw_Data_Daily!$A$2:$A$9999=$A31)*(Raw_Data_Daily!$C$2:$C$9999=$C$3)*Raw_Data_Daily!$D$2:$D$9999*Raw_Data_Daily!$Y$2:$Y$9999)/SUMIFS(Raw_Data_Daily!$D:$D, Raw_Data_Daily!$B:$B, "Control", Raw_Data_Daily!$A:$A, $A31, Raw_Data_Daily!$C:$C, $C$3),""))</f>
        <v/>
      </c>
      <c r="BQ31" s="128" t="str">
        <f>IF($A31="","",IFERROR(SUMPRODUCT((Raw_Data_Daily!$B$2:$B$9999="Variant")*(Raw_Data_Daily!$A$2:$A$9999=$A31)*(Raw_Data_Daily!$C$2:$C$9999=$C$3)*Raw_Data_Daily!$D$2:$D$9999*Raw_Data_Daily!$Y$2:$Y$9999)/SUMIFS(Raw_Data_Daily!$D:$D, Raw_Data_Daily!$B:$B, "Variant", Raw_Data_Daily!$A:$A, $A31, Raw_Data_Daily!$C:$C, $C$3),""))</f>
        <v/>
      </c>
      <c r="BR31" s="129" t="str">
        <f t="shared" si="23"/>
        <v/>
      </c>
      <c r="BS31" s="128" t="str">
        <f>IF($A31="","",IFERROR(SUMPRODUCT((Raw_Data_Daily!$B$2:$B$9999="Control")*(Raw_Data_Daily!$A$2:$A$9999=$A31)*(Raw_Data_Daily!$C$2:$C$9999=$C$3)*Raw_Data_Daily!$D$2:$D$9999*Raw_Data_Daily!$Z$2:$Z$9999)/SUMIFS(Raw_Data_Daily!$D:$D, Raw_Data_Daily!$B:$B, "Control", Raw_Data_Daily!$A:$A, $A31, Raw_Data_Daily!$C:$C, $C$3),""))</f>
        <v/>
      </c>
      <c r="BT31" s="128" t="str">
        <f>IF($A31="","",IFERROR(SUMPRODUCT((Raw_Data_Daily!$B$2:$B$9999="Variant")*(Raw_Data_Daily!$A$2:$A$9999=$A31)*(Raw_Data_Daily!$C$2:$C$9999=$C$3)*Raw_Data_Daily!$D$2:$D$9999*Raw_Data_Daily!$Z$2:$Z$9999)/SUMIFS(Raw_Data_Daily!$D:$D, Raw_Data_Daily!$B:$B, "Variant", Raw_Data_Daily!$A:$A, $A31, Raw_Data_Daily!$C:$C, $C$3),""))</f>
        <v/>
      </c>
      <c r="BU31" s="129" t="str">
        <f t="shared" si="24"/>
        <v/>
      </c>
      <c r="BV31" s="128" t="str">
        <f>IF($A31="","",IFERROR(SUMPRODUCT((Raw_Data_Daily!$B$2:$B$9999="Control")*(Raw_Data_Daily!$A$2:$A$9999=$A31)*(Raw_Data_Daily!$C$2:$C$9999=$C$3)*Raw_Data_Daily!$D$2:$D$9999*Raw_Data_Daily!$AA$2:$AA$9999)/SUMIFS(Raw_Data_Daily!$D:$D, Raw_Data_Daily!$B:$B, "Control", Raw_Data_Daily!$A:$A, $A31, Raw_Data_Daily!$C:$C, $C$3),""))</f>
        <v/>
      </c>
      <c r="BW31" s="128" t="str">
        <f>IF($A31="","",IFERROR(SUMPRODUCT((Raw_Data_Daily!$B$2:$B$9999="Variant")*(Raw_Data_Daily!$A$2:$A$9999=$A31)*(Raw_Data_Daily!$C$2:$C$9999=$C$3)*Raw_Data_Daily!$D$2:$D$9999*Raw_Data_Daily!$AA$2:$AA$9999)/SUMIFS(Raw_Data_Daily!$D:$D, Raw_Data_Daily!$B:$B, "Variant", Raw_Data_Daily!$A:$A, $A31, Raw_Data_Daily!$C:$C, $C$3),""))</f>
        <v/>
      </c>
      <c r="BX31" s="129" t="str">
        <f t="shared" si="25"/>
        <v/>
      </c>
      <c r="BY31" s="137" t="str">
        <f>IF($A31="","",IFERROR(SUMPRODUCT((Raw_Data_Daily!$B$2:$B$9999="Control")*(Raw_Data_Daily!$A$2:$A$9999=$A31)*(Raw_Data_Daily!$C$2:$C$9999=$C$3)*Raw_Data_Daily!$D$2:$D$9999*Raw_Data_Daily!$AB$2:$AB$9999)/SUMIFS(Raw_Data_Daily!$D:$D, Raw_Data_Daily!$B:$B, "Control", Raw_Data_Daily!$A:$A, $A31, Raw_Data_Daily!$C:$C, $C$3),""))</f>
        <v/>
      </c>
      <c r="BZ31" s="137" t="str">
        <f>IF($A31="","",IFERROR(SUMPRODUCT((Raw_Data_Daily!$B$2:$B$9999="Variant")*(Raw_Data_Daily!$A$2:$A$9999=$A31)*(Raw_Data_Daily!$C$2:$C$9999=$C$3)*Raw_Data_Daily!$D$2:$D$9999*Raw_Data_Daily!$AB$2:$AB$9999)/SUMIFS(Raw_Data_Daily!$D:$D, Raw_Data_Daily!$B:$B, "Variant", Raw_Data_Daily!$A:$A, $A31, Raw_Data_Daily!$C:$C, $C$3),""))</f>
        <v/>
      </c>
      <c r="CA31" s="132" t="str">
        <f t="shared" si="26"/>
        <v/>
      </c>
      <c r="CB31" s="137" t="str">
        <f>IF($A31="","",IFERROR(SUMPRODUCT((Raw_Data_Daily!$B$2:$B$9999="Control")*(Raw_Data_Daily!$A$2:$A$9999=$A31)*(Raw_Data_Daily!$C$2:$C$9999=$C$3)*Raw_Data_Daily!$D$2:$D$9999*Raw_Data_Daily!$AC$2:$AC$9999)/SUMIFS(Raw_Data_Daily!$D:$D, Raw_Data_Daily!$B:$B, "Control", Raw_Data_Daily!$A:$A, $A31, Raw_Data_Daily!$C:$C, $C$3),""))</f>
        <v/>
      </c>
      <c r="CC31" s="137" t="str">
        <f>IF($A31="","",IFERROR(SUMPRODUCT((Raw_Data_Daily!$B$2:$B$9999="Variant")*(Raw_Data_Daily!$A$2:$A$9999=$A31)*(Raw_Data_Daily!$C$2:$C$9999=$C$3)*Raw_Data_Daily!$D$2:$D$9999*Raw_Data_Daily!$AC$2:$AC$9999)/SUMIFS(Raw_Data_Daily!$D:$D, Raw_Data_Daily!$B:$B, "Variant", Raw_Data_Daily!$A:$A, $A31, Raw_Data_Daily!$C:$C, $C$3),""))</f>
        <v/>
      </c>
      <c r="CD31" s="132" t="str">
        <f t="shared" si="27"/>
        <v/>
      </c>
      <c r="CE31" s="137" t="str">
        <f>IF($A31="","",IFERROR(SUMPRODUCT((Raw_Data_Daily!$B$2:$B$9999="Control")*(Raw_Data_Daily!$A$2:$A$9999=$A31)*(Raw_Data_Daily!$C$2:$C$9999=$C$3)*Raw_Data_Daily!$D$2:$D$9999*Raw_Data_Daily!$AD$2:$AD$9999)/SUMIFS(Raw_Data_Daily!$D:$D, Raw_Data_Daily!$B:$B, "Control", Raw_Data_Daily!$A:$A, $A31, Raw_Data_Daily!$C:$C, $C$3),""))</f>
        <v/>
      </c>
      <c r="CF31" s="137" t="str">
        <f>IF($A31="","",IFERROR(SUMPRODUCT((Raw_Data_Daily!$B$2:$B$9999="Variant")*(Raw_Data_Daily!$A$2:$A$9999=$A31)*(Raw_Data_Daily!$C$2:$C$9999=$C$3)*Raw_Data_Daily!$D$2:$D$9999*Raw_Data_Daily!$AD$2:$AD$9999)/SUMIFS(Raw_Data_Daily!$D:$D, Raw_Data_Daily!$B:$B, "Variant", Raw_Data_Daily!$A:$A, $A31, Raw_Data_Daily!$C:$C, $C$3),""))</f>
        <v/>
      </c>
      <c r="CG31" s="132" t="str">
        <f t="shared" si="28"/>
        <v/>
      </c>
      <c r="CH31" s="137" t="str">
        <f>IF($A31="","",IFERROR(SUMPRODUCT((Raw_Data_Daily!$B$2:$B$9999="Control")*(Raw_Data_Daily!$A$2:$A$9999=$A31)*(Raw_Data_Daily!$C$2:$C$9999=$C$3)*Raw_Data_Daily!$D$2:$D$9999*Raw_Data_Daily!$AE$2:$AE$9999)/SUMIFS(Raw_Data_Daily!$D:$D, Raw_Data_Daily!$B:$B, "Control", Raw_Data_Daily!$A:$A, $A31, Raw_Data_Daily!$C:$C, $C$3),""))</f>
        <v/>
      </c>
      <c r="CI31" s="137" t="str">
        <f>IF($A31="","",IFERROR(SUMPRODUCT((Raw_Data_Daily!$B$2:$B$9999="Variant")*(Raw_Data_Daily!$A$2:$A$9999=$A31)*(Raw_Data_Daily!$C$2:$C$9999=$C$3)*Raw_Data_Daily!$D$2:$D$9999*Raw_Data_Daily!$AE$2:$AE$9999)/SUMIFS(Raw_Data_Daily!$D:$D, Raw_Data_Daily!$B:$B, "Variant", Raw_Data_Daily!$A:$A, $A31, Raw_Data_Daily!$C:$C, $C$3),""))</f>
        <v/>
      </c>
      <c r="CJ31" s="132" t="str">
        <f t="shared" si="29"/>
        <v/>
      </c>
      <c r="CK31" s="137" t="str">
        <f>IF($A31="","",IFERROR(SUMPRODUCT((Raw_Data_Daily!$B$2:$B$9999="Control")*(Raw_Data_Daily!$A$2:$A$9999=$A31)*(Raw_Data_Daily!$C$2:$C$9999=$C$3)*Raw_Data_Daily!$D$2:$D$9999*Raw_Data_Daily!$AF$2:$AF$9999)/SUMIFS(Raw_Data_Daily!$D:$D, Raw_Data_Daily!$B:$B, "Control", Raw_Data_Daily!$A:$A, $A31, Raw_Data_Daily!$C:$C, $C$3),""))</f>
        <v/>
      </c>
      <c r="CL31" s="137" t="str">
        <f>IF($A31="","",IFERROR(SUMPRODUCT((Raw_Data_Daily!$B$2:$B$9999="Variant")*(Raw_Data_Daily!$A$2:$A$9999=$A31)*(Raw_Data_Daily!$C$2:$C$9999=$C$3)*Raw_Data_Daily!$D$2:$D$9999*Raw_Data_Daily!$AF$2:$AF$9999)/SUMIFS(Raw_Data_Daily!$D:$D, Raw_Data_Daily!$B:$B, "Variant", Raw_Data_Daily!$A:$A, $A31, Raw_Data_Daily!$C:$C, $C$3),""))</f>
        <v/>
      </c>
      <c r="CM31" s="132" t="str">
        <f t="shared" si="30"/>
        <v/>
      </c>
      <c r="CN31" s="137" t="str">
        <f>IF($A31="","",IFERROR(SUMPRODUCT((Raw_Data_Daily!$B$2:$B$9999="Control")*(Raw_Data_Daily!$A$2:$A$9999=$A31)*(Raw_Data_Daily!$C$2:$C$9999=$C$3)*Raw_Data_Daily!$D$2:$D$9999*Raw_Data_Daily!$AG$2:$AG$9999)/SUMIFS(Raw_Data_Daily!$D:$D, Raw_Data_Daily!$B:$B, "Control", Raw_Data_Daily!$A:$A, $A31, Raw_Data_Daily!$C:$C, $C$3),""))</f>
        <v/>
      </c>
      <c r="CO31" s="137" t="str">
        <f>IF($A31="","",IFERROR(SUMPRODUCT((Raw_Data_Daily!$B$2:$B$9999="Variant")*(Raw_Data_Daily!$A$2:$A$9999=$A31)*(Raw_Data_Daily!$C$2:$C$9999=$C$3)*Raw_Data_Daily!$D$2:$D$9999*Raw_Data_Daily!$AG$2:$AG$9999)/SUMIFS(Raw_Data_Daily!$D:$D, Raw_Data_Daily!$B:$B, "Variant", Raw_Data_Daily!$A:$A, $A31, Raw_Data_Daily!$C:$C, $C$3),""))</f>
        <v/>
      </c>
      <c r="CP31" s="132" t="str">
        <f t="shared" si="31"/>
        <v/>
      </c>
      <c r="CQ31" s="137" t="str">
        <f>IF($A31="","",IFERROR(SUMPRODUCT((Raw_Data_Daily!$B$2:$B$9999="Control")*(Raw_Data_Daily!$A$2:$A$9999=$A31)*(Raw_Data_Daily!$C$2:$C$9999=$C$3)*Raw_Data_Daily!$D$2:$D$9999*Raw_Data_Daily!$AH$2:$AH$9999)/SUMIFS(Raw_Data_Daily!$D:$D, Raw_Data_Daily!$B:$B, "Control", Raw_Data_Daily!$A:$A, $A31, Raw_Data_Daily!$C:$C, $C$3),""))</f>
        <v/>
      </c>
      <c r="CR31" s="137" t="str">
        <f>IF($A31="","",IFERROR(SUMPRODUCT((Raw_Data_Daily!$B$2:$B$9999="Variant")*(Raw_Data_Daily!$A$2:$A$9999=$A31)*(Raw_Data_Daily!$C$2:$C$9999=$C$3)*Raw_Data_Daily!$D$2:$D$9999*Raw_Data_Daily!$AH$2:$AH$9999)/SUMIFS(Raw_Data_Daily!$D:$D, Raw_Data_Daily!$B:$B, "Variant", Raw_Data_Daily!$A:$A, $A31, Raw_Data_Daily!$C:$C, $C$3),""))</f>
        <v/>
      </c>
      <c r="CS31" s="132" t="str">
        <f t="shared" si="32"/>
        <v/>
      </c>
      <c r="CT31" s="130" t="str">
        <f>IF($A31="","",IFERROR(SUMPRODUCT((Raw_Data_Daily!$B$2:$B$9999="Control")*(Raw_Data_Daily!$A$2:$A$9999=$A31)*(Raw_Data_Daily!$C$2:$C$9999=$C$3)*Raw_Data_Daily!$D$2:$D$9999*Raw_Data_Daily!$AI$2:$AI$9999)/SUMIFS(Raw_Data_Daily!$D:$D, Raw_Data_Daily!$B:$B, "Control", Raw_Data_Daily!$A:$A, $A31, Raw_Data_Daily!$C:$C, $C$3),""))</f>
        <v/>
      </c>
      <c r="CU31" s="130" t="str">
        <f>IF($A31="","",IFERROR(SUMPRODUCT((Raw_Data_Daily!$B$2:$B$9999="Variant")*(Raw_Data_Daily!$A$2:$A$9999=$A31)*(Raw_Data_Daily!$C$2:$C$9999=$C$3)*Raw_Data_Daily!$D$2:$D$9999*Raw_Data_Daily!$AI$2:$AI$9999)/SUMIFS(Raw_Data_Daily!$D:$D, Raw_Data_Daily!$B:$B, "Variant", Raw_Data_Daily!$A:$A, $A31, Raw_Data_Daily!$C:$C, $C$3),""))</f>
        <v/>
      </c>
      <c r="CV31" s="140" t="str">
        <f t="shared" si="33"/>
        <v/>
      </c>
      <c r="CW31" s="130" t="str">
        <f>IF($A31="","",IFERROR(SUMPRODUCT((Raw_Data_Daily!$B$2:$B$9999="Control")*(Raw_Data_Daily!$A$2:$A$9999=$A31)*(Raw_Data_Daily!$C$2:$C$9999=$C$3)*Raw_Data_Daily!$D$2:$D$9999*Raw_Data_Daily!$AJ$2:$AJ$9999)/SUMIFS(Raw_Data_Daily!$D:$D, Raw_Data_Daily!$B:$B, "Control", Raw_Data_Daily!$A:$A, $A31, Raw_Data_Daily!$C:$C, $C$3),""))</f>
        <v/>
      </c>
      <c r="CX31" s="130" t="str">
        <f>IF($A31="","",IFERROR(SUMPRODUCT((Raw_Data_Daily!$B$2:$B$9999="Variant")*(Raw_Data_Daily!$A$2:$A$9999=$A31)*(Raw_Data_Daily!$C$2:$C$9999=$C$3)*Raw_Data_Daily!$D$2:$D$9999*Raw_Data_Daily!$AJ$2:$AJ$9999)/SUMIFS(Raw_Data_Daily!$D:$D, Raw_Data_Daily!$B:$B, "Variant", Raw_Data_Daily!$A:$A, $A31, Raw_Data_Daily!$C:$C, $C$3),""))</f>
        <v/>
      </c>
      <c r="CY31" s="140" t="str">
        <f t="shared" si="34"/>
        <v/>
      </c>
      <c r="CZ31" s="130" t="str">
        <f>IF($A31="","",IFERROR(SUMPRODUCT((Raw_Data_Daily!$B$2:$B$9999="Control")*(Raw_Data_Daily!$A$2:$A$9999=$A31)*(Raw_Data_Daily!$C$2:$C$9999=$C$3)*Raw_Data_Daily!$D$2:$D$9999*Raw_Data_Daily!$AK$2:$AK$9999)/SUMIFS(Raw_Data_Daily!$D:$D, Raw_Data_Daily!$B:$B, "Control", Raw_Data_Daily!$A:$A, $A31, Raw_Data_Daily!$C:$C, $C$3),""))</f>
        <v/>
      </c>
      <c r="DA31" s="130" t="str">
        <f>IF($A31="","",IFERROR(SUMPRODUCT((Raw_Data_Daily!$B$2:$B$9999="Variant")*(Raw_Data_Daily!$A$2:$A$9999=$A31)*(Raw_Data_Daily!$C$2:$C$9999=$C$3)*Raw_Data_Daily!$D$2:$D$9999*Raw_Data_Daily!$AK$2:$AK$9999)/SUMIFS(Raw_Data_Daily!$D:$D, Raw_Data_Daily!$B:$B, "Variant", Raw_Data_Daily!$A:$A, $A31, Raw_Data_Daily!$C:$C, $C$3),""))</f>
        <v/>
      </c>
      <c r="DB31" s="132" t="str">
        <f t="shared" si="35"/>
        <v/>
      </c>
      <c r="DC31" s="139" t="str">
        <f>IF($A31="","",IFERROR(SUMPRODUCT((Raw_Data_Daily!$B$2:$B$9999="Control")*(Raw_Data_Daily!$A$2:$A$9999=$A31)*(Raw_Data_Daily!$C$2:$C$9999=$C$3)*Raw_Data_Daily!$D$2:$D$9999*Raw_Data_Daily!$AL$2:$AL$9999)/SUMIFS(Raw_Data_Daily!$D:$D, Raw_Data_Daily!$B:$B, "Control", Raw_Data_Daily!$A:$A, $A31, Raw_Data_Daily!$C:$C, $C$3),""))</f>
        <v/>
      </c>
      <c r="DD31" s="139" t="str">
        <f>IF($A31="","",IFERROR(SUMPRODUCT((Raw_Data_Daily!$B$2:$B$9999="Variant")*(Raw_Data_Daily!$A$2:$A$9999=$A31)*(Raw_Data_Daily!$C$2:$C$9999=$C$3)*Raw_Data_Daily!$D$2:$D$9999*Raw_Data_Daily!$AL$2:$AL$9999)/SUMIFS(Raw_Data_Daily!$D:$D, Raw_Data_Daily!$B:$B, "Variant", Raw_Data_Daily!$A:$A, $A31, Raw_Data_Daily!$C:$C, $C$3),""))</f>
        <v/>
      </c>
      <c r="DE31" s="140" t="str">
        <f t="shared" si="36"/>
        <v/>
      </c>
      <c r="DF31" s="165"/>
      <c r="DG31" s="130" t="str">
        <f>IF($A31="","",IFERROR(SUMPRODUCT((Raw_Data_Daily!$B$2:$B$9999="Variant")*(Raw_Data_Daily!$A$2:$A$9999=$A31)*(Raw_Data_Daily!$C$2:$C$9999=$C$3)*Raw_Data_Daily!$D$2:$D$9999*Raw_Data_Daily!$AM$2:$AM$9999)/SUMIFS(Raw_Data_Daily!$D:$D, Raw_Data_Daily!$B:$B, "Variant", Raw_Data_Daily!$A:$A, $A31, Raw_Data_Daily!$C:$C, $C$3),""))</f>
        <v/>
      </c>
      <c r="DH31" s="166"/>
      <c r="DI31" s="165"/>
      <c r="DJ31" s="130" t="str">
        <f>IF($A31="","",IFERROR(SUMPRODUCT((Raw_Data_Daily!$B$2:$B$9999="Variant")*(Raw_Data_Daily!$A$2:$A$9999=$A31)*(Raw_Data_Daily!$C$2:$C$9999=$C$3)*Raw_Data_Daily!$D$2:$D$9999*Raw_Data_Daily!$AN$2:$AN$9999)/SUMIFS(Raw_Data_Daily!$D:$D, Raw_Data_Daily!$B:$B, "Variant", Raw_Data_Daily!$A:$A, $A31, Raw_Data_Daily!$C:$C, $C$3),""))</f>
        <v/>
      </c>
      <c r="DK31" s="166"/>
      <c r="DL31" s="165"/>
      <c r="DM31" s="130" t="str">
        <f>IF($A31="","",IFERROR(SUMPRODUCT((Raw_Data_Daily!$B$2:$B$9999="Variant")*(Raw_Data_Daily!$A$2:$A$9999=$A31)*(Raw_Data_Daily!$C$2:$C$9999=$C$3)*Raw_Data_Daily!$D$2:$D$9999*Raw_Data_Daily!$AO$2:$AO$9999)/SUMIFS(Raw_Data_Daily!$D:$D, Raw_Data_Daily!$B:$B, "Variant", Raw_Data_Daily!$A:$A, $A31, Raw_Data_Daily!$C:$C, $C$3),""))</f>
        <v/>
      </c>
      <c r="DN31" s="166"/>
      <c r="DO31" s="165"/>
      <c r="DP31" s="130" t="str">
        <f>IF($A31="","",IFERROR(SUMPRODUCT((Raw_Data_Daily!$B$2:$B$9999="Variant")*(Raw_Data_Daily!$A$2:$A$9999=$A31)*(Raw_Data_Daily!$C$2:$C$9999=$C$3)*Raw_Data_Daily!$D$2:$D$9999*Raw_Data_Daily!$AP$2:$AP$9999)/SUMIFS(Raw_Data_Daily!$D:$D, Raw_Data_Daily!$B:$B, "Variant", Raw_Data_Daily!$A:$A, $A31, Raw_Data_Daily!$C:$C, $C$3),""))</f>
        <v/>
      </c>
      <c r="DQ31" s="166"/>
      <c r="DR31" s="139" t="str">
        <f>IF($A31="","",IFERROR(SUMPRODUCT((Raw_Data_Daily!$B$2:$B$9999="Control")*(Raw_Data_Daily!$A$2:$A$9999=$A31)*(Raw_Data_Daily!$C$2:$C$9999=$C$3)*Raw_Data_Daily!$D$2:$D$9999*Raw_Data_Daily!$AQ$2:$AQ$9999)/SUMIFS(Raw_Data_Daily!$D:$D, Raw_Data_Daily!$B:$B, "Control", Raw_Data_Daily!$A:$A, $A31, Raw_Data_Daily!$C:$C, $C$3),""))</f>
        <v/>
      </c>
      <c r="DS31" s="139" t="str">
        <f>IF($A31="","",IFERROR(SUMPRODUCT((Raw_Data_Daily!$B$2:$B$9999="Variant")*(Raw_Data_Daily!$A$2:$A$9999=$A31)*(Raw_Data_Daily!$C$2:$C$9999=$C$3)*Raw_Data_Daily!$D$2:$D$9999*Raw_Data_Daily!$AQ$2:$AQ$9999)/SUMIFS(Raw_Data_Daily!$D:$D, Raw_Data_Daily!$B:$B, "Variant", Raw_Data_Daily!$A:$A, $A31, Raw_Data_Daily!$C:$C, $C$3),""))</f>
        <v/>
      </c>
      <c r="DT31" s="167" t="str">
        <f t="shared" si="37"/>
        <v/>
      </c>
      <c r="DU31" s="139" t="str">
        <f>IF($A31="","",IFERROR(SUMPRODUCT((Raw_Data_Daily!$B$2:$B$9999="Control")*(Raw_Data_Daily!$A$2:$A$9999=$A31)*(Raw_Data_Daily!$C$2:$C$9999=$C$3)*Raw_Data_Daily!$D$2:$D$9999*Raw_Data_Daily!$AR$2:$AR$9999)/SUMIFS(Raw_Data_Daily!$D:$D, Raw_Data_Daily!$B:$B, "Control", Raw_Data_Daily!$A:$A, $A31, Raw_Data_Daily!$C:$C, $C$3),""))</f>
        <v/>
      </c>
      <c r="DV31" s="139" t="str">
        <f>IF($A31="","",IFERROR(SUMPRODUCT((Raw_Data_Daily!$B$2:$B$9999="Variant")*(Raw_Data_Daily!$A$2:$A$9999=$A31)*(Raw_Data_Daily!$C$2:$C$9999=$C$3)*Raw_Data_Daily!$D$2:$D$9999*Raw_Data_Daily!$AR$2:$AR$9999)/SUMIFS(Raw_Data_Daily!$D:$D, Raw_Data_Daily!$B:$B, "Variant", Raw_Data_Daily!$A:$A, $A31, Raw_Data_Daily!$C:$C, $C$3),""))</f>
        <v/>
      </c>
      <c r="DW31" s="167" t="str">
        <f t="shared" si="38"/>
        <v/>
      </c>
      <c r="DX31" s="139" t="str">
        <f>IF($A31="","",IFERROR(SUMPRODUCT((Raw_Data_Daily!$B$2:$B$9999="Control")*(Raw_Data_Daily!$A$2:$A$9999=$A31)*(Raw_Data_Daily!$C$2:$C$9999=$C$3)*Raw_Data_Daily!$D$2:$D$9999*Raw_Data_Daily!$AS$2:$AS$9999)/SUMIFS(Raw_Data_Daily!$D:$D, Raw_Data_Daily!$B:$B, "Control", Raw_Data_Daily!$A:$A, $A31, Raw_Data_Daily!$C:$C, $C$3),""))</f>
        <v/>
      </c>
      <c r="DY31" s="139" t="str">
        <f>IF($A31="","",IFERROR(SUMPRODUCT((Raw_Data_Daily!$B$2:$B$9999="Variant")*(Raw_Data_Daily!$A$2:$A$9999=$A31)*(Raw_Data_Daily!$C$2:$C$9999=$C$3)*Raw_Data_Daily!$D$2:$D$9999*Raw_Data_Daily!$AS$2:$AS$9999)/SUMIFS(Raw_Data_Daily!$D:$D, Raw_Data_Daily!$B:$B, "Variant", Raw_Data_Daily!$A:$A, $A31, Raw_Data_Daily!$C:$C, $C$3),""))</f>
        <v/>
      </c>
      <c r="DZ31" s="168" t="str">
        <f t="shared" si="39"/>
        <v/>
      </c>
      <c r="EA31" s="139" t="str">
        <f>IF($A31="","",IFERROR(SUMPRODUCT((Raw_Data_Daily!$B$2:$B$9999="Control")*(Raw_Data_Daily!$A$2:$A$9999=$A31)*(Raw_Data_Daily!$C$2:$C$9999=$C$3)*Raw_Data_Daily!$D$2:$D$9999*Raw_Data_Daily!$AT$2:$AT$9999)/SUMIFS(Raw_Data_Daily!$D:$D, Raw_Data_Daily!$B:$B, "Control", Raw_Data_Daily!$A:$A, $A31, Raw_Data_Daily!$C:$C, $C$3),""))</f>
        <v/>
      </c>
      <c r="EB31" s="139" t="str">
        <f>IF($A31="","",IFERROR(SUMPRODUCT((Raw_Data_Daily!$B$2:$B$9999="Variant")*(Raw_Data_Daily!$A$2:$A$9999=$A31)*(Raw_Data_Daily!$C$2:$C$9999=$C$3)*Raw_Data_Daily!$D$2:$D$9999*Raw_Data_Daily!$AT$2:$AT$9999)/SUMIFS(Raw_Data_Daily!$D:$D, Raw_Data_Daily!$B:$B, "Variant", Raw_Data_Daily!$A:$A, $A31, Raw_Data_Daily!$C:$C, $C$3),""))</f>
        <v/>
      </c>
      <c r="EC31" s="167" t="str">
        <f t="shared" si="40"/>
        <v/>
      </c>
      <c r="ED31" s="139" t="str">
        <f>IF($A31="","",IFERROR(SUMPRODUCT((Raw_Data_Daily!$B$2:$B$9999="Control")*(Raw_Data_Daily!$A$2:$A$9999=$A31)*(Raw_Data_Daily!$C$2:$C$9999=$C$3)*Raw_Data_Daily!$D$2:$D$9999*(Raw_Data_Daily!$AQ$2:$AQ$9999-Raw_Data_Daily!$AT$2:$AT$9999))/SUMIFS(Raw_Data_Daily!$D:$D, Raw_Data_Daily!$B:$B, "Control", Raw_Data_Daily!$A:$A, $A31, Raw_Data_Daily!$C:$C, $C$3),""))</f>
        <v/>
      </c>
      <c r="EE31" s="139" t="str">
        <f>IF($A31="","",IFERROR(SUMPRODUCT((Raw_Data_Daily!$B$2:$B$9999="Variant")*(Raw_Data_Daily!$A$2:$A$9999=$A31)*(Raw_Data_Daily!$C$2:$C$9999=$C$3)*Raw_Data_Daily!$D$2:$D$9999*(Raw_Data_Daily!$AQ$2:$AQ$9999-Raw_Data_Daily!$AT$2:$AT$9999))/SUMIFS(Raw_Data_Daily!$D:$D, Raw_Data_Daily!$B:$B, "Variant", Raw_Data_Daily!$A:$A, $A31, Raw_Data_Daily!$C:$C, $C$3),""))</f>
        <v/>
      </c>
      <c r="EF31" s="168" t="str">
        <f t="shared" si="41"/>
        <v/>
      </c>
      <c r="EG31" s="139" t="str">
        <f>IF($A31="","",IFERROR(SUMPRODUCT((Raw_Data_Daily!$B$2:$B$9999="Control")*(Raw_Data_Daily!$A$2:$A$9999=$A31)*(Raw_Data_Daily!$C$2:$C$9999=$C$3)*Raw_Data_Daily!$D$2:$D$9999*Raw_Data_Daily!$AU$2:$AU$9999)/SUMIFS(Raw_Data_Daily!$D:$D, Raw_Data_Daily!$B:$B, "Control", Raw_Data_Daily!$A:$A, $A31, Raw_Data_Daily!$C:$C, $C$3),""))</f>
        <v/>
      </c>
      <c r="EH31" s="139" t="str">
        <f>IF($A31="","",IFERROR(SUMPRODUCT((Raw_Data_Daily!$B$2:$B$9999="Variant")*(Raw_Data_Daily!$A$2:$A$9999=$A31)*(Raw_Data_Daily!$C$2:$C$9999=$C$3)*Raw_Data_Daily!$D$2:$D$9999*Raw_Data_Daily!$AU$2:$AU$9999)/SUMIFS(Raw_Data_Daily!$D:$D, Raw_Data_Daily!$B:$B, "Variant", Raw_Data_Daily!$A:$A, $A31, Raw_Data_Daily!$C:$C, $C$3),""))</f>
        <v/>
      </c>
      <c r="EI31" s="167" t="str">
        <f t="shared" si="42"/>
        <v/>
      </c>
    </row>
    <row r="32" ht="15.75" customHeight="1">
      <c r="A32" s="239">
        <v>46255.0</v>
      </c>
      <c r="B32" s="240">
        <f>IF($A32="","",SUMIFS(Raw_Data_Daily!$D:$D, Raw_Data_Daily!$B:$B, "Control", Raw_Data_Daily!$A:$A, $A32, Raw_Data_Daily!$C:$C, $C$3))</f>
        <v>633</v>
      </c>
      <c r="C32" s="240">
        <f>IF($A32="","",SUMIFS(Raw_Data_Daily!$D:$D, Raw_Data_Daily!$B:$B, "Variant", Raw_Data_Daily!$A:$A, $A32, Raw_Data_Daily!$C:$C, $C$3))</f>
        <v>537</v>
      </c>
      <c r="D32" s="241">
        <f t="shared" si="1"/>
        <v>-0.1516587678</v>
      </c>
      <c r="E32" s="242">
        <f>IF($A32="","",IFERROR(SUMPRODUCT((Raw_Data_Daily!$B$2:$B$9999="Control")*(Raw_Data_Daily!$A$2:$A$9999=$A32)*(Raw_Data_Daily!$C$2:$C$9999=$C$3)*Raw_Data_Daily!$D$2:$D$9999*Raw_Data_Daily!$E$2:$E$9999)/SUMIFS(Raw_Data_Daily!$D:$D, Raw_Data_Daily!$B:$B, "Control", Raw_Data_Daily!$A:$A, $A32, Raw_Data_Daily!$C:$C, $C$3),""))</f>
        <v>2.2</v>
      </c>
      <c r="F32" s="242">
        <f>IF($A32="","",IFERROR(SUMPRODUCT((Raw_Data_Daily!$B$2:$B$9999="Variant")*(Raw_Data_Daily!$A$2:$A$9999=$A32)*(Raw_Data_Daily!$C$2:$C$9999=$C$3)*Raw_Data_Daily!$D$2:$D$9999*Raw_Data_Daily!$E$2:$E$9999)/SUMIFS(Raw_Data_Daily!$D:$D, Raw_Data_Daily!$B:$B, "Variant", Raw_Data_Daily!$A:$A, $A32, Raw_Data_Daily!$C:$C, $C$3),""))</f>
        <v>1.88</v>
      </c>
      <c r="G32" s="241">
        <f t="shared" si="2"/>
        <v>-0.1454545455</v>
      </c>
      <c r="H32" s="243">
        <f>IF($A32="","",SUMIFS(Raw_Data_Daily!$F:$F, Raw_Data_Daily!$B:$B, "Control", Raw_Data_Daily!$A:$A, $A32, Raw_Data_Daily!$C:$C, $C$3))</f>
        <v>785.58</v>
      </c>
      <c r="I32" s="243">
        <f>IF($A32="","",SUMIFS(Raw_Data_Daily!$F:$F, Raw_Data_Daily!$B:$B, "Variant", Raw_Data_Daily!$A:$A, $A32, Raw_Data_Daily!$C:$C, $C$3))</f>
        <v>422.25</v>
      </c>
      <c r="J32" s="244">
        <f t="shared" si="3"/>
        <v>-0.4624990453</v>
      </c>
      <c r="K32" s="245">
        <f>IF($A32="","",IFERROR(SUMIFS(Raw_Data_Daily!$F:$F, Raw_Data_Daily!$B:$B, "Control", Raw_Data_Daily!$A:$A, $A32, Raw_Data_Daily!$C:$C, $C$3)/SUMIFS(Raw_Data_Daily!$D:$D, Raw_Data_Daily!$B:$B, "Control", Raw_Data_Daily!$A:$A, $A32, Raw_Data_Daily!$C:$C, $C$3),""))</f>
        <v>1.241042654</v>
      </c>
      <c r="L32" s="245">
        <f>IF($A32="","",IFERROR(SUMIFS(Raw_Data_Daily!$F:$F, Raw_Data_Daily!$B:$B, "Variant", Raw_Data_Daily!$A:$A, $A32, Raw_Data_Daily!$C:$C, $C$3)/SUMIFS(Raw_Data_Daily!$D:$D, Raw_Data_Daily!$B:$B, "Variant", Raw_Data_Daily!$A:$A, $A32, Raw_Data_Daily!$C:$C, $C$3),""))</f>
        <v>0.7863128492</v>
      </c>
      <c r="M32" s="244">
        <f t="shared" si="4"/>
        <v>-0.3664094891</v>
      </c>
      <c r="N32" s="242">
        <f>IF($A32="","",IFERROR(SUMPRODUCT((Raw_Data_Daily!$B$2:$B$9999="Control")*(Raw_Data_Daily!$A$2:$A$9999=$A32)*(Raw_Data_Daily!$C$2:$C$9999=$C$3)*Raw_Data_Daily!$D$2:$D$9999*Raw_Data_Daily!$H$2:$H$9999/100)/SUMIFS(Raw_Data_Daily!$D:$D, Raw_Data_Daily!$B:$B, "Control", Raw_Data_Daily!$A:$A, $A32, Raw_Data_Daily!$C:$C, $C$3)*100,""))</f>
        <v>10.11</v>
      </c>
      <c r="O32" s="242">
        <f>IF($A32="","",IFERROR(SUMPRODUCT((Raw_Data_Daily!$B$2:$B$9999="Variant")*(Raw_Data_Daily!$A$2:$A$9999=$A32)*(Raw_Data_Daily!$C$2:$C$9999=$C$3)*Raw_Data_Daily!$D$2:$D$9999*Raw_Data_Daily!$H$2:$H$9999/100)/SUMIFS(Raw_Data_Daily!$D:$D, Raw_Data_Daily!$B:$B, "Variant", Raw_Data_Daily!$A:$A, $A32, Raw_Data_Daily!$C:$C, $C$3)*100,""))</f>
        <v>7.64</v>
      </c>
      <c r="P32" s="244">
        <f t="shared" si="5"/>
        <v>-0.2443125618</v>
      </c>
      <c r="Q32" s="245">
        <f>IF($A32="","",IFERROR(SUMIFS(Raw_Data_Daily!$F:$F, Raw_Data_Daily!$B:$B, "Control", Raw_Data_Daily!$A:$A, $A32, Raw_Data_Daily!$C:$C, $C$3)/SUMPRODUCT((Raw_Data_Daily!$B$2:$B$9999="Control")*(Raw_Data_Daily!$A$2:$A$9999=$A32)*(Raw_Data_Daily!$C$2:$C$9999=$C$3)*Raw_Data_Daily!$D$2:$D$9999*Raw_Data_Daily!$H$2:$H$9999/100),""))</f>
        <v>12.27539717</v>
      </c>
      <c r="R32" s="245">
        <f>IF($A32="","",IFERROR(SUMIFS(Raw_Data_Daily!$F:$F, Raw_Data_Daily!$B:$B, "Variant", Raw_Data_Daily!$A:$A, $A32, Raw_Data_Daily!$C:$C, $C$3)/SUMPRODUCT((Raw_Data_Daily!$B$2:$B$9999="Variant")*(Raw_Data_Daily!$A$2:$A$9999=$A32)*(Raw_Data_Daily!$C$2:$C$9999=$C$3)*Raw_Data_Daily!$D$2:$D$9999*Raw_Data_Daily!$H$2:$H$9999/100),""))</f>
        <v>10.292053</v>
      </c>
      <c r="S32" s="244">
        <f t="shared" si="6"/>
        <v>-0.1615706722</v>
      </c>
      <c r="T32" s="246">
        <f>IF($A32="","",IFERROR(SUMPRODUCT((Raw_Data_Daily!$B$2:$B$9999="Control")*(Raw_Data_Daily!$A$2:$A$9999=$A32)*(Raw_Data_Daily!$C$2:$C$9999=$C$3)*Raw_Data_Daily!$D$2:$D$9999*Raw_Data_Daily!$J$2:$J$9999)/SUMIFS(Raw_Data_Daily!$D:$D, Raw_Data_Daily!$B:$B, "Control", Raw_Data_Daily!$A:$A, $A32, Raw_Data_Daily!$C:$C, $C$3),""))</f>
        <v>203</v>
      </c>
      <c r="U32" s="246">
        <f>IF($A32="","",IFERROR(SUMPRODUCT((Raw_Data_Daily!$B$2:$B$9999="Variant")*(Raw_Data_Daily!$A$2:$A$9999=$A32)*(Raw_Data_Daily!$C$2:$C$9999=$C$3)*Raw_Data_Daily!$D$2:$D$9999*Raw_Data_Daily!$J$2:$J$9999)/SUMIFS(Raw_Data_Daily!$D:$D, Raw_Data_Daily!$B:$B, "Variant", Raw_Data_Daily!$A:$A, $A32, Raw_Data_Daily!$C:$C, $C$3),""))</f>
        <v>222.85</v>
      </c>
      <c r="V32" s="244">
        <f t="shared" si="7"/>
        <v>0.09778325123</v>
      </c>
      <c r="W32" s="246">
        <f>IF($A32="","",IFERROR(SUMPRODUCT((Raw_Data_Daily!$B$2:$B$9999="Control")*(Raw_Data_Daily!$A$2:$A$9999=$A32)*(Raw_Data_Daily!$C$2:$C$9999=$C$3)*Raw_Data_Daily!$D$2:$D$9999*Raw_Data_Daily!$K$2:$K$9999)/SUMIFS(Raw_Data_Daily!$D:$D, Raw_Data_Daily!$B:$B, "Control", Raw_Data_Daily!$A:$A, $A32, Raw_Data_Daily!$C:$C, $C$3),""))</f>
        <v>126.47</v>
      </c>
      <c r="X32" s="246">
        <f>IF($A32="","",IFERROR(SUMPRODUCT((Raw_Data_Daily!$B$2:$B$9999="Variant")*(Raw_Data_Daily!$A$2:$A$9999=$A32)*(Raw_Data_Daily!$C$2:$C$9999=$C$3)*Raw_Data_Daily!$D$2:$D$9999*Raw_Data_Daily!$K$2:$K$9999)/SUMIFS(Raw_Data_Daily!$D:$D, Raw_Data_Daily!$B:$B, "Variant", Raw_Data_Daily!$A:$A, $A32, Raw_Data_Daily!$C:$C, $C$3),""))</f>
        <v>136.28</v>
      </c>
      <c r="Y32" s="244">
        <f t="shared" si="8"/>
        <v>0.07756780264</v>
      </c>
      <c r="Z32" s="246">
        <f>IF($A32="","",IFERROR(SUMPRODUCT((Raw_Data_Daily!$B$2:$B$9999="Control")*(Raw_Data_Daily!$A$2:$A$9999=$A32)*(Raw_Data_Daily!$C$2:$C$9999=$C$3)*Raw_Data_Daily!$D$2:$D$9999*Raw_Data_Daily!$L$2:$L$9999)/SUMIFS(Raw_Data_Daily!$D:$D, Raw_Data_Daily!$B:$B, "Control", Raw_Data_Daily!$A:$A, $A32, Raw_Data_Daily!$C:$C, $C$3),""))</f>
        <v>99.73</v>
      </c>
      <c r="AA32" s="246">
        <f>IF($A32="","",IFERROR(SUMPRODUCT((Raw_Data_Daily!$B$2:$B$9999="Variant")*(Raw_Data_Daily!$A$2:$A$9999=$A32)*(Raw_Data_Daily!$C$2:$C$9999=$C$3)*Raw_Data_Daily!$D$2:$D$9999*Raw_Data_Daily!$L$2:$L$9999)/SUMIFS(Raw_Data_Daily!$D:$D, Raw_Data_Daily!$B:$B, "Variant", Raw_Data_Daily!$A:$A, $A32, Raw_Data_Daily!$C:$C, $C$3),""))</f>
        <v>109.67</v>
      </c>
      <c r="AB32" s="244">
        <f t="shared" si="9"/>
        <v>0.09966910659</v>
      </c>
      <c r="AC32" s="248">
        <f>IF($A32="","",IFERROR(SUMPRODUCT((Raw_Data_Daily!$B$2:$B$9999="Control")*(Raw_Data_Daily!$A$2:$A$9999=$A32)*(Raw_Data_Daily!$C$2:$C$9999=$C$3)*Raw_Data_Daily!$D$2:$D$9999*Raw_Data_Daily!$M$2:$M$9999)/SUMIFS(Raw_Data_Daily!$D:$D, Raw_Data_Daily!$B:$B, "Control", Raw_Data_Daily!$A:$A, $A32, Raw_Data_Daily!$C:$C, $C$3),""))</f>
        <v>0.7886</v>
      </c>
      <c r="AD32" s="248">
        <f>IF($A32="","",IFERROR(SUMPRODUCT((Raw_Data_Daily!$B$2:$B$9999="Variant")*(Raw_Data_Daily!$A$2:$A$9999=$A32)*(Raw_Data_Daily!$C$2:$C$9999=$C$3)*Raw_Data_Daily!$D$2:$D$9999*Raw_Data_Daily!$M$2:$M$9999)/SUMIFS(Raw_Data_Daily!$D:$D, Raw_Data_Daily!$B:$B, "Variant", Raw_Data_Daily!$A:$A, $A32, Raw_Data_Daily!$C:$C, $C$3),""))</f>
        <v>0.8047</v>
      </c>
      <c r="AE32" s="249">
        <f t="shared" si="10"/>
        <v>0.02041592696</v>
      </c>
      <c r="AF32" s="248">
        <f>IF($A32="","",IFERROR(SUMPRODUCT((Raw_Data_Daily!$B$2:$B$9999="Control")*(Raw_Data_Daily!$A$2:$A$9999=$A32)*(Raw_Data_Daily!$C$2:$C$9999=$C$3)*Raw_Data_Daily!$D$2:$D$9999*Raw_Data_Daily!$N$2:$N$9999)/SUMIFS(Raw_Data_Daily!$D:$D, Raw_Data_Daily!$B:$B, "Control", Raw_Data_Daily!$A:$A, $A32, Raw_Data_Daily!$C:$C, $C$3),""))</f>
        <v>0.3485</v>
      </c>
      <c r="AG32" s="248">
        <f>IF($A32="","",IFERROR(SUMPRODUCT((Raw_Data_Daily!$B$2:$B$9999="Variant")*(Raw_Data_Daily!$A$2:$A$9999=$A32)*(Raw_Data_Daily!$C$2:$C$9999=$C$3)*Raw_Data_Daily!$D$2:$D$9999*Raw_Data_Daily!$N$2:$N$9999)/SUMIFS(Raw_Data_Daily!$D:$D, Raw_Data_Daily!$B:$B, "Variant", Raw_Data_Daily!$A:$A, $A32, Raw_Data_Daily!$C:$C, $C$3),""))</f>
        <v>0.3369</v>
      </c>
      <c r="AH32" s="249">
        <f t="shared" si="11"/>
        <v>-0.03328550933</v>
      </c>
      <c r="AI32" s="248">
        <f>IF($A32="","",IFERROR(SUMPRODUCT((Raw_Data_Daily!$B$2:$B$9999="Control")*(Raw_Data_Daily!$A$2:$A$9999=$A32)*(Raw_Data_Daily!$C$2:$C$9999=$C$3)*Raw_Data_Daily!$D$2:$D$9999*Raw_Data_Daily!$O$2:$O$9999)/SUMIFS(Raw_Data_Daily!$D:$D, Raw_Data_Daily!$B:$B, "Control", Raw_Data_Daily!$A:$A, $A32, Raw_Data_Daily!$C:$C, $C$3),""))</f>
        <v>0.2267</v>
      </c>
      <c r="AJ32" s="248">
        <f>IF($A32="","",IFERROR(SUMPRODUCT((Raw_Data_Daily!$B$2:$B$9999="Variant")*(Raw_Data_Daily!$A$2:$A$9999=$A32)*(Raw_Data_Daily!$C$2:$C$9999=$C$3)*Raw_Data_Daily!$D$2:$D$9999*Raw_Data_Daily!$O$2:$O$9999)/SUMIFS(Raw_Data_Daily!$D:$D, Raw_Data_Daily!$B:$B, "Variant", Raw_Data_Daily!$A:$A, $A32, Raw_Data_Daily!$C:$C, $C$3),""))</f>
        <v>0.2196</v>
      </c>
      <c r="AK32" s="244">
        <f t="shared" si="12"/>
        <v>-0.03131892369</v>
      </c>
      <c r="AL32" s="246">
        <f>IF($A32="","",IFERROR(SUMPRODUCT((Raw_Data_Daily!$B$2:$B$9999="Control")*(Raw_Data_Daily!$A$2:$A$9999=$A32)*(Raw_Data_Daily!$C$2:$C$9999=$C$3)*Raw_Data_Daily!$D$2:$D$9999*Raw_Data_Daily!$P$2:$P$9999)/SUMIFS(Raw_Data_Daily!$D:$D, Raw_Data_Daily!$B:$B, "Control", Raw_Data_Daily!$A:$A, $A32, Raw_Data_Daily!$C:$C, $C$3),""))</f>
        <v>1.2681</v>
      </c>
      <c r="AM32" s="246">
        <f>IF($A32="","",IFERROR(SUMPRODUCT((Raw_Data_Daily!$B$2:$B$9999="Variant")*(Raw_Data_Daily!$A$2:$A$9999=$A32)*(Raw_Data_Daily!$C$2:$C$9999=$C$3)*Raw_Data_Daily!$D$2:$D$9999*Raw_Data_Daily!$P$2:$P$9999)/SUMIFS(Raw_Data_Daily!$D:$D, Raw_Data_Daily!$B:$B, "Variant", Raw_Data_Daily!$A:$A, $A32, Raw_Data_Daily!$C:$C, $C$3),""))</f>
        <v>1.2427</v>
      </c>
      <c r="AN32" s="244">
        <f t="shared" si="13"/>
        <v>-0.02002996609</v>
      </c>
      <c r="AO32" s="246">
        <f>IF($A32="","",IFERROR(SUMPRODUCT((Raw_Data_Daily!$B$2:$B$9999="Control")*(Raw_Data_Daily!$A$2:$A$9999=$A32)*(Raw_Data_Daily!$C$2:$C$9999=$C$3)*Raw_Data_Daily!$D$2:$D$9999*Raw_Data_Daily!$Q$2:$Q$9999)/SUMIFS(Raw_Data_Daily!$D:$D, Raw_Data_Daily!$B:$B, "Control", Raw_Data_Daily!$A:$A, $A32, Raw_Data_Daily!$C:$C, $C$3),""))</f>
        <v>479.16</v>
      </c>
      <c r="AP32" s="246">
        <f>IF($A32="","",IFERROR(SUMPRODUCT((Raw_Data_Daily!$B$2:$B$9999="Variant")*(Raw_Data_Daily!$A$2:$A$9999=$A32)*(Raw_Data_Daily!$C$2:$C$9999=$C$3)*Raw_Data_Daily!$D$2:$D$9999*Raw_Data_Daily!$Q$2:$Q$9999)/SUMIFS(Raw_Data_Daily!$D:$D, Raw_Data_Daily!$B:$B, "Variant", Raw_Data_Daily!$A:$A, $A32, Raw_Data_Daily!$C:$C, $C$3),""))</f>
        <v>693.41</v>
      </c>
      <c r="AQ32" s="241">
        <f t="shared" si="14"/>
        <v>0.4471366558</v>
      </c>
      <c r="AR32" s="246">
        <f>IF($A32="","",IFERROR(SUMPRODUCT((Raw_Data_Daily!$B$2:$B$9999="Control")*(Raw_Data_Daily!$A$2:$A$9999=$A32)*(Raw_Data_Daily!$C$2:$C$9999=$C$3)*Raw_Data_Daily!$D$2:$D$9999*Raw_Data_Daily!$R$2:$R$9999)/SUMIFS(Raw_Data_Daily!$D:$D, Raw_Data_Daily!$B:$B, "Control", Raw_Data_Daily!$A:$A, $A32, Raw_Data_Daily!$C:$C, $C$3),""))</f>
        <v>428</v>
      </c>
      <c r="AS32" s="246">
        <f>IF($A32="","",IFERROR(SUMPRODUCT((Raw_Data_Daily!$B$2:$B$9999="Variant")*(Raw_Data_Daily!$A$2:$A$9999=$A32)*(Raw_Data_Daily!$C$2:$C$9999=$C$3)*Raw_Data_Daily!$D$2:$D$9999*Raw_Data_Daily!$R$2:$R$9999)/SUMIFS(Raw_Data_Daily!$D:$D, Raw_Data_Daily!$B:$B, "Variant", Raw_Data_Daily!$A:$A, $A32, Raw_Data_Daily!$C:$C, $C$3),""))</f>
        <v>639.4</v>
      </c>
      <c r="AT32" s="241">
        <f t="shared" si="15"/>
        <v>0.4939252336</v>
      </c>
      <c r="AU32" s="246">
        <f>IF($A32="","",IFERROR(SUMPRODUCT((Raw_Data_Daily!$B$2:$B$9999="Control")*(Raw_Data_Daily!$A$2:$A$9999=$A32)*(Raw_Data_Daily!$C$2:$C$9999=$C$3)*Raw_Data_Daily!$D$2:$D$9999*Raw_Data_Daily!$S$2:$S$9999)/SUMIFS(Raw_Data_Daily!$D:$D, Raw_Data_Daily!$B:$B, "Control", Raw_Data_Daily!$A:$A, $A32, Raw_Data_Daily!$C:$C, $C$3),""))</f>
        <v>51.16</v>
      </c>
      <c r="AV32" s="246">
        <f>IF($A32="","",IFERROR(SUMPRODUCT((Raw_Data_Daily!$B$2:$B$9999="Variant")*(Raw_Data_Daily!$A$2:$A$9999=$A32)*(Raw_Data_Daily!$C$2:$C$9999=$C$3)*Raw_Data_Daily!$D$2:$D$9999*Raw_Data_Daily!$S$2:$S$9999)/SUMIFS(Raw_Data_Daily!$D:$D, Raw_Data_Daily!$B:$B, "Variant", Raw_Data_Daily!$A:$A, $A32, Raw_Data_Daily!$C:$C, $C$3),""))</f>
        <v>54.01</v>
      </c>
      <c r="AW32" s="241">
        <f t="shared" si="16"/>
        <v>0.05570758405</v>
      </c>
      <c r="AX32" s="246">
        <f>IF($A32="","",IFERROR(SUMPRODUCT((Raw_Data_Daily!$B$2:$B$9999="Control")*(Raw_Data_Daily!$A$2:$A$9999=$A32)*(Raw_Data_Daily!$C$2:$C$9999=$C$3)*Raw_Data_Daily!$D$2:$D$9999*Raw_Data_Daily!$T$2:$T$9999)/SUMIFS(Raw_Data_Daily!$D:$D, Raw_Data_Daily!$B:$B, "Control", Raw_Data_Daily!$A:$A, $A32, Raw_Data_Daily!$C:$C, $C$3),""))</f>
        <v>120.14</v>
      </c>
      <c r="AY32" s="246">
        <f>IF($A32="","",IFERROR(SUMPRODUCT((Raw_Data_Daily!$B$2:$B$9999="Variant")*(Raw_Data_Daily!$A$2:$A$9999=$A32)*(Raw_Data_Daily!$C$2:$C$9999=$C$3)*Raw_Data_Daily!$D$2:$D$9999*Raw_Data_Daily!$T$2:$T$9999)/SUMIFS(Raw_Data_Daily!$D:$D, Raw_Data_Daily!$B:$B, "Variant", Raw_Data_Daily!$A:$A, $A32, Raw_Data_Daily!$C:$C, $C$3),""))</f>
        <v>84.82</v>
      </c>
      <c r="AZ32" s="244">
        <f t="shared" si="17"/>
        <v>-0.2939903446</v>
      </c>
      <c r="BA32" s="246">
        <f>IF($A32="","",IFERROR(SUMPRODUCT((Raw_Data_Daily!$B$2:$B$9999="Control")*(Raw_Data_Daily!$A$2:$A$9999=$A32)*(Raw_Data_Daily!$C$2:$C$9999=$C$3)*Raw_Data_Daily!$D$2:$D$9999*Raw_Data_Daily!$U$2:$U$9999)/SUMIFS(Raw_Data_Daily!$D:$D, Raw_Data_Daily!$B:$B, "Control", Raw_Data_Daily!$A:$A, $A32, Raw_Data_Daily!$C:$C, $C$3),""))</f>
        <v>359.02</v>
      </c>
      <c r="BB32" s="246">
        <f>IF($A32="","",IFERROR(SUMPRODUCT((Raw_Data_Daily!$B$2:$B$9999="Variant")*(Raw_Data_Daily!$A$2:$A$9999=$A32)*(Raw_Data_Daily!$C$2:$C$9999=$C$3)*Raw_Data_Daily!$D$2:$D$9999*Raw_Data_Daily!$U$2:$U$9999)/SUMIFS(Raw_Data_Daily!$D:$D, Raw_Data_Daily!$B:$B, "Variant", Raw_Data_Daily!$A:$A, $A32, Raw_Data_Daily!$C:$C, $C$3),""))</f>
        <v>608.59</v>
      </c>
      <c r="BC32" s="241">
        <f t="shared" si="18"/>
        <v>0.6951423319</v>
      </c>
      <c r="BD32" s="246">
        <f>IF($A32="","",IFERROR(SUMPRODUCT((Raw_Data_Daily!$B$2:$B$9999="Control")*(Raw_Data_Daily!$A$2:$A$9999=$A32)*(Raw_Data_Daily!$C$2:$C$9999=$C$3)*Raw_Data_Daily!$D$2:$D$9999*Raw_Data_Daily!$V$2:$V$9999)/SUMIFS(Raw_Data_Daily!$D:$D, Raw_Data_Daily!$B:$B, "Control", Raw_Data_Daily!$A:$A, $A32, Raw_Data_Daily!$C:$C, $C$3),""))</f>
        <v>551.97</v>
      </c>
      <c r="BE32" s="246">
        <f>IF($A32="","",IFERROR(SUMPRODUCT((Raw_Data_Daily!$B$2:$B$9999="Variant")*(Raw_Data_Daily!$A$2:$A$9999=$A32)*(Raw_Data_Daily!$C$2:$C$9999=$C$3)*Raw_Data_Daily!$D$2:$D$9999*Raw_Data_Daily!$V$2:$V$9999)/SUMIFS(Raw_Data_Daily!$D:$D, Raw_Data_Daily!$B:$B, "Variant", Raw_Data_Daily!$A:$A, $A32, Raw_Data_Daily!$C:$C, $C$3),""))</f>
        <v>674.02</v>
      </c>
      <c r="BF32" s="251">
        <f t="shared" si="19"/>
        <v>0.2211170897</v>
      </c>
      <c r="BG32" s="252">
        <f>IF($A32="","",IFERROR(SUMPRODUCT((Raw_Data_Daily!$B$2:$B$9999="Control")*(Raw_Data_Daily!$A$2:$A$9999=$A32)*(Raw_Data_Daily!$C$2:$C$9999=$C$3)*Raw_Data_Daily!$D$2:$D$9999*(Raw_Data_Daily!$Q$2:$Q$9999-Raw_Data_Daily!$V$2:$V$9999))/SUMIFS(Raw_Data_Daily!$D:$D, Raw_Data_Daily!$B:$B, "Control", Raw_Data_Daily!$A:$A, $A32, Raw_Data_Daily!$C:$C, $C$3),""))</f>
        <v>-72.81</v>
      </c>
      <c r="BH32" s="246">
        <f>IF($A32="","",IFERROR(SUMPRODUCT((Raw_Data_Daily!$B$2:$B$9999="Variant")*(Raw_Data_Daily!$A$2:$A$9999=$A32)*(Raw_Data_Daily!$C$2:$C$9999=$C$3)*Raw_Data_Daily!$D$2:$D$9999*(Raw_Data_Daily!$Q$2:$Q$9999-Raw_Data_Daily!$V$2:$V$9999))/SUMIFS(Raw_Data_Daily!$D:$D, Raw_Data_Daily!$B:$B, "Variant", Raw_Data_Daily!$A:$A, $A32, Raw_Data_Daily!$C:$C, $C$3),""))</f>
        <v>19.39</v>
      </c>
      <c r="BI32" s="253">
        <f t="shared" si="20"/>
        <v>1.266309573</v>
      </c>
      <c r="BJ32" s="254">
        <f>IF($A32="","",IFERROR(SUMPRODUCT((Raw_Data_Daily!$B$2:$B$9999="Control")*(Raw_Data_Daily!$A$2:$A$9999=$A32)*(Raw_Data_Daily!$C$2:$C$9999=$C$3)*Raw_Data_Daily!$D$2:$D$9999*Raw_Data_Daily!$W$2:$W$9999)/SUMIFS(Raw_Data_Daily!$D:$D, Raw_Data_Daily!$B:$B, "Control", Raw_Data_Daily!$A:$A, $A32, Raw_Data_Daily!$C:$C, $C$3),""))</f>
        <v>4.3644</v>
      </c>
      <c r="BK32" s="246">
        <f>IF($A32="","",IFERROR(SUMPRODUCT((Raw_Data_Daily!$B$2:$B$9999="Variant")*(Raw_Data_Daily!$A$2:$A$9999=$A32)*(Raw_Data_Daily!$C$2:$C$9999=$C$3)*Raw_Data_Daily!$D$2:$D$9999*Raw_Data_Daily!$W$2:$W$9999)/SUMIFS(Raw_Data_Daily!$D:$D, Raw_Data_Daily!$B:$B, "Variant", Raw_Data_Daily!$A:$A, $A32, Raw_Data_Daily!$C:$C, $C$3),""))</f>
        <v>4.9457</v>
      </c>
      <c r="BL32" s="241">
        <f t="shared" si="21"/>
        <v>0.1331912749</v>
      </c>
      <c r="BM32" s="248">
        <f>IF($A32="","",IFERROR(SUMPRODUCT((Raw_Data_Daily!$B$2:$B$9999="Control")*(Raw_Data_Daily!$A$2:$A$9999=$A32)*(Raw_Data_Daily!$C$2:$C$9999=$C$3)*Raw_Data_Daily!$D$2:$D$9999*Raw_Data_Daily!$X$2:$X$9999)/SUMIFS(Raw_Data_Daily!$D:$D, Raw_Data_Daily!$B:$B, "Control", Raw_Data_Daily!$A:$A, $A32, Raw_Data_Daily!$C:$C, $C$3),""))</f>
        <v>25.07</v>
      </c>
      <c r="BN32" s="248">
        <f>IF($A32="","",IFERROR(SUMPRODUCT((Raw_Data_Daily!$B$2:$B$9999="Variant")*(Raw_Data_Daily!$A$2:$A$9999=$A32)*(Raw_Data_Daily!$C$2:$C$9999=$C$3)*Raw_Data_Daily!$D$2:$D$9999*Raw_Data_Daily!$X$2:$X$9999)/SUMIFS(Raw_Data_Daily!$D:$D, Raw_Data_Daily!$B:$B, "Variant", Raw_Data_Daily!$A:$A, $A32, Raw_Data_Daily!$C:$C, $C$3),""))</f>
        <v>12.23</v>
      </c>
      <c r="BO32" s="244">
        <f t="shared" si="22"/>
        <v>-0.5121659354</v>
      </c>
      <c r="BP32" s="240">
        <f>IF($A32="","",IFERROR(SUMPRODUCT((Raw_Data_Daily!$B$2:$B$9999="Control")*(Raw_Data_Daily!$A$2:$A$9999=$A32)*(Raw_Data_Daily!$C$2:$C$9999=$C$3)*Raw_Data_Daily!$D$2:$D$9999*Raw_Data_Daily!$Y$2:$Y$9999)/SUMIFS(Raw_Data_Daily!$D:$D, Raw_Data_Daily!$B:$B, "Control", Raw_Data_Daily!$A:$A, $A32, Raw_Data_Daily!$C:$C, $C$3),""))</f>
        <v>456</v>
      </c>
      <c r="BQ32" s="240">
        <f>IF($A32="","",IFERROR(SUMPRODUCT((Raw_Data_Daily!$B$2:$B$9999="Variant")*(Raw_Data_Daily!$A$2:$A$9999=$A32)*(Raw_Data_Daily!$C$2:$C$9999=$C$3)*Raw_Data_Daily!$D$2:$D$9999*Raw_Data_Daily!$Y$2:$Y$9999)/SUMIFS(Raw_Data_Daily!$D:$D, Raw_Data_Daily!$B:$B, "Variant", Raw_Data_Daily!$A:$A, $A32, Raw_Data_Daily!$C:$C, $C$3),""))</f>
        <v>504</v>
      </c>
      <c r="BR32" s="241">
        <f t="shared" si="23"/>
        <v>0.1052631579</v>
      </c>
      <c r="BS32" s="240">
        <f>IF($A32="","",IFERROR(SUMPRODUCT((Raw_Data_Daily!$B$2:$B$9999="Control")*(Raw_Data_Daily!$A$2:$A$9999=$A32)*(Raw_Data_Daily!$C$2:$C$9999=$C$3)*Raw_Data_Daily!$D$2:$D$9999*Raw_Data_Daily!$Z$2:$Z$9999)/SUMIFS(Raw_Data_Daily!$D:$D, Raw_Data_Daily!$B:$B, "Control", Raw_Data_Daily!$A:$A, $A32, Raw_Data_Daily!$C:$C, $C$3),""))</f>
        <v>1421</v>
      </c>
      <c r="BT32" s="240">
        <f>IF($A32="","",IFERROR(SUMPRODUCT((Raw_Data_Daily!$B$2:$B$9999="Variant")*(Raw_Data_Daily!$A$2:$A$9999=$A32)*(Raw_Data_Daily!$C$2:$C$9999=$C$3)*Raw_Data_Daily!$D$2:$D$9999*Raw_Data_Daily!$Z$2:$Z$9999)/SUMIFS(Raw_Data_Daily!$D:$D, Raw_Data_Daily!$B:$B, "Variant", Raw_Data_Daily!$A:$A, $A32, Raw_Data_Daily!$C:$C, $C$3),""))</f>
        <v>1221</v>
      </c>
      <c r="BU32" s="241">
        <f t="shared" si="24"/>
        <v>-0.1407459536</v>
      </c>
      <c r="BV32" s="240">
        <f>IF($A32="","",IFERROR(SUMPRODUCT((Raw_Data_Daily!$B$2:$B$9999="Control")*(Raw_Data_Daily!$A$2:$A$9999=$A32)*(Raw_Data_Daily!$C$2:$C$9999=$C$3)*Raw_Data_Daily!$D$2:$D$9999*Raw_Data_Daily!$AA$2:$AA$9999)/SUMIFS(Raw_Data_Daily!$D:$D, Raw_Data_Daily!$B:$B, "Control", Raw_Data_Daily!$A:$A, $A32, Raw_Data_Daily!$C:$C, $C$3),""))</f>
        <v>5593</v>
      </c>
      <c r="BW32" s="240">
        <f>IF($A32="","",IFERROR(SUMPRODUCT((Raw_Data_Daily!$B$2:$B$9999="Variant")*(Raw_Data_Daily!$A$2:$A$9999=$A32)*(Raw_Data_Daily!$C$2:$C$9999=$C$3)*Raw_Data_Daily!$D$2:$D$9999*Raw_Data_Daily!$AA$2:$AA$9999)/SUMIFS(Raw_Data_Daily!$D:$D, Raw_Data_Daily!$B:$B, "Variant", Raw_Data_Daily!$A:$A, $A32, Raw_Data_Daily!$C:$C, $C$3),""))</f>
        <v>4511</v>
      </c>
      <c r="BX32" s="241">
        <f t="shared" si="25"/>
        <v>-0.1934561058</v>
      </c>
      <c r="BY32" s="246">
        <f>IF($A32="","",IFERROR(SUMPRODUCT((Raw_Data_Daily!$B$2:$B$9999="Control")*(Raw_Data_Daily!$A$2:$A$9999=$A32)*(Raw_Data_Daily!$C$2:$C$9999=$C$3)*Raw_Data_Daily!$D$2:$D$9999*Raw_Data_Daily!$AB$2:$AB$9999)/SUMIFS(Raw_Data_Daily!$D:$D, Raw_Data_Daily!$B:$B, "Control", Raw_Data_Daily!$A:$A, $A32, Raw_Data_Daily!$C:$C, $C$3),""))</f>
        <v>57.0645</v>
      </c>
      <c r="BZ32" s="246">
        <f>IF($A32="","",IFERROR(SUMPRODUCT((Raw_Data_Daily!$B$2:$B$9999="Variant")*(Raw_Data_Daily!$A$2:$A$9999=$A32)*(Raw_Data_Daily!$C$2:$C$9999=$C$3)*Raw_Data_Daily!$D$2:$D$9999*Raw_Data_Daily!$AB$2:$AB$9999)/SUMIFS(Raw_Data_Daily!$D:$D, Raw_Data_Daily!$B:$B, "Variant", Raw_Data_Daily!$A:$A, $A32, Raw_Data_Daily!$C:$C, $C$3),""))</f>
        <v>56.9946</v>
      </c>
      <c r="CA32" s="244">
        <f t="shared" si="26"/>
        <v>-0.001224929685</v>
      </c>
      <c r="CB32" s="246">
        <f>IF($A32="","",IFERROR(SUMPRODUCT((Raw_Data_Daily!$B$2:$B$9999="Control")*(Raw_Data_Daily!$A$2:$A$9999=$A32)*(Raw_Data_Daily!$C$2:$C$9999=$C$3)*Raw_Data_Daily!$D$2:$D$9999*Raw_Data_Daily!$AC$2:$AC$9999)/SUMIFS(Raw_Data_Daily!$D:$D, Raw_Data_Daily!$B:$B, "Control", Raw_Data_Daily!$A:$A, $A32, Raw_Data_Daily!$C:$C, $C$3),""))</f>
        <v>0.5964</v>
      </c>
      <c r="CC32" s="246">
        <f>IF($A32="","",IFERROR(SUMPRODUCT((Raw_Data_Daily!$B$2:$B$9999="Variant")*(Raw_Data_Daily!$A$2:$A$9999=$A32)*(Raw_Data_Daily!$C$2:$C$9999=$C$3)*Raw_Data_Daily!$D$2:$D$9999*Raw_Data_Daily!$AC$2:$AC$9999)/SUMIFS(Raw_Data_Daily!$D:$D, Raw_Data_Daily!$B:$B, "Variant", Raw_Data_Daily!$A:$A, $A32, Raw_Data_Daily!$C:$C, $C$3),""))</f>
        <v>0.5622</v>
      </c>
      <c r="CD32" s="244">
        <f t="shared" si="27"/>
        <v>-0.05734406439</v>
      </c>
      <c r="CE32" s="246">
        <f>IF($A32="","",IFERROR(SUMPRODUCT((Raw_Data_Daily!$B$2:$B$9999="Control")*(Raw_Data_Daily!$A$2:$A$9999=$A32)*(Raw_Data_Daily!$C$2:$C$9999=$C$3)*Raw_Data_Daily!$D$2:$D$9999*Raw_Data_Daily!$AD$2:$AD$9999)/SUMIFS(Raw_Data_Daily!$D:$D, Raw_Data_Daily!$B:$B, "Control", Raw_Data_Daily!$A:$A, $A32, Raw_Data_Daily!$C:$C, $C$3),""))</f>
        <v>46.22</v>
      </c>
      <c r="CF32" s="246">
        <f>IF($A32="","",IFERROR(SUMPRODUCT((Raw_Data_Daily!$B$2:$B$9999="Variant")*(Raw_Data_Daily!$A$2:$A$9999=$A32)*(Raw_Data_Daily!$C$2:$C$9999=$C$3)*Raw_Data_Daily!$D$2:$D$9999*Raw_Data_Daily!$AD$2:$AD$9999)/SUMIFS(Raw_Data_Daily!$D:$D, Raw_Data_Daily!$B:$B, "Variant", Raw_Data_Daily!$A:$A, $A32, Raw_Data_Daily!$C:$C, $C$3),""))</f>
        <v>54</v>
      </c>
      <c r="CG32" s="244">
        <f t="shared" si="28"/>
        <v>0.1683254003</v>
      </c>
      <c r="CH32" s="246">
        <f>IF($A32="","",IFERROR(SUMPRODUCT((Raw_Data_Daily!$B$2:$B$9999="Control")*(Raw_Data_Daily!$A$2:$A$9999=$A32)*(Raw_Data_Daily!$C$2:$C$9999=$C$3)*Raw_Data_Daily!$D$2:$D$9999*Raw_Data_Daily!$AE$2:$AE$9999)/SUMIFS(Raw_Data_Daily!$D:$D, Raw_Data_Daily!$B:$B, "Control", Raw_Data_Daily!$A:$A, $A32, Raw_Data_Daily!$C:$C, $C$3),""))</f>
        <v>16</v>
      </c>
      <c r="CI32" s="246">
        <f>IF($A32="","",IFERROR(SUMPRODUCT((Raw_Data_Daily!$B$2:$B$9999="Variant")*(Raw_Data_Daily!$A$2:$A$9999=$A32)*(Raw_Data_Daily!$C$2:$C$9999=$C$3)*Raw_Data_Daily!$D$2:$D$9999*Raw_Data_Daily!$AE$2:$AE$9999)/SUMIFS(Raw_Data_Daily!$D:$D, Raw_Data_Daily!$B:$B, "Variant", Raw_Data_Daily!$A:$A, $A32, Raw_Data_Daily!$C:$C, $C$3),""))</f>
        <v>19</v>
      </c>
      <c r="CJ32" s="244">
        <f t="shared" si="29"/>
        <v>0.1875</v>
      </c>
      <c r="CK32" s="246">
        <f>IF($A32="","",IFERROR(SUMPRODUCT((Raw_Data_Daily!$B$2:$B$9999="Control")*(Raw_Data_Daily!$A$2:$A$9999=$A32)*(Raw_Data_Daily!$C$2:$C$9999=$C$3)*Raw_Data_Daily!$D$2:$D$9999*Raw_Data_Daily!$AF$2:$AF$9999)/SUMIFS(Raw_Data_Daily!$D:$D, Raw_Data_Daily!$B:$B, "Control", Raw_Data_Daily!$A:$A, $A32, Raw_Data_Daily!$C:$C, $C$3),""))</f>
        <v>31</v>
      </c>
      <c r="CL32" s="246">
        <f>IF($A32="","",IFERROR(SUMPRODUCT((Raw_Data_Daily!$B$2:$B$9999="Variant")*(Raw_Data_Daily!$A$2:$A$9999=$A32)*(Raw_Data_Daily!$C$2:$C$9999=$C$3)*Raw_Data_Daily!$D$2:$D$9999*Raw_Data_Daily!$AF$2:$AF$9999)/SUMIFS(Raw_Data_Daily!$D:$D, Raw_Data_Daily!$B:$B, "Variant", Raw_Data_Daily!$A:$A, $A32, Raw_Data_Daily!$C:$C, $C$3),""))</f>
        <v>37</v>
      </c>
      <c r="CM32" s="244">
        <f t="shared" si="30"/>
        <v>0.1935483871</v>
      </c>
      <c r="CN32" s="246">
        <f>IF($A32="","",IFERROR(SUMPRODUCT((Raw_Data_Daily!$B$2:$B$9999="Control")*(Raw_Data_Daily!$A$2:$A$9999=$A32)*(Raw_Data_Daily!$C$2:$C$9999=$C$3)*Raw_Data_Daily!$D$2:$D$9999*Raw_Data_Daily!$AG$2:$AG$9999)/SUMIFS(Raw_Data_Daily!$D:$D, Raw_Data_Daily!$B:$B, "Control", Raw_Data_Daily!$A:$A, $A32, Raw_Data_Daily!$C:$C, $C$3),""))</f>
        <v>61</v>
      </c>
      <c r="CO32" s="246">
        <f>IF($A32="","",IFERROR(SUMPRODUCT((Raw_Data_Daily!$B$2:$B$9999="Variant")*(Raw_Data_Daily!$A$2:$A$9999=$A32)*(Raw_Data_Daily!$C$2:$C$9999=$C$3)*Raw_Data_Daily!$D$2:$D$9999*Raw_Data_Daily!$AG$2:$AG$9999)/SUMIFS(Raw_Data_Daily!$D:$D, Raw_Data_Daily!$B:$B, "Variant", Raw_Data_Daily!$A:$A, $A32, Raw_Data_Daily!$C:$C, $C$3),""))</f>
        <v>64</v>
      </c>
      <c r="CP32" s="244">
        <f t="shared" si="31"/>
        <v>0.04918032787</v>
      </c>
      <c r="CQ32" s="246">
        <f>IF($A32="","",IFERROR(SUMPRODUCT((Raw_Data_Daily!$B$2:$B$9999="Control")*(Raw_Data_Daily!$A$2:$A$9999=$A32)*(Raw_Data_Daily!$C$2:$C$9999=$C$3)*Raw_Data_Daily!$D$2:$D$9999*Raw_Data_Daily!$AH$2:$AH$9999)/SUMIFS(Raw_Data_Daily!$D:$D, Raw_Data_Daily!$B:$B, "Control", Raw_Data_Daily!$A:$A, $A32, Raw_Data_Daily!$C:$C, $C$3),""))</f>
        <v>110</v>
      </c>
      <c r="CR32" s="246">
        <f>IF($A32="","",IFERROR(SUMPRODUCT((Raw_Data_Daily!$B$2:$B$9999="Variant")*(Raw_Data_Daily!$A$2:$A$9999=$A32)*(Raw_Data_Daily!$C$2:$C$9999=$C$3)*Raw_Data_Daily!$D$2:$D$9999*Raw_Data_Daily!$AH$2:$AH$9999)/SUMIFS(Raw_Data_Daily!$D:$D, Raw_Data_Daily!$B:$B, "Variant", Raw_Data_Daily!$A:$A, $A32, Raw_Data_Daily!$C:$C, $C$3),""))</f>
        <v>120</v>
      </c>
      <c r="CS32" s="244">
        <f t="shared" si="32"/>
        <v>0.09090909091</v>
      </c>
      <c r="CT32" s="242">
        <f>IF($A32="","",IFERROR(SUMPRODUCT((Raw_Data_Daily!$B$2:$B$9999="Control")*(Raw_Data_Daily!$A$2:$A$9999=$A32)*(Raw_Data_Daily!$C$2:$C$9999=$C$3)*Raw_Data_Daily!$D$2:$D$9999*Raw_Data_Daily!$AI$2:$AI$9999)/SUMIFS(Raw_Data_Daily!$D:$D, Raw_Data_Daily!$B:$B, "Control", Raw_Data_Daily!$A:$A, $A32, Raw_Data_Daily!$C:$C, $C$3),""))</f>
        <v>17.22</v>
      </c>
      <c r="CU32" s="242">
        <f>IF($A32="","",IFERROR(SUMPRODUCT((Raw_Data_Daily!$B$2:$B$9999="Variant")*(Raw_Data_Daily!$A$2:$A$9999=$A32)*(Raw_Data_Daily!$C$2:$C$9999=$C$3)*Raw_Data_Daily!$D$2:$D$9999*Raw_Data_Daily!$AI$2:$AI$9999)/SUMIFS(Raw_Data_Daily!$D:$D, Raw_Data_Daily!$B:$B, "Variant", Raw_Data_Daily!$A:$A, $A32, Raw_Data_Daily!$C:$C, $C$3),""))</f>
        <v>18.81</v>
      </c>
      <c r="CV32" s="249">
        <f t="shared" si="33"/>
        <v>0.09233449477</v>
      </c>
      <c r="CW32" s="242">
        <f>IF($A32="","",IFERROR(SUMPRODUCT((Raw_Data_Daily!$B$2:$B$9999="Control")*(Raw_Data_Daily!$A$2:$A$9999=$A32)*(Raw_Data_Daily!$C$2:$C$9999=$C$3)*Raw_Data_Daily!$D$2:$D$9999*Raw_Data_Daily!$AJ$2:$AJ$9999)/SUMIFS(Raw_Data_Daily!$D:$D, Raw_Data_Daily!$B:$B, "Control", Raw_Data_Daily!$A:$A, $A32, Raw_Data_Daily!$C:$C, $C$3),""))</f>
        <v>3.32</v>
      </c>
      <c r="CX32" s="242">
        <f>IF($A32="","",IFERROR(SUMPRODUCT((Raw_Data_Daily!$B$2:$B$9999="Variant")*(Raw_Data_Daily!$A$2:$A$9999=$A32)*(Raw_Data_Daily!$C$2:$C$9999=$C$3)*Raw_Data_Daily!$D$2:$D$9999*Raw_Data_Daily!$AJ$2:$AJ$9999)/SUMIFS(Raw_Data_Daily!$D:$D, Raw_Data_Daily!$B:$B, "Variant", Raw_Data_Daily!$A:$A, $A32, Raw_Data_Daily!$C:$C, $C$3),""))</f>
        <v>4.28</v>
      </c>
      <c r="CY32" s="249">
        <f t="shared" si="34"/>
        <v>0.2891566265</v>
      </c>
      <c r="CZ32" s="242">
        <f>IF($A32="","",IFERROR(SUMPRODUCT((Raw_Data_Daily!$B$2:$B$9999="Control")*(Raw_Data_Daily!$A$2:$A$9999=$A32)*(Raw_Data_Daily!$C$2:$C$9999=$C$3)*Raw_Data_Daily!$D$2:$D$9999*Raw_Data_Daily!$AK$2:$AK$9999)/SUMIFS(Raw_Data_Daily!$D:$D, Raw_Data_Daily!$B:$B, "Control", Raw_Data_Daily!$A:$A, $A32, Raw_Data_Daily!$C:$C, $C$3),""))</f>
        <v>0.79</v>
      </c>
      <c r="DA32" s="242">
        <f>IF($A32="","",IFERROR(SUMPRODUCT((Raw_Data_Daily!$B$2:$B$9999="Variant")*(Raw_Data_Daily!$A$2:$A$9999=$A32)*(Raw_Data_Daily!$C$2:$C$9999=$C$3)*Raw_Data_Daily!$D$2:$D$9999*Raw_Data_Daily!$AK$2:$AK$9999)/SUMIFS(Raw_Data_Daily!$D:$D, Raw_Data_Daily!$B:$B, "Variant", Raw_Data_Daily!$A:$A, $A32, Raw_Data_Daily!$C:$C, $C$3),""))</f>
        <v>1.12</v>
      </c>
      <c r="DB32" s="244">
        <f t="shared" si="35"/>
        <v>0.417721519</v>
      </c>
      <c r="DC32" s="248">
        <f>IF($A32="","",IFERROR(SUMPRODUCT((Raw_Data_Daily!$B$2:$B$9999="Control")*(Raw_Data_Daily!$A$2:$A$9999=$A32)*(Raw_Data_Daily!$C$2:$C$9999=$C$3)*Raw_Data_Daily!$D$2:$D$9999*Raw_Data_Daily!$AL$2:$AL$9999)/SUMIFS(Raw_Data_Daily!$D:$D, Raw_Data_Daily!$B:$B, "Control", Raw_Data_Daily!$A:$A, $A32, Raw_Data_Daily!$C:$C, $C$3),""))</f>
        <v>0.09</v>
      </c>
      <c r="DD32" s="248">
        <f>IF($A32="","",IFERROR(SUMPRODUCT((Raw_Data_Daily!$B$2:$B$9999="Variant")*(Raw_Data_Daily!$A$2:$A$9999=$A32)*(Raw_Data_Daily!$C$2:$C$9999=$C$3)*Raw_Data_Daily!$D$2:$D$9999*Raw_Data_Daily!$AL$2:$AL$9999)/SUMIFS(Raw_Data_Daily!$D:$D, Raw_Data_Daily!$B:$B, "Variant", Raw_Data_Daily!$A:$A, $A32, Raw_Data_Daily!$C:$C, $C$3),""))</f>
        <v>0.0838</v>
      </c>
      <c r="DE32" s="249">
        <f t="shared" si="36"/>
        <v>-0.06888888889</v>
      </c>
      <c r="DF32" s="255"/>
      <c r="DG32" s="242">
        <f>IF($A32="","",IFERROR(SUMPRODUCT((Raw_Data_Daily!$B$2:$B$9999="Variant")*(Raw_Data_Daily!$A$2:$A$9999=$A32)*(Raw_Data_Daily!$C$2:$C$9999=$C$3)*Raw_Data_Daily!$D$2:$D$9999*Raw_Data_Daily!$AM$2:$AM$9999)/SUMIFS(Raw_Data_Daily!$D:$D, Raw_Data_Daily!$B:$B, "Variant", Raw_Data_Daily!$A:$A, $A32, Raw_Data_Daily!$C:$C, $C$3),""))</f>
        <v>43.95</v>
      </c>
      <c r="DH32" s="256"/>
      <c r="DI32" s="255"/>
      <c r="DJ32" s="242">
        <f>IF($A32="","",IFERROR(SUMPRODUCT((Raw_Data_Daily!$B$2:$B$9999="Variant")*(Raw_Data_Daily!$A$2:$A$9999=$A32)*(Raw_Data_Daily!$C$2:$C$9999=$C$3)*Raw_Data_Daily!$D$2:$D$9999*Raw_Data_Daily!$AN$2:$AN$9999)/SUMIFS(Raw_Data_Daily!$D:$D, Raw_Data_Daily!$B:$B, "Variant", Raw_Data_Daily!$A:$A, $A32, Raw_Data_Daily!$C:$C, $C$3),""))</f>
        <v>43.95</v>
      </c>
      <c r="DK32" s="256"/>
      <c r="DL32" s="255"/>
      <c r="DM32" s="242">
        <f>IF($A32="","",IFERROR(SUMPRODUCT((Raw_Data_Daily!$B$2:$B$9999="Variant")*(Raw_Data_Daily!$A$2:$A$9999=$A32)*(Raw_Data_Daily!$C$2:$C$9999=$C$3)*Raw_Data_Daily!$D$2:$D$9999*Raw_Data_Daily!$AO$2:$AO$9999)/SUMIFS(Raw_Data_Daily!$D:$D, Raw_Data_Daily!$B:$B, "Variant", Raw_Data_Daily!$A:$A, $A32, Raw_Data_Daily!$C:$C, $C$3),""))</f>
        <v>23.09</v>
      </c>
      <c r="DN32" s="256"/>
      <c r="DO32" s="255"/>
      <c r="DP32" s="242">
        <f>IF($A32="","",IFERROR(SUMPRODUCT((Raw_Data_Daily!$B$2:$B$9999="Variant")*(Raw_Data_Daily!$A$2:$A$9999=$A32)*(Raw_Data_Daily!$C$2:$C$9999=$C$3)*Raw_Data_Daily!$D$2:$D$9999*Raw_Data_Daily!$AP$2:$AP$9999)/SUMIFS(Raw_Data_Daily!$D:$D, Raw_Data_Daily!$B:$B, "Variant", Raw_Data_Daily!$A:$A, $A32, Raw_Data_Daily!$C:$C, $C$3),""))</f>
        <v>12.48</v>
      </c>
      <c r="DQ32" s="256"/>
      <c r="DR32" s="248">
        <f>IF($A32="","",IFERROR(SUMPRODUCT((Raw_Data_Daily!$B$2:$B$9999="Control")*(Raw_Data_Daily!$A$2:$A$9999=$A32)*(Raw_Data_Daily!$C$2:$C$9999=$C$3)*Raw_Data_Daily!$D$2:$D$9999*Raw_Data_Daily!$AQ$2:$AQ$9999)/SUMIFS(Raw_Data_Daily!$D:$D, Raw_Data_Daily!$B:$B, "Control", Raw_Data_Daily!$A:$A, $A32, Raw_Data_Daily!$C:$C, $C$3),""))</f>
        <v>24.9068</v>
      </c>
      <c r="DS32" s="248">
        <f>IF($A32="","",IFERROR(SUMPRODUCT((Raw_Data_Daily!$B$2:$B$9999="Variant")*(Raw_Data_Daily!$A$2:$A$9999=$A32)*(Raw_Data_Daily!$C$2:$C$9999=$C$3)*Raw_Data_Daily!$D$2:$D$9999*Raw_Data_Daily!$AQ$2:$AQ$9999)/SUMIFS(Raw_Data_Daily!$D:$D, Raw_Data_Daily!$B:$B, "Variant", Raw_Data_Daily!$A:$A, $A32, Raw_Data_Daily!$C:$C, $C$3),""))</f>
        <v>19.7803</v>
      </c>
      <c r="DT32" s="257">
        <f t="shared" si="37"/>
        <v>-0.2058273243</v>
      </c>
      <c r="DU32" s="248">
        <f>IF($A32="","",IFERROR(SUMPRODUCT((Raw_Data_Daily!$B$2:$B$9999="Control")*(Raw_Data_Daily!$A$2:$A$9999=$A32)*(Raw_Data_Daily!$C$2:$C$9999=$C$3)*Raw_Data_Daily!$D$2:$D$9999*Raw_Data_Daily!$AR$2:$AR$9999)/SUMIFS(Raw_Data_Daily!$D:$D, Raw_Data_Daily!$B:$B, "Control", Raw_Data_Daily!$A:$A, $A32, Raw_Data_Daily!$C:$C, $C$3),""))</f>
        <v>1.1406</v>
      </c>
      <c r="DV32" s="248">
        <f>IF($A32="","",IFERROR(SUMPRODUCT((Raw_Data_Daily!$B$2:$B$9999="Variant")*(Raw_Data_Daily!$A$2:$A$9999=$A32)*(Raw_Data_Daily!$C$2:$C$9999=$C$3)*Raw_Data_Daily!$D$2:$D$9999*Raw_Data_Daily!$AR$2:$AR$9999)/SUMIFS(Raw_Data_Daily!$D:$D, Raw_Data_Daily!$B:$B, "Variant", Raw_Data_Daily!$A:$A, $A32, Raw_Data_Daily!$C:$C, $C$3),""))</f>
        <v>0.9125</v>
      </c>
      <c r="DW32" s="257">
        <f t="shared" si="38"/>
        <v>-0.1999824654</v>
      </c>
      <c r="DX32" s="248">
        <f>IF($A32="","",IFERROR(SUMPRODUCT((Raw_Data_Daily!$B$2:$B$9999="Control")*(Raw_Data_Daily!$A$2:$A$9999=$A32)*(Raw_Data_Daily!$C$2:$C$9999=$C$3)*Raw_Data_Daily!$D$2:$D$9999*Raw_Data_Daily!$AS$2:$AS$9999)/SUMIFS(Raw_Data_Daily!$D:$D, Raw_Data_Daily!$B:$B, "Control", Raw_Data_Daily!$A:$A, $A32, Raw_Data_Daily!$C:$C, $C$3),""))</f>
        <v>23.7662</v>
      </c>
      <c r="DY32" s="248">
        <f>IF($A32="","",IFERROR(SUMPRODUCT((Raw_Data_Daily!$B$2:$B$9999="Variant")*(Raw_Data_Daily!$A$2:$A$9999=$A32)*(Raw_Data_Daily!$C$2:$C$9999=$C$3)*Raw_Data_Daily!$D$2:$D$9999*Raw_Data_Daily!$AS$2:$AS$9999)/SUMIFS(Raw_Data_Daily!$D:$D, Raw_Data_Daily!$B:$B, "Variant", Raw_Data_Daily!$A:$A, $A32, Raw_Data_Daily!$C:$C, $C$3),""))</f>
        <v>18.8678</v>
      </c>
      <c r="DZ32" s="257">
        <f t="shared" si="39"/>
        <v>-0.2061078338</v>
      </c>
      <c r="EA32" s="248">
        <f>IF($A32="","",IFERROR(SUMPRODUCT((Raw_Data_Daily!$B$2:$B$9999="Control")*(Raw_Data_Daily!$A$2:$A$9999=$A32)*(Raw_Data_Daily!$C$2:$C$9999=$C$3)*Raw_Data_Daily!$D$2:$D$9999*Raw_Data_Daily!$AT$2:$AT$9999)/SUMIFS(Raw_Data_Daily!$D:$D, Raw_Data_Daily!$B:$B, "Control", Raw_Data_Daily!$A:$A, $A32, Raw_Data_Daily!$C:$C, $C$3),""))</f>
        <v>24.3365</v>
      </c>
      <c r="EB32" s="248">
        <f>IF($A32="","",IFERROR(SUMPRODUCT((Raw_Data_Daily!$B$2:$B$9999="Variant")*(Raw_Data_Daily!$A$2:$A$9999=$A32)*(Raw_Data_Daily!$C$2:$C$9999=$C$3)*Raw_Data_Daily!$D$2:$D$9999*Raw_Data_Daily!$AT$2:$AT$9999)/SUMIFS(Raw_Data_Daily!$D:$D, Raw_Data_Daily!$B:$B, "Variant", Raw_Data_Daily!$A:$A, $A32, Raw_Data_Daily!$C:$C, $C$3),""))</f>
        <v>19.3426</v>
      </c>
      <c r="EC32" s="257">
        <f t="shared" si="40"/>
        <v>-0.2052020627</v>
      </c>
      <c r="ED32" s="248">
        <f>IF($A32="","",IFERROR(SUMPRODUCT((Raw_Data_Daily!$B$2:$B$9999="Control")*(Raw_Data_Daily!$A$2:$A$9999=$A32)*(Raw_Data_Daily!$C$2:$C$9999=$C$3)*Raw_Data_Daily!$D$2:$D$9999*(Raw_Data_Daily!$AQ$2:$AQ$9999-Raw_Data_Daily!$AT$2:$AT$9999))/SUMIFS(Raw_Data_Daily!$D:$D, Raw_Data_Daily!$B:$B, "Control", Raw_Data_Daily!$A:$A, $A32, Raw_Data_Daily!$C:$C, $C$3),""))</f>
        <v>0.5703</v>
      </c>
      <c r="EE32" s="248">
        <f>IF($A32="","",IFERROR(SUMPRODUCT((Raw_Data_Daily!$B$2:$B$9999="Variant")*(Raw_Data_Daily!$A$2:$A$9999=$A32)*(Raw_Data_Daily!$C$2:$C$9999=$C$3)*Raw_Data_Daily!$D$2:$D$9999*(Raw_Data_Daily!$AQ$2:$AQ$9999-Raw_Data_Daily!$AT$2:$AT$9999))/SUMIFS(Raw_Data_Daily!$D:$D, Raw_Data_Daily!$B:$B, "Variant", Raw_Data_Daily!$A:$A, $A32, Raw_Data_Daily!$C:$C, $C$3),""))</f>
        <v>0.4377</v>
      </c>
      <c r="EF32" s="257">
        <f t="shared" si="41"/>
        <v>-0.2325092057</v>
      </c>
      <c r="EG32" s="248">
        <f>IF($A32="","",IFERROR(SUMPRODUCT((Raw_Data_Daily!$B$2:$B$9999="Control")*(Raw_Data_Daily!$A$2:$A$9999=$A32)*(Raw_Data_Daily!$C$2:$C$9999=$C$3)*Raw_Data_Daily!$D$2:$D$9999*Raw_Data_Daily!$AU$2:$AU$9999)/SUMIFS(Raw_Data_Daily!$D:$D, Raw_Data_Daily!$B:$B, "Control", Raw_Data_Daily!$A:$A, $A32, Raw_Data_Daily!$C:$C, $C$3),""))</f>
        <v>0.1924</v>
      </c>
      <c r="EH32" s="248">
        <f>IF($A32="","",IFERROR(SUMPRODUCT((Raw_Data_Daily!$B$2:$B$9999="Variant")*(Raw_Data_Daily!$A$2:$A$9999=$A32)*(Raw_Data_Daily!$C$2:$C$9999=$C$3)*Raw_Data_Daily!$D$2:$D$9999*Raw_Data_Daily!$AU$2:$AU$9999)/SUMIFS(Raw_Data_Daily!$D:$D, Raw_Data_Daily!$B:$B, "Variant", Raw_Data_Daily!$A:$A, $A32, Raw_Data_Daily!$C:$C, $C$3),""))</f>
        <v>0.1419</v>
      </c>
      <c r="EI32" s="257">
        <f t="shared" si="42"/>
        <v>-0.2624740125</v>
      </c>
    </row>
    <row r="33" ht="15.75" customHeight="1">
      <c r="A33" s="239">
        <v>46256.0</v>
      </c>
      <c r="B33" s="240">
        <f>IF($A33="","",SUMIFS(Raw_Data_Daily!$D:$D, Raw_Data_Daily!$B:$B, "Control", Raw_Data_Daily!$A:$A, $A33, Raw_Data_Daily!$C:$C, $C$3))</f>
        <v>610</v>
      </c>
      <c r="C33" s="240">
        <f>IF($A33="","",SUMIFS(Raw_Data_Daily!$D:$D, Raw_Data_Daily!$B:$B, "Variant", Raw_Data_Daily!$A:$A, $A33, Raw_Data_Daily!$C:$C, $C$3))</f>
        <v>565</v>
      </c>
      <c r="D33" s="241">
        <f t="shared" si="1"/>
        <v>-0.0737704918</v>
      </c>
      <c r="E33" s="242">
        <f>IF($A33="","",IFERROR(SUMPRODUCT((Raw_Data_Daily!$B$2:$B$9999="Control")*(Raw_Data_Daily!$A$2:$A$9999=$A33)*(Raw_Data_Daily!$C$2:$C$9999=$C$3)*Raw_Data_Daily!$D$2:$D$9999*Raw_Data_Daily!$E$2:$E$9999)/SUMIFS(Raw_Data_Daily!$D:$D, Raw_Data_Daily!$B:$B, "Control", Raw_Data_Daily!$A:$A, $A33, Raw_Data_Daily!$C:$C, $C$3),""))</f>
        <v>2.18</v>
      </c>
      <c r="F33" s="242">
        <f>IF($A33="","",IFERROR(SUMPRODUCT((Raw_Data_Daily!$B$2:$B$9999="Variant")*(Raw_Data_Daily!$A$2:$A$9999=$A33)*(Raw_Data_Daily!$C$2:$C$9999=$C$3)*Raw_Data_Daily!$D$2:$D$9999*Raw_Data_Daily!$E$2:$E$9999)/SUMIFS(Raw_Data_Daily!$D:$D, Raw_Data_Daily!$B:$B, "Variant", Raw_Data_Daily!$A:$A, $A33, Raw_Data_Daily!$C:$C, $C$3),""))</f>
        <v>2.02</v>
      </c>
      <c r="G33" s="241">
        <f t="shared" si="2"/>
        <v>-0.07339449541</v>
      </c>
      <c r="H33" s="243">
        <f>IF($A33="","",SUMIFS(Raw_Data_Daily!$F:$F, Raw_Data_Daily!$B:$B, "Control", Raw_Data_Daily!$A:$A, $A33, Raw_Data_Daily!$C:$C, $C$3))</f>
        <v>412.84</v>
      </c>
      <c r="I33" s="243">
        <f>IF($A33="","",SUMIFS(Raw_Data_Daily!$F:$F, Raw_Data_Daily!$B:$B, "Variant", Raw_Data_Daily!$A:$A, $A33, Raw_Data_Daily!$C:$C, $C$3))</f>
        <v>623.58</v>
      </c>
      <c r="J33" s="244">
        <f t="shared" si="3"/>
        <v>0.5104641023</v>
      </c>
      <c r="K33" s="245">
        <f>IF($A33="","",IFERROR(SUMIFS(Raw_Data_Daily!$F:$F, Raw_Data_Daily!$B:$B, "Control", Raw_Data_Daily!$A:$A, $A33, Raw_Data_Daily!$C:$C, $C$3)/SUMIFS(Raw_Data_Daily!$D:$D, Raw_Data_Daily!$B:$B, "Control", Raw_Data_Daily!$A:$A, $A33, Raw_Data_Daily!$C:$C, $C$3),""))</f>
        <v>0.6767868852</v>
      </c>
      <c r="L33" s="245">
        <f>IF($A33="","",IFERROR(SUMIFS(Raw_Data_Daily!$F:$F, Raw_Data_Daily!$B:$B, "Variant", Raw_Data_Daily!$A:$A, $A33, Raw_Data_Daily!$C:$C, $C$3)/SUMIFS(Raw_Data_Daily!$D:$D, Raw_Data_Daily!$B:$B, "Variant", Raw_Data_Daily!$A:$A, $A33, Raw_Data_Daily!$C:$C, $C$3),""))</f>
        <v>1.103681416</v>
      </c>
      <c r="M33" s="244">
        <f t="shared" si="4"/>
        <v>0.6307665529</v>
      </c>
      <c r="N33" s="242">
        <f>IF($A33="","",IFERROR(SUMPRODUCT((Raw_Data_Daily!$B$2:$B$9999="Control")*(Raw_Data_Daily!$A$2:$A$9999=$A33)*(Raw_Data_Daily!$C$2:$C$9999=$C$3)*Raw_Data_Daily!$D$2:$D$9999*Raw_Data_Daily!$H$2:$H$9999/100)/SUMIFS(Raw_Data_Daily!$D:$D, Raw_Data_Daily!$B:$B, "Control", Raw_Data_Daily!$A:$A, $A33, Raw_Data_Daily!$C:$C, $C$3)*100,""))</f>
        <v>7.21</v>
      </c>
      <c r="O33" s="242">
        <f>IF($A33="","",IFERROR(SUMPRODUCT((Raw_Data_Daily!$B$2:$B$9999="Variant")*(Raw_Data_Daily!$A$2:$A$9999=$A33)*(Raw_Data_Daily!$C$2:$C$9999=$C$3)*Raw_Data_Daily!$D$2:$D$9999*Raw_Data_Daily!$H$2:$H$9999/100)/SUMIFS(Raw_Data_Daily!$D:$D, Raw_Data_Daily!$B:$B, "Variant", Raw_Data_Daily!$A:$A, $A33, Raw_Data_Daily!$C:$C, $C$3)*100,""))</f>
        <v>7.79</v>
      </c>
      <c r="P33" s="244">
        <f t="shared" si="5"/>
        <v>0.08044382802</v>
      </c>
      <c r="Q33" s="245">
        <f>IF($A33="","",IFERROR(SUMIFS(Raw_Data_Daily!$F:$F, Raw_Data_Daily!$B:$B, "Control", Raw_Data_Daily!$A:$A, $A33, Raw_Data_Daily!$C:$C, $C$3)/SUMPRODUCT((Raw_Data_Daily!$B$2:$B$9999="Control")*(Raw_Data_Daily!$A$2:$A$9999=$A33)*(Raw_Data_Daily!$C$2:$C$9999=$C$3)*Raw_Data_Daily!$D$2:$D$9999*Raw_Data_Daily!$H$2:$H$9999/100),""))</f>
        <v>9.386780655</v>
      </c>
      <c r="R33" s="245">
        <f>IF($A33="","",IFERROR(SUMIFS(Raw_Data_Daily!$F:$F, Raw_Data_Daily!$B:$B, "Variant", Raw_Data_Daily!$A:$A, $A33, Raw_Data_Daily!$C:$C, $C$3)/SUMPRODUCT((Raw_Data_Daily!$B$2:$B$9999="Variant")*(Raw_Data_Daily!$A$2:$A$9999=$A33)*(Raw_Data_Daily!$C$2:$C$9999=$C$3)*Raw_Data_Daily!$D$2:$D$9999*Raw_Data_Daily!$H$2:$H$9999/100),""))</f>
        <v>14.16792575</v>
      </c>
      <c r="S33" s="244">
        <f t="shared" si="6"/>
        <v>0.5093487608</v>
      </c>
      <c r="T33" s="246">
        <f>IF($A33="","",IFERROR(SUMPRODUCT((Raw_Data_Daily!$B$2:$B$9999="Control")*(Raw_Data_Daily!$A$2:$A$9999=$A33)*(Raw_Data_Daily!$C$2:$C$9999=$C$3)*Raw_Data_Daily!$D$2:$D$9999*Raw_Data_Daily!$J$2:$J$9999)/SUMIFS(Raw_Data_Daily!$D:$D, Raw_Data_Daily!$B:$B, "Control", Raw_Data_Daily!$A:$A, $A33, Raw_Data_Daily!$C:$C, $C$3),""))</f>
        <v>196.69</v>
      </c>
      <c r="U33" s="246">
        <f>IF($A33="","",IFERROR(SUMPRODUCT((Raw_Data_Daily!$B$2:$B$9999="Variant")*(Raw_Data_Daily!$A$2:$A$9999=$A33)*(Raw_Data_Daily!$C$2:$C$9999=$C$3)*Raw_Data_Daily!$D$2:$D$9999*Raw_Data_Daily!$J$2:$J$9999)/SUMIFS(Raw_Data_Daily!$D:$D, Raw_Data_Daily!$B:$B, "Variant", Raw_Data_Daily!$A:$A, $A33, Raw_Data_Daily!$C:$C, $C$3),""))</f>
        <v>202.5</v>
      </c>
      <c r="V33" s="244">
        <f t="shared" si="7"/>
        <v>0.02953886827</v>
      </c>
      <c r="W33" s="246">
        <f>IF($A33="","",IFERROR(SUMPRODUCT((Raw_Data_Daily!$B$2:$B$9999="Control")*(Raw_Data_Daily!$A$2:$A$9999=$A33)*(Raw_Data_Daily!$C$2:$C$9999=$C$3)*Raw_Data_Daily!$D$2:$D$9999*Raw_Data_Daily!$K$2:$K$9999)/SUMIFS(Raw_Data_Daily!$D:$D, Raw_Data_Daily!$B:$B, "Control", Raw_Data_Daily!$A:$A, $A33, Raw_Data_Daily!$C:$C, $C$3),""))</f>
        <v>126.06</v>
      </c>
      <c r="X33" s="246">
        <f>IF($A33="","",IFERROR(SUMPRODUCT((Raw_Data_Daily!$B$2:$B$9999="Variant")*(Raw_Data_Daily!$A$2:$A$9999=$A33)*(Raw_Data_Daily!$C$2:$C$9999=$C$3)*Raw_Data_Daily!$D$2:$D$9999*Raw_Data_Daily!$K$2:$K$9999)/SUMIFS(Raw_Data_Daily!$D:$D, Raw_Data_Daily!$B:$B, "Variant", Raw_Data_Daily!$A:$A, $A33, Raw_Data_Daily!$C:$C, $C$3),""))</f>
        <v>124.52</v>
      </c>
      <c r="Y33" s="244">
        <f t="shared" si="8"/>
        <v>-0.01221640489</v>
      </c>
      <c r="Z33" s="246">
        <f>IF($A33="","",IFERROR(SUMPRODUCT((Raw_Data_Daily!$B$2:$B$9999="Control")*(Raw_Data_Daily!$A$2:$A$9999=$A33)*(Raw_Data_Daily!$C$2:$C$9999=$C$3)*Raw_Data_Daily!$D$2:$D$9999*Raw_Data_Daily!$L$2:$L$9999)/SUMIFS(Raw_Data_Daily!$D:$D, Raw_Data_Daily!$B:$B, "Control", Raw_Data_Daily!$A:$A, $A33, Raw_Data_Daily!$C:$C, $C$3),""))</f>
        <v>100.17</v>
      </c>
      <c r="AA33" s="246">
        <f>IF($A33="","",IFERROR(SUMPRODUCT((Raw_Data_Daily!$B$2:$B$9999="Variant")*(Raw_Data_Daily!$A$2:$A$9999=$A33)*(Raw_Data_Daily!$C$2:$C$9999=$C$3)*Raw_Data_Daily!$D$2:$D$9999*Raw_Data_Daily!$L$2:$L$9999)/SUMIFS(Raw_Data_Daily!$D:$D, Raw_Data_Daily!$B:$B, "Variant", Raw_Data_Daily!$A:$A, $A33, Raw_Data_Daily!$C:$C, $C$3),""))</f>
        <v>97.05</v>
      </c>
      <c r="AB33" s="244">
        <f t="shared" si="9"/>
        <v>-0.03114705001</v>
      </c>
      <c r="AC33" s="248">
        <f>IF($A33="","",IFERROR(SUMPRODUCT((Raw_Data_Daily!$B$2:$B$9999="Control")*(Raw_Data_Daily!$A$2:$A$9999=$A33)*(Raw_Data_Daily!$C$2:$C$9999=$C$3)*Raw_Data_Daily!$D$2:$D$9999*Raw_Data_Daily!$M$2:$M$9999)/SUMIFS(Raw_Data_Daily!$D:$D, Raw_Data_Daily!$B:$B, "Control", Raw_Data_Daily!$A:$A, $A33, Raw_Data_Daily!$C:$C, $C$3),""))</f>
        <v>0.7946</v>
      </c>
      <c r="AD33" s="248">
        <f>IF($A33="","",IFERROR(SUMPRODUCT((Raw_Data_Daily!$B$2:$B$9999="Variant")*(Raw_Data_Daily!$A$2:$A$9999=$A33)*(Raw_Data_Daily!$C$2:$C$9999=$C$3)*Raw_Data_Daily!$D$2:$D$9999*Raw_Data_Daily!$M$2:$M$9999)/SUMIFS(Raw_Data_Daily!$D:$D, Raw_Data_Daily!$B:$B, "Variant", Raw_Data_Daily!$A:$A, $A33, Raw_Data_Daily!$C:$C, $C$3),""))</f>
        <v>0.7794</v>
      </c>
      <c r="AE33" s="249">
        <f t="shared" si="10"/>
        <v>-0.01912912157</v>
      </c>
      <c r="AF33" s="248">
        <f>IF($A33="","",IFERROR(SUMPRODUCT((Raw_Data_Daily!$B$2:$B$9999="Control")*(Raw_Data_Daily!$A$2:$A$9999=$A33)*(Raw_Data_Daily!$C$2:$C$9999=$C$3)*Raw_Data_Daily!$D$2:$D$9999*Raw_Data_Daily!$N$2:$N$9999)/SUMIFS(Raw_Data_Daily!$D:$D, Raw_Data_Daily!$B:$B, "Control", Raw_Data_Daily!$A:$A, $A33, Raw_Data_Daily!$C:$C, $C$3),""))</f>
        <v>0.3413</v>
      </c>
      <c r="AG33" s="248">
        <f>IF($A33="","",IFERROR(SUMPRODUCT((Raw_Data_Daily!$B$2:$B$9999="Variant")*(Raw_Data_Daily!$A$2:$A$9999=$A33)*(Raw_Data_Daily!$C$2:$C$9999=$C$3)*Raw_Data_Daily!$D$2:$D$9999*Raw_Data_Daily!$N$2:$N$9999)/SUMIFS(Raw_Data_Daily!$D:$D, Raw_Data_Daily!$B:$B, "Variant", Raw_Data_Daily!$A:$A, $A33, Raw_Data_Daily!$C:$C, $C$3),""))</f>
        <v>0.3535</v>
      </c>
      <c r="AH33" s="249">
        <f t="shared" si="11"/>
        <v>0.03574567829</v>
      </c>
      <c r="AI33" s="248">
        <f>IF($A33="","",IFERROR(SUMPRODUCT((Raw_Data_Daily!$B$2:$B$9999="Control")*(Raw_Data_Daily!$A$2:$A$9999=$A33)*(Raw_Data_Daily!$C$2:$C$9999=$C$3)*Raw_Data_Daily!$D$2:$D$9999*Raw_Data_Daily!$O$2:$O$9999)/SUMIFS(Raw_Data_Daily!$D:$D, Raw_Data_Daily!$B:$B, "Control", Raw_Data_Daily!$A:$A, $A33, Raw_Data_Daily!$C:$C, $C$3),""))</f>
        <v>0.2218</v>
      </c>
      <c r="AJ33" s="248">
        <f>IF($A33="","",IFERROR(SUMPRODUCT((Raw_Data_Daily!$B$2:$B$9999="Variant")*(Raw_Data_Daily!$A$2:$A$9999=$A33)*(Raw_Data_Daily!$C$2:$C$9999=$C$3)*Raw_Data_Daily!$D$2:$D$9999*Raw_Data_Daily!$O$2:$O$9999)/SUMIFS(Raw_Data_Daily!$D:$D, Raw_Data_Daily!$B:$B, "Variant", Raw_Data_Daily!$A:$A, $A33, Raw_Data_Daily!$C:$C, $C$3),""))</f>
        <v>0.2215</v>
      </c>
      <c r="AK33" s="244">
        <f t="shared" si="12"/>
        <v>-0.001352569883</v>
      </c>
      <c r="AL33" s="246">
        <f>IF($A33="","",IFERROR(SUMPRODUCT((Raw_Data_Daily!$B$2:$B$9999="Control")*(Raw_Data_Daily!$A$2:$A$9999=$A33)*(Raw_Data_Daily!$C$2:$C$9999=$C$3)*Raw_Data_Daily!$D$2:$D$9999*Raw_Data_Daily!$P$2:$P$9999)/SUMIFS(Raw_Data_Daily!$D:$D, Raw_Data_Daily!$B:$B, "Control", Raw_Data_Daily!$A:$A, $A33, Raw_Data_Daily!$C:$C, $C$3),""))</f>
        <v>1.2585</v>
      </c>
      <c r="AM33" s="246">
        <f>IF($A33="","",IFERROR(SUMPRODUCT((Raw_Data_Daily!$B$2:$B$9999="Variant")*(Raw_Data_Daily!$A$2:$A$9999=$A33)*(Raw_Data_Daily!$C$2:$C$9999=$C$3)*Raw_Data_Daily!$D$2:$D$9999*Raw_Data_Daily!$P$2:$P$9999)/SUMIFS(Raw_Data_Daily!$D:$D, Raw_Data_Daily!$B:$B, "Variant", Raw_Data_Daily!$A:$A, $A33, Raw_Data_Daily!$C:$C, $C$3),""))</f>
        <v>1.2831</v>
      </c>
      <c r="AN33" s="244">
        <f t="shared" si="13"/>
        <v>0.01954707986</v>
      </c>
      <c r="AO33" s="246">
        <f>IF($A33="","",IFERROR(SUMPRODUCT((Raw_Data_Daily!$B$2:$B$9999="Control")*(Raw_Data_Daily!$A$2:$A$9999=$A33)*(Raw_Data_Daily!$C$2:$C$9999=$C$3)*Raw_Data_Daily!$D$2:$D$9999*Raw_Data_Daily!$Q$2:$Q$9999)/SUMIFS(Raw_Data_Daily!$D:$D, Raw_Data_Daily!$B:$B, "Control", Raw_Data_Daily!$A:$A, $A33, Raw_Data_Daily!$C:$C, $C$3),""))</f>
        <v>472.02</v>
      </c>
      <c r="AP33" s="246">
        <f>IF($A33="","",IFERROR(SUMPRODUCT((Raw_Data_Daily!$B$2:$B$9999="Variant")*(Raw_Data_Daily!$A$2:$A$9999=$A33)*(Raw_Data_Daily!$C$2:$C$9999=$C$3)*Raw_Data_Daily!$D$2:$D$9999*Raw_Data_Daily!$Q$2:$Q$9999)/SUMIFS(Raw_Data_Daily!$D:$D, Raw_Data_Daily!$B:$B, "Variant", Raw_Data_Daily!$A:$A, $A33, Raw_Data_Daily!$C:$C, $C$3),""))</f>
        <v>504.72</v>
      </c>
      <c r="AQ33" s="241">
        <f t="shared" si="14"/>
        <v>0.06927672556</v>
      </c>
      <c r="AR33" s="246">
        <f>IF($A33="","",IFERROR(SUMPRODUCT((Raw_Data_Daily!$B$2:$B$9999="Control")*(Raw_Data_Daily!$A$2:$A$9999=$A33)*(Raw_Data_Daily!$C$2:$C$9999=$C$3)*Raw_Data_Daily!$D$2:$D$9999*Raw_Data_Daily!$R$2:$R$9999)/SUMIFS(Raw_Data_Daily!$D:$D, Raw_Data_Daily!$B:$B, "Control", Raw_Data_Daily!$A:$A, $A33, Raw_Data_Daily!$C:$C, $C$3),""))</f>
        <v>419.22</v>
      </c>
      <c r="AS33" s="246">
        <f>IF($A33="","",IFERROR(SUMPRODUCT((Raw_Data_Daily!$B$2:$B$9999="Variant")*(Raw_Data_Daily!$A$2:$A$9999=$A33)*(Raw_Data_Daily!$C$2:$C$9999=$C$3)*Raw_Data_Daily!$D$2:$D$9999*Raw_Data_Daily!$R$2:$R$9999)/SUMIFS(Raw_Data_Daily!$D:$D, Raw_Data_Daily!$B:$B, "Variant", Raw_Data_Daily!$A:$A, $A33, Raw_Data_Daily!$C:$C, $C$3),""))</f>
        <v>456.13</v>
      </c>
      <c r="AT33" s="241">
        <f t="shared" si="15"/>
        <v>0.08804446353</v>
      </c>
      <c r="AU33" s="246">
        <f>IF($A33="","",IFERROR(SUMPRODUCT((Raw_Data_Daily!$B$2:$B$9999="Control")*(Raw_Data_Daily!$A$2:$A$9999=$A33)*(Raw_Data_Daily!$C$2:$C$9999=$C$3)*Raw_Data_Daily!$D$2:$D$9999*Raw_Data_Daily!$S$2:$S$9999)/SUMIFS(Raw_Data_Daily!$D:$D, Raw_Data_Daily!$B:$B, "Control", Raw_Data_Daily!$A:$A, $A33, Raw_Data_Daily!$C:$C, $C$3),""))</f>
        <v>52.8</v>
      </c>
      <c r="AV33" s="246">
        <f>IF($A33="","",IFERROR(SUMPRODUCT((Raw_Data_Daily!$B$2:$B$9999="Variant")*(Raw_Data_Daily!$A$2:$A$9999=$A33)*(Raw_Data_Daily!$C$2:$C$9999=$C$3)*Raw_Data_Daily!$D$2:$D$9999*Raw_Data_Daily!$S$2:$S$9999)/SUMIFS(Raw_Data_Daily!$D:$D, Raw_Data_Daily!$B:$B, "Variant", Raw_Data_Daily!$A:$A, $A33, Raw_Data_Daily!$C:$C, $C$3),""))</f>
        <v>48.58</v>
      </c>
      <c r="AW33" s="241">
        <f t="shared" si="16"/>
        <v>-0.07992424242</v>
      </c>
      <c r="AX33" s="246">
        <f>IF($A33="","",IFERROR(SUMPRODUCT((Raw_Data_Daily!$B$2:$B$9999="Control")*(Raw_Data_Daily!$A$2:$A$9999=$A33)*(Raw_Data_Daily!$C$2:$C$9999=$C$3)*Raw_Data_Daily!$D$2:$D$9999*Raw_Data_Daily!$T$2:$T$9999)/SUMIFS(Raw_Data_Daily!$D:$D, Raw_Data_Daily!$B:$B, "Control", Raw_Data_Daily!$A:$A, $A33, Raw_Data_Daily!$C:$C, $C$3),""))</f>
        <v>64.51</v>
      </c>
      <c r="AY33" s="246">
        <f>IF($A33="","",IFERROR(SUMPRODUCT((Raw_Data_Daily!$B$2:$B$9999="Variant")*(Raw_Data_Daily!$A$2:$A$9999=$A33)*(Raw_Data_Daily!$C$2:$C$9999=$C$3)*Raw_Data_Daily!$D$2:$D$9999*Raw_Data_Daily!$T$2:$T$9999)/SUMIFS(Raw_Data_Daily!$D:$D, Raw_Data_Daily!$B:$B, "Variant", Raw_Data_Daily!$A:$A, $A33, Raw_Data_Daily!$C:$C, $C$3),""))</f>
        <v>112.39</v>
      </c>
      <c r="AZ33" s="244">
        <f t="shared" si="17"/>
        <v>0.74221051</v>
      </c>
      <c r="BA33" s="246">
        <f>IF($A33="","",IFERROR(SUMPRODUCT((Raw_Data_Daily!$B$2:$B$9999="Control")*(Raw_Data_Daily!$A$2:$A$9999=$A33)*(Raw_Data_Daily!$C$2:$C$9999=$C$3)*Raw_Data_Daily!$D$2:$D$9999*Raw_Data_Daily!$U$2:$U$9999)/SUMIFS(Raw_Data_Daily!$D:$D, Raw_Data_Daily!$B:$B, "Control", Raw_Data_Daily!$A:$A, $A33, Raw_Data_Daily!$C:$C, $C$3),""))</f>
        <v>407.51</v>
      </c>
      <c r="BB33" s="246">
        <f>IF($A33="","",IFERROR(SUMPRODUCT((Raw_Data_Daily!$B$2:$B$9999="Variant")*(Raw_Data_Daily!$A$2:$A$9999=$A33)*(Raw_Data_Daily!$C$2:$C$9999=$C$3)*Raw_Data_Daily!$D$2:$D$9999*Raw_Data_Daily!$U$2:$U$9999)/SUMIFS(Raw_Data_Daily!$D:$D, Raw_Data_Daily!$B:$B, "Variant", Raw_Data_Daily!$A:$A, $A33, Raw_Data_Daily!$C:$C, $C$3),""))</f>
        <v>392.33</v>
      </c>
      <c r="BC33" s="241">
        <f t="shared" si="18"/>
        <v>-0.03725061962</v>
      </c>
      <c r="BD33" s="246">
        <f>IF($A33="","",IFERROR(SUMPRODUCT((Raw_Data_Daily!$B$2:$B$9999="Control")*(Raw_Data_Daily!$A$2:$A$9999=$A33)*(Raw_Data_Daily!$C$2:$C$9999=$C$3)*Raw_Data_Daily!$D$2:$D$9999*Raw_Data_Daily!$V$2:$V$9999)/SUMIFS(Raw_Data_Daily!$D:$D, Raw_Data_Daily!$B:$B, "Control", Raw_Data_Daily!$A:$A, $A33, Raw_Data_Daily!$C:$C, $C$3),""))</f>
        <v>510.9</v>
      </c>
      <c r="BE33" s="246">
        <f>IF($A33="","",IFERROR(SUMPRODUCT((Raw_Data_Daily!$B$2:$B$9999="Variant")*(Raw_Data_Daily!$A$2:$A$9999=$A33)*(Raw_Data_Daily!$C$2:$C$9999=$C$3)*Raw_Data_Daily!$D$2:$D$9999*Raw_Data_Daily!$V$2:$V$9999)/SUMIFS(Raw_Data_Daily!$D:$D, Raw_Data_Daily!$B:$B, "Variant", Raw_Data_Daily!$A:$A, $A33, Raw_Data_Daily!$C:$C, $C$3),""))</f>
        <v>540.35</v>
      </c>
      <c r="BF33" s="251">
        <f t="shared" si="19"/>
        <v>0.05764337444</v>
      </c>
      <c r="BG33" s="252">
        <f>IF($A33="","",IFERROR(SUMPRODUCT((Raw_Data_Daily!$B$2:$B$9999="Control")*(Raw_Data_Daily!$A$2:$A$9999=$A33)*(Raw_Data_Daily!$C$2:$C$9999=$C$3)*Raw_Data_Daily!$D$2:$D$9999*(Raw_Data_Daily!$Q$2:$Q$9999-Raw_Data_Daily!$V$2:$V$9999))/SUMIFS(Raw_Data_Daily!$D:$D, Raw_Data_Daily!$B:$B, "Control", Raw_Data_Daily!$A:$A, $A33, Raw_Data_Daily!$C:$C, $C$3),""))</f>
        <v>-38.88</v>
      </c>
      <c r="BH33" s="246">
        <f>IF($A33="","",IFERROR(SUMPRODUCT((Raw_Data_Daily!$B$2:$B$9999="Variant")*(Raw_Data_Daily!$A$2:$A$9999=$A33)*(Raw_Data_Daily!$C$2:$C$9999=$C$3)*Raw_Data_Daily!$D$2:$D$9999*(Raw_Data_Daily!$Q$2:$Q$9999-Raw_Data_Daily!$V$2:$V$9999))/SUMIFS(Raw_Data_Daily!$D:$D, Raw_Data_Daily!$B:$B, "Variant", Raw_Data_Daily!$A:$A, $A33, Raw_Data_Daily!$C:$C, $C$3),""))</f>
        <v>-35.63</v>
      </c>
      <c r="BI33" s="253">
        <f t="shared" si="20"/>
        <v>0.08359053498</v>
      </c>
      <c r="BJ33" s="254">
        <f>IF($A33="","",IFERROR(SUMPRODUCT((Raw_Data_Daily!$B$2:$B$9999="Control")*(Raw_Data_Daily!$A$2:$A$9999=$A33)*(Raw_Data_Daily!$C$2:$C$9999=$C$3)*Raw_Data_Daily!$D$2:$D$9999*Raw_Data_Daily!$W$2:$W$9999)/SUMIFS(Raw_Data_Daily!$D:$D, Raw_Data_Daily!$B:$B, "Control", Raw_Data_Daily!$A:$A, $A33, Raw_Data_Daily!$C:$C, $C$3),""))</f>
        <v>4.053</v>
      </c>
      <c r="BK33" s="246">
        <f>IF($A33="","",IFERROR(SUMPRODUCT((Raw_Data_Daily!$B$2:$B$9999="Variant")*(Raw_Data_Daily!$A$2:$A$9999=$A33)*(Raw_Data_Daily!$C$2:$C$9999=$C$3)*Raw_Data_Daily!$D$2:$D$9999*Raw_Data_Daily!$W$2:$W$9999)/SUMIFS(Raw_Data_Daily!$D:$D, Raw_Data_Daily!$B:$B, "Variant", Raw_Data_Daily!$A:$A, $A33, Raw_Data_Daily!$C:$C, $C$3),""))</f>
        <v>4.3395</v>
      </c>
      <c r="BL33" s="241">
        <f t="shared" si="21"/>
        <v>0.07068837898</v>
      </c>
      <c r="BM33" s="248">
        <f>IF($A33="","",IFERROR(SUMPRODUCT((Raw_Data_Daily!$B$2:$B$9999="Control")*(Raw_Data_Daily!$A$2:$A$9999=$A33)*(Raw_Data_Daily!$C$2:$C$9999=$C$3)*Raw_Data_Daily!$D$2:$D$9999*Raw_Data_Daily!$X$2:$X$9999)/SUMIFS(Raw_Data_Daily!$D:$D, Raw_Data_Daily!$B:$B, "Control", Raw_Data_Daily!$A:$A, $A33, Raw_Data_Daily!$C:$C, $C$3),""))</f>
        <v>13.67</v>
      </c>
      <c r="BN33" s="248">
        <f>IF($A33="","",IFERROR(SUMPRODUCT((Raw_Data_Daily!$B$2:$B$9999="Variant")*(Raw_Data_Daily!$A$2:$A$9999=$A33)*(Raw_Data_Daily!$C$2:$C$9999=$C$3)*Raw_Data_Daily!$D$2:$D$9999*Raw_Data_Daily!$X$2:$X$9999)/SUMIFS(Raw_Data_Daily!$D:$D, Raw_Data_Daily!$B:$B, "Variant", Raw_Data_Daily!$A:$A, $A33, Raw_Data_Daily!$C:$C, $C$3),""))</f>
        <v>22.27</v>
      </c>
      <c r="BO33" s="244">
        <f t="shared" si="22"/>
        <v>0.62911485</v>
      </c>
      <c r="BP33" s="240">
        <f>IF($A33="","",IFERROR(SUMPRODUCT((Raw_Data_Daily!$B$2:$B$9999="Control")*(Raw_Data_Daily!$A$2:$A$9999=$A33)*(Raw_Data_Daily!$C$2:$C$9999=$C$3)*Raw_Data_Daily!$D$2:$D$9999*Raw_Data_Daily!$Y$2:$Y$9999)/SUMIFS(Raw_Data_Daily!$D:$D, Raw_Data_Daily!$B:$B, "Control", Raw_Data_Daily!$A:$A, $A33, Raw_Data_Daily!$C:$C, $C$3),""))</f>
        <v>424</v>
      </c>
      <c r="BQ33" s="240">
        <f>IF($A33="","",IFERROR(SUMPRODUCT((Raw_Data_Daily!$B$2:$B$9999="Variant")*(Raw_Data_Daily!$A$2:$A$9999=$A33)*(Raw_Data_Daily!$C$2:$C$9999=$C$3)*Raw_Data_Daily!$D$2:$D$9999*Raw_Data_Daily!$Y$2:$Y$9999)/SUMIFS(Raw_Data_Daily!$D:$D, Raw_Data_Daily!$B:$B, "Variant", Raw_Data_Daily!$A:$A, $A33, Raw_Data_Daily!$C:$C, $C$3),""))</f>
        <v>324</v>
      </c>
      <c r="BR33" s="241">
        <f t="shared" si="23"/>
        <v>-0.2358490566</v>
      </c>
      <c r="BS33" s="240">
        <f>IF($A33="","",IFERROR(SUMPRODUCT((Raw_Data_Daily!$B$2:$B$9999="Control")*(Raw_Data_Daily!$A$2:$A$9999=$A33)*(Raw_Data_Daily!$C$2:$C$9999=$C$3)*Raw_Data_Daily!$D$2:$D$9999*Raw_Data_Daily!$Z$2:$Z$9999)/SUMIFS(Raw_Data_Daily!$D:$D, Raw_Data_Daily!$B:$B, "Control", Raw_Data_Daily!$A:$A, $A33, Raw_Data_Daily!$C:$C, $C$3),""))</f>
        <v>1316</v>
      </c>
      <c r="BT33" s="240">
        <f>IF($A33="","",IFERROR(SUMPRODUCT((Raw_Data_Daily!$B$2:$B$9999="Variant")*(Raw_Data_Daily!$A$2:$A$9999=$A33)*(Raw_Data_Daily!$C$2:$C$9999=$C$3)*Raw_Data_Daily!$D$2:$D$9999*Raw_Data_Daily!$Z$2:$Z$9999)/SUMIFS(Raw_Data_Daily!$D:$D, Raw_Data_Daily!$B:$B, "Variant", Raw_Data_Daily!$A:$A, $A33, Raw_Data_Daily!$C:$C, $C$3),""))</f>
        <v>1017</v>
      </c>
      <c r="BU33" s="241">
        <f t="shared" si="24"/>
        <v>-0.2272036474</v>
      </c>
      <c r="BV33" s="240">
        <f>IF($A33="","",IFERROR(SUMPRODUCT((Raw_Data_Daily!$B$2:$B$9999="Control")*(Raw_Data_Daily!$A$2:$A$9999=$A33)*(Raw_Data_Daily!$C$2:$C$9999=$C$3)*Raw_Data_Daily!$D$2:$D$9999*Raw_Data_Daily!$AA$2:$AA$9999)/SUMIFS(Raw_Data_Daily!$D:$D, Raw_Data_Daily!$B:$B, "Control", Raw_Data_Daily!$A:$A, $A33, Raw_Data_Daily!$C:$C, $C$3),""))</f>
        <v>5463</v>
      </c>
      <c r="BW33" s="240">
        <f>IF($A33="","",IFERROR(SUMPRODUCT((Raw_Data_Daily!$B$2:$B$9999="Variant")*(Raw_Data_Daily!$A$2:$A$9999=$A33)*(Raw_Data_Daily!$C$2:$C$9999=$C$3)*Raw_Data_Daily!$D$2:$D$9999*Raw_Data_Daily!$AA$2:$AA$9999)/SUMIFS(Raw_Data_Daily!$D:$D, Raw_Data_Daily!$B:$B, "Variant", Raw_Data_Daily!$A:$A, $A33, Raw_Data_Daily!$C:$C, $C$3),""))</f>
        <v>3987</v>
      </c>
      <c r="BX33" s="241">
        <f t="shared" si="25"/>
        <v>-0.2701812191</v>
      </c>
      <c r="BY33" s="246">
        <f>IF($A33="","",IFERROR(SUMPRODUCT((Raw_Data_Daily!$B$2:$B$9999="Control")*(Raw_Data_Daily!$A$2:$A$9999=$A33)*(Raw_Data_Daily!$C$2:$C$9999=$C$3)*Raw_Data_Daily!$D$2:$D$9999*Raw_Data_Daily!$AB$2:$AB$9999)/SUMIFS(Raw_Data_Daily!$D:$D, Raw_Data_Daily!$B:$B, "Control", Raw_Data_Daily!$A:$A, $A33, Raw_Data_Daily!$C:$C, $C$3),""))</f>
        <v>57.0815</v>
      </c>
      <c r="BZ33" s="246">
        <f>IF($A33="","",IFERROR(SUMPRODUCT((Raw_Data_Daily!$B$2:$B$9999="Variant")*(Raw_Data_Daily!$A$2:$A$9999=$A33)*(Raw_Data_Daily!$C$2:$C$9999=$C$3)*Raw_Data_Daily!$D$2:$D$9999*Raw_Data_Daily!$AB$2:$AB$9999)/SUMIFS(Raw_Data_Daily!$D:$D, Raw_Data_Daily!$B:$B, "Variant", Raw_Data_Daily!$A:$A, $A33, Raw_Data_Daily!$C:$C, $C$3),""))</f>
        <v>56.6097</v>
      </c>
      <c r="CA33" s="244">
        <f t="shared" si="26"/>
        <v>-0.008265374946</v>
      </c>
      <c r="CB33" s="246">
        <f>IF($A33="","",IFERROR(SUMPRODUCT((Raw_Data_Daily!$B$2:$B$9999="Control")*(Raw_Data_Daily!$A$2:$A$9999=$A33)*(Raw_Data_Daily!$C$2:$C$9999=$C$3)*Raw_Data_Daily!$D$2:$D$9999*Raw_Data_Daily!$AC$2:$AC$9999)/SUMIFS(Raw_Data_Daily!$D:$D, Raw_Data_Daily!$B:$B, "Control", Raw_Data_Daily!$A:$A, $A33, Raw_Data_Daily!$C:$C, $C$3),""))</f>
        <v>0.5815</v>
      </c>
      <c r="CC33" s="246">
        <f>IF($A33="","",IFERROR(SUMPRODUCT((Raw_Data_Daily!$B$2:$B$9999="Variant")*(Raw_Data_Daily!$A$2:$A$9999=$A33)*(Raw_Data_Daily!$C$2:$C$9999=$C$3)*Raw_Data_Daily!$D$2:$D$9999*Raw_Data_Daily!$AC$2:$AC$9999)/SUMIFS(Raw_Data_Daily!$D:$D, Raw_Data_Daily!$B:$B, "Variant", Raw_Data_Daily!$A:$A, $A33, Raw_Data_Daily!$C:$C, $C$3),""))</f>
        <v>0.5729</v>
      </c>
      <c r="CD33" s="244">
        <f t="shared" si="27"/>
        <v>-0.01478933792</v>
      </c>
      <c r="CE33" s="246">
        <f>IF($A33="","",IFERROR(SUMPRODUCT((Raw_Data_Daily!$B$2:$B$9999="Control")*(Raw_Data_Daily!$A$2:$A$9999=$A33)*(Raw_Data_Daily!$C$2:$C$9999=$C$3)*Raw_Data_Daily!$D$2:$D$9999*Raw_Data_Daily!$AD$2:$AD$9999)/SUMIFS(Raw_Data_Daily!$D:$D, Raw_Data_Daily!$B:$B, "Control", Raw_Data_Daily!$A:$A, $A33, Raw_Data_Daily!$C:$C, $C$3),""))</f>
        <v>44.93</v>
      </c>
      <c r="CF33" s="246">
        <f>IF($A33="","",IFERROR(SUMPRODUCT((Raw_Data_Daily!$B$2:$B$9999="Variant")*(Raw_Data_Daily!$A$2:$A$9999=$A33)*(Raw_Data_Daily!$C$2:$C$9999=$C$3)*Raw_Data_Daily!$D$2:$D$9999*Raw_Data_Daily!$AD$2:$AD$9999)/SUMIFS(Raw_Data_Daily!$D:$D, Raw_Data_Daily!$B:$B, "Variant", Raw_Data_Daily!$A:$A, $A33, Raw_Data_Daily!$C:$C, $C$3),""))</f>
        <v>43.56</v>
      </c>
      <c r="CG33" s="244">
        <f t="shared" si="28"/>
        <v>-0.03049187625</v>
      </c>
      <c r="CH33" s="246">
        <f>IF($A33="","",IFERROR(SUMPRODUCT((Raw_Data_Daily!$B$2:$B$9999="Control")*(Raw_Data_Daily!$A$2:$A$9999=$A33)*(Raw_Data_Daily!$C$2:$C$9999=$C$3)*Raw_Data_Daily!$D$2:$D$9999*Raw_Data_Daily!$AE$2:$AE$9999)/SUMIFS(Raw_Data_Daily!$D:$D, Raw_Data_Daily!$B:$B, "Control", Raw_Data_Daily!$A:$A, $A33, Raw_Data_Daily!$C:$C, $C$3),""))</f>
        <v>18</v>
      </c>
      <c r="CI33" s="246">
        <f>IF($A33="","",IFERROR(SUMPRODUCT((Raw_Data_Daily!$B$2:$B$9999="Variant")*(Raw_Data_Daily!$A$2:$A$9999=$A33)*(Raw_Data_Daily!$C$2:$C$9999=$C$3)*Raw_Data_Daily!$D$2:$D$9999*Raw_Data_Daily!$AE$2:$AE$9999)/SUMIFS(Raw_Data_Daily!$D:$D, Raw_Data_Daily!$B:$B, "Variant", Raw_Data_Daily!$A:$A, $A33, Raw_Data_Daily!$C:$C, $C$3),""))</f>
        <v>16</v>
      </c>
      <c r="CJ33" s="244">
        <f t="shared" si="29"/>
        <v>-0.1111111111</v>
      </c>
      <c r="CK33" s="246">
        <f>IF($A33="","",IFERROR(SUMPRODUCT((Raw_Data_Daily!$B$2:$B$9999="Control")*(Raw_Data_Daily!$A$2:$A$9999=$A33)*(Raw_Data_Daily!$C$2:$C$9999=$C$3)*Raw_Data_Daily!$D$2:$D$9999*Raw_Data_Daily!$AF$2:$AF$9999)/SUMIFS(Raw_Data_Daily!$D:$D, Raw_Data_Daily!$B:$B, "Control", Raw_Data_Daily!$A:$A, $A33, Raw_Data_Daily!$C:$C, $C$3),""))</f>
        <v>32</v>
      </c>
      <c r="CL33" s="246">
        <f>IF($A33="","",IFERROR(SUMPRODUCT((Raw_Data_Daily!$B$2:$B$9999="Variant")*(Raw_Data_Daily!$A$2:$A$9999=$A33)*(Raw_Data_Daily!$C$2:$C$9999=$C$3)*Raw_Data_Daily!$D$2:$D$9999*Raw_Data_Daily!$AF$2:$AF$9999)/SUMIFS(Raw_Data_Daily!$D:$D, Raw_Data_Daily!$B:$B, "Variant", Raw_Data_Daily!$A:$A, $A33, Raw_Data_Daily!$C:$C, $C$3),""))</f>
        <v>28</v>
      </c>
      <c r="CM33" s="244">
        <f t="shared" si="30"/>
        <v>-0.125</v>
      </c>
      <c r="CN33" s="246">
        <f>IF($A33="","",IFERROR(SUMPRODUCT((Raw_Data_Daily!$B$2:$B$9999="Control")*(Raw_Data_Daily!$A$2:$A$9999=$A33)*(Raw_Data_Daily!$C$2:$C$9999=$C$3)*Raw_Data_Daily!$D$2:$D$9999*Raw_Data_Daily!$AG$2:$AG$9999)/SUMIFS(Raw_Data_Daily!$D:$D, Raw_Data_Daily!$B:$B, "Control", Raw_Data_Daily!$A:$A, $A33, Raw_Data_Daily!$C:$C, $C$3),""))</f>
        <v>59</v>
      </c>
      <c r="CO33" s="246">
        <f>IF($A33="","",IFERROR(SUMPRODUCT((Raw_Data_Daily!$B$2:$B$9999="Variant")*(Raw_Data_Daily!$A$2:$A$9999=$A33)*(Raw_Data_Daily!$C$2:$C$9999=$C$3)*Raw_Data_Daily!$D$2:$D$9999*Raw_Data_Daily!$AG$2:$AG$9999)/SUMIFS(Raw_Data_Daily!$D:$D, Raw_Data_Daily!$B:$B, "Variant", Raw_Data_Daily!$A:$A, $A33, Raw_Data_Daily!$C:$C, $C$3),""))</f>
        <v>56</v>
      </c>
      <c r="CP33" s="244">
        <f t="shared" si="31"/>
        <v>-0.05084745763</v>
      </c>
      <c r="CQ33" s="246">
        <f>IF($A33="","",IFERROR(SUMPRODUCT((Raw_Data_Daily!$B$2:$B$9999="Control")*(Raw_Data_Daily!$A$2:$A$9999=$A33)*(Raw_Data_Daily!$C$2:$C$9999=$C$3)*Raw_Data_Daily!$D$2:$D$9999*Raw_Data_Daily!$AH$2:$AH$9999)/SUMIFS(Raw_Data_Daily!$D:$D, Raw_Data_Daily!$B:$B, "Control", Raw_Data_Daily!$A:$A, $A33, Raw_Data_Daily!$C:$C, $C$3),""))</f>
        <v>96</v>
      </c>
      <c r="CR33" s="246">
        <f>IF($A33="","",IFERROR(SUMPRODUCT((Raw_Data_Daily!$B$2:$B$9999="Variant")*(Raw_Data_Daily!$A$2:$A$9999=$A33)*(Raw_Data_Daily!$C$2:$C$9999=$C$3)*Raw_Data_Daily!$D$2:$D$9999*Raw_Data_Daily!$AH$2:$AH$9999)/SUMIFS(Raw_Data_Daily!$D:$D, Raw_Data_Daily!$B:$B, "Variant", Raw_Data_Daily!$A:$A, $A33, Raw_Data_Daily!$C:$C, $C$3),""))</f>
        <v>103</v>
      </c>
      <c r="CS33" s="244">
        <f t="shared" si="32"/>
        <v>0.07291666667</v>
      </c>
      <c r="CT33" s="242">
        <f>IF($A33="","",IFERROR(SUMPRODUCT((Raw_Data_Daily!$B$2:$B$9999="Control")*(Raw_Data_Daily!$A$2:$A$9999=$A33)*(Raw_Data_Daily!$C$2:$C$9999=$C$3)*Raw_Data_Daily!$D$2:$D$9999*Raw_Data_Daily!$AI$2:$AI$9999)/SUMIFS(Raw_Data_Daily!$D:$D, Raw_Data_Daily!$B:$B, "Control", Raw_Data_Daily!$A:$A, $A33, Raw_Data_Daily!$C:$C, $C$3),""))</f>
        <v>16.39</v>
      </c>
      <c r="CU33" s="242">
        <f>IF($A33="","",IFERROR(SUMPRODUCT((Raw_Data_Daily!$B$2:$B$9999="Variant")*(Raw_Data_Daily!$A$2:$A$9999=$A33)*(Raw_Data_Daily!$C$2:$C$9999=$C$3)*Raw_Data_Daily!$D$2:$D$9999*Raw_Data_Daily!$AI$2:$AI$9999)/SUMIFS(Raw_Data_Daily!$D:$D, Raw_Data_Daily!$B:$B, "Variant", Raw_Data_Daily!$A:$A, $A33, Raw_Data_Daily!$C:$C, $C$3),""))</f>
        <v>13.45</v>
      </c>
      <c r="CV33" s="249">
        <f t="shared" si="33"/>
        <v>-0.1793776693</v>
      </c>
      <c r="CW33" s="242">
        <f>IF($A33="","",IFERROR(SUMPRODUCT((Raw_Data_Daily!$B$2:$B$9999="Control")*(Raw_Data_Daily!$A$2:$A$9999=$A33)*(Raw_Data_Daily!$C$2:$C$9999=$C$3)*Raw_Data_Daily!$D$2:$D$9999*Raw_Data_Daily!$AJ$2:$AJ$9999)/SUMIFS(Raw_Data_Daily!$D:$D, Raw_Data_Daily!$B:$B, "Control", Raw_Data_Daily!$A:$A, $A33, Raw_Data_Daily!$C:$C, $C$3),""))</f>
        <v>3.44</v>
      </c>
      <c r="CX33" s="242">
        <f>IF($A33="","",IFERROR(SUMPRODUCT((Raw_Data_Daily!$B$2:$B$9999="Variant")*(Raw_Data_Daily!$A$2:$A$9999=$A33)*(Raw_Data_Daily!$C$2:$C$9999=$C$3)*Raw_Data_Daily!$D$2:$D$9999*Raw_Data_Daily!$AJ$2:$AJ$9999)/SUMIFS(Raw_Data_Daily!$D:$D, Raw_Data_Daily!$B:$B, "Variant", Raw_Data_Daily!$A:$A, $A33, Raw_Data_Daily!$C:$C, $C$3),""))</f>
        <v>3.01</v>
      </c>
      <c r="CY33" s="249">
        <f t="shared" si="34"/>
        <v>-0.125</v>
      </c>
      <c r="CZ33" s="242">
        <f>IF($A33="","",IFERROR(SUMPRODUCT((Raw_Data_Daily!$B$2:$B$9999="Control")*(Raw_Data_Daily!$A$2:$A$9999=$A33)*(Raw_Data_Daily!$C$2:$C$9999=$C$3)*Raw_Data_Daily!$D$2:$D$9999*Raw_Data_Daily!$AK$2:$AK$9999)/SUMIFS(Raw_Data_Daily!$D:$D, Raw_Data_Daily!$B:$B, "Control", Raw_Data_Daily!$A:$A, $A33, Raw_Data_Daily!$C:$C, $C$3),""))</f>
        <v>0.49</v>
      </c>
      <c r="DA33" s="242">
        <f>IF($A33="","",IFERROR(SUMPRODUCT((Raw_Data_Daily!$B$2:$B$9999="Variant")*(Raw_Data_Daily!$A$2:$A$9999=$A33)*(Raw_Data_Daily!$C$2:$C$9999=$C$3)*Raw_Data_Daily!$D$2:$D$9999*Raw_Data_Daily!$AK$2:$AK$9999)/SUMIFS(Raw_Data_Daily!$D:$D, Raw_Data_Daily!$B:$B, "Variant", Raw_Data_Daily!$A:$A, $A33, Raw_Data_Daily!$C:$C, $C$3),""))</f>
        <v>0</v>
      </c>
      <c r="DB33" s="244">
        <f t="shared" si="35"/>
        <v>-1</v>
      </c>
      <c r="DC33" s="248">
        <f>IF($A33="","",IFERROR(SUMPRODUCT((Raw_Data_Daily!$B$2:$B$9999="Control")*(Raw_Data_Daily!$A$2:$A$9999=$A33)*(Raw_Data_Daily!$C$2:$C$9999=$C$3)*Raw_Data_Daily!$D$2:$D$9999*Raw_Data_Daily!$AL$2:$AL$9999)/SUMIFS(Raw_Data_Daily!$D:$D, Raw_Data_Daily!$B:$B, "Control", Raw_Data_Daily!$A:$A, $A33, Raw_Data_Daily!$C:$C, $C$3),""))</f>
        <v>0.0934</v>
      </c>
      <c r="DD33" s="248">
        <f>IF($A33="","",IFERROR(SUMPRODUCT((Raw_Data_Daily!$B$2:$B$9999="Variant")*(Raw_Data_Daily!$A$2:$A$9999=$A33)*(Raw_Data_Daily!$C$2:$C$9999=$C$3)*Raw_Data_Daily!$D$2:$D$9999*Raw_Data_Daily!$AL$2:$AL$9999)/SUMIFS(Raw_Data_Daily!$D:$D, Raw_Data_Daily!$B:$B, "Variant", Raw_Data_Daily!$A:$A, $A33, Raw_Data_Daily!$C:$C, $C$3),""))</f>
        <v>0.0761</v>
      </c>
      <c r="DE33" s="249">
        <f t="shared" si="36"/>
        <v>-0.1852248394</v>
      </c>
      <c r="DF33" s="255"/>
      <c r="DG33" s="242">
        <f>IF($A33="","",IFERROR(SUMPRODUCT((Raw_Data_Daily!$B$2:$B$9999="Variant")*(Raw_Data_Daily!$A$2:$A$9999=$A33)*(Raw_Data_Daily!$C$2:$C$9999=$C$3)*Raw_Data_Daily!$D$2:$D$9999*Raw_Data_Daily!$AM$2:$AM$9999)/SUMIFS(Raw_Data_Daily!$D:$D, Raw_Data_Daily!$B:$B, "Variant", Raw_Data_Daily!$A:$A, $A33, Raw_Data_Daily!$C:$C, $C$3),""))</f>
        <v>37.35</v>
      </c>
      <c r="DH33" s="256"/>
      <c r="DI33" s="255"/>
      <c r="DJ33" s="242">
        <f>IF($A33="","",IFERROR(SUMPRODUCT((Raw_Data_Daily!$B$2:$B$9999="Variant")*(Raw_Data_Daily!$A$2:$A$9999=$A33)*(Raw_Data_Daily!$C$2:$C$9999=$C$3)*Raw_Data_Daily!$D$2:$D$9999*Raw_Data_Daily!$AN$2:$AN$9999)/SUMIFS(Raw_Data_Daily!$D:$D, Raw_Data_Daily!$B:$B, "Variant", Raw_Data_Daily!$A:$A, $A33, Raw_Data_Daily!$C:$C, $C$3),""))</f>
        <v>37.35</v>
      </c>
      <c r="DK33" s="256"/>
      <c r="DL33" s="255"/>
      <c r="DM33" s="242">
        <f>IF($A33="","",IFERROR(SUMPRODUCT((Raw_Data_Daily!$B$2:$B$9999="Variant")*(Raw_Data_Daily!$A$2:$A$9999=$A33)*(Raw_Data_Daily!$C$2:$C$9999=$C$3)*Raw_Data_Daily!$D$2:$D$9999*Raw_Data_Daily!$AO$2:$AO$9999)/SUMIFS(Raw_Data_Daily!$D:$D, Raw_Data_Daily!$B:$B, "Variant", Raw_Data_Daily!$A:$A, $A33, Raw_Data_Daily!$C:$C, $C$3),""))</f>
        <v>21.95</v>
      </c>
      <c r="DN33" s="256"/>
      <c r="DO33" s="255"/>
      <c r="DP33" s="242">
        <f>IF($A33="","",IFERROR(SUMPRODUCT((Raw_Data_Daily!$B$2:$B$9999="Variant")*(Raw_Data_Daily!$A$2:$A$9999=$A33)*(Raw_Data_Daily!$C$2:$C$9999=$C$3)*Raw_Data_Daily!$D$2:$D$9999*Raw_Data_Daily!$AP$2:$AP$9999)/SUMIFS(Raw_Data_Daily!$D:$D, Raw_Data_Daily!$B:$B, "Variant", Raw_Data_Daily!$A:$A, $A33, Raw_Data_Daily!$C:$C, $C$3),""))</f>
        <v>12.39</v>
      </c>
      <c r="DQ33" s="256"/>
      <c r="DR33" s="248">
        <f>IF($A33="","",IFERROR(SUMPRODUCT((Raw_Data_Daily!$B$2:$B$9999="Control")*(Raw_Data_Daily!$A$2:$A$9999=$A33)*(Raw_Data_Daily!$C$2:$C$9999=$C$3)*Raw_Data_Daily!$D$2:$D$9999*Raw_Data_Daily!$AQ$2:$AQ$9999)/SUMIFS(Raw_Data_Daily!$D:$D, Raw_Data_Daily!$B:$B, "Control", Raw_Data_Daily!$A:$A, $A33, Raw_Data_Daily!$C:$C, $C$3),""))</f>
        <v>18.9705</v>
      </c>
      <c r="DS33" s="248">
        <f>IF($A33="","",IFERROR(SUMPRODUCT((Raw_Data_Daily!$B$2:$B$9999="Variant")*(Raw_Data_Daily!$A$2:$A$9999=$A33)*(Raw_Data_Daily!$C$2:$C$9999=$C$3)*Raw_Data_Daily!$D$2:$D$9999*Raw_Data_Daily!$AQ$2:$AQ$9999)/SUMIFS(Raw_Data_Daily!$D:$D, Raw_Data_Daily!$B:$B, "Variant", Raw_Data_Daily!$A:$A, $A33, Raw_Data_Daily!$C:$C, $C$3),""))</f>
        <v>12.8619</v>
      </c>
      <c r="DT33" s="257">
        <f t="shared" si="37"/>
        <v>-0.3220052186</v>
      </c>
      <c r="DU33" s="248">
        <f>IF($A33="","",IFERROR(SUMPRODUCT((Raw_Data_Daily!$B$2:$B$9999="Control")*(Raw_Data_Daily!$A$2:$A$9999=$A33)*(Raw_Data_Daily!$C$2:$C$9999=$C$3)*Raw_Data_Daily!$D$2:$D$9999*Raw_Data_Daily!$AR$2:$AR$9999)/SUMIFS(Raw_Data_Daily!$D:$D, Raw_Data_Daily!$B:$B, "Control", Raw_Data_Daily!$A:$A, $A33, Raw_Data_Daily!$C:$C, $C$3),""))</f>
        <v>0.5295</v>
      </c>
      <c r="DV33" s="248">
        <f>IF($A33="","",IFERROR(SUMPRODUCT((Raw_Data_Daily!$B$2:$B$9999="Variant")*(Raw_Data_Daily!$A$2:$A$9999=$A33)*(Raw_Data_Daily!$C$2:$C$9999=$C$3)*Raw_Data_Daily!$D$2:$D$9999*Raw_Data_Daily!$AR$2:$AR$9999)/SUMIFS(Raw_Data_Daily!$D:$D, Raw_Data_Daily!$B:$B, "Variant", Raw_Data_Daily!$A:$A, $A33, Raw_Data_Daily!$C:$C, $C$3),""))</f>
        <v>1.3717</v>
      </c>
      <c r="DW33" s="257">
        <f t="shared" si="38"/>
        <v>1.590557129</v>
      </c>
      <c r="DX33" s="248">
        <f>IF($A33="","",IFERROR(SUMPRODUCT((Raw_Data_Daily!$B$2:$B$9999="Control")*(Raw_Data_Daily!$A$2:$A$9999=$A33)*(Raw_Data_Daily!$C$2:$C$9999=$C$3)*Raw_Data_Daily!$D$2:$D$9999*Raw_Data_Daily!$AS$2:$AS$9999)/SUMIFS(Raw_Data_Daily!$D:$D, Raw_Data_Daily!$B:$B, "Control", Raw_Data_Daily!$A:$A, $A33, Raw_Data_Daily!$C:$C, $C$3),""))</f>
        <v>18.441</v>
      </c>
      <c r="DY33" s="248">
        <f>IF($A33="","",IFERROR(SUMPRODUCT((Raw_Data_Daily!$B$2:$B$9999="Variant")*(Raw_Data_Daily!$A$2:$A$9999=$A33)*(Raw_Data_Daily!$C$2:$C$9999=$C$3)*Raw_Data_Daily!$D$2:$D$9999*Raw_Data_Daily!$AS$2:$AS$9999)/SUMIFS(Raw_Data_Daily!$D:$D, Raw_Data_Daily!$B:$B, "Variant", Raw_Data_Daily!$A:$A, $A33, Raw_Data_Daily!$C:$C, $C$3),""))</f>
        <v>11.4903</v>
      </c>
      <c r="DZ33" s="257">
        <f t="shared" si="39"/>
        <v>-0.3769155686</v>
      </c>
      <c r="EA33" s="248">
        <f>IF($A33="","",IFERROR(SUMPRODUCT((Raw_Data_Daily!$B$2:$B$9999="Control")*(Raw_Data_Daily!$A$2:$A$9999=$A33)*(Raw_Data_Daily!$C$2:$C$9999=$C$3)*Raw_Data_Daily!$D$2:$D$9999*Raw_Data_Daily!$AT$2:$AT$9999)/SUMIFS(Raw_Data_Daily!$D:$D, Raw_Data_Daily!$B:$B, "Control", Raw_Data_Daily!$A:$A, $A33, Raw_Data_Daily!$C:$C, $C$3),""))</f>
        <v>20.9885</v>
      </c>
      <c r="EB33" s="248">
        <f>IF($A33="","",IFERROR(SUMPRODUCT((Raw_Data_Daily!$B$2:$B$9999="Variant")*(Raw_Data_Daily!$A$2:$A$9999=$A33)*(Raw_Data_Daily!$C$2:$C$9999=$C$3)*Raw_Data_Daily!$D$2:$D$9999*Raw_Data_Daily!$AT$2:$AT$9999)/SUMIFS(Raw_Data_Daily!$D:$D, Raw_Data_Daily!$B:$B, "Variant", Raw_Data_Daily!$A:$A, $A33, Raw_Data_Daily!$C:$C, $C$3),""))</f>
        <v>16.4319</v>
      </c>
      <c r="EC33" s="257">
        <f t="shared" si="40"/>
        <v>-0.2170998404</v>
      </c>
      <c r="ED33" s="248">
        <f>IF($A33="","",IFERROR(SUMPRODUCT((Raw_Data_Daily!$B$2:$B$9999="Control")*(Raw_Data_Daily!$A$2:$A$9999=$A33)*(Raw_Data_Daily!$C$2:$C$9999=$C$3)*Raw_Data_Daily!$D$2:$D$9999*(Raw_Data_Daily!$AQ$2:$AQ$9999-Raw_Data_Daily!$AT$2:$AT$9999))/SUMIFS(Raw_Data_Daily!$D:$D, Raw_Data_Daily!$B:$B, "Control", Raw_Data_Daily!$A:$A, $A33, Raw_Data_Daily!$C:$C, $C$3),""))</f>
        <v>-2.018</v>
      </c>
      <c r="EE33" s="248">
        <f>IF($A33="","",IFERROR(SUMPRODUCT((Raw_Data_Daily!$B$2:$B$9999="Variant")*(Raw_Data_Daily!$A$2:$A$9999=$A33)*(Raw_Data_Daily!$C$2:$C$9999=$C$3)*Raw_Data_Daily!$D$2:$D$9999*(Raw_Data_Daily!$AQ$2:$AQ$9999-Raw_Data_Daily!$AT$2:$AT$9999))/SUMIFS(Raw_Data_Daily!$D:$D, Raw_Data_Daily!$B:$B, "Variant", Raw_Data_Daily!$A:$A, $A33, Raw_Data_Daily!$C:$C, $C$3),""))</f>
        <v>-3.57</v>
      </c>
      <c r="EF33" s="257">
        <f t="shared" si="41"/>
        <v>-0.7690782953</v>
      </c>
      <c r="EG33" s="248">
        <f>IF($A33="","",IFERROR(SUMPRODUCT((Raw_Data_Daily!$B$2:$B$9999="Control")*(Raw_Data_Daily!$A$2:$A$9999=$A33)*(Raw_Data_Daily!$C$2:$C$9999=$C$3)*Raw_Data_Daily!$D$2:$D$9999*Raw_Data_Daily!$AU$2:$AU$9999)/SUMIFS(Raw_Data_Daily!$D:$D, Raw_Data_Daily!$B:$B, "Control", Raw_Data_Daily!$A:$A, $A33, Raw_Data_Daily!$C:$C, $C$3),""))</f>
        <v>0.1665</v>
      </c>
      <c r="EH33" s="248">
        <f>IF($A33="","",IFERROR(SUMPRODUCT((Raw_Data_Daily!$B$2:$B$9999="Variant")*(Raw_Data_Daily!$A$2:$A$9999=$A33)*(Raw_Data_Daily!$C$2:$C$9999=$C$3)*Raw_Data_Daily!$D$2:$D$9999*Raw_Data_Daily!$AU$2:$AU$9999)/SUMIFS(Raw_Data_Daily!$D:$D, Raw_Data_Daily!$B:$B, "Variant", Raw_Data_Daily!$A:$A, $A33, Raw_Data_Daily!$C:$C, $C$3),""))</f>
        <v>0.132</v>
      </c>
      <c r="EI33" s="257">
        <f t="shared" si="42"/>
        <v>-0.2072072072</v>
      </c>
    </row>
    <row r="34" ht="15.75" customHeight="1">
      <c r="A34" s="239">
        <v>46257.0</v>
      </c>
      <c r="B34" s="240">
        <f>IF($A34="","",SUMIFS(Raw_Data_Daily!$D:$D, Raw_Data_Daily!$B:$B, "Control", Raw_Data_Daily!$A:$A, $A34, Raw_Data_Daily!$C:$C, $C$3))</f>
        <v>587</v>
      </c>
      <c r="C34" s="240">
        <f>IF($A34="","",SUMIFS(Raw_Data_Daily!$D:$D, Raw_Data_Daily!$B:$B, "Variant", Raw_Data_Daily!$A:$A, $A34, Raw_Data_Daily!$C:$C, $C$3))</f>
        <v>558</v>
      </c>
      <c r="D34" s="241">
        <f t="shared" si="1"/>
        <v>-0.04940374787</v>
      </c>
      <c r="E34" s="242">
        <f>IF($A34="","",IFERROR(SUMPRODUCT((Raw_Data_Daily!$B$2:$B$9999="Control")*(Raw_Data_Daily!$A$2:$A$9999=$A34)*(Raw_Data_Daily!$C$2:$C$9999=$C$3)*Raw_Data_Daily!$D$2:$D$9999*Raw_Data_Daily!$E$2:$E$9999)/SUMIFS(Raw_Data_Daily!$D:$D, Raw_Data_Daily!$B:$B, "Control", Raw_Data_Daily!$A:$A, $A34, Raw_Data_Daily!$C:$C, $C$3),""))</f>
        <v>2.1</v>
      </c>
      <c r="F34" s="242">
        <f>IF($A34="","",IFERROR(SUMPRODUCT((Raw_Data_Daily!$B$2:$B$9999="Variant")*(Raw_Data_Daily!$A$2:$A$9999=$A34)*(Raw_Data_Daily!$C$2:$C$9999=$C$3)*Raw_Data_Daily!$D$2:$D$9999*Raw_Data_Daily!$E$2:$E$9999)/SUMIFS(Raw_Data_Daily!$D:$D, Raw_Data_Daily!$B:$B, "Variant", Raw_Data_Daily!$A:$A, $A34, Raw_Data_Daily!$C:$C, $C$3),""))</f>
        <v>2</v>
      </c>
      <c r="G34" s="241">
        <f t="shared" si="2"/>
        <v>-0.04761904762</v>
      </c>
      <c r="H34" s="243">
        <f>IF($A34="","",SUMIFS(Raw_Data_Daily!$F:$F, Raw_Data_Daily!$B:$B, "Control", Raw_Data_Daily!$A:$A, $A34, Raw_Data_Daily!$C:$C, $C$3))</f>
        <v>542.25</v>
      </c>
      <c r="I34" s="243">
        <f>IF($A34="","",SUMIFS(Raw_Data_Daily!$F:$F, Raw_Data_Daily!$B:$B, "Variant", Raw_Data_Daily!$A:$A, $A34, Raw_Data_Daily!$C:$C, $C$3))</f>
        <v>532.63</v>
      </c>
      <c r="J34" s="244">
        <f t="shared" si="3"/>
        <v>-0.01774089442</v>
      </c>
      <c r="K34" s="245">
        <f>IF($A34="","",IFERROR(SUMIFS(Raw_Data_Daily!$F:$F, Raw_Data_Daily!$B:$B, "Control", Raw_Data_Daily!$A:$A, $A34, Raw_Data_Daily!$C:$C, $C$3)/SUMIFS(Raw_Data_Daily!$D:$D, Raw_Data_Daily!$B:$B, "Control", Raw_Data_Daily!$A:$A, $A34, Raw_Data_Daily!$C:$C, $C$3),""))</f>
        <v>0.9237649063</v>
      </c>
      <c r="L34" s="245">
        <f>IF($A34="","",IFERROR(SUMIFS(Raw_Data_Daily!$F:$F, Raw_Data_Daily!$B:$B, "Variant", Raw_Data_Daily!$A:$A, $A34, Raw_Data_Daily!$C:$C, $C$3)/SUMIFS(Raw_Data_Daily!$D:$D, Raw_Data_Daily!$B:$B, "Variant", Raw_Data_Daily!$A:$A, $A34, Raw_Data_Daily!$C:$C, $C$3),""))</f>
        <v>0.9545340502</v>
      </c>
      <c r="M34" s="244">
        <f t="shared" si="4"/>
        <v>0.03330841393</v>
      </c>
      <c r="N34" s="242">
        <f>IF($A34="","",IFERROR(SUMPRODUCT((Raw_Data_Daily!$B$2:$B$9999="Control")*(Raw_Data_Daily!$A$2:$A$9999=$A34)*(Raw_Data_Daily!$C$2:$C$9999=$C$3)*Raw_Data_Daily!$D$2:$D$9999*Raw_Data_Daily!$H$2:$H$9999/100)/SUMIFS(Raw_Data_Daily!$D:$D, Raw_Data_Daily!$B:$B, "Control", Raw_Data_Daily!$A:$A, $A34, Raw_Data_Daily!$C:$C, $C$3)*100,""))</f>
        <v>8.35</v>
      </c>
      <c r="O34" s="242">
        <f>IF($A34="","",IFERROR(SUMPRODUCT((Raw_Data_Daily!$B$2:$B$9999="Variant")*(Raw_Data_Daily!$A$2:$A$9999=$A34)*(Raw_Data_Daily!$C$2:$C$9999=$C$3)*Raw_Data_Daily!$D$2:$D$9999*Raw_Data_Daily!$H$2:$H$9999/100)/SUMIFS(Raw_Data_Daily!$D:$D, Raw_Data_Daily!$B:$B, "Variant", Raw_Data_Daily!$A:$A, $A34, Raw_Data_Daily!$C:$C, $C$3)*100,""))</f>
        <v>8.24</v>
      </c>
      <c r="P34" s="244">
        <f t="shared" si="5"/>
        <v>-0.01317365269</v>
      </c>
      <c r="Q34" s="245">
        <f>IF($A34="","",IFERROR(SUMIFS(Raw_Data_Daily!$F:$F, Raw_Data_Daily!$B:$B, "Control", Raw_Data_Daily!$A:$A, $A34, Raw_Data_Daily!$C:$C, $C$3)/SUMPRODUCT((Raw_Data_Daily!$B$2:$B$9999="Control")*(Raw_Data_Daily!$A$2:$A$9999=$A34)*(Raw_Data_Daily!$C$2:$C$9999=$C$3)*Raw_Data_Daily!$D$2:$D$9999*Raw_Data_Daily!$H$2:$H$9999/100),""))</f>
        <v>11.06305277</v>
      </c>
      <c r="R34" s="245">
        <f>IF($A34="","",IFERROR(SUMIFS(Raw_Data_Daily!$F:$F, Raw_Data_Daily!$B:$B, "Variant", Raw_Data_Daily!$A:$A, $A34, Raw_Data_Daily!$C:$C, $C$3)/SUMPRODUCT((Raw_Data_Daily!$B$2:$B$9999="Variant")*(Raw_Data_Daily!$A$2:$A$9999=$A34)*(Raw_Data_Daily!$C$2:$C$9999=$C$3)*Raw_Data_Daily!$D$2:$D$9999*Raw_Data_Daily!$H$2:$H$9999/100),""))</f>
        <v>11.58415109</v>
      </c>
      <c r="S34" s="244">
        <f t="shared" si="6"/>
        <v>0.04710257965</v>
      </c>
      <c r="T34" s="246">
        <f>IF($A34="","",IFERROR(SUMPRODUCT((Raw_Data_Daily!$B$2:$B$9999="Control")*(Raw_Data_Daily!$A$2:$A$9999=$A34)*(Raw_Data_Daily!$C$2:$C$9999=$C$3)*Raw_Data_Daily!$D$2:$D$9999*Raw_Data_Daily!$J$2:$J$9999)/SUMIFS(Raw_Data_Daily!$D:$D, Raw_Data_Daily!$B:$B, "Control", Raw_Data_Daily!$A:$A, $A34, Raw_Data_Daily!$C:$C, $C$3),""))</f>
        <v>201.82</v>
      </c>
      <c r="U34" s="246">
        <f>IF($A34="","",IFERROR(SUMPRODUCT((Raw_Data_Daily!$B$2:$B$9999="Variant")*(Raw_Data_Daily!$A$2:$A$9999=$A34)*(Raw_Data_Daily!$C$2:$C$9999=$C$3)*Raw_Data_Daily!$D$2:$D$9999*Raw_Data_Daily!$J$2:$J$9999)/SUMIFS(Raw_Data_Daily!$D:$D, Raw_Data_Daily!$B:$B, "Variant", Raw_Data_Daily!$A:$A, $A34, Raw_Data_Daily!$C:$C, $C$3),""))</f>
        <v>195.54</v>
      </c>
      <c r="V34" s="244">
        <f t="shared" si="7"/>
        <v>-0.03111683679</v>
      </c>
      <c r="W34" s="246">
        <f>IF($A34="","",IFERROR(SUMPRODUCT((Raw_Data_Daily!$B$2:$B$9999="Control")*(Raw_Data_Daily!$A$2:$A$9999=$A34)*(Raw_Data_Daily!$C$2:$C$9999=$C$3)*Raw_Data_Daily!$D$2:$D$9999*Raw_Data_Daily!$K$2:$K$9999)/SUMIFS(Raw_Data_Daily!$D:$D, Raw_Data_Daily!$B:$B, "Control", Raw_Data_Daily!$A:$A, $A34, Raw_Data_Daily!$C:$C, $C$3),""))</f>
        <v>128.99</v>
      </c>
      <c r="X34" s="246">
        <f>IF($A34="","",IFERROR(SUMPRODUCT((Raw_Data_Daily!$B$2:$B$9999="Variant")*(Raw_Data_Daily!$A$2:$A$9999=$A34)*(Raw_Data_Daily!$C$2:$C$9999=$C$3)*Raw_Data_Daily!$D$2:$D$9999*Raw_Data_Daily!$K$2:$K$9999)/SUMIFS(Raw_Data_Daily!$D:$D, Raw_Data_Daily!$B:$B, "Variant", Raw_Data_Daily!$A:$A, $A34, Raw_Data_Daily!$C:$C, $C$3),""))</f>
        <v>121.69</v>
      </c>
      <c r="Y34" s="244">
        <f t="shared" si="8"/>
        <v>-0.05659353438</v>
      </c>
      <c r="Z34" s="246">
        <f>IF($A34="","",IFERROR(SUMPRODUCT((Raw_Data_Daily!$B$2:$B$9999="Control")*(Raw_Data_Daily!$A$2:$A$9999=$A34)*(Raw_Data_Daily!$C$2:$C$9999=$C$3)*Raw_Data_Daily!$D$2:$D$9999*Raw_Data_Daily!$L$2:$L$9999)/SUMIFS(Raw_Data_Daily!$D:$D, Raw_Data_Daily!$B:$B, "Control", Raw_Data_Daily!$A:$A, $A34, Raw_Data_Daily!$C:$C, $C$3),""))</f>
        <v>99.29</v>
      </c>
      <c r="AA34" s="246">
        <f>IF($A34="","",IFERROR(SUMPRODUCT((Raw_Data_Daily!$B$2:$B$9999="Variant")*(Raw_Data_Daily!$A$2:$A$9999=$A34)*(Raw_Data_Daily!$C$2:$C$9999=$C$3)*Raw_Data_Daily!$D$2:$D$9999*Raw_Data_Daily!$L$2:$L$9999)/SUMIFS(Raw_Data_Daily!$D:$D, Raw_Data_Daily!$B:$B, "Variant", Raw_Data_Daily!$A:$A, $A34, Raw_Data_Daily!$C:$C, $C$3),""))</f>
        <v>95.26</v>
      </c>
      <c r="AB34" s="244">
        <f t="shared" si="9"/>
        <v>-0.04058817605</v>
      </c>
      <c r="AC34" s="248">
        <f>IF($A34="","",IFERROR(SUMPRODUCT((Raw_Data_Daily!$B$2:$B$9999="Control")*(Raw_Data_Daily!$A$2:$A$9999=$A34)*(Raw_Data_Daily!$C$2:$C$9999=$C$3)*Raw_Data_Daily!$D$2:$D$9999*Raw_Data_Daily!$M$2:$M$9999)/SUMIFS(Raw_Data_Daily!$D:$D, Raw_Data_Daily!$B:$B, "Control", Raw_Data_Daily!$A:$A, $A34, Raw_Data_Daily!$C:$C, $C$3),""))</f>
        <v>0.7698</v>
      </c>
      <c r="AD34" s="248">
        <f>IF($A34="","",IFERROR(SUMPRODUCT((Raw_Data_Daily!$B$2:$B$9999="Variant")*(Raw_Data_Daily!$A$2:$A$9999=$A34)*(Raw_Data_Daily!$C$2:$C$9999=$C$3)*Raw_Data_Daily!$D$2:$D$9999*Raw_Data_Daily!$M$2:$M$9999)/SUMIFS(Raw_Data_Daily!$D:$D, Raw_Data_Daily!$B:$B, "Variant", Raw_Data_Daily!$A:$A, $A34, Raw_Data_Daily!$C:$C, $C$3),""))</f>
        <v>0.7829</v>
      </c>
      <c r="AE34" s="249">
        <f t="shared" si="10"/>
        <v>0.01701740712</v>
      </c>
      <c r="AF34" s="248">
        <f>IF($A34="","",IFERROR(SUMPRODUCT((Raw_Data_Daily!$B$2:$B$9999="Control")*(Raw_Data_Daily!$A$2:$A$9999=$A34)*(Raw_Data_Daily!$C$2:$C$9999=$C$3)*Raw_Data_Daily!$D$2:$D$9999*Raw_Data_Daily!$N$2:$N$9999)/SUMIFS(Raw_Data_Daily!$D:$D, Raw_Data_Daily!$B:$B, "Control", Raw_Data_Daily!$A:$A, $A34, Raw_Data_Daily!$C:$C, $C$3),""))</f>
        <v>0.3573</v>
      </c>
      <c r="AG34" s="248">
        <f>IF($A34="","",IFERROR(SUMPRODUCT((Raw_Data_Daily!$B$2:$B$9999="Variant")*(Raw_Data_Daily!$A$2:$A$9999=$A34)*(Raw_Data_Daily!$C$2:$C$9999=$C$3)*Raw_Data_Daily!$D$2:$D$9999*Raw_Data_Daily!$N$2:$N$9999)/SUMIFS(Raw_Data_Daily!$D:$D, Raw_Data_Daily!$B:$B, "Variant", Raw_Data_Daily!$A:$A, $A34, Raw_Data_Daily!$C:$C, $C$3),""))</f>
        <v>0.3507</v>
      </c>
      <c r="AH34" s="249">
        <f t="shared" si="11"/>
        <v>-0.01847187238</v>
      </c>
      <c r="AI34" s="248">
        <f>IF($A34="","",IFERROR(SUMPRODUCT((Raw_Data_Daily!$B$2:$B$9999="Control")*(Raw_Data_Daily!$A$2:$A$9999=$A34)*(Raw_Data_Daily!$C$2:$C$9999=$C$3)*Raw_Data_Daily!$D$2:$D$9999*Raw_Data_Daily!$O$2:$O$9999)/SUMIFS(Raw_Data_Daily!$D:$D, Raw_Data_Daily!$B:$B, "Control", Raw_Data_Daily!$A:$A, $A34, Raw_Data_Daily!$C:$C, $C$3),""))</f>
        <v>0.2247</v>
      </c>
      <c r="AJ34" s="248">
        <f>IF($A34="","",IFERROR(SUMPRODUCT((Raw_Data_Daily!$B$2:$B$9999="Variant")*(Raw_Data_Daily!$A$2:$A$9999=$A34)*(Raw_Data_Daily!$C$2:$C$9999=$C$3)*Raw_Data_Daily!$D$2:$D$9999*Raw_Data_Daily!$O$2:$O$9999)/SUMIFS(Raw_Data_Daily!$D:$D, Raw_Data_Daily!$B:$B, "Variant", Raw_Data_Daily!$A:$A, $A34, Raw_Data_Daily!$C:$C, $C$3),""))</f>
        <v>0.221</v>
      </c>
      <c r="AK34" s="244">
        <f t="shared" si="12"/>
        <v>-0.01646639964</v>
      </c>
      <c r="AL34" s="246">
        <f>IF($A34="","",IFERROR(SUMPRODUCT((Raw_Data_Daily!$B$2:$B$9999="Control")*(Raw_Data_Daily!$A$2:$A$9999=$A34)*(Raw_Data_Daily!$C$2:$C$9999=$C$3)*Raw_Data_Daily!$D$2:$D$9999*Raw_Data_Daily!$P$2:$P$9999)/SUMIFS(Raw_Data_Daily!$D:$D, Raw_Data_Daily!$B:$B, "Control", Raw_Data_Daily!$A:$A, $A34, Raw_Data_Daily!$C:$C, $C$3),""))</f>
        <v>1.2991</v>
      </c>
      <c r="AM34" s="246">
        <f>IF($A34="","",IFERROR(SUMPRODUCT((Raw_Data_Daily!$B$2:$B$9999="Variant")*(Raw_Data_Daily!$A$2:$A$9999=$A34)*(Raw_Data_Daily!$C$2:$C$9999=$C$3)*Raw_Data_Daily!$D$2:$D$9999*Raw_Data_Daily!$P$2:$P$9999)/SUMIFS(Raw_Data_Daily!$D:$D, Raw_Data_Daily!$B:$B, "Variant", Raw_Data_Daily!$A:$A, $A34, Raw_Data_Daily!$C:$C, $C$3),""))</f>
        <v>1.2774</v>
      </c>
      <c r="AN34" s="244">
        <f t="shared" si="13"/>
        <v>-0.01670387191</v>
      </c>
      <c r="AO34" s="246">
        <f>IF($A34="","",IFERROR(SUMPRODUCT((Raw_Data_Daily!$B$2:$B$9999="Control")*(Raw_Data_Daily!$A$2:$A$9999=$A34)*(Raw_Data_Daily!$C$2:$C$9999=$C$3)*Raw_Data_Daily!$D$2:$D$9999*Raw_Data_Daily!$Q$2:$Q$9999)/SUMIFS(Raw_Data_Daily!$D:$D, Raw_Data_Daily!$B:$B, "Control", Raw_Data_Daily!$A:$A, $A34, Raw_Data_Daily!$C:$C, $C$3),""))</f>
        <v>332.25</v>
      </c>
      <c r="AP34" s="246">
        <f>IF($A34="","",IFERROR(SUMPRODUCT((Raw_Data_Daily!$B$2:$B$9999="Variant")*(Raw_Data_Daily!$A$2:$A$9999=$A34)*(Raw_Data_Daily!$C$2:$C$9999=$C$3)*Raw_Data_Daily!$D$2:$D$9999*Raw_Data_Daily!$Q$2:$Q$9999)/SUMIFS(Raw_Data_Daily!$D:$D, Raw_Data_Daily!$B:$B, "Variant", Raw_Data_Daily!$A:$A, $A34, Raw_Data_Daily!$C:$C, $C$3),""))</f>
        <v>433.22</v>
      </c>
      <c r="AQ34" s="241">
        <f t="shared" si="14"/>
        <v>0.3038976674</v>
      </c>
      <c r="AR34" s="246">
        <f>IF($A34="","",IFERROR(SUMPRODUCT((Raw_Data_Daily!$B$2:$B$9999="Control")*(Raw_Data_Daily!$A$2:$A$9999=$A34)*(Raw_Data_Daily!$C$2:$C$9999=$C$3)*Raw_Data_Daily!$D$2:$D$9999*Raw_Data_Daily!$R$2:$R$9999)/SUMIFS(Raw_Data_Daily!$D:$D, Raw_Data_Daily!$B:$B, "Control", Raw_Data_Daily!$A:$A, $A34, Raw_Data_Daily!$C:$C, $C$3),""))</f>
        <v>277.68</v>
      </c>
      <c r="AS34" s="246">
        <f>IF($A34="","",IFERROR(SUMPRODUCT((Raw_Data_Daily!$B$2:$B$9999="Variant")*(Raw_Data_Daily!$A$2:$A$9999=$A34)*(Raw_Data_Daily!$C$2:$C$9999=$C$3)*Raw_Data_Daily!$D$2:$D$9999*Raw_Data_Daily!$R$2:$R$9999)/SUMIFS(Raw_Data_Daily!$D:$D, Raw_Data_Daily!$B:$B, "Variant", Raw_Data_Daily!$A:$A, $A34, Raw_Data_Daily!$C:$C, $C$3),""))</f>
        <v>387.13</v>
      </c>
      <c r="AT34" s="241">
        <f t="shared" si="15"/>
        <v>0.3941587439</v>
      </c>
      <c r="AU34" s="246">
        <f>IF($A34="","",IFERROR(SUMPRODUCT((Raw_Data_Daily!$B$2:$B$9999="Control")*(Raw_Data_Daily!$A$2:$A$9999=$A34)*(Raw_Data_Daily!$C$2:$C$9999=$C$3)*Raw_Data_Daily!$D$2:$D$9999*Raw_Data_Daily!$S$2:$S$9999)/SUMIFS(Raw_Data_Daily!$D:$D, Raw_Data_Daily!$B:$B, "Control", Raw_Data_Daily!$A:$A, $A34, Raw_Data_Daily!$C:$C, $C$3),""))</f>
        <v>54.57</v>
      </c>
      <c r="AV34" s="246">
        <f>IF($A34="","",IFERROR(SUMPRODUCT((Raw_Data_Daily!$B$2:$B$9999="Variant")*(Raw_Data_Daily!$A$2:$A$9999=$A34)*(Raw_Data_Daily!$C$2:$C$9999=$C$3)*Raw_Data_Daily!$D$2:$D$9999*Raw_Data_Daily!$S$2:$S$9999)/SUMIFS(Raw_Data_Daily!$D:$D, Raw_Data_Daily!$B:$B, "Variant", Raw_Data_Daily!$A:$A, $A34, Raw_Data_Daily!$C:$C, $C$3),""))</f>
        <v>46.09</v>
      </c>
      <c r="AW34" s="241">
        <f t="shared" si="16"/>
        <v>-0.1553967381</v>
      </c>
      <c r="AX34" s="246">
        <f>IF($A34="","",IFERROR(SUMPRODUCT((Raw_Data_Daily!$B$2:$B$9999="Control")*(Raw_Data_Daily!$A$2:$A$9999=$A34)*(Raw_Data_Daily!$C$2:$C$9999=$C$3)*Raw_Data_Daily!$D$2:$D$9999*Raw_Data_Daily!$T$2:$T$9999)/SUMIFS(Raw_Data_Daily!$D:$D, Raw_Data_Daily!$B:$B, "Control", Raw_Data_Daily!$A:$A, $A34, Raw_Data_Daily!$C:$C, $C$3),""))</f>
        <v>92.93</v>
      </c>
      <c r="AY34" s="246">
        <f>IF($A34="","",IFERROR(SUMPRODUCT((Raw_Data_Daily!$B$2:$B$9999="Variant")*(Raw_Data_Daily!$A$2:$A$9999=$A34)*(Raw_Data_Daily!$C$2:$C$9999=$C$3)*Raw_Data_Daily!$D$2:$D$9999*Raw_Data_Daily!$T$2:$T$9999)/SUMIFS(Raw_Data_Daily!$D:$D, Raw_Data_Daily!$B:$B, "Variant", Raw_Data_Daily!$A:$A, $A34, Raw_Data_Daily!$C:$C, $C$3),""))</f>
        <v>82.08</v>
      </c>
      <c r="AZ34" s="244">
        <f t="shared" si="17"/>
        <v>-0.1167545464</v>
      </c>
      <c r="BA34" s="246">
        <f>IF($A34="","",IFERROR(SUMPRODUCT((Raw_Data_Daily!$B$2:$B$9999="Control")*(Raw_Data_Daily!$A$2:$A$9999=$A34)*(Raw_Data_Daily!$C$2:$C$9999=$C$3)*Raw_Data_Daily!$D$2:$D$9999*Raw_Data_Daily!$U$2:$U$9999)/SUMIFS(Raw_Data_Daily!$D:$D, Raw_Data_Daily!$B:$B, "Control", Raw_Data_Daily!$A:$A, $A34, Raw_Data_Daily!$C:$C, $C$3),""))</f>
        <v>239.32</v>
      </c>
      <c r="BB34" s="246">
        <f>IF($A34="","",IFERROR(SUMPRODUCT((Raw_Data_Daily!$B$2:$B$9999="Variant")*(Raw_Data_Daily!$A$2:$A$9999=$A34)*(Raw_Data_Daily!$C$2:$C$9999=$C$3)*Raw_Data_Daily!$D$2:$D$9999*Raw_Data_Daily!$U$2:$U$9999)/SUMIFS(Raw_Data_Daily!$D:$D, Raw_Data_Daily!$B:$B, "Variant", Raw_Data_Daily!$A:$A, $A34, Raw_Data_Daily!$C:$C, $C$3),""))</f>
        <v>351.14</v>
      </c>
      <c r="BC34" s="241">
        <f t="shared" si="18"/>
        <v>0.4672405148</v>
      </c>
      <c r="BD34" s="246">
        <f>IF($A34="","",IFERROR(SUMPRODUCT((Raw_Data_Daily!$B$2:$B$9999="Control")*(Raw_Data_Daily!$A$2:$A$9999=$A34)*(Raw_Data_Daily!$C$2:$C$9999=$C$3)*Raw_Data_Daily!$D$2:$D$9999*Raw_Data_Daily!$V$2:$V$9999)/SUMIFS(Raw_Data_Daily!$D:$D, Raw_Data_Daily!$B:$B, "Control", Raw_Data_Daily!$A:$A, $A34, Raw_Data_Daily!$C:$C, $C$3),""))</f>
        <v>441.06</v>
      </c>
      <c r="BE34" s="246">
        <f>IF($A34="","",IFERROR(SUMPRODUCT((Raw_Data_Daily!$B$2:$B$9999="Variant")*(Raw_Data_Daily!$A$2:$A$9999=$A34)*(Raw_Data_Daily!$C$2:$C$9999=$C$3)*Raw_Data_Daily!$D$2:$D$9999*Raw_Data_Daily!$V$2:$V$9999)/SUMIFS(Raw_Data_Daily!$D:$D, Raw_Data_Daily!$B:$B, "Variant", Raw_Data_Daily!$A:$A, $A34, Raw_Data_Daily!$C:$C, $C$3),""))</f>
        <v>490.14</v>
      </c>
      <c r="BF34" s="251">
        <f t="shared" si="19"/>
        <v>0.1112773772</v>
      </c>
      <c r="BG34" s="252">
        <f>IF($A34="","",IFERROR(SUMPRODUCT((Raw_Data_Daily!$B$2:$B$9999="Control")*(Raw_Data_Daily!$A$2:$A$9999=$A34)*(Raw_Data_Daily!$C$2:$C$9999=$C$3)*Raw_Data_Daily!$D$2:$D$9999*(Raw_Data_Daily!$Q$2:$Q$9999-Raw_Data_Daily!$V$2:$V$9999))/SUMIFS(Raw_Data_Daily!$D:$D, Raw_Data_Daily!$B:$B, "Control", Raw_Data_Daily!$A:$A, $A34, Raw_Data_Daily!$C:$C, $C$3),""))</f>
        <v>-108.81</v>
      </c>
      <c r="BH34" s="246">
        <f>IF($A34="","",IFERROR(SUMPRODUCT((Raw_Data_Daily!$B$2:$B$9999="Variant")*(Raw_Data_Daily!$A$2:$A$9999=$A34)*(Raw_Data_Daily!$C$2:$C$9999=$C$3)*Raw_Data_Daily!$D$2:$D$9999*(Raw_Data_Daily!$Q$2:$Q$9999-Raw_Data_Daily!$V$2:$V$9999))/SUMIFS(Raw_Data_Daily!$D:$D, Raw_Data_Daily!$B:$B, "Variant", Raw_Data_Daily!$A:$A, $A34, Raw_Data_Daily!$C:$C, $C$3),""))</f>
        <v>-56.92</v>
      </c>
      <c r="BI34" s="253">
        <f t="shared" si="20"/>
        <v>0.4768863156</v>
      </c>
      <c r="BJ34" s="254">
        <f>IF($A34="","",IFERROR(SUMPRODUCT((Raw_Data_Daily!$B$2:$B$9999="Control")*(Raw_Data_Daily!$A$2:$A$9999=$A34)*(Raw_Data_Daily!$C$2:$C$9999=$C$3)*Raw_Data_Daily!$D$2:$D$9999*Raw_Data_Daily!$W$2:$W$9999)/SUMIFS(Raw_Data_Daily!$D:$D, Raw_Data_Daily!$B:$B, "Control", Raw_Data_Daily!$A:$A, $A34, Raw_Data_Daily!$C:$C, $C$3),""))</f>
        <v>3.4192</v>
      </c>
      <c r="BK34" s="246">
        <f>IF($A34="","",IFERROR(SUMPRODUCT((Raw_Data_Daily!$B$2:$B$9999="Variant")*(Raw_Data_Daily!$A$2:$A$9999=$A34)*(Raw_Data_Daily!$C$2:$C$9999=$C$3)*Raw_Data_Daily!$D$2:$D$9999*Raw_Data_Daily!$W$2:$W$9999)/SUMIFS(Raw_Data_Daily!$D:$D, Raw_Data_Daily!$B:$B, "Variant", Raw_Data_Daily!$A:$A, $A34, Raw_Data_Daily!$C:$C, $C$3),""))</f>
        <v>4.0279</v>
      </c>
      <c r="BL34" s="241">
        <f t="shared" si="21"/>
        <v>0.1780240992</v>
      </c>
      <c r="BM34" s="248">
        <f>IF($A34="","",IFERROR(SUMPRODUCT((Raw_Data_Daily!$B$2:$B$9999="Control")*(Raw_Data_Daily!$A$2:$A$9999=$A34)*(Raw_Data_Daily!$C$2:$C$9999=$C$3)*Raw_Data_Daily!$D$2:$D$9999*Raw_Data_Daily!$X$2:$X$9999)/SUMIFS(Raw_Data_Daily!$D:$D, Raw_Data_Daily!$B:$B, "Control", Raw_Data_Daily!$A:$A, $A34, Raw_Data_Daily!$C:$C, $C$3),""))</f>
        <v>27.97</v>
      </c>
      <c r="BN34" s="248">
        <f>IF($A34="","",IFERROR(SUMPRODUCT((Raw_Data_Daily!$B$2:$B$9999="Variant")*(Raw_Data_Daily!$A$2:$A$9999=$A34)*(Raw_Data_Daily!$C$2:$C$9999=$C$3)*Raw_Data_Daily!$D$2:$D$9999*Raw_Data_Daily!$X$2:$X$9999)/SUMIFS(Raw_Data_Daily!$D:$D, Raw_Data_Daily!$B:$B, "Variant", Raw_Data_Daily!$A:$A, $A34, Raw_Data_Daily!$C:$C, $C$3),""))</f>
        <v>18.95</v>
      </c>
      <c r="BO34" s="244">
        <f t="shared" si="22"/>
        <v>-0.3224883804</v>
      </c>
      <c r="BP34" s="240">
        <f>IF($A34="","",IFERROR(SUMPRODUCT((Raw_Data_Daily!$B$2:$B$9999="Control")*(Raw_Data_Daily!$A$2:$A$9999=$A34)*(Raw_Data_Daily!$C$2:$C$9999=$C$3)*Raw_Data_Daily!$D$2:$D$9999*Raw_Data_Daily!$Y$2:$Y$9999)/SUMIFS(Raw_Data_Daily!$D:$D, Raw_Data_Daily!$B:$B, "Control", Raw_Data_Daily!$A:$A, $A34, Raw_Data_Daily!$C:$C, $C$3),""))</f>
        <v>246</v>
      </c>
      <c r="BQ34" s="240">
        <f>IF($A34="","",IFERROR(SUMPRODUCT((Raw_Data_Daily!$B$2:$B$9999="Variant")*(Raw_Data_Daily!$A$2:$A$9999=$A34)*(Raw_Data_Daily!$C$2:$C$9999=$C$3)*Raw_Data_Daily!$D$2:$D$9999*Raw_Data_Daily!$Y$2:$Y$9999)/SUMIFS(Raw_Data_Daily!$D:$D, Raw_Data_Daily!$B:$B, "Variant", Raw_Data_Daily!$A:$A, $A34, Raw_Data_Daily!$C:$C, $C$3),""))</f>
        <v>278</v>
      </c>
      <c r="BR34" s="241">
        <f t="shared" si="23"/>
        <v>0.1300813008</v>
      </c>
      <c r="BS34" s="240">
        <f>IF($A34="","",IFERROR(SUMPRODUCT((Raw_Data_Daily!$B$2:$B$9999="Control")*(Raw_Data_Daily!$A$2:$A$9999=$A34)*(Raw_Data_Daily!$C$2:$C$9999=$C$3)*Raw_Data_Daily!$D$2:$D$9999*Raw_Data_Daily!$Z$2:$Z$9999)/SUMIFS(Raw_Data_Daily!$D:$D, Raw_Data_Daily!$B:$B, "Control", Raw_Data_Daily!$A:$A, $A34, Raw_Data_Daily!$C:$C, $C$3),""))</f>
        <v>958</v>
      </c>
      <c r="BT34" s="240">
        <f>IF($A34="","",IFERROR(SUMPRODUCT((Raw_Data_Daily!$B$2:$B$9999="Variant")*(Raw_Data_Daily!$A$2:$A$9999=$A34)*(Raw_Data_Daily!$C$2:$C$9999=$C$3)*Raw_Data_Daily!$D$2:$D$9999*Raw_Data_Daily!$Z$2:$Z$9999)/SUMIFS(Raw_Data_Daily!$D:$D, Raw_Data_Daily!$B:$B, "Variant", Raw_Data_Daily!$A:$A, $A34, Raw_Data_Daily!$C:$C, $C$3),""))</f>
        <v>944</v>
      </c>
      <c r="BU34" s="241">
        <f t="shared" si="24"/>
        <v>-0.01461377871</v>
      </c>
      <c r="BV34" s="240">
        <f>IF($A34="","",IFERROR(SUMPRODUCT((Raw_Data_Daily!$B$2:$B$9999="Control")*(Raw_Data_Daily!$A$2:$A$9999=$A34)*(Raw_Data_Daily!$C$2:$C$9999=$C$3)*Raw_Data_Daily!$D$2:$D$9999*Raw_Data_Daily!$AA$2:$AA$9999)/SUMIFS(Raw_Data_Daily!$D:$D, Raw_Data_Daily!$B:$B, "Control", Raw_Data_Daily!$A:$A, $A34, Raw_Data_Daily!$C:$C, $C$3),""))</f>
        <v>3939</v>
      </c>
      <c r="BW34" s="240">
        <f>IF($A34="","",IFERROR(SUMPRODUCT((Raw_Data_Daily!$B$2:$B$9999="Variant")*(Raw_Data_Daily!$A$2:$A$9999=$A34)*(Raw_Data_Daily!$C$2:$C$9999=$C$3)*Raw_Data_Daily!$D$2:$D$9999*Raw_Data_Daily!$AA$2:$AA$9999)/SUMIFS(Raw_Data_Daily!$D:$D, Raw_Data_Daily!$B:$B, "Variant", Raw_Data_Daily!$A:$A, $A34, Raw_Data_Daily!$C:$C, $C$3),""))</f>
        <v>3813</v>
      </c>
      <c r="BX34" s="241">
        <f t="shared" si="25"/>
        <v>-0.03198781417</v>
      </c>
      <c r="BY34" s="246">
        <f>IF($A34="","",IFERROR(SUMPRODUCT((Raw_Data_Daily!$B$2:$B$9999="Control")*(Raw_Data_Daily!$A$2:$A$9999=$A34)*(Raw_Data_Daily!$C$2:$C$9999=$C$3)*Raw_Data_Daily!$D$2:$D$9999*Raw_Data_Daily!$AB$2:$AB$9999)/SUMIFS(Raw_Data_Daily!$D:$D, Raw_Data_Daily!$B:$B, "Control", Raw_Data_Daily!$A:$A, $A34, Raw_Data_Daily!$C:$C, $C$3),""))</f>
        <v>56.3981</v>
      </c>
      <c r="BZ34" s="246">
        <f>IF($A34="","",IFERROR(SUMPRODUCT((Raw_Data_Daily!$B$2:$B$9999="Variant")*(Raw_Data_Daily!$A$2:$A$9999=$A34)*(Raw_Data_Daily!$C$2:$C$9999=$C$3)*Raw_Data_Daily!$D$2:$D$9999*Raw_Data_Daily!$AB$2:$AB$9999)/SUMIFS(Raw_Data_Daily!$D:$D, Raw_Data_Daily!$B:$B, "Variant", Raw_Data_Daily!$A:$A, $A34, Raw_Data_Daily!$C:$C, $C$3),""))</f>
        <v>56.6147</v>
      </c>
      <c r="CA34" s="244">
        <f t="shared" si="26"/>
        <v>0.003840554912</v>
      </c>
      <c r="CB34" s="246">
        <f>IF($A34="","",IFERROR(SUMPRODUCT((Raw_Data_Daily!$B$2:$B$9999="Control")*(Raw_Data_Daily!$A$2:$A$9999=$A34)*(Raw_Data_Daily!$C$2:$C$9999=$C$3)*Raw_Data_Daily!$D$2:$D$9999*Raw_Data_Daily!$AC$2:$AC$9999)/SUMIFS(Raw_Data_Daily!$D:$D, Raw_Data_Daily!$B:$B, "Control", Raw_Data_Daily!$A:$A, $A34, Raw_Data_Daily!$C:$C, $C$3),""))</f>
        <v>0.5899</v>
      </c>
      <c r="CC34" s="246">
        <f>IF($A34="","",IFERROR(SUMPRODUCT((Raw_Data_Daily!$B$2:$B$9999="Variant")*(Raw_Data_Daily!$A$2:$A$9999=$A34)*(Raw_Data_Daily!$C$2:$C$9999=$C$3)*Raw_Data_Daily!$D$2:$D$9999*Raw_Data_Daily!$AC$2:$AC$9999)/SUMIFS(Raw_Data_Daily!$D:$D, Raw_Data_Daily!$B:$B, "Variant", Raw_Data_Daily!$A:$A, $A34, Raw_Data_Daily!$C:$C, $C$3),""))</f>
        <v>0.5754</v>
      </c>
      <c r="CD34" s="244">
        <f t="shared" si="27"/>
        <v>-0.02458043736</v>
      </c>
      <c r="CE34" s="246">
        <f>IF($A34="","",IFERROR(SUMPRODUCT((Raw_Data_Daily!$B$2:$B$9999="Control")*(Raw_Data_Daily!$A$2:$A$9999=$A34)*(Raw_Data_Daily!$C$2:$C$9999=$C$3)*Raw_Data_Daily!$D$2:$D$9999*Raw_Data_Daily!$AD$2:$AD$9999)/SUMIFS(Raw_Data_Daily!$D:$D, Raw_Data_Daily!$B:$B, "Control", Raw_Data_Daily!$A:$A, $A34, Raw_Data_Daily!$C:$C, $C$3),""))</f>
        <v>41.04</v>
      </c>
      <c r="CF34" s="246">
        <f>IF($A34="","",IFERROR(SUMPRODUCT((Raw_Data_Daily!$B$2:$B$9999="Variant")*(Raw_Data_Daily!$A$2:$A$9999=$A34)*(Raw_Data_Daily!$C$2:$C$9999=$C$3)*Raw_Data_Daily!$D$2:$D$9999*Raw_Data_Daily!$AD$2:$AD$9999)/SUMIFS(Raw_Data_Daily!$D:$D, Raw_Data_Daily!$B:$B, "Variant", Raw_Data_Daily!$A:$A, $A34, Raw_Data_Daily!$C:$C, $C$3),""))</f>
        <v>41</v>
      </c>
      <c r="CG34" s="244">
        <f t="shared" si="28"/>
        <v>-0.0009746588694</v>
      </c>
      <c r="CH34" s="246">
        <f>IF($A34="","",IFERROR(SUMPRODUCT((Raw_Data_Daily!$B$2:$B$9999="Control")*(Raw_Data_Daily!$A$2:$A$9999=$A34)*(Raw_Data_Daily!$C$2:$C$9999=$C$3)*Raw_Data_Daily!$D$2:$D$9999*Raw_Data_Daily!$AE$2:$AE$9999)/SUMIFS(Raw_Data_Daily!$D:$D, Raw_Data_Daily!$B:$B, "Control", Raw_Data_Daily!$A:$A, $A34, Raw_Data_Daily!$C:$C, $C$3),""))</f>
        <v>16</v>
      </c>
      <c r="CI34" s="246">
        <f>IF($A34="","",IFERROR(SUMPRODUCT((Raw_Data_Daily!$B$2:$B$9999="Variant")*(Raw_Data_Daily!$A$2:$A$9999=$A34)*(Raw_Data_Daily!$C$2:$C$9999=$C$3)*Raw_Data_Daily!$D$2:$D$9999*Raw_Data_Daily!$AE$2:$AE$9999)/SUMIFS(Raw_Data_Daily!$D:$D, Raw_Data_Daily!$B:$B, "Variant", Raw_Data_Daily!$A:$A, $A34, Raw_Data_Daily!$C:$C, $C$3),""))</f>
        <v>14</v>
      </c>
      <c r="CJ34" s="244">
        <f t="shared" si="29"/>
        <v>-0.125</v>
      </c>
      <c r="CK34" s="246">
        <f>IF($A34="","",IFERROR(SUMPRODUCT((Raw_Data_Daily!$B$2:$B$9999="Control")*(Raw_Data_Daily!$A$2:$A$9999=$A34)*(Raw_Data_Daily!$C$2:$C$9999=$C$3)*Raw_Data_Daily!$D$2:$D$9999*Raw_Data_Daily!$AF$2:$AF$9999)/SUMIFS(Raw_Data_Daily!$D:$D, Raw_Data_Daily!$B:$B, "Control", Raw_Data_Daily!$A:$A, $A34, Raw_Data_Daily!$C:$C, $C$3),""))</f>
        <v>28</v>
      </c>
      <c r="CL34" s="246">
        <f>IF($A34="","",IFERROR(SUMPRODUCT((Raw_Data_Daily!$B$2:$B$9999="Variant")*(Raw_Data_Daily!$A$2:$A$9999=$A34)*(Raw_Data_Daily!$C$2:$C$9999=$C$3)*Raw_Data_Daily!$D$2:$D$9999*Raw_Data_Daily!$AF$2:$AF$9999)/SUMIFS(Raw_Data_Daily!$D:$D, Raw_Data_Daily!$B:$B, "Variant", Raw_Data_Daily!$A:$A, $A34, Raw_Data_Daily!$C:$C, $C$3),""))</f>
        <v>29</v>
      </c>
      <c r="CM34" s="244">
        <f t="shared" si="30"/>
        <v>0.03571428571</v>
      </c>
      <c r="CN34" s="246">
        <f>IF($A34="","",IFERROR(SUMPRODUCT((Raw_Data_Daily!$B$2:$B$9999="Control")*(Raw_Data_Daily!$A$2:$A$9999=$A34)*(Raw_Data_Daily!$C$2:$C$9999=$C$3)*Raw_Data_Daily!$D$2:$D$9999*Raw_Data_Daily!$AG$2:$AG$9999)/SUMIFS(Raw_Data_Daily!$D:$D, Raw_Data_Daily!$B:$B, "Control", Raw_Data_Daily!$A:$A, $A34, Raw_Data_Daily!$C:$C, $C$3),""))</f>
        <v>51</v>
      </c>
      <c r="CO34" s="246">
        <f>IF($A34="","",IFERROR(SUMPRODUCT((Raw_Data_Daily!$B$2:$B$9999="Variant")*(Raw_Data_Daily!$A$2:$A$9999=$A34)*(Raw_Data_Daily!$C$2:$C$9999=$C$3)*Raw_Data_Daily!$D$2:$D$9999*Raw_Data_Daily!$AG$2:$AG$9999)/SUMIFS(Raw_Data_Daily!$D:$D, Raw_Data_Daily!$B:$B, "Variant", Raw_Data_Daily!$A:$A, $A34, Raw_Data_Daily!$C:$C, $C$3),""))</f>
        <v>51</v>
      </c>
      <c r="CP34" s="244">
        <f t="shared" si="31"/>
        <v>0</v>
      </c>
      <c r="CQ34" s="246">
        <f>IF($A34="","",IFERROR(SUMPRODUCT((Raw_Data_Daily!$B$2:$B$9999="Control")*(Raw_Data_Daily!$A$2:$A$9999=$A34)*(Raw_Data_Daily!$C$2:$C$9999=$C$3)*Raw_Data_Daily!$D$2:$D$9999*Raw_Data_Daily!$AH$2:$AH$9999)/SUMIFS(Raw_Data_Daily!$D:$D, Raw_Data_Daily!$B:$B, "Control", Raw_Data_Daily!$A:$A, $A34, Raw_Data_Daily!$C:$C, $C$3),""))</f>
        <v>93</v>
      </c>
      <c r="CR34" s="246">
        <f>IF($A34="","",IFERROR(SUMPRODUCT((Raw_Data_Daily!$B$2:$B$9999="Variant")*(Raw_Data_Daily!$A$2:$A$9999=$A34)*(Raw_Data_Daily!$C$2:$C$9999=$C$3)*Raw_Data_Daily!$D$2:$D$9999*Raw_Data_Daily!$AH$2:$AH$9999)/SUMIFS(Raw_Data_Daily!$D:$D, Raw_Data_Daily!$B:$B, "Variant", Raw_Data_Daily!$A:$A, $A34, Raw_Data_Daily!$C:$C, $C$3),""))</f>
        <v>94</v>
      </c>
      <c r="CS34" s="244">
        <f t="shared" si="32"/>
        <v>0.01075268817</v>
      </c>
      <c r="CT34" s="242">
        <f>IF($A34="","",IFERROR(SUMPRODUCT((Raw_Data_Daily!$B$2:$B$9999="Control")*(Raw_Data_Daily!$A$2:$A$9999=$A34)*(Raw_Data_Daily!$C$2:$C$9999=$C$3)*Raw_Data_Daily!$D$2:$D$9999*Raw_Data_Daily!$AI$2:$AI$9999)/SUMIFS(Raw_Data_Daily!$D:$D, Raw_Data_Daily!$B:$B, "Control", Raw_Data_Daily!$A:$A, $A34, Raw_Data_Daily!$C:$C, $C$3),""))</f>
        <v>12.27</v>
      </c>
      <c r="CU34" s="242">
        <f>IF($A34="","",IFERROR(SUMPRODUCT((Raw_Data_Daily!$B$2:$B$9999="Variant")*(Raw_Data_Daily!$A$2:$A$9999=$A34)*(Raw_Data_Daily!$C$2:$C$9999=$C$3)*Raw_Data_Daily!$D$2:$D$9999*Raw_Data_Daily!$AI$2:$AI$9999)/SUMIFS(Raw_Data_Daily!$D:$D, Raw_Data_Daily!$B:$B, "Variant", Raw_Data_Daily!$A:$A, $A34, Raw_Data_Daily!$C:$C, $C$3),""))</f>
        <v>14.52</v>
      </c>
      <c r="CV34" s="249">
        <f t="shared" si="33"/>
        <v>0.1833740831</v>
      </c>
      <c r="CW34" s="242">
        <f>IF($A34="","",IFERROR(SUMPRODUCT((Raw_Data_Daily!$B$2:$B$9999="Control")*(Raw_Data_Daily!$A$2:$A$9999=$A34)*(Raw_Data_Daily!$C$2:$C$9999=$C$3)*Raw_Data_Daily!$D$2:$D$9999*Raw_Data_Daily!$AJ$2:$AJ$9999)/SUMIFS(Raw_Data_Daily!$D:$D, Raw_Data_Daily!$B:$B, "Control", Raw_Data_Daily!$A:$A, $A34, Raw_Data_Daily!$C:$C, $C$3),""))</f>
        <v>3.07</v>
      </c>
      <c r="CX34" s="242">
        <f>IF($A34="","",IFERROR(SUMPRODUCT((Raw_Data_Daily!$B$2:$B$9999="Variant")*(Raw_Data_Daily!$A$2:$A$9999=$A34)*(Raw_Data_Daily!$C$2:$C$9999=$C$3)*Raw_Data_Daily!$D$2:$D$9999*Raw_Data_Daily!$AJ$2:$AJ$9999)/SUMIFS(Raw_Data_Daily!$D:$D, Raw_Data_Daily!$B:$B, "Variant", Raw_Data_Daily!$A:$A, $A34, Raw_Data_Daily!$C:$C, $C$3),""))</f>
        <v>2.69</v>
      </c>
      <c r="CY34" s="249">
        <f t="shared" si="34"/>
        <v>-0.1237785016</v>
      </c>
      <c r="CZ34" s="242">
        <f>IF($A34="","",IFERROR(SUMPRODUCT((Raw_Data_Daily!$B$2:$B$9999="Control")*(Raw_Data_Daily!$A$2:$A$9999=$A34)*(Raw_Data_Daily!$C$2:$C$9999=$C$3)*Raw_Data_Daily!$D$2:$D$9999*Raw_Data_Daily!$AK$2:$AK$9999)/SUMIFS(Raw_Data_Daily!$D:$D, Raw_Data_Daily!$B:$B, "Control", Raw_Data_Daily!$A:$A, $A34, Raw_Data_Daily!$C:$C, $C$3),""))</f>
        <v>0.51</v>
      </c>
      <c r="DA34" s="242">
        <f>IF($A34="","",IFERROR(SUMPRODUCT((Raw_Data_Daily!$B$2:$B$9999="Variant")*(Raw_Data_Daily!$A$2:$A$9999=$A34)*(Raw_Data_Daily!$C$2:$C$9999=$C$3)*Raw_Data_Daily!$D$2:$D$9999*Raw_Data_Daily!$AK$2:$AK$9999)/SUMIFS(Raw_Data_Daily!$D:$D, Raw_Data_Daily!$B:$B, "Variant", Raw_Data_Daily!$A:$A, $A34, Raw_Data_Daily!$C:$C, $C$3),""))</f>
        <v>0.54</v>
      </c>
      <c r="DB34" s="244">
        <f t="shared" si="35"/>
        <v>0.05882352941</v>
      </c>
      <c r="DC34" s="248">
        <f>IF($A34="","",IFERROR(SUMPRODUCT((Raw_Data_Daily!$B$2:$B$9999="Control")*(Raw_Data_Daily!$A$2:$A$9999=$A34)*(Raw_Data_Daily!$C$2:$C$9999=$C$3)*Raw_Data_Daily!$D$2:$D$9999*Raw_Data_Daily!$AL$2:$AL$9999)/SUMIFS(Raw_Data_Daily!$D:$D, Raw_Data_Daily!$B:$B, "Control", Raw_Data_Daily!$A:$A, $A34, Raw_Data_Daily!$C:$C, $C$3),""))</f>
        <v>0.0784</v>
      </c>
      <c r="DD34" s="248">
        <f>IF($A34="","",IFERROR(SUMPRODUCT((Raw_Data_Daily!$B$2:$B$9999="Variant")*(Raw_Data_Daily!$A$2:$A$9999=$A34)*(Raw_Data_Daily!$C$2:$C$9999=$C$3)*Raw_Data_Daily!$D$2:$D$9999*Raw_Data_Daily!$AL$2:$AL$9999)/SUMIFS(Raw_Data_Daily!$D:$D, Raw_Data_Daily!$B:$B, "Variant", Raw_Data_Daily!$A:$A, $A34, Raw_Data_Daily!$C:$C, $C$3),""))</f>
        <v>0.095</v>
      </c>
      <c r="DE34" s="249">
        <f t="shared" si="36"/>
        <v>0.2117346939</v>
      </c>
      <c r="DF34" s="255"/>
      <c r="DG34" s="242">
        <f>IF($A34="","",IFERROR(SUMPRODUCT((Raw_Data_Daily!$B$2:$B$9999="Variant")*(Raw_Data_Daily!$A$2:$A$9999=$A34)*(Raw_Data_Daily!$C$2:$C$9999=$C$3)*Raw_Data_Daily!$D$2:$D$9999*Raw_Data_Daily!$AM$2:$AM$9999)/SUMIFS(Raw_Data_Daily!$D:$D, Raw_Data_Daily!$B:$B, "Variant", Raw_Data_Daily!$A:$A, $A34, Raw_Data_Daily!$C:$C, $C$3),""))</f>
        <v>35.13</v>
      </c>
      <c r="DH34" s="256"/>
      <c r="DI34" s="255"/>
      <c r="DJ34" s="242">
        <f>IF($A34="","",IFERROR(SUMPRODUCT((Raw_Data_Daily!$B$2:$B$9999="Variant")*(Raw_Data_Daily!$A$2:$A$9999=$A34)*(Raw_Data_Daily!$C$2:$C$9999=$C$3)*Raw_Data_Daily!$D$2:$D$9999*Raw_Data_Daily!$AN$2:$AN$9999)/SUMIFS(Raw_Data_Daily!$D:$D, Raw_Data_Daily!$B:$B, "Variant", Raw_Data_Daily!$A:$A, $A34, Raw_Data_Daily!$C:$C, $C$3),""))</f>
        <v>35.13</v>
      </c>
      <c r="DK34" s="256"/>
      <c r="DL34" s="255"/>
      <c r="DM34" s="242">
        <f>IF($A34="","",IFERROR(SUMPRODUCT((Raw_Data_Daily!$B$2:$B$9999="Variant")*(Raw_Data_Daily!$A$2:$A$9999=$A34)*(Raw_Data_Daily!$C$2:$C$9999=$C$3)*Raw_Data_Daily!$D$2:$D$9999*Raw_Data_Daily!$AO$2:$AO$9999)/SUMIFS(Raw_Data_Daily!$D:$D, Raw_Data_Daily!$B:$B, "Variant", Raw_Data_Daily!$A:$A, $A34, Raw_Data_Daily!$C:$C, $C$3),""))</f>
        <v>20.25</v>
      </c>
      <c r="DN34" s="256"/>
      <c r="DO34" s="255"/>
      <c r="DP34" s="242">
        <f>IF($A34="","",IFERROR(SUMPRODUCT((Raw_Data_Daily!$B$2:$B$9999="Variant")*(Raw_Data_Daily!$A$2:$A$9999=$A34)*(Raw_Data_Daily!$C$2:$C$9999=$C$3)*Raw_Data_Daily!$D$2:$D$9999*Raw_Data_Daily!$AP$2:$AP$9999)/SUMIFS(Raw_Data_Daily!$D:$D, Raw_Data_Daily!$B:$B, "Variant", Raw_Data_Daily!$A:$A, $A34, Raw_Data_Daily!$C:$C, $C$3),""))</f>
        <v>11.29</v>
      </c>
      <c r="DQ34" s="256"/>
      <c r="DR34" s="248">
        <f>IF($A34="","",IFERROR(SUMPRODUCT((Raw_Data_Daily!$B$2:$B$9999="Control")*(Raw_Data_Daily!$A$2:$A$9999=$A34)*(Raw_Data_Daily!$C$2:$C$9999=$C$3)*Raw_Data_Daily!$D$2:$D$9999*Raw_Data_Daily!$AQ$2:$AQ$9999)/SUMIFS(Raw_Data_Daily!$D:$D, Raw_Data_Daily!$B:$B, "Control", Raw_Data_Daily!$A:$A, $A34, Raw_Data_Daily!$C:$C, $C$3),""))</f>
        <v>17.4838</v>
      </c>
      <c r="DS34" s="248">
        <f>IF($A34="","",IFERROR(SUMPRODUCT((Raw_Data_Daily!$B$2:$B$9999="Variant")*(Raw_Data_Daily!$A$2:$A$9999=$A34)*(Raw_Data_Daily!$C$2:$C$9999=$C$3)*Raw_Data_Daily!$D$2:$D$9999*Raw_Data_Daily!$AQ$2:$AQ$9999)/SUMIFS(Raw_Data_Daily!$D:$D, Raw_Data_Daily!$B:$B, "Variant", Raw_Data_Daily!$A:$A, $A34, Raw_Data_Daily!$C:$C, $C$3),""))</f>
        <v>10.6595</v>
      </c>
      <c r="DT34" s="257">
        <f t="shared" si="37"/>
        <v>-0.390321326</v>
      </c>
      <c r="DU34" s="248">
        <f>IF($A34="","",IFERROR(SUMPRODUCT((Raw_Data_Daily!$B$2:$B$9999="Control")*(Raw_Data_Daily!$A$2:$A$9999=$A34)*(Raw_Data_Daily!$C$2:$C$9999=$C$3)*Raw_Data_Daily!$D$2:$D$9999*Raw_Data_Daily!$AR$2:$AR$9999)/SUMIFS(Raw_Data_Daily!$D:$D, Raw_Data_Daily!$B:$B, "Control", Raw_Data_Daily!$A:$A, $A34, Raw_Data_Daily!$C:$C, $C$3),""))</f>
        <v>0.7325</v>
      </c>
      <c r="DV34" s="248">
        <f>IF($A34="","",IFERROR(SUMPRODUCT((Raw_Data_Daily!$B$2:$B$9999="Variant")*(Raw_Data_Daily!$A$2:$A$9999=$A34)*(Raw_Data_Daily!$C$2:$C$9999=$C$3)*Raw_Data_Daily!$D$2:$D$9999*Raw_Data_Daily!$AR$2:$AR$9999)/SUMIFS(Raw_Data_Daily!$D:$D, Raw_Data_Daily!$B:$B, "Variant", Raw_Data_Daily!$A:$A, $A34, Raw_Data_Daily!$C:$C, $C$3),""))</f>
        <v>0.8602</v>
      </c>
      <c r="DW34" s="257">
        <f t="shared" si="38"/>
        <v>0.174334471</v>
      </c>
      <c r="DX34" s="248">
        <f>IF($A34="","",IFERROR(SUMPRODUCT((Raw_Data_Daily!$B$2:$B$9999="Control")*(Raw_Data_Daily!$A$2:$A$9999=$A34)*(Raw_Data_Daily!$C$2:$C$9999=$C$3)*Raw_Data_Daily!$D$2:$D$9999*Raw_Data_Daily!$AS$2:$AS$9999)/SUMIFS(Raw_Data_Daily!$D:$D, Raw_Data_Daily!$B:$B, "Control", Raw_Data_Daily!$A:$A, $A34, Raw_Data_Daily!$C:$C, $C$3),""))</f>
        <v>16.7513</v>
      </c>
      <c r="DY34" s="248">
        <f>IF($A34="","",IFERROR(SUMPRODUCT((Raw_Data_Daily!$B$2:$B$9999="Variant")*(Raw_Data_Daily!$A$2:$A$9999=$A34)*(Raw_Data_Daily!$C$2:$C$9999=$C$3)*Raw_Data_Daily!$D$2:$D$9999*Raw_Data_Daily!$AS$2:$AS$9999)/SUMIFS(Raw_Data_Daily!$D:$D, Raw_Data_Daily!$B:$B, "Variant", Raw_Data_Daily!$A:$A, $A34, Raw_Data_Daily!$C:$C, $C$3),""))</f>
        <v>9.7993</v>
      </c>
      <c r="DZ34" s="257">
        <f t="shared" si="39"/>
        <v>-0.4150125662</v>
      </c>
      <c r="EA34" s="248">
        <f>IF($A34="","",IFERROR(SUMPRODUCT((Raw_Data_Daily!$B$2:$B$9999="Control")*(Raw_Data_Daily!$A$2:$A$9999=$A34)*(Raw_Data_Daily!$C$2:$C$9999=$C$3)*Raw_Data_Daily!$D$2:$D$9999*Raw_Data_Daily!$AT$2:$AT$9999)/SUMIFS(Raw_Data_Daily!$D:$D, Raw_Data_Daily!$B:$B, "Control", Raw_Data_Daily!$A:$A, $A34, Raw_Data_Daily!$C:$C, $C$3),""))</f>
        <v>19.678</v>
      </c>
      <c r="EB34" s="248">
        <f>IF($A34="","",IFERROR(SUMPRODUCT((Raw_Data_Daily!$B$2:$B$9999="Variant")*(Raw_Data_Daily!$A$2:$A$9999=$A34)*(Raw_Data_Daily!$C$2:$C$9999=$C$3)*Raw_Data_Daily!$D$2:$D$9999*Raw_Data_Daily!$AT$2:$AT$9999)/SUMIFS(Raw_Data_Daily!$D:$D, Raw_Data_Daily!$B:$B, "Variant", Raw_Data_Daily!$A:$A, $A34, Raw_Data_Daily!$C:$C, $C$3),""))</f>
        <v>16.1111</v>
      </c>
      <c r="EC34" s="257">
        <f t="shared" si="40"/>
        <v>-0.1812633398</v>
      </c>
      <c r="ED34" s="248">
        <f>IF($A34="","",IFERROR(SUMPRODUCT((Raw_Data_Daily!$B$2:$B$9999="Control")*(Raw_Data_Daily!$A$2:$A$9999=$A34)*(Raw_Data_Daily!$C$2:$C$9999=$C$3)*Raw_Data_Daily!$D$2:$D$9999*(Raw_Data_Daily!$AQ$2:$AQ$9999-Raw_Data_Daily!$AT$2:$AT$9999))/SUMIFS(Raw_Data_Daily!$D:$D, Raw_Data_Daily!$B:$B, "Control", Raw_Data_Daily!$A:$A, $A34, Raw_Data_Daily!$C:$C, $C$3),""))</f>
        <v>-2.1942</v>
      </c>
      <c r="EE34" s="248">
        <f>IF($A34="","",IFERROR(SUMPRODUCT((Raw_Data_Daily!$B$2:$B$9999="Variant")*(Raw_Data_Daily!$A$2:$A$9999=$A34)*(Raw_Data_Daily!$C$2:$C$9999=$C$3)*Raw_Data_Daily!$D$2:$D$9999*(Raw_Data_Daily!$AQ$2:$AQ$9999-Raw_Data_Daily!$AT$2:$AT$9999))/SUMIFS(Raw_Data_Daily!$D:$D, Raw_Data_Daily!$B:$B, "Variant", Raw_Data_Daily!$A:$A, $A34, Raw_Data_Daily!$C:$C, $C$3),""))</f>
        <v>-5.4516</v>
      </c>
      <c r="EF34" s="257">
        <f t="shared" si="41"/>
        <v>-1.484550178</v>
      </c>
      <c r="EG34" s="248">
        <f>IF($A34="","",IFERROR(SUMPRODUCT((Raw_Data_Daily!$B$2:$B$9999="Control")*(Raw_Data_Daily!$A$2:$A$9999=$A34)*(Raw_Data_Daily!$C$2:$C$9999=$C$3)*Raw_Data_Daily!$D$2:$D$9999*Raw_Data_Daily!$AU$2:$AU$9999)/SUMIFS(Raw_Data_Daily!$D:$D, Raw_Data_Daily!$B:$B, "Control", Raw_Data_Daily!$A:$A, $A34, Raw_Data_Daily!$C:$C, $C$3),""))</f>
        <v>0.1526</v>
      </c>
      <c r="EH34" s="248">
        <f>IF($A34="","",IFERROR(SUMPRODUCT((Raw_Data_Daily!$B$2:$B$9999="Variant")*(Raw_Data_Daily!$A$2:$A$9999=$A34)*(Raw_Data_Daily!$C$2:$C$9999=$C$3)*Raw_Data_Daily!$D$2:$D$9999*Raw_Data_Daily!$AU$2:$AU$9999)/SUMIFS(Raw_Data_Daily!$D:$D, Raw_Data_Daily!$B:$B, "Variant", Raw_Data_Daily!$A:$A, $A34, Raw_Data_Daily!$C:$C, $C$3),""))</f>
        <v>0.1324</v>
      </c>
      <c r="EI34" s="257">
        <f t="shared" si="42"/>
        <v>-0.1323722149</v>
      </c>
    </row>
    <row r="35" ht="15.75" customHeight="1">
      <c r="A35" s="126">
        <v>46258.0</v>
      </c>
      <c r="B35" s="128">
        <f>IF($A35="","",SUMIFS(Raw_Data_Daily!$D:$D, Raw_Data_Daily!$B:$B, "Control", Raw_Data_Daily!$A:$A, $A35, Raw_Data_Daily!$C:$C, $C$3))</f>
        <v>599</v>
      </c>
      <c r="C35" s="128">
        <f>IF($A35="","",SUMIFS(Raw_Data_Daily!$D:$D, Raw_Data_Daily!$B:$B, "Variant", Raw_Data_Daily!$A:$A, $A35, Raw_Data_Daily!$C:$C, $C$3))</f>
        <v>541</v>
      </c>
      <c r="D35" s="129">
        <f t="shared" si="1"/>
        <v>-0.09682804674</v>
      </c>
      <c r="E35" s="130">
        <f>IF($A35="","",IFERROR(SUMPRODUCT((Raw_Data_Daily!$B$2:$B$9999="Control")*(Raw_Data_Daily!$A$2:$A$9999=$A35)*(Raw_Data_Daily!$C$2:$C$9999=$C$3)*Raw_Data_Daily!$D$2:$D$9999*Raw_Data_Daily!$E$2:$E$9999)/SUMIFS(Raw_Data_Daily!$D:$D, Raw_Data_Daily!$B:$B, "Control", Raw_Data_Daily!$A:$A, $A35, Raw_Data_Daily!$C:$C, $C$3),""))</f>
        <v>2.12</v>
      </c>
      <c r="F35" s="130">
        <f>IF($A35="","",IFERROR(SUMPRODUCT((Raw_Data_Daily!$B$2:$B$9999="Variant")*(Raw_Data_Daily!$A$2:$A$9999=$A35)*(Raw_Data_Daily!$C$2:$C$9999=$C$3)*Raw_Data_Daily!$D$2:$D$9999*Raw_Data_Daily!$E$2:$E$9999)/SUMIFS(Raw_Data_Daily!$D:$D, Raw_Data_Daily!$B:$B, "Variant", Raw_Data_Daily!$A:$A, $A35, Raw_Data_Daily!$C:$C, $C$3),""))</f>
        <v>1.94</v>
      </c>
      <c r="G35" s="129">
        <f t="shared" si="2"/>
        <v>-0.08490566038</v>
      </c>
      <c r="H35" s="131">
        <f>IF($A35="","",SUMIFS(Raw_Data_Daily!$F:$F, Raw_Data_Daily!$B:$B, "Control", Raw_Data_Daily!$A:$A, $A35, Raw_Data_Daily!$C:$C, $C$3))</f>
        <v>556.73</v>
      </c>
      <c r="I35" s="131">
        <f>IF($A35="","",SUMIFS(Raw_Data_Daily!$F:$F, Raw_Data_Daily!$B:$B, "Variant", Raw_Data_Daily!$A:$A, $A35, Raw_Data_Daily!$C:$C, $C$3))</f>
        <v>480.36</v>
      </c>
      <c r="J35" s="132">
        <f t="shared" si="3"/>
        <v>-0.1371760099</v>
      </c>
      <c r="K35" s="134">
        <f>IF($A35="","",IFERROR(SUMIFS(Raw_Data_Daily!$F:$F, Raw_Data_Daily!$B:$B, "Control", Raw_Data_Daily!$A:$A, $A35, Raw_Data_Daily!$C:$C, $C$3)/SUMIFS(Raw_Data_Daily!$D:$D, Raw_Data_Daily!$B:$B, "Control", Raw_Data_Daily!$A:$A, $A35, Raw_Data_Daily!$C:$C, $C$3),""))</f>
        <v>0.9294323873</v>
      </c>
      <c r="L35" s="134">
        <f>IF($A35="","",IFERROR(SUMIFS(Raw_Data_Daily!$F:$F, Raw_Data_Daily!$B:$B, "Variant", Raw_Data_Daily!$A:$A, $A35, Raw_Data_Daily!$C:$C, $C$3)/SUMIFS(Raw_Data_Daily!$D:$D, Raw_Data_Daily!$B:$B, "Variant", Raw_Data_Daily!$A:$A, $A35, Raw_Data_Daily!$C:$C, $C$3),""))</f>
        <v>0.8879112754</v>
      </c>
      <c r="M35" s="132">
        <f t="shared" si="4"/>
        <v>-0.04467362281</v>
      </c>
      <c r="N35" s="130">
        <f>IF($A35="","",IFERROR(SUMPRODUCT((Raw_Data_Daily!$B$2:$B$9999="Control")*(Raw_Data_Daily!$A$2:$A$9999=$A35)*(Raw_Data_Daily!$C$2:$C$9999=$C$3)*Raw_Data_Daily!$D$2:$D$9999*Raw_Data_Daily!$H$2:$H$9999/100)/SUMIFS(Raw_Data_Daily!$D:$D, Raw_Data_Daily!$B:$B, "Control", Raw_Data_Daily!$A:$A, $A35, Raw_Data_Daily!$C:$C, $C$3)*100,""))</f>
        <v>8.51</v>
      </c>
      <c r="O35" s="130">
        <f>IF($A35="","",IFERROR(SUMPRODUCT((Raw_Data_Daily!$B$2:$B$9999="Variant")*(Raw_Data_Daily!$A$2:$A$9999=$A35)*(Raw_Data_Daily!$C$2:$C$9999=$C$3)*Raw_Data_Daily!$D$2:$D$9999*Raw_Data_Daily!$H$2:$H$9999/100)/SUMIFS(Raw_Data_Daily!$D:$D, Raw_Data_Daily!$B:$B, "Variant", Raw_Data_Daily!$A:$A, $A35, Raw_Data_Daily!$C:$C, $C$3)*100,""))</f>
        <v>5.91</v>
      </c>
      <c r="P35" s="132">
        <f t="shared" si="5"/>
        <v>-0.3055229142</v>
      </c>
      <c r="Q35" s="134">
        <f>IF($A35="","",IFERROR(SUMIFS(Raw_Data_Daily!$F:$F, Raw_Data_Daily!$B:$B, "Control", Raw_Data_Daily!$A:$A, $A35, Raw_Data_Daily!$C:$C, $C$3)/SUMPRODUCT((Raw_Data_Daily!$B$2:$B$9999="Control")*(Raw_Data_Daily!$A$2:$A$9999=$A35)*(Raw_Data_Daily!$C$2:$C$9999=$C$3)*Raw_Data_Daily!$D$2:$D$9999*Raw_Data_Daily!$H$2:$H$9999/100),""))</f>
        <v>10.92164967</v>
      </c>
      <c r="R35" s="134">
        <f>IF($A35="","",IFERROR(SUMIFS(Raw_Data_Daily!$F:$F, Raw_Data_Daily!$B:$B, "Variant", Raw_Data_Daily!$A:$A, $A35, Raw_Data_Daily!$C:$C, $C$3)/SUMPRODUCT((Raw_Data_Daily!$B$2:$B$9999="Variant")*(Raw_Data_Daily!$A$2:$A$9999=$A35)*(Raw_Data_Daily!$C$2:$C$9999=$C$3)*Raw_Data_Daily!$D$2:$D$9999*Raw_Data_Daily!$H$2:$H$9999/100),""))</f>
        <v>15.02387945</v>
      </c>
      <c r="S35" s="132">
        <f t="shared" si="6"/>
        <v>0.3756053249</v>
      </c>
      <c r="T35" s="137">
        <f>IF($A35="","",IFERROR(SUMPRODUCT((Raw_Data_Daily!$B$2:$B$9999="Control")*(Raw_Data_Daily!$A$2:$A$9999=$A35)*(Raw_Data_Daily!$C$2:$C$9999=$C$3)*Raw_Data_Daily!$D$2:$D$9999*Raw_Data_Daily!$J$2:$J$9999)/SUMIFS(Raw_Data_Daily!$D:$D, Raw_Data_Daily!$B:$B, "Control", Raw_Data_Daily!$A:$A, $A35, Raw_Data_Daily!$C:$C, $C$3),""))</f>
        <v>208.03</v>
      </c>
      <c r="U35" s="137">
        <f>IF($A35="","",IFERROR(SUMPRODUCT((Raw_Data_Daily!$B$2:$B$9999="Variant")*(Raw_Data_Daily!$A$2:$A$9999=$A35)*(Raw_Data_Daily!$C$2:$C$9999=$C$3)*Raw_Data_Daily!$D$2:$D$9999*Raw_Data_Daily!$J$2:$J$9999)/SUMIFS(Raw_Data_Daily!$D:$D, Raw_Data_Daily!$B:$B, "Variant", Raw_Data_Daily!$A:$A, $A35, Raw_Data_Daily!$C:$C, $C$3),""))</f>
        <v>213</v>
      </c>
      <c r="V35" s="132">
        <f t="shared" si="7"/>
        <v>0.02389078498</v>
      </c>
      <c r="W35" s="137">
        <f>IF($A35="","",IFERROR(SUMPRODUCT((Raw_Data_Daily!$B$2:$B$9999="Control")*(Raw_Data_Daily!$A$2:$A$9999=$A35)*(Raw_Data_Daily!$C$2:$C$9999=$C$3)*Raw_Data_Daily!$D$2:$D$9999*Raw_Data_Daily!$K$2:$K$9999)/SUMIFS(Raw_Data_Daily!$D:$D, Raw_Data_Daily!$B:$B, "Control", Raw_Data_Daily!$A:$A, $A35, Raw_Data_Daily!$C:$C, $C$3),""))</f>
        <v>125.47</v>
      </c>
      <c r="X35" s="137">
        <f>IF($A35="","",IFERROR(SUMPRODUCT((Raw_Data_Daily!$B$2:$B$9999="Variant")*(Raw_Data_Daily!$A$2:$A$9999=$A35)*(Raw_Data_Daily!$C$2:$C$9999=$C$3)*Raw_Data_Daily!$D$2:$D$9999*Raw_Data_Daily!$K$2:$K$9999)/SUMIFS(Raw_Data_Daily!$D:$D, Raw_Data_Daily!$B:$B, "Variant", Raw_Data_Daily!$A:$A, $A35, Raw_Data_Daily!$C:$C, $C$3),""))</f>
        <v>127.18</v>
      </c>
      <c r="Y35" s="132">
        <f t="shared" si="8"/>
        <v>0.01362875588</v>
      </c>
      <c r="Z35" s="137">
        <f>IF($A35="","",IFERROR(SUMPRODUCT((Raw_Data_Daily!$B$2:$B$9999="Control")*(Raw_Data_Daily!$A$2:$A$9999=$A35)*(Raw_Data_Daily!$C$2:$C$9999=$C$3)*Raw_Data_Daily!$D$2:$D$9999*Raw_Data_Daily!$L$2:$L$9999)/SUMIFS(Raw_Data_Daily!$D:$D, Raw_Data_Daily!$B:$B, "Control", Raw_Data_Daily!$A:$A, $A35, Raw_Data_Daily!$C:$C, $C$3),""))</f>
        <v>96.52</v>
      </c>
      <c r="AA35" s="137">
        <f>IF($A35="","",IFERROR(SUMPRODUCT((Raw_Data_Daily!$B$2:$B$9999="Variant")*(Raw_Data_Daily!$A$2:$A$9999=$A35)*(Raw_Data_Daily!$C$2:$C$9999=$C$3)*Raw_Data_Daily!$D$2:$D$9999*Raw_Data_Daily!$L$2:$L$9999)/SUMIFS(Raw_Data_Daily!$D:$D, Raw_Data_Daily!$B:$B, "Variant", Raw_Data_Daily!$A:$A, $A35, Raw_Data_Daily!$C:$C, $C$3),""))</f>
        <v>98.78</v>
      </c>
      <c r="AB35" s="132">
        <f t="shared" si="9"/>
        <v>0.0234148363</v>
      </c>
      <c r="AC35" s="139">
        <f>IF($A35="","",IFERROR(SUMPRODUCT((Raw_Data_Daily!$B$2:$B$9999="Control")*(Raw_Data_Daily!$A$2:$A$9999=$A35)*(Raw_Data_Daily!$C$2:$C$9999=$C$3)*Raw_Data_Daily!$D$2:$D$9999*Raw_Data_Daily!$M$2:$M$9999)/SUMIFS(Raw_Data_Daily!$D:$D, Raw_Data_Daily!$B:$B, "Control", Raw_Data_Daily!$A:$A, $A35, Raw_Data_Daily!$C:$C, $C$3),""))</f>
        <v>0.7692</v>
      </c>
      <c r="AD35" s="139">
        <f>IF($A35="","",IFERROR(SUMPRODUCT((Raw_Data_Daily!$B$2:$B$9999="Variant")*(Raw_Data_Daily!$A$2:$A$9999=$A35)*(Raw_Data_Daily!$C$2:$C$9999=$C$3)*Raw_Data_Daily!$D$2:$D$9999*Raw_Data_Daily!$M$2:$M$9999)/SUMIFS(Raw_Data_Daily!$D:$D, Raw_Data_Daily!$B:$B, "Variant", Raw_Data_Daily!$A:$A, $A35, Raw_Data_Daily!$C:$C, $C$3),""))</f>
        <v>0.7767</v>
      </c>
      <c r="AE35" s="140">
        <f t="shared" si="10"/>
        <v>0.009750390016</v>
      </c>
      <c r="AF35" s="139">
        <f>IF($A35="","",IFERROR(SUMPRODUCT((Raw_Data_Daily!$B$2:$B$9999="Control")*(Raw_Data_Daily!$A$2:$A$9999=$A35)*(Raw_Data_Daily!$C$2:$C$9999=$C$3)*Raw_Data_Daily!$D$2:$D$9999*Raw_Data_Daily!$N$2:$N$9999)/SUMIFS(Raw_Data_Daily!$D:$D, Raw_Data_Daily!$B:$B, "Control", Raw_Data_Daily!$A:$A, $A35, Raw_Data_Daily!$C:$C, $C$3),""))</f>
        <v>0.3804</v>
      </c>
      <c r="AG35" s="139">
        <f>IF($A35="","",IFERROR(SUMPRODUCT((Raw_Data_Daily!$B$2:$B$9999="Variant")*(Raw_Data_Daily!$A$2:$A$9999=$A35)*(Raw_Data_Daily!$C$2:$C$9999=$C$3)*Raw_Data_Daily!$D$2:$D$9999*Raw_Data_Daily!$N$2:$N$9999)/SUMIFS(Raw_Data_Daily!$D:$D, Raw_Data_Daily!$B:$B, "Variant", Raw_Data_Daily!$A:$A, $A35, Raw_Data_Daily!$C:$C, $C$3),""))</f>
        <v>0.3756</v>
      </c>
      <c r="AH35" s="140">
        <f t="shared" si="11"/>
        <v>-0.01261829653</v>
      </c>
      <c r="AI35" s="139">
        <f>IF($A35="","",IFERROR(SUMPRODUCT((Raw_Data_Daily!$B$2:$B$9999="Control")*(Raw_Data_Daily!$A$2:$A$9999=$A35)*(Raw_Data_Daily!$C$2:$C$9999=$C$3)*Raw_Data_Daily!$D$2:$D$9999*Raw_Data_Daily!$O$2:$O$9999)/SUMIFS(Raw_Data_Daily!$D:$D, Raw_Data_Daily!$B:$B, "Control", Raw_Data_Daily!$A:$A, $A35, Raw_Data_Daily!$C:$C, $C$3),""))</f>
        <v>0.2544</v>
      </c>
      <c r="AJ35" s="139">
        <f>IF($A35="","",IFERROR(SUMPRODUCT((Raw_Data_Daily!$B$2:$B$9999="Variant")*(Raw_Data_Daily!$A$2:$A$9999=$A35)*(Raw_Data_Daily!$C$2:$C$9999=$C$3)*Raw_Data_Daily!$D$2:$D$9999*Raw_Data_Daily!$O$2:$O$9999)/SUMIFS(Raw_Data_Daily!$D:$D, Raw_Data_Daily!$B:$B, "Variant", Raw_Data_Daily!$A:$A, $A35, Raw_Data_Daily!$C:$C, $C$3),""))</f>
        <v>0.2504</v>
      </c>
      <c r="AK35" s="132">
        <f t="shared" si="12"/>
        <v>-0.01572327044</v>
      </c>
      <c r="AL35" s="137">
        <f>IF($A35="","",IFERROR(SUMPRODUCT((Raw_Data_Daily!$B$2:$B$9999="Control")*(Raw_Data_Daily!$A$2:$A$9999=$A35)*(Raw_Data_Daily!$C$2:$C$9999=$C$3)*Raw_Data_Daily!$D$2:$D$9999*Raw_Data_Daily!$P$2:$P$9999)/SUMIFS(Raw_Data_Daily!$D:$D, Raw_Data_Daily!$B:$B, "Control", Raw_Data_Daily!$A:$A, $A35, Raw_Data_Daily!$C:$C, $C$3),""))</f>
        <v>1.3</v>
      </c>
      <c r="AM35" s="137">
        <f>IF($A35="","",IFERROR(SUMPRODUCT((Raw_Data_Daily!$B$2:$B$9999="Variant")*(Raw_Data_Daily!$A$2:$A$9999=$A35)*(Raw_Data_Daily!$C$2:$C$9999=$C$3)*Raw_Data_Daily!$D$2:$D$9999*Raw_Data_Daily!$P$2:$P$9999)/SUMIFS(Raw_Data_Daily!$D:$D, Raw_Data_Daily!$B:$B, "Variant", Raw_Data_Daily!$A:$A, $A35, Raw_Data_Daily!$C:$C, $C$3),""))</f>
        <v>1.2875</v>
      </c>
      <c r="AN35" s="132">
        <f t="shared" si="13"/>
        <v>-0.009615384615</v>
      </c>
      <c r="AO35" s="137">
        <f>IF($A35="","",IFERROR(SUMPRODUCT((Raw_Data_Daily!$B$2:$B$9999="Control")*(Raw_Data_Daily!$A$2:$A$9999=$A35)*(Raw_Data_Daily!$C$2:$C$9999=$C$3)*Raw_Data_Daily!$D$2:$D$9999*Raw_Data_Daily!$Q$2:$Q$9999)/SUMIFS(Raw_Data_Daily!$D:$D, Raw_Data_Daily!$B:$B, "Control", Raw_Data_Daily!$A:$A, $A35, Raw_Data_Daily!$C:$C, $C$3),""))</f>
        <v>627.29</v>
      </c>
      <c r="AP35" s="137">
        <f>IF($A35="","",IFERROR(SUMPRODUCT((Raw_Data_Daily!$B$2:$B$9999="Variant")*(Raw_Data_Daily!$A$2:$A$9999=$A35)*(Raw_Data_Daily!$C$2:$C$9999=$C$3)*Raw_Data_Daily!$D$2:$D$9999*Raw_Data_Daily!$Q$2:$Q$9999)/SUMIFS(Raw_Data_Daily!$D:$D, Raw_Data_Daily!$B:$B, "Variant", Raw_Data_Daily!$A:$A, $A35, Raw_Data_Daily!$C:$C, $C$3),""))</f>
        <v>786.1</v>
      </c>
      <c r="AQ35" s="129">
        <f t="shared" si="14"/>
        <v>0.253168391</v>
      </c>
      <c r="AR35" s="137">
        <f>IF($A35="","",IFERROR(SUMPRODUCT((Raw_Data_Daily!$B$2:$B$9999="Control")*(Raw_Data_Daily!$A$2:$A$9999=$A35)*(Raw_Data_Daily!$C$2:$C$9999=$C$3)*Raw_Data_Daily!$D$2:$D$9999*Raw_Data_Daily!$R$2:$R$9999)/SUMIFS(Raw_Data_Daily!$D:$D, Raw_Data_Daily!$B:$B, "Control", Raw_Data_Daily!$A:$A, $A35, Raw_Data_Daily!$C:$C, $C$3),""))</f>
        <v>563.26</v>
      </c>
      <c r="AS35" s="137">
        <f>IF($A35="","",IFERROR(SUMPRODUCT((Raw_Data_Daily!$B$2:$B$9999="Variant")*(Raw_Data_Daily!$A$2:$A$9999=$A35)*(Raw_Data_Daily!$C$2:$C$9999=$C$3)*Raw_Data_Daily!$D$2:$D$9999*Raw_Data_Daily!$R$2:$R$9999)/SUMIFS(Raw_Data_Daily!$D:$D, Raw_Data_Daily!$B:$B, "Variant", Raw_Data_Daily!$A:$A, $A35, Raw_Data_Daily!$C:$C, $C$3),""))</f>
        <v>723.83</v>
      </c>
      <c r="AT35" s="129">
        <f t="shared" si="15"/>
        <v>0.285072613</v>
      </c>
      <c r="AU35" s="137">
        <f>IF($A35="","",IFERROR(SUMPRODUCT((Raw_Data_Daily!$B$2:$B$9999="Control")*(Raw_Data_Daily!$A$2:$A$9999=$A35)*(Raw_Data_Daily!$C$2:$C$9999=$C$3)*Raw_Data_Daily!$D$2:$D$9999*Raw_Data_Daily!$S$2:$S$9999)/SUMIFS(Raw_Data_Daily!$D:$D, Raw_Data_Daily!$B:$B, "Control", Raw_Data_Daily!$A:$A, $A35, Raw_Data_Daily!$C:$C, $C$3),""))</f>
        <v>64.03</v>
      </c>
      <c r="AV35" s="137">
        <f>IF($A35="","",IFERROR(SUMPRODUCT((Raw_Data_Daily!$B$2:$B$9999="Variant")*(Raw_Data_Daily!$A$2:$A$9999=$A35)*(Raw_Data_Daily!$C$2:$C$9999=$C$3)*Raw_Data_Daily!$D$2:$D$9999*Raw_Data_Daily!$S$2:$S$9999)/SUMIFS(Raw_Data_Daily!$D:$D, Raw_Data_Daily!$B:$B, "Variant", Raw_Data_Daily!$A:$A, $A35, Raw_Data_Daily!$C:$C, $C$3),""))</f>
        <v>62.27</v>
      </c>
      <c r="AW35" s="129">
        <f t="shared" si="16"/>
        <v>-0.02748711541</v>
      </c>
      <c r="AX35" s="137">
        <f>IF($A35="","",IFERROR(SUMPRODUCT((Raw_Data_Daily!$B$2:$B$9999="Control")*(Raw_Data_Daily!$A$2:$A$9999=$A35)*(Raw_Data_Daily!$C$2:$C$9999=$C$3)*Raw_Data_Daily!$D$2:$D$9999*Raw_Data_Daily!$T$2:$T$9999)/SUMIFS(Raw_Data_Daily!$D:$D, Raw_Data_Daily!$B:$B, "Control", Raw_Data_Daily!$A:$A, $A35, Raw_Data_Daily!$C:$C, $C$3),""))</f>
        <v>85.89</v>
      </c>
      <c r="AY35" s="137">
        <f>IF($A35="","",IFERROR(SUMPRODUCT((Raw_Data_Daily!$B$2:$B$9999="Variant")*(Raw_Data_Daily!$A$2:$A$9999=$A35)*(Raw_Data_Daily!$C$2:$C$9999=$C$3)*Raw_Data_Daily!$D$2:$D$9999*Raw_Data_Daily!$T$2:$T$9999)/SUMIFS(Raw_Data_Daily!$D:$D, Raw_Data_Daily!$B:$B, "Variant", Raw_Data_Daily!$A:$A, $A35, Raw_Data_Daily!$C:$C, $C$3),""))</f>
        <v>76.34</v>
      </c>
      <c r="AZ35" s="132">
        <f t="shared" si="17"/>
        <v>-0.1111887298</v>
      </c>
      <c r="BA35" s="137">
        <f>IF($A35="","",IFERROR(SUMPRODUCT((Raw_Data_Daily!$B$2:$B$9999="Control")*(Raw_Data_Daily!$A$2:$A$9999=$A35)*(Raw_Data_Daily!$C$2:$C$9999=$C$3)*Raw_Data_Daily!$D$2:$D$9999*Raw_Data_Daily!$U$2:$U$9999)/SUMIFS(Raw_Data_Daily!$D:$D, Raw_Data_Daily!$B:$B, "Control", Raw_Data_Daily!$A:$A, $A35, Raw_Data_Daily!$C:$C, $C$3),""))</f>
        <v>541.4</v>
      </c>
      <c r="BB35" s="137">
        <f>IF($A35="","",IFERROR(SUMPRODUCT((Raw_Data_Daily!$B$2:$B$9999="Variant")*(Raw_Data_Daily!$A$2:$A$9999=$A35)*(Raw_Data_Daily!$C$2:$C$9999=$C$3)*Raw_Data_Daily!$D$2:$D$9999*Raw_Data_Daily!$U$2:$U$9999)/SUMIFS(Raw_Data_Daily!$D:$D, Raw_Data_Daily!$B:$B, "Variant", Raw_Data_Daily!$A:$A, $A35, Raw_Data_Daily!$C:$C, $C$3),""))</f>
        <v>709.76</v>
      </c>
      <c r="BC35" s="129">
        <f t="shared" si="18"/>
        <v>0.3109715552</v>
      </c>
      <c r="BD35" s="137">
        <f>IF($A35="","",IFERROR(SUMPRODUCT((Raw_Data_Daily!$B$2:$B$9999="Control")*(Raw_Data_Daily!$A$2:$A$9999=$A35)*(Raw_Data_Daily!$C$2:$C$9999=$C$3)*Raw_Data_Daily!$D$2:$D$9999*Raw_Data_Daily!$V$2:$V$9999)/SUMIFS(Raw_Data_Daily!$D:$D, Raw_Data_Daily!$B:$B, "Control", Raw_Data_Daily!$A:$A, $A35, Raw_Data_Daily!$C:$C, $C$3),""))</f>
        <v>587.56</v>
      </c>
      <c r="BE35" s="137">
        <f>IF($A35="","",IFERROR(SUMPRODUCT((Raw_Data_Daily!$B$2:$B$9999="Variant")*(Raw_Data_Daily!$A$2:$A$9999=$A35)*(Raw_Data_Daily!$C$2:$C$9999=$C$3)*Raw_Data_Daily!$D$2:$D$9999*Raw_Data_Daily!$V$2:$V$9999)/SUMIFS(Raw_Data_Daily!$D:$D, Raw_Data_Daily!$B:$B, "Variant", Raw_Data_Daily!$A:$A, $A35, Raw_Data_Daily!$C:$C, $C$3),""))</f>
        <v>632.81</v>
      </c>
      <c r="BF35" s="148">
        <f t="shared" si="19"/>
        <v>0.0770134114</v>
      </c>
      <c r="BG35" s="149">
        <f>IF($A35="","",IFERROR(SUMPRODUCT((Raw_Data_Daily!$B$2:$B$9999="Control")*(Raw_Data_Daily!$A$2:$A$9999=$A35)*(Raw_Data_Daily!$C$2:$C$9999=$C$3)*Raw_Data_Daily!$D$2:$D$9999*(Raw_Data_Daily!$Q$2:$Q$9999-Raw_Data_Daily!$V$2:$V$9999))/SUMIFS(Raw_Data_Daily!$D:$D, Raw_Data_Daily!$B:$B, "Control", Raw_Data_Daily!$A:$A, $A35, Raw_Data_Daily!$C:$C, $C$3),""))</f>
        <v>39.73</v>
      </c>
      <c r="BH35" s="137">
        <f>IF($A35="","",IFERROR(SUMPRODUCT((Raw_Data_Daily!$B$2:$B$9999="Variant")*(Raw_Data_Daily!$A$2:$A$9999=$A35)*(Raw_Data_Daily!$C$2:$C$9999=$C$3)*Raw_Data_Daily!$D$2:$D$9999*(Raw_Data_Daily!$Q$2:$Q$9999-Raw_Data_Daily!$V$2:$V$9999))/SUMIFS(Raw_Data_Daily!$D:$D, Raw_Data_Daily!$B:$B, "Variant", Raw_Data_Daily!$A:$A, $A35, Raw_Data_Daily!$C:$C, $C$3),""))</f>
        <v>153.29</v>
      </c>
      <c r="BI35" s="155">
        <f t="shared" si="20"/>
        <v>2.858293481</v>
      </c>
      <c r="BJ35" s="156">
        <f>IF($A35="","",IFERROR(SUMPRODUCT((Raw_Data_Daily!$B$2:$B$9999="Control")*(Raw_Data_Daily!$A$2:$A$9999=$A35)*(Raw_Data_Daily!$C$2:$C$9999=$C$3)*Raw_Data_Daily!$D$2:$D$9999*Raw_Data_Daily!$W$2:$W$9999)/SUMIFS(Raw_Data_Daily!$D:$D, Raw_Data_Daily!$B:$B, "Control", Raw_Data_Daily!$A:$A, $A35, Raw_Data_Daily!$C:$C, $C$3),""))</f>
        <v>4.6828</v>
      </c>
      <c r="BK35" s="137">
        <f>IF($A35="","",IFERROR(SUMPRODUCT((Raw_Data_Daily!$B$2:$B$9999="Variant")*(Raw_Data_Daily!$A$2:$A$9999=$A35)*(Raw_Data_Daily!$C$2:$C$9999=$C$3)*Raw_Data_Daily!$D$2:$D$9999*Raw_Data_Daily!$W$2:$W$9999)/SUMIFS(Raw_Data_Daily!$D:$D, Raw_Data_Daily!$B:$B, "Variant", Raw_Data_Daily!$A:$A, $A35, Raw_Data_Daily!$C:$C, $C$3),""))</f>
        <v>4.9757</v>
      </c>
      <c r="BL35" s="129">
        <f t="shared" si="21"/>
        <v>0.06254804818</v>
      </c>
      <c r="BM35" s="139">
        <f>IF($A35="","",IFERROR(SUMPRODUCT((Raw_Data_Daily!$B$2:$B$9999="Control")*(Raw_Data_Daily!$A$2:$A$9999=$A35)*(Raw_Data_Daily!$C$2:$C$9999=$C$3)*Raw_Data_Daily!$D$2:$D$9999*Raw_Data_Daily!$X$2:$X$9999)/SUMIFS(Raw_Data_Daily!$D:$D, Raw_Data_Daily!$B:$B, "Control", Raw_Data_Daily!$A:$A, $A35, Raw_Data_Daily!$C:$C, $C$3),""))</f>
        <v>13.69</v>
      </c>
      <c r="BN35" s="139">
        <f>IF($A35="","",IFERROR(SUMPRODUCT((Raw_Data_Daily!$B$2:$B$9999="Variant")*(Raw_Data_Daily!$A$2:$A$9999=$A35)*(Raw_Data_Daily!$C$2:$C$9999=$C$3)*Raw_Data_Daily!$D$2:$D$9999*Raw_Data_Daily!$X$2:$X$9999)/SUMIFS(Raw_Data_Daily!$D:$D, Raw_Data_Daily!$B:$B, "Variant", Raw_Data_Daily!$A:$A, $A35, Raw_Data_Daily!$C:$C, $C$3),""))</f>
        <v>9.71</v>
      </c>
      <c r="BO35" s="132">
        <f t="shared" si="22"/>
        <v>-0.2907231556</v>
      </c>
      <c r="BP35" s="128">
        <f>IF($A35="","",IFERROR(SUMPRODUCT((Raw_Data_Daily!$B$2:$B$9999="Control")*(Raw_Data_Daily!$A$2:$A$9999=$A35)*(Raw_Data_Daily!$C$2:$C$9999=$C$3)*Raw_Data_Daily!$D$2:$D$9999*Raw_Data_Daily!$Y$2:$Y$9999)/SUMIFS(Raw_Data_Daily!$D:$D, Raw_Data_Daily!$B:$B, "Control", Raw_Data_Daily!$A:$A, $A35, Raw_Data_Daily!$C:$C, $C$3),""))</f>
        <v>473</v>
      </c>
      <c r="BQ35" s="128">
        <f>IF($A35="","",IFERROR(SUMPRODUCT((Raw_Data_Daily!$B$2:$B$9999="Variant")*(Raw_Data_Daily!$A$2:$A$9999=$A35)*(Raw_Data_Daily!$C$2:$C$9999=$C$3)*Raw_Data_Daily!$D$2:$D$9999*Raw_Data_Daily!$Y$2:$Y$9999)/SUMIFS(Raw_Data_Daily!$D:$D, Raw_Data_Daily!$B:$B, "Variant", Raw_Data_Daily!$A:$A, $A35, Raw_Data_Daily!$C:$C, $C$3),""))</f>
        <v>471</v>
      </c>
      <c r="BR35" s="129">
        <f t="shared" si="23"/>
        <v>-0.00422832981</v>
      </c>
      <c r="BS35" s="128">
        <f>IF($A35="","",IFERROR(SUMPRODUCT((Raw_Data_Daily!$B$2:$B$9999="Control")*(Raw_Data_Daily!$A$2:$A$9999=$A35)*(Raw_Data_Daily!$C$2:$C$9999=$C$3)*Raw_Data_Daily!$D$2:$D$9999*Raw_Data_Daily!$Z$2:$Z$9999)/SUMIFS(Raw_Data_Daily!$D:$D, Raw_Data_Daily!$B:$B, "Control", Raw_Data_Daily!$A:$A, $A35, Raw_Data_Daily!$C:$C, $C$3),""))</f>
        <v>1150</v>
      </c>
      <c r="BT35" s="128">
        <f>IF($A35="","",IFERROR(SUMPRODUCT((Raw_Data_Daily!$B$2:$B$9999="Variant")*(Raw_Data_Daily!$A$2:$A$9999=$A35)*(Raw_Data_Daily!$C$2:$C$9999=$C$3)*Raw_Data_Daily!$D$2:$D$9999*Raw_Data_Daily!$Z$2:$Z$9999)/SUMIFS(Raw_Data_Daily!$D:$D, Raw_Data_Daily!$B:$B, "Variant", Raw_Data_Daily!$A:$A, $A35, Raw_Data_Daily!$C:$C, $C$3),""))</f>
        <v>1156</v>
      </c>
      <c r="BU35" s="129">
        <f t="shared" si="24"/>
        <v>0.005217391304</v>
      </c>
      <c r="BV35" s="128">
        <f>IF($A35="","",IFERROR(SUMPRODUCT((Raw_Data_Daily!$B$2:$B$9999="Control")*(Raw_Data_Daily!$A$2:$A$9999=$A35)*(Raw_Data_Daily!$C$2:$C$9999=$C$3)*Raw_Data_Daily!$D$2:$D$9999*Raw_Data_Daily!$AA$2:$AA$9999)/SUMIFS(Raw_Data_Daily!$D:$D, Raw_Data_Daily!$B:$B, "Control", Raw_Data_Daily!$A:$A, $A35, Raw_Data_Daily!$C:$C, $C$3),""))</f>
        <v>5051</v>
      </c>
      <c r="BW35" s="128">
        <f>IF($A35="","",IFERROR(SUMPRODUCT((Raw_Data_Daily!$B$2:$B$9999="Variant")*(Raw_Data_Daily!$A$2:$A$9999=$A35)*(Raw_Data_Daily!$C$2:$C$9999=$C$3)*Raw_Data_Daily!$D$2:$D$9999*Raw_Data_Daily!$AA$2:$AA$9999)/SUMIFS(Raw_Data_Daily!$D:$D, Raw_Data_Daily!$B:$B, "Variant", Raw_Data_Daily!$A:$A, $A35, Raw_Data_Daily!$C:$C, $C$3),""))</f>
        <v>4577</v>
      </c>
      <c r="BX35" s="129">
        <f t="shared" si="25"/>
        <v>-0.09384280341</v>
      </c>
      <c r="BY35" s="137">
        <f>IF($A35="","",IFERROR(SUMPRODUCT((Raw_Data_Daily!$B$2:$B$9999="Control")*(Raw_Data_Daily!$A$2:$A$9999=$A35)*(Raw_Data_Daily!$C$2:$C$9999=$C$3)*Raw_Data_Daily!$D$2:$D$9999*Raw_Data_Daily!$AB$2:$AB$9999)/SUMIFS(Raw_Data_Daily!$D:$D, Raw_Data_Daily!$B:$B, "Control", Raw_Data_Daily!$A:$A, $A35, Raw_Data_Daily!$C:$C, $C$3),""))</f>
        <v>56.9119</v>
      </c>
      <c r="BZ35" s="137">
        <f>IF($A35="","",IFERROR(SUMPRODUCT((Raw_Data_Daily!$B$2:$B$9999="Variant")*(Raw_Data_Daily!$A$2:$A$9999=$A35)*(Raw_Data_Daily!$C$2:$C$9999=$C$3)*Raw_Data_Daily!$D$2:$D$9999*Raw_Data_Daily!$AB$2:$AB$9999)/SUMIFS(Raw_Data_Daily!$D:$D, Raw_Data_Daily!$B:$B, "Variant", Raw_Data_Daily!$A:$A, $A35, Raw_Data_Daily!$C:$C, $C$3),""))</f>
        <v>57.0108</v>
      </c>
      <c r="CA35" s="132">
        <f t="shared" si="26"/>
        <v>0.001737773647</v>
      </c>
      <c r="CB35" s="137">
        <f>IF($A35="","",IFERROR(SUMPRODUCT((Raw_Data_Daily!$B$2:$B$9999="Control")*(Raw_Data_Daily!$A$2:$A$9999=$A35)*(Raw_Data_Daily!$C$2:$C$9999=$C$3)*Raw_Data_Daily!$D$2:$D$9999*Raw_Data_Daily!$AC$2:$AC$9999)/SUMIFS(Raw_Data_Daily!$D:$D, Raw_Data_Daily!$B:$B, "Control", Raw_Data_Daily!$A:$A, $A35, Raw_Data_Daily!$C:$C, $C$3),""))</f>
        <v>0.5927</v>
      </c>
      <c r="CC35" s="137">
        <f>IF($A35="","",IFERROR(SUMPRODUCT((Raw_Data_Daily!$B$2:$B$9999="Variant")*(Raw_Data_Daily!$A$2:$A$9999=$A35)*(Raw_Data_Daily!$C$2:$C$9999=$C$3)*Raw_Data_Daily!$D$2:$D$9999*Raw_Data_Daily!$AC$2:$AC$9999)/SUMIFS(Raw_Data_Daily!$D:$D, Raw_Data_Daily!$B:$B, "Variant", Raw_Data_Daily!$A:$A, $A35, Raw_Data_Daily!$C:$C, $C$3),""))</f>
        <v>0.5747</v>
      </c>
      <c r="CD35" s="132">
        <f t="shared" si="27"/>
        <v>-0.03036949553</v>
      </c>
      <c r="CE35" s="137">
        <f>IF($A35="","",IFERROR(SUMPRODUCT((Raw_Data_Daily!$B$2:$B$9999="Control")*(Raw_Data_Daily!$A$2:$A$9999=$A35)*(Raw_Data_Daily!$C$2:$C$9999=$C$3)*Raw_Data_Daily!$D$2:$D$9999*Raw_Data_Daily!$AD$2:$AD$9999)/SUMIFS(Raw_Data_Daily!$D:$D, Raw_Data_Daily!$B:$B, "Control", Raw_Data_Daily!$A:$A, $A35, Raw_Data_Daily!$C:$C, $C$3),""))</f>
        <v>39.74</v>
      </c>
      <c r="CF35" s="137">
        <f>IF($A35="","",IFERROR(SUMPRODUCT((Raw_Data_Daily!$B$2:$B$9999="Variant")*(Raw_Data_Daily!$A$2:$A$9999=$A35)*(Raw_Data_Daily!$C$2:$C$9999=$C$3)*Raw_Data_Daily!$D$2:$D$9999*Raw_Data_Daily!$AD$2:$AD$9999)/SUMIFS(Raw_Data_Daily!$D:$D, Raw_Data_Daily!$B:$B, "Variant", Raw_Data_Daily!$A:$A, $A35, Raw_Data_Daily!$C:$C, $C$3),""))</f>
        <v>41.52</v>
      </c>
      <c r="CG35" s="132">
        <f t="shared" si="28"/>
        <v>0.04479114243</v>
      </c>
      <c r="CH35" s="137">
        <f>IF($A35="","",IFERROR(SUMPRODUCT((Raw_Data_Daily!$B$2:$B$9999="Control")*(Raw_Data_Daily!$A$2:$A$9999=$A35)*(Raw_Data_Daily!$C$2:$C$9999=$C$3)*Raw_Data_Daily!$D$2:$D$9999*Raw_Data_Daily!$AE$2:$AE$9999)/SUMIFS(Raw_Data_Daily!$D:$D, Raw_Data_Daily!$B:$B, "Control", Raw_Data_Daily!$A:$A, $A35, Raw_Data_Daily!$C:$C, $C$3),""))</f>
        <v>16</v>
      </c>
      <c r="CI35" s="137">
        <f>IF($A35="","",IFERROR(SUMPRODUCT((Raw_Data_Daily!$B$2:$B$9999="Variant")*(Raw_Data_Daily!$A$2:$A$9999=$A35)*(Raw_Data_Daily!$C$2:$C$9999=$C$3)*Raw_Data_Daily!$D$2:$D$9999*Raw_Data_Daily!$AE$2:$AE$9999)/SUMIFS(Raw_Data_Daily!$D:$D, Raw_Data_Daily!$B:$B, "Variant", Raw_Data_Daily!$A:$A, $A35, Raw_Data_Daily!$C:$C, $C$3),""))</f>
        <v>16</v>
      </c>
      <c r="CJ35" s="132">
        <f t="shared" si="29"/>
        <v>0</v>
      </c>
      <c r="CK35" s="137">
        <f>IF($A35="","",IFERROR(SUMPRODUCT((Raw_Data_Daily!$B$2:$B$9999="Control")*(Raw_Data_Daily!$A$2:$A$9999=$A35)*(Raw_Data_Daily!$C$2:$C$9999=$C$3)*Raw_Data_Daily!$D$2:$D$9999*Raw_Data_Daily!$AF$2:$AF$9999)/SUMIFS(Raw_Data_Daily!$D:$D, Raw_Data_Daily!$B:$B, "Control", Raw_Data_Daily!$A:$A, $A35, Raw_Data_Daily!$C:$C, $C$3),""))</f>
        <v>32</v>
      </c>
      <c r="CL35" s="137">
        <f>IF($A35="","",IFERROR(SUMPRODUCT((Raw_Data_Daily!$B$2:$B$9999="Variant")*(Raw_Data_Daily!$A$2:$A$9999=$A35)*(Raw_Data_Daily!$C$2:$C$9999=$C$3)*Raw_Data_Daily!$D$2:$D$9999*Raw_Data_Daily!$AF$2:$AF$9999)/SUMIFS(Raw_Data_Daily!$D:$D, Raw_Data_Daily!$B:$B, "Variant", Raw_Data_Daily!$A:$A, $A35, Raw_Data_Daily!$C:$C, $C$3),""))</f>
        <v>32</v>
      </c>
      <c r="CM35" s="132">
        <f t="shared" si="30"/>
        <v>0</v>
      </c>
      <c r="CN35" s="137">
        <f>IF($A35="","",IFERROR(SUMPRODUCT((Raw_Data_Daily!$B$2:$B$9999="Control")*(Raw_Data_Daily!$A$2:$A$9999=$A35)*(Raw_Data_Daily!$C$2:$C$9999=$C$3)*Raw_Data_Daily!$D$2:$D$9999*Raw_Data_Daily!$AG$2:$AG$9999)/SUMIFS(Raw_Data_Daily!$D:$D, Raw_Data_Daily!$B:$B, "Control", Raw_Data_Daily!$A:$A, $A35, Raw_Data_Daily!$C:$C, $C$3),""))</f>
        <v>48</v>
      </c>
      <c r="CO35" s="137">
        <f>IF($A35="","",IFERROR(SUMPRODUCT((Raw_Data_Daily!$B$2:$B$9999="Variant")*(Raw_Data_Daily!$A$2:$A$9999=$A35)*(Raw_Data_Daily!$C$2:$C$9999=$C$3)*Raw_Data_Daily!$D$2:$D$9999*Raw_Data_Daily!$AG$2:$AG$9999)/SUMIFS(Raw_Data_Daily!$D:$D, Raw_Data_Daily!$B:$B, "Variant", Raw_Data_Daily!$A:$A, $A35, Raw_Data_Daily!$C:$C, $C$3),""))</f>
        <v>46</v>
      </c>
      <c r="CP35" s="132">
        <f t="shared" si="31"/>
        <v>-0.04166666667</v>
      </c>
      <c r="CQ35" s="137">
        <f>IF($A35="","",IFERROR(SUMPRODUCT((Raw_Data_Daily!$B$2:$B$9999="Control")*(Raw_Data_Daily!$A$2:$A$9999=$A35)*(Raw_Data_Daily!$C$2:$C$9999=$C$3)*Raw_Data_Daily!$D$2:$D$9999*Raw_Data_Daily!$AH$2:$AH$9999)/SUMIFS(Raw_Data_Daily!$D:$D, Raw_Data_Daily!$B:$B, "Control", Raw_Data_Daily!$A:$A, $A35, Raw_Data_Daily!$C:$C, $C$3),""))</f>
        <v>82</v>
      </c>
      <c r="CR35" s="137">
        <f>IF($A35="","",IFERROR(SUMPRODUCT((Raw_Data_Daily!$B$2:$B$9999="Variant")*(Raw_Data_Daily!$A$2:$A$9999=$A35)*(Raw_Data_Daily!$C$2:$C$9999=$C$3)*Raw_Data_Daily!$D$2:$D$9999*Raw_Data_Daily!$AH$2:$AH$9999)/SUMIFS(Raw_Data_Daily!$D:$D, Raw_Data_Daily!$B:$B, "Variant", Raw_Data_Daily!$A:$A, $A35, Raw_Data_Daily!$C:$C, $C$3),""))</f>
        <v>90</v>
      </c>
      <c r="CS35" s="132">
        <f t="shared" si="32"/>
        <v>0.09756097561</v>
      </c>
      <c r="CT35" s="130">
        <f>IF($A35="","",IFERROR(SUMPRODUCT((Raw_Data_Daily!$B$2:$B$9999="Control")*(Raw_Data_Daily!$A$2:$A$9999=$A35)*(Raw_Data_Daily!$C$2:$C$9999=$C$3)*Raw_Data_Daily!$D$2:$D$9999*Raw_Data_Daily!$AI$2:$AI$9999)/SUMIFS(Raw_Data_Daily!$D:$D, Raw_Data_Daily!$B:$B, "Control", Raw_Data_Daily!$A:$A, $A35, Raw_Data_Daily!$C:$C, $C$3),""))</f>
        <v>32.22</v>
      </c>
      <c r="CU35" s="130">
        <f>IF($A35="","",IFERROR(SUMPRODUCT((Raw_Data_Daily!$B$2:$B$9999="Variant")*(Raw_Data_Daily!$A$2:$A$9999=$A35)*(Raw_Data_Daily!$C$2:$C$9999=$C$3)*Raw_Data_Daily!$D$2:$D$9999*Raw_Data_Daily!$AI$2:$AI$9999)/SUMIFS(Raw_Data_Daily!$D:$D, Raw_Data_Daily!$B:$B, "Variant", Raw_Data_Daily!$A:$A, $A35, Raw_Data_Daily!$C:$C, $C$3),""))</f>
        <v>36.78</v>
      </c>
      <c r="CV35" s="140">
        <f t="shared" si="33"/>
        <v>0.1415270019</v>
      </c>
      <c r="CW35" s="130">
        <f>IF($A35="","",IFERROR(SUMPRODUCT((Raw_Data_Daily!$B$2:$B$9999="Control")*(Raw_Data_Daily!$A$2:$A$9999=$A35)*(Raw_Data_Daily!$C$2:$C$9999=$C$3)*Raw_Data_Daily!$D$2:$D$9999*Raw_Data_Daily!$AJ$2:$AJ$9999)/SUMIFS(Raw_Data_Daily!$D:$D, Raw_Data_Daily!$B:$B, "Control", Raw_Data_Daily!$A:$A, $A35, Raw_Data_Daily!$C:$C, $C$3),""))</f>
        <v>7.35</v>
      </c>
      <c r="CX35" s="130">
        <f>IF($A35="","",IFERROR(SUMPRODUCT((Raw_Data_Daily!$B$2:$B$9999="Variant")*(Raw_Data_Daily!$A$2:$A$9999=$A35)*(Raw_Data_Daily!$C$2:$C$9999=$C$3)*Raw_Data_Daily!$D$2:$D$9999*Raw_Data_Daily!$AJ$2:$AJ$9999)/SUMIFS(Raw_Data_Daily!$D:$D, Raw_Data_Daily!$B:$B, "Variant", Raw_Data_Daily!$A:$A, $A35, Raw_Data_Daily!$C:$C, $C$3),""))</f>
        <v>7.21</v>
      </c>
      <c r="CY35" s="140">
        <f t="shared" si="34"/>
        <v>-0.01904761905</v>
      </c>
      <c r="CZ35" s="130">
        <f>IF($A35="","",IFERROR(SUMPRODUCT((Raw_Data_Daily!$B$2:$B$9999="Control")*(Raw_Data_Daily!$A$2:$A$9999=$A35)*(Raw_Data_Daily!$C$2:$C$9999=$C$3)*Raw_Data_Daily!$D$2:$D$9999*Raw_Data_Daily!$AK$2:$AK$9999)/SUMIFS(Raw_Data_Daily!$D:$D, Raw_Data_Daily!$B:$B, "Control", Raw_Data_Daily!$A:$A, $A35, Raw_Data_Daily!$C:$C, $C$3),""))</f>
        <v>1.17</v>
      </c>
      <c r="DA35" s="130">
        <f>IF($A35="","",IFERROR(SUMPRODUCT((Raw_Data_Daily!$B$2:$B$9999="Variant")*(Raw_Data_Daily!$A$2:$A$9999=$A35)*(Raw_Data_Daily!$C$2:$C$9999=$C$3)*Raw_Data_Daily!$D$2:$D$9999*Raw_Data_Daily!$AK$2:$AK$9999)/SUMIFS(Raw_Data_Daily!$D:$D, Raw_Data_Daily!$B:$B, "Variant", Raw_Data_Daily!$A:$A, $A35, Raw_Data_Daily!$C:$C, $C$3),""))</f>
        <v>1.11</v>
      </c>
      <c r="DB35" s="132">
        <f t="shared" si="35"/>
        <v>-0.05128205128</v>
      </c>
      <c r="DC35" s="139">
        <f>IF($A35="","",IFERROR(SUMPRODUCT((Raw_Data_Daily!$B$2:$B$9999="Control")*(Raw_Data_Daily!$A$2:$A$9999=$A35)*(Raw_Data_Daily!$C$2:$C$9999=$C$3)*Raw_Data_Daily!$D$2:$D$9999*Raw_Data_Daily!$AL$2:$AL$9999)/SUMIFS(Raw_Data_Daily!$D:$D, Raw_Data_Daily!$B:$B, "Control", Raw_Data_Daily!$A:$A, $A35, Raw_Data_Daily!$C:$C, $C$3),""))</f>
        <v>0.0801</v>
      </c>
      <c r="DD35" s="139">
        <f>IF($A35="","",IFERROR(SUMPRODUCT((Raw_Data_Daily!$B$2:$B$9999="Variant")*(Raw_Data_Daily!$A$2:$A$9999=$A35)*(Raw_Data_Daily!$C$2:$C$9999=$C$3)*Raw_Data_Daily!$D$2:$D$9999*Raw_Data_Daily!$AL$2:$AL$9999)/SUMIFS(Raw_Data_Daily!$D:$D, Raw_Data_Daily!$B:$B, "Variant", Raw_Data_Daily!$A:$A, $A35, Raw_Data_Daily!$C:$C, $C$3),""))</f>
        <v>0.0795</v>
      </c>
      <c r="DE35" s="140">
        <f t="shared" si="36"/>
        <v>-0.007490636704</v>
      </c>
      <c r="DF35" s="165"/>
      <c r="DG35" s="130">
        <f>IF($A35="","",IFERROR(SUMPRODUCT((Raw_Data_Daily!$B$2:$B$9999="Variant")*(Raw_Data_Daily!$A$2:$A$9999=$A35)*(Raw_Data_Daily!$C$2:$C$9999=$C$3)*Raw_Data_Daily!$D$2:$D$9999*Raw_Data_Daily!$AM$2:$AM$9999)/SUMIFS(Raw_Data_Daily!$D:$D, Raw_Data_Daily!$B:$B, "Variant", Raw_Data_Daily!$A:$A, $A35, Raw_Data_Daily!$C:$C, $C$3),""))</f>
        <v>35.86</v>
      </c>
      <c r="DH35" s="166"/>
      <c r="DI35" s="165"/>
      <c r="DJ35" s="130">
        <f>IF($A35="","",IFERROR(SUMPRODUCT((Raw_Data_Daily!$B$2:$B$9999="Variant")*(Raw_Data_Daily!$A$2:$A$9999=$A35)*(Raw_Data_Daily!$C$2:$C$9999=$C$3)*Raw_Data_Daily!$D$2:$D$9999*Raw_Data_Daily!$AN$2:$AN$9999)/SUMIFS(Raw_Data_Daily!$D:$D, Raw_Data_Daily!$B:$B, "Variant", Raw_Data_Daily!$A:$A, $A35, Raw_Data_Daily!$C:$C, $C$3),""))</f>
        <v>35.86</v>
      </c>
      <c r="DK35" s="166"/>
      <c r="DL35" s="165"/>
      <c r="DM35" s="130">
        <f>IF($A35="","",IFERROR(SUMPRODUCT((Raw_Data_Daily!$B$2:$B$9999="Variant")*(Raw_Data_Daily!$A$2:$A$9999=$A35)*(Raw_Data_Daily!$C$2:$C$9999=$C$3)*Raw_Data_Daily!$D$2:$D$9999*Raw_Data_Daily!$AO$2:$AO$9999)/SUMIFS(Raw_Data_Daily!$D:$D, Raw_Data_Daily!$B:$B, "Variant", Raw_Data_Daily!$A:$A, $A35, Raw_Data_Daily!$C:$C, $C$3),""))</f>
        <v>18.67</v>
      </c>
      <c r="DN35" s="166"/>
      <c r="DO35" s="165"/>
      <c r="DP35" s="130">
        <f>IF($A35="","",IFERROR(SUMPRODUCT((Raw_Data_Daily!$B$2:$B$9999="Variant")*(Raw_Data_Daily!$A$2:$A$9999=$A35)*(Raw_Data_Daily!$C$2:$C$9999=$C$3)*Raw_Data_Daily!$D$2:$D$9999*Raw_Data_Daily!$AP$2:$AP$9999)/SUMIFS(Raw_Data_Daily!$D:$D, Raw_Data_Daily!$B:$B, "Variant", Raw_Data_Daily!$A:$A, $A35, Raw_Data_Daily!$C:$C, $C$3),""))</f>
        <v>11.09</v>
      </c>
      <c r="DQ35" s="166"/>
      <c r="DR35" s="139">
        <f>IF($A35="","",IFERROR(SUMPRODUCT((Raw_Data_Daily!$B$2:$B$9999="Control")*(Raw_Data_Daily!$A$2:$A$9999=$A35)*(Raw_Data_Daily!$C$2:$C$9999=$C$3)*Raw_Data_Daily!$D$2:$D$9999*Raw_Data_Daily!$AQ$2:$AQ$9999)/SUMIFS(Raw_Data_Daily!$D:$D, Raw_Data_Daily!$B:$B, "Control", Raw_Data_Daily!$A:$A, $A35, Raw_Data_Daily!$C:$C, $C$3),""))</f>
        <v>23.3723</v>
      </c>
      <c r="DS35" s="139">
        <f>IF($A35="","",IFERROR(SUMPRODUCT((Raw_Data_Daily!$B$2:$B$9999="Variant")*(Raw_Data_Daily!$A$2:$A$9999=$A35)*(Raw_Data_Daily!$C$2:$C$9999=$C$3)*Raw_Data_Daily!$D$2:$D$9999*Raw_Data_Daily!$AQ$2:$AQ$9999)/SUMIFS(Raw_Data_Daily!$D:$D, Raw_Data_Daily!$B:$B, "Variant", Raw_Data_Daily!$A:$A, $A35, Raw_Data_Daily!$C:$C, $C$3),""))</f>
        <v>25.9593</v>
      </c>
      <c r="DT35" s="167">
        <f t="shared" si="37"/>
        <v>0.110686582</v>
      </c>
      <c r="DU35" s="139">
        <f>IF($A35="","",IFERROR(SUMPRODUCT((Raw_Data_Daily!$B$2:$B$9999="Control")*(Raw_Data_Daily!$A$2:$A$9999=$A35)*(Raw_Data_Daily!$C$2:$C$9999=$C$3)*Raw_Data_Daily!$D$2:$D$9999*Raw_Data_Daily!$AR$2:$AR$9999)/SUMIFS(Raw_Data_Daily!$D:$D, Raw_Data_Daily!$B:$B, "Control", Raw_Data_Daily!$A:$A, $A35, Raw_Data_Daily!$C:$C, $C$3),""))</f>
        <v>0.586</v>
      </c>
      <c r="DV35" s="139">
        <f>IF($A35="","",IFERROR(SUMPRODUCT((Raw_Data_Daily!$B$2:$B$9999="Variant")*(Raw_Data_Daily!$A$2:$A$9999=$A35)*(Raw_Data_Daily!$C$2:$C$9999=$C$3)*Raw_Data_Daily!$D$2:$D$9999*Raw_Data_Daily!$AR$2:$AR$9999)/SUMIFS(Raw_Data_Daily!$D:$D, Raw_Data_Daily!$B:$B, "Variant", Raw_Data_Daily!$A:$A, $A35, Raw_Data_Daily!$C:$C, $C$3),""))</f>
        <v>1.0111</v>
      </c>
      <c r="DW35" s="167">
        <f t="shared" si="38"/>
        <v>0.7254266212</v>
      </c>
      <c r="DX35" s="139">
        <f>IF($A35="","",IFERROR(SUMPRODUCT((Raw_Data_Daily!$B$2:$B$9999="Control")*(Raw_Data_Daily!$A$2:$A$9999=$A35)*(Raw_Data_Daily!$C$2:$C$9999=$C$3)*Raw_Data_Daily!$D$2:$D$9999*Raw_Data_Daily!$AS$2:$AS$9999)/SUMIFS(Raw_Data_Daily!$D:$D, Raw_Data_Daily!$B:$B, "Control", Raw_Data_Daily!$A:$A, $A35, Raw_Data_Daily!$C:$C, $C$3),""))</f>
        <v>22.7863</v>
      </c>
      <c r="DY35" s="139">
        <f>IF($A35="","",IFERROR(SUMPRODUCT((Raw_Data_Daily!$B$2:$B$9999="Variant")*(Raw_Data_Daily!$A$2:$A$9999=$A35)*(Raw_Data_Daily!$C$2:$C$9999=$C$3)*Raw_Data_Daily!$D$2:$D$9999*Raw_Data_Daily!$AS$2:$AS$9999)/SUMIFS(Raw_Data_Daily!$D:$D, Raw_Data_Daily!$B:$B, "Variant", Raw_Data_Daily!$A:$A, $A35, Raw_Data_Daily!$C:$C, $C$3),""))</f>
        <v>24.9482</v>
      </c>
      <c r="DZ35" s="168">
        <f t="shared" si="39"/>
        <v>0.09487718498</v>
      </c>
      <c r="EA35" s="139">
        <f>IF($A35="","",IFERROR(SUMPRODUCT((Raw_Data_Daily!$B$2:$B$9999="Control")*(Raw_Data_Daily!$A$2:$A$9999=$A35)*(Raw_Data_Daily!$C$2:$C$9999=$C$3)*Raw_Data_Daily!$D$2:$D$9999*Raw_Data_Daily!$AT$2:$AT$9999)/SUMIFS(Raw_Data_Daily!$D:$D, Raw_Data_Daily!$B:$B, "Control", Raw_Data_Daily!$A:$A, $A35, Raw_Data_Daily!$C:$C, $C$3),""))</f>
        <v>22.379</v>
      </c>
      <c r="EB35" s="139">
        <f>IF($A35="","",IFERROR(SUMPRODUCT((Raw_Data_Daily!$B$2:$B$9999="Variant")*(Raw_Data_Daily!$A$2:$A$9999=$A35)*(Raw_Data_Daily!$C$2:$C$9999=$C$3)*Raw_Data_Daily!$D$2:$D$9999*Raw_Data_Daily!$AT$2:$AT$9999)/SUMIFS(Raw_Data_Daily!$D:$D, Raw_Data_Daily!$B:$B, "Variant", Raw_Data_Daily!$A:$A, $A35, Raw_Data_Daily!$C:$C, $C$3),""))</f>
        <v>20.0795</v>
      </c>
      <c r="EC35" s="167">
        <f t="shared" si="40"/>
        <v>-0.1027525805</v>
      </c>
      <c r="ED35" s="139">
        <f>IF($A35="","",IFERROR(SUMPRODUCT((Raw_Data_Daily!$B$2:$B$9999="Control")*(Raw_Data_Daily!$A$2:$A$9999=$A35)*(Raw_Data_Daily!$C$2:$C$9999=$C$3)*Raw_Data_Daily!$D$2:$D$9999*(Raw_Data_Daily!$AQ$2:$AQ$9999-Raw_Data_Daily!$AT$2:$AT$9999))/SUMIFS(Raw_Data_Daily!$D:$D, Raw_Data_Daily!$B:$B, "Control", Raw_Data_Daily!$A:$A, $A35, Raw_Data_Daily!$C:$C, $C$3),""))</f>
        <v>0.9933</v>
      </c>
      <c r="EE35" s="139">
        <f>IF($A35="","",IFERROR(SUMPRODUCT((Raw_Data_Daily!$B$2:$B$9999="Variant")*(Raw_Data_Daily!$A$2:$A$9999=$A35)*(Raw_Data_Daily!$C$2:$C$9999=$C$3)*Raw_Data_Daily!$D$2:$D$9999*(Raw_Data_Daily!$AQ$2:$AQ$9999-Raw_Data_Daily!$AT$2:$AT$9999))/SUMIFS(Raw_Data_Daily!$D:$D, Raw_Data_Daily!$B:$B, "Variant", Raw_Data_Daily!$A:$A, $A35, Raw_Data_Daily!$C:$C, $C$3),""))</f>
        <v>5.8798</v>
      </c>
      <c r="EF35" s="168">
        <f t="shared" si="41"/>
        <v>4.919460385</v>
      </c>
      <c r="EG35" s="139">
        <f>IF($A35="","",IFERROR(SUMPRODUCT((Raw_Data_Daily!$B$2:$B$9999="Control")*(Raw_Data_Daily!$A$2:$A$9999=$A35)*(Raw_Data_Daily!$C$2:$C$9999=$C$3)*Raw_Data_Daily!$D$2:$D$9999*Raw_Data_Daily!$AU$2:$AU$9999)/SUMIFS(Raw_Data_Daily!$D:$D, Raw_Data_Daily!$B:$B, "Control", Raw_Data_Daily!$A:$A, $A35, Raw_Data_Daily!$C:$C, $C$3),""))</f>
        <v>0.1784</v>
      </c>
      <c r="EH35" s="139">
        <f>IF($A35="","",IFERROR(SUMPRODUCT((Raw_Data_Daily!$B$2:$B$9999="Variant")*(Raw_Data_Daily!$A$2:$A$9999=$A35)*(Raw_Data_Daily!$C$2:$C$9999=$C$3)*Raw_Data_Daily!$D$2:$D$9999*Raw_Data_Daily!$AU$2:$AU$9999)/SUMIFS(Raw_Data_Daily!$D:$D, Raw_Data_Daily!$B:$B, "Variant", Raw_Data_Daily!$A:$A, $A35, Raw_Data_Daily!$C:$C, $C$3),""))</f>
        <v>0.1579</v>
      </c>
      <c r="EI35" s="167">
        <f t="shared" si="42"/>
        <v>-0.1149103139</v>
      </c>
    </row>
    <row r="36" ht="15.75" customHeight="1">
      <c r="A36" s="126">
        <v>46259.0</v>
      </c>
      <c r="B36" s="128">
        <f>IF($A36="","",SUMIFS(Raw_Data_Daily!$D:$D, Raw_Data_Daily!$B:$B, "Control", Raw_Data_Daily!$A:$A, $A36, Raw_Data_Daily!$C:$C, $C$3))</f>
        <v>576</v>
      </c>
      <c r="C36" s="128">
        <f>IF($A36="","",SUMIFS(Raw_Data_Daily!$D:$D, Raw_Data_Daily!$B:$B, "Variant", Raw_Data_Daily!$A:$A, $A36, Raw_Data_Daily!$C:$C, $C$3))</f>
        <v>550</v>
      </c>
      <c r="D36" s="129">
        <f t="shared" si="1"/>
        <v>-0.04513888889</v>
      </c>
      <c r="E36" s="130">
        <f>IF($A36="","",IFERROR(SUMPRODUCT((Raw_Data_Daily!$B$2:$B$9999="Control")*(Raw_Data_Daily!$A$2:$A$9999=$A36)*(Raw_Data_Daily!$C$2:$C$9999=$C$3)*Raw_Data_Daily!$D$2:$D$9999*Raw_Data_Daily!$E$2:$E$9999)/SUMIFS(Raw_Data_Daily!$D:$D, Raw_Data_Daily!$B:$B, "Control", Raw_Data_Daily!$A:$A, $A36, Raw_Data_Daily!$C:$C, $C$3),""))</f>
        <v>2.04</v>
      </c>
      <c r="F36" s="130">
        <f>IF($A36="","",IFERROR(SUMPRODUCT((Raw_Data_Daily!$B$2:$B$9999="Variant")*(Raw_Data_Daily!$A$2:$A$9999=$A36)*(Raw_Data_Daily!$C$2:$C$9999=$C$3)*Raw_Data_Daily!$D$2:$D$9999*Raw_Data_Daily!$E$2:$E$9999)/SUMIFS(Raw_Data_Daily!$D:$D, Raw_Data_Daily!$B:$B, "Variant", Raw_Data_Daily!$A:$A, $A36, Raw_Data_Daily!$C:$C, $C$3),""))</f>
        <v>1.94</v>
      </c>
      <c r="G36" s="129">
        <f t="shared" si="2"/>
        <v>-0.04901960784</v>
      </c>
      <c r="H36" s="131">
        <f>IF($A36="","",SUMIFS(Raw_Data_Daily!$F:$F, Raw_Data_Daily!$B:$B, "Control", Raw_Data_Daily!$A:$A, $A36, Raw_Data_Daily!$C:$C, $C$3))</f>
        <v>395.48</v>
      </c>
      <c r="I36" s="131">
        <f>IF($A36="","",SUMIFS(Raw_Data_Daily!$F:$F, Raw_Data_Daily!$B:$B, "Variant", Raw_Data_Daily!$A:$A, $A36, Raw_Data_Daily!$C:$C, $C$3))</f>
        <v>370.55</v>
      </c>
      <c r="J36" s="132">
        <f t="shared" si="3"/>
        <v>-0.06303732174</v>
      </c>
      <c r="K36" s="134">
        <f>IF($A36="","",IFERROR(SUMIFS(Raw_Data_Daily!$F:$F, Raw_Data_Daily!$B:$B, "Control", Raw_Data_Daily!$A:$A, $A36, Raw_Data_Daily!$C:$C, $C$3)/SUMIFS(Raw_Data_Daily!$D:$D, Raw_Data_Daily!$B:$B, "Control", Raw_Data_Daily!$A:$A, $A36, Raw_Data_Daily!$C:$C, $C$3),""))</f>
        <v>0.6865972222</v>
      </c>
      <c r="L36" s="134">
        <f>IF($A36="","",IFERROR(SUMIFS(Raw_Data_Daily!$F:$F, Raw_Data_Daily!$B:$B, "Variant", Raw_Data_Daily!$A:$A, $A36, Raw_Data_Daily!$C:$C, $C$3)/SUMIFS(Raw_Data_Daily!$D:$D, Raw_Data_Daily!$B:$B, "Variant", Raw_Data_Daily!$A:$A, $A36, Raw_Data_Daily!$C:$C, $C$3),""))</f>
        <v>0.6737272727</v>
      </c>
      <c r="M36" s="132">
        <f t="shared" si="4"/>
        <v>-0.01874454058</v>
      </c>
      <c r="N36" s="130">
        <f>IF($A36="","",IFERROR(SUMPRODUCT((Raw_Data_Daily!$B$2:$B$9999="Control")*(Raw_Data_Daily!$A$2:$A$9999=$A36)*(Raw_Data_Daily!$C$2:$C$9999=$C$3)*Raw_Data_Daily!$D$2:$D$9999*Raw_Data_Daily!$H$2:$H$9999/100)/SUMIFS(Raw_Data_Daily!$D:$D, Raw_Data_Daily!$B:$B, "Control", Raw_Data_Daily!$A:$A, $A36, Raw_Data_Daily!$C:$C, $C$3)*100,""))</f>
        <v>7.12</v>
      </c>
      <c r="O36" s="130">
        <f>IF($A36="","",IFERROR(SUMPRODUCT((Raw_Data_Daily!$B$2:$B$9999="Variant")*(Raw_Data_Daily!$A$2:$A$9999=$A36)*(Raw_Data_Daily!$C$2:$C$9999=$C$3)*Raw_Data_Daily!$D$2:$D$9999*Raw_Data_Daily!$H$2:$H$9999/100)/SUMIFS(Raw_Data_Daily!$D:$D, Raw_Data_Daily!$B:$B, "Variant", Raw_Data_Daily!$A:$A, $A36, Raw_Data_Daily!$C:$C, $C$3)*100,""))</f>
        <v>8.36</v>
      </c>
      <c r="P36" s="132">
        <f t="shared" si="5"/>
        <v>0.1741573034</v>
      </c>
      <c r="Q36" s="134">
        <f>IF($A36="","",IFERROR(SUMIFS(Raw_Data_Daily!$F:$F, Raw_Data_Daily!$B:$B, "Control", Raw_Data_Daily!$A:$A, $A36, Raw_Data_Daily!$C:$C, $C$3)/SUMPRODUCT((Raw_Data_Daily!$B$2:$B$9999="Control")*(Raw_Data_Daily!$A$2:$A$9999=$A36)*(Raw_Data_Daily!$C$2:$C$9999=$C$3)*Raw_Data_Daily!$D$2:$D$9999*Raw_Data_Daily!$H$2:$H$9999/100),""))</f>
        <v>9.643219413</v>
      </c>
      <c r="R36" s="134">
        <f>IF($A36="","",IFERROR(SUMIFS(Raw_Data_Daily!$F:$F, Raw_Data_Daily!$B:$B, "Variant", Raw_Data_Daily!$A:$A, $A36, Raw_Data_Daily!$C:$C, $C$3)/SUMPRODUCT((Raw_Data_Daily!$B$2:$B$9999="Variant")*(Raw_Data_Daily!$A$2:$A$9999=$A36)*(Raw_Data_Daily!$C$2:$C$9999=$C$3)*Raw_Data_Daily!$D$2:$D$9999*Raw_Data_Daily!$H$2:$H$9999/100),""))</f>
        <v>8.058938669</v>
      </c>
      <c r="S36" s="132">
        <f t="shared" si="6"/>
        <v>-0.1642896087</v>
      </c>
      <c r="T36" s="137">
        <f>IF($A36="","",IFERROR(SUMPRODUCT((Raw_Data_Daily!$B$2:$B$9999="Control")*(Raw_Data_Daily!$A$2:$A$9999=$A36)*(Raw_Data_Daily!$C$2:$C$9999=$C$3)*Raw_Data_Daily!$D$2:$D$9999*Raw_Data_Daily!$J$2:$J$9999)/SUMIFS(Raw_Data_Daily!$D:$D, Raw_Data_Daily!$B:$B, "Control", Raw_Data_Daily!$A:$A, $A36, Raw_Data_Daily!$C:$C, $C$3),""))</f>
        <v>201.68</v>
      </c>
      <c r="U36" s="137">
        <f>IF($A36="","",IFERROR(SUMPRODUCT((Raw_Data_Daily!$B$2:$B$9999="Variant")*(Raw_Data_Daily!$A$2:$A$9999=$A36)*(Raw_Data_Daily!$C$2:$C$9999=$C$3)*Raw_Data_Daily!$D$2:$D$9999*Raw_Data_Daily!$J$2:$J$9999)/SUMIFS(Raw_Data_Daily!$D:$D, Raw_Data_Daily!$B:$B, "Variant", Raw_Data_Daily!$A:$A, $A36, Raw_Data_Daily!$C:$C, $C$3),""))</f>
        <v>205.4</v>
      </c>
      <c r="V36" s="132">
        <f t="shared" si="7"/>
        <v>0.01844506148</v>
      </c>
      <c r="W36" s="137">
        <f>IF($A36="","",IFERROR(SUMPRODUCT((Raw_Data_Daily!$B$2:$B$9999="Control")*(Raw_Data_Daily!$A$2:$A$9999=$A36)*(Raw_Data_Daily!$C$2:$C$9999=$C$3)*Raw_Data_Daily!$D$2:$D$9999*Raw_Data_Daily!$K$2:$K$9999)/SUMIFS(Raw_Data_Daily!$D:$D, Raw_Data_Daily!$B:$B, "Control", Raw_Data_Daily!$A:$A, $A36, Raw_Data_Daily!$C:$C, $C$3),""))</f>
        <v>126</v>
      </c>
      <c r="X36" s="137">
        <f>IF($A36="","",IFERROR(SUMPRODUCT((Raw_Data_Daily!$B$2:$B$9999="Variant")*(Raw_Data_Daily!$A$2:$A$9999=$A36)*(Raw_Data_Daily!$C$2:$C$9999=$C$3)*Raw_Data_Daily!$D$2:$D$9999*Raw_Data_Daily!$K$2:$K$9999)/SUMIFS(Raw_Data_Daily!$D:$D, Raw_Data_Daily!$B:$B, "Variant", Raw_Data_Daily!$A:$A, $A36, Raw_Data_Daily!$C:$C, $C$3),""))</f>
        <v>127.11</v>
      </c>
      <c r="Y36" s="132">
        <f t="shared" si="8"/>
        <v>0.00880952381</v>
      </c>
      <c r="Z36" s="137">
        <f>IF($A36="","",IFERROR(SUMPRODUCT((Raw_Data_Daily!$B$2:$B$9999="Control")*(Raw_Data_Daily!$A$2:$A$9999=$A36)*(Raw_Data_Daily!$C$2:$C$9999=$C$3)*Raw_Data_Daily!$D$2:$D$9999*Raw_Data_Daily!$L$2:$L$9999)/SUMIFS(Raw_Data_Daily!$D:$D, Raw_Data_Daily!$B:$B, "Control", Raw_Data_Daily!$A:$A, $A36, Raw_Data_Daily!$C:$C, $C$3),""))</f>
        <v>98.49</v>
      </c>
      <c r="AA36" s="137">
        <f>IF($A36="","",IFERROR(SUMPRODUCT((Raw_Data_Daily!$B$2:$B$9999="Variant")*(Raw_Data_Daily!$A$2:$A$9999=$A36)*(Raw_Data_Daily!$C$2:$C$9999=$C$3)*Raw_Data_Daily!$D$2:$D$9999*Raw_Data_Daily!$L$2:$L$9999)/SUMIFS(Raw_Data_Daily!$D:$D, Raw_Data_Daily!$B:$B, "Variant", Raw_Data_Daily!$A:$A, $A36, Raw_Data_Daily!$C:$C, $C$3),""))</f>
        <v>96.27</v>
      </c>
      <c r="AB36" s="132">
        <f t="shared" si="9"/>
        <v>-0.02254035943</v>
      </c>
      <c r="AC36" s="139">
        <f>IF($A36="","",IFERROR(SUMPRODUCT((Raw_Data_Daily!$B$2:$B$9999="Control")*(Raw_Data_Daily!$A$2:$A$9999=$A36)*(Raw_Data_Daily!$C$2:$C$9999=$C$3)*Raw_Data_Daily!$D$2:$D$9999*Raw_Data_Daily!$M$2:$M$9999)/SUMIFS(Raw_Data_Daily!$D:$D, Raw_Data_Daily!$B:$B, "Control", Raw_Data_Daily!$A:$A, $A36, Raw_Data_Daily!$C:$C, $C$3),""))</f>
        <v>0.7816</v>
      </c>
      <c r="AD36" s="139">
        <f>IF($A36="","",IFERROR(SUMPRODUCT((Raw_Data_Daily!$B$2:$B$9999="Variant")*(Raw_Data_Daily!$A$2:$A$9999=$A36)*(Raw_Data_Daily!$C$2:$C$9999=$C$3)*Raw_Data_Daily!$D$2:$D$9999*Raw_Data_Daily!$M$2:$M$9999)/SUMIFS(Raw_Data_Daily!$D:$D, Raw_Data_Daily!$B:$B, "Variant", Raw_Data_Daily!$A:$A, $A36, Raw_Data_Daily!$C:$C, $C$3),""))</f>
        <v>0.7574</v>
      </c>
      <c r="AE36" s="140">
        <f t="shared" si="10"/>
        <v>-0.03096212897</v>
      </c>
      <c r="AF36" s="139">
        <f>IF($A36="","",IFERROR(SUMPRODUCT((Raw_Data_Daily!$B$2:$B$9999="Control")*(Raw_Data_Daily!$A$2:$A$9999=$A36)*(Raw_Data_Daily!$C$2:$C$9999=$C$3)*Raw_Data_Daily!$D$2:$D$9999*Raw_Data_Daily!$N$2:$N$9999)/SUMIFS(Raw_Data_Daily!$D:$D, Raw_Data_Daily!$B:$B, "Control", Raw_Data_Daily!$A:$A, $A36, Raw_Data_Daily!$C:$C, $C$3),""))</f>
        <v>0.3542</v>
      </c>
      <c r="AG36" s="139">
        <f>IF($A36="","",IFERROR(SUMPRODUCT((Raw_Data_Daily!$B$2:$B$9999="Variant")*(Raw_Data_Daily!$A$2:$A$9999=$A36)*(Raw_Data_Daily!$C$2:$C$9999=$C$3)*Raw_Data_Daily!$D$2:$D$9999*Raw_Data_Daily!$N$2:$N$9999)/SUMIFS(Raw_Data_Daily!$D:$D, Raw_Data_Daily!$B:$B, "Variant", Raw_Data_Daily!$A:$A, $A36, Raw_Data_Daily!$C:$C, $C$3),""))</f>
        <v>0.3821</v>
      </c>
      <c r="AH36" s="140">
        <f t="shared" si="11"/>
        <v>0.07876905703</v>
      </c>
      <c r="AI36" s="139">
        <f>IF($A36="","",IFERROR(SUMPRODUCT((Raw_Data_Daily!$B$2:$B$9999="Control")*(Raw_Data_Daily!$A$2:$A$9999=$A36)*(Raw_Data_Daily!$C$2:$C$9999=$C$3)*Raw_Data_Daily!$D$2:$D$9999*Raw_Data_Daily!$O$2:$O$9999)/SUMIFS(Raw_Data_Daily!$D:$D, Raw_Data_Daily!$B:$B, "Control", Raw_Data_Daily!$A:$A, $A36, Raw_Data_Daily!$C:$C, $C$3),""))</f>
        <v>0.2271</v>
      </c>
      <c r="AJ36" s="139">
        <f>IF($A36="","",IFERROR(SUMPRODUCT((Raw_Data_Daily!$B$2:$B$9999="Variant")*(Raw_Data_Daily!$A$2:$A$9999=$A36)*(Raw_Data_Daily!$C$2:$C$9999=$C$3)*Raw_Data_Daily!$D$2:$D$9999*Raw_Data_Daily!$O$2:$O$9999)/SUMIFS(Raw_Data_Daily!$D:$D, Raw_Data_Daily!$B:$B, "Variant", Raw_Data_Daily!$A:$A, $A36, Raw_Data_Daily!$C:$C, $C$3),""))</f>
        <v>0.2372</v>
      </c>
      <c r="AK36" s="132">
        <f t="shared" si="12"/>
        <v>0.04447380009</v>
      </c>
      <c r="AL36" s="137">
        <f>IF($A36="","",IFERROR(SUMPRODUCT((Raw_Data_Daily!$B$2:$B$9999="Control")*(Raw_Data_Daily!$A$2:$A$9999=$A36)*(Raw_Data_Daily!$C$2:$C$9999=$C$3)*Raw_Data_Daily!$D$2:$D$9999*Raw_Data_Daily!$P$2:$P$9999)/SUMIFS(Raw_Data_Daily!$D:$D, Raw_Data_Daily!$B:$B, "Control", Raw_Data_Daily!$A:$A, $A36, Raw_Data_Daily!$C:$C, $C$3),""))</f>
        <v>1.2794</v>
      </c>
      <c r="AM36" s="137">
        <f>IF($A36="","",IFERROR(SUMPRODUCT((Raw_Data_Daily!$B$2:$B$9999="Variant")*(Raw_Data_Daily!$A$2:$A$9999=$A36)*(Raw_Data_Daily!$C$2:$C$9999=$C$3)*Raw_Data_Daily!$D$2:$D$9999*Raw_Data_Daily!$P$2:$P$9999)/SUMIFS(Raw_Data_Daily!$D:$D, Raw_Data_Daily!$B:$B, "Variant", Raw_Data_Daily!$A:$A, $A36, Raw_Data_Daily!$C:$C, $C$3),""))</f>
        <v>1.3203</v>
      </c>
      <c r="AN36" s="132">
        <f t="shared" si="13"/>
        <v>0.03196811005</v>
      </c>
      <c r="AO36" s="137">
        <f>IF($A36="","",IFERROR(SUMPRODUCT((Raw_Data_Daily!$B$2:$B$9999="Control")*(Raw_Data_Daily!$A$2:$A$9999=$A36)*(Raw_Data_Daily!$C$2:$C$9999=$C$3)*Raw_Data_Daily!$D$2:$D$9999*Raw_Data_Daily!$Q$2:$Q$9999)/SUMIFS(Raw_Data_Daily!$D:$D, Raw_Data_Daily!$B:$B, "Control", Raw_Data_Daily!$A:$A, $A36, Raw_Data_Daily!$C:$C, $C$3),""))</f>
        <v>484.96</v>
      </c>
      <c r="AP36" s="137">
        <f>IF($A36="","",IFERROR(SUMPRODUCT((Raw_Data_Daily!$B$2:$B$9999="Variant")*(Raw_Data_Daily!$A$2:$A$9999=$A36)*(Raw_Data_Daily!$C$2:$C$9999=$C$3)*Raw_Data_Daily!$D$2:$D$9999*Raw_Data_Daily!$Q$2:$Q$9999)/SUMIFS(Raw_Data_Daily!$D:$D, Raw_Data_Daily!$B:$B, "Variant", Raw_Data_Daily!$A:$A, $A36, Raw_Data_Daily!$C:$C, $C$3),""))</f>
        <v>523.07</v>
      </c>
      <c r="AQ36" s="129">
        <f t="shared" si="14"/>
        <v>0.07858380073</v>
      </c>
      <c r="AR36" s="137">
        <f>IF($A36="","",IFERROR(SUMPRODUCT((Raw_Data_Daily!$B$2:$B$9999="Control")*(Raw_Data_Daily!$A$2:$A$9999=$A36)*(Raw_Data_Daily!$C$2:$C$9999=$C$3)*Raw_Data_Daily!$D$2:$D$9999*Raw_Data_Daily!$R$2:$R$9999)/SUMIFS(Raw_Data_Daily!$D:$D, Raw_Data_Daily!$B:$B, "Control", Raw_Data_Daily!$A:$A, $A36, Raw_Data_Daily!$C:$C, $C$3),""))</f>
        <v>427.32</v>
      </c>
      <c r="AS36" s="137">
        <f>IF($A36="","",IFERROR(SUMPRODUCT((Raw_Data_Daily!$B$2:$B$9999="Variant")*(Raw_Data_Daily!$A$2:$A$9999=$A36)*(Raw_Data_Daily!$C$2:$C$9999=$C$3)*Raw_Data_Daily!$D$2:$D$9999*Raw_Data_Daily!$R$2:$R$9999)/SUMIFS(Raw_Data_Daily!$D:$D, Raw_Data_Daily!$B:$B, "Variant", Raw_Data_Daily!$A:$A, $A36, Raw_Data_Daily!$C:$C, $C$3),""))</f>
        <v>467.17</v>
      </c>
      <c r="AT36" s="129">
        <f t="shared" si="15"/>
        <v>0.0932556398</v>
      </c>
      <c r="AU36" s="137">
        <f>IF($A36="","",IFERROR(SUMPRODUCT((Raw_Data_Daily!$B$2:$B$9999="Control")*(Raw_Data_Daily!$A$2:$A$9999=$A36)*(Raw_Data_Daily!$C$2:$C$9999=$C$3)*Raw_Data_Daily!$D$2:$D$9999*Raw_Data_Daily!$S$2:$S$9999)/SUMIFS(Raw_Data_Daily!$D:$D, Raw_Data_Daily!$B:$B, "Control", Raw_Data_Daily!$A:$A, $A36, Raw_Data_Daily!$C:$C, $C$3),""))</f>
        <v>57.64</v>
      </c>
      <c r="AV36" s="137">
        <f>IF($A36="","",IFERROR(SUMPRODUCT((Raw_Data_Daily!$B$2:$B$9999="Variant")*(Raw_Data_Daily!$A$2:$A$9999=$A36)*(Raw_Data_Daily!$C$2:$C$9999=$C$3)*Raw_Data_Daily!$D$2:$D$9999*Raw_Data_Daily!$S$2:$S$9999)/SUMIFS(Raw_Data_Daily!$D:$D, Raw_Data_Daily!$B:$B, "Variant", Raw_Data_Daily!$A:$A, $A36, Raw_Data_Daily!$C:$C, $C$3),""))</f>
        <v>55.9</v>
      </c>
      <c r="AW36" s="129">
        <f t="shared" si="16"/>
        <v>-0.03018736988</v>
      </c>
      <c r="AX36" s="137">
        <f>IF($A36="","",IFERROR(SUMPRODUCT((Raw_Data_Daily!$B$2:$B$9999="Control")*(Raw_Data_Daily!$A$2:$A$9999=$A36)*(Raw_Data_Daily!$C$2:$C$9999=$C$3)*Raw_Data_Daily!$D$2:$D$9999*Raw_Data_Daily!$T$2:$T$9999)/SUMIFS(Raw_Data_Daily!$D:$D, Raw_Data_Daily!$B:$B, "Control", Raw_Data_Daily!$A:$A, $A36, Raw_Data_Daily!$C:$C, $C$3),""))</f>
        <v>66.93</v>
      </c>
      <c r="AY36" s="137">
        <f>IF($A36="","",IFERROR(SUMPRODUCT((Raw_Data_Daily!$B$2:$B$9999="Variant")*(Raw_Data_Daily!$A$2:$A$9999=$A36)*(Raw_Data_Daily!$C$2:$C$9999=$C$3)*Raw_Data_Daily!$D$2:$D$9999*Raw_Data_Daily!$T$2:$T$9999)/SUMIFS(Raw_Data_Daily!$D:$D, Raw_Data_Daily!$B:$B, "Variant", Raw_Data_Daily!$A:$A, $A36, Raw_Data_Daily!$C:$C, $C$3),""))</f>
        <v>74.82</v>
      </c>
      <c r="AZ36" s="132">
        <f t="shared" si="17"/>
        <v>0.1178843568</v>
      </c>
      <c r="BA36" s="137">
        <f>IF($A36="","",IFERROR(SUMPRODUCT((Raw_Data_Daily!$B$2:$B$9999="Control")*(Raw_Data_Daily!$A$2:$A$9999=$A36)*(Raw_Data_Daily!$C$2:$C$9999=$C$3)*Raw_Data_Daily!$D$2:$D$9999*Raw_Data_Daily!$U$2:$U$9999)/SUMIFS(Raw_Data_Daily!$D:$D, Raw_Data_Daily!$B:$B, "Control", Raw_Data_Daily!$A:$A, $A36, Raw_Data_Daily!$C:$C, $C$3),""))</f>
        <v>418.03</v>
      </c>
      <c r="BB36" s="137">
        <f>IF($A36="","",IFERROR(SUMPRODUCT((Raw_Data_Daily!$B$2:$B$9999="Variant")*(Raw_Data_Daily!$A$2:$A$9999=$A36)*(Raw_Data_Daily!$C$2:$C$9999=$C$3)*Raw_Data_Daily!$D$2:$D$9999*Raw_Data_Daily!$U$2:$U$9999)/SUMIFS(Raw_Data_Daily!$D:$D, Raw_Data_Daily!$B:$B, "Variant", Raw_Data_Daily!$A:$A, $A36, Raw_Data_Daily!$C:$C, $C$3),""))</f>
        <v>448.25</v>
      </c>
      <c r="BC36" s="129">
        <f t="shared" si="18"/>
        <v>0.07229146234</v>
      </c>
      <c r="BD36" s="137">
        <f>IF($A36="","",IFERROR(SUMPRODUCT((Raw_Data_Daily!$B$2:$B$9999="Control")*(Raw_Data_Daily!$A$2:$A$9999=$A36)*(Raw_Data_Daily!$C$2:$C$9999=$C$3)*Raw_Data_Daily!$D$2:$D$9999*Raw_Data_Daily!$V$2:$V$9999)/SUMIFS(Raw_Data_Daily!$D:$D, Raw_Data_Daily!$B:$B, "Control", Raw_Data_Daily!$A:$A, $A36, Raw_Data_Daily!$C:$C, $C$3),""))</f>
        <v>500</v>
      </c>
      <c r="BE36" s="137">
        <f>IF($A36="","",IFERROR(SUMPRODUCT((Raw_Data_Daily!$B$2:$B$9999="Variant")*(Raw_Data_Daily!$A$2:$A$9999=$A36)*(Raw_Data_Daily!$C$2:$C$9999=$C$3)*Raw_Data_Daily!$D$2:$D$9999*Raw_Data_Daily!$V$2:$V$9999)/SUMIFS(Raw_Data_Daily!$D:$D, Raw_Data_Daily!$B:$B, "Variant", Raw_Data_Daily!$A:$A, $A36, Raw_Data_Daily!$C:$C, $C$3),""))</f>
        <v>547.09</v>
      </c>
      <c r="BF36" s="148">
        <f t="shared" si="19"/>
        <v>0.09418</v>
      </c>
      <c r="BG36" s="149">
        <f>IF($A36="","",IFERROR(SUMPRODUCT((Raw_Data_Daily!$B$2:$B$9999="Control")*(Raw_Data_Daily!$A$2:$A$9999=$A36)*(Raw_Data_Daily!$C$2:$C$9999=$C$3)*Raw_Data_Daily!$D$2:$D$9999*(Raw_Data_Daily!$Q$2:$Q$9999-Raw_Data_Daily!$V$2:$V$9999))/SUMIFS(Raw_Data_Daily!$D:$D, Raw_Data_Daily!$B:$B, "Control", Raw_Data_Daily!$A:$A, $A36, Raw_Data_Daily!$C:$C, $C$3),""))</f>
        <v>-15.04</v>
      </c>
      <c r="BH36" s="137">
        <f>IF($A36="","",IFERROR(SUMPRODUCT((Raw_Data_Daily!$B$2:$B$9999="Variant")*(Raw_Data_Daily!$A$2:$A$9999=$A36)*(Raw_Data_Daily!$C$2:$C$9999=$C$3)*Raw_Data_Daily!$D$2:$D$9999*(Raw_Data_Daily!$Q$2:$Q$9999-Raw_Data_Daily!$V$2:$V$9999))/SUMIFS(Raw_Data_Daily!$D:$D, Raw_Data_Daily!$B:$B, "Variant", Raw_Data_Daily!$A:$A, $A36, Raw_Data_Daily!$C:$C, $C$3),""))</f>
        <v>-24.02</v>
      </c>
      <c r="BI36" s="155">
        <f t="shared" si="20"/>
        <v>-0.5970744681</v>
      </c>
      <c r="BJ36" s="156">
        <f>IF($A36="","",IFERROR(SUMPRODUCT((Raw_Data_Daily!$B$2:$B$9999="Control")*(Raw_Data_Daily!$A$2:$A$9999=$A36)*(Raw_Data_Daily!$C$2:$C$9999=$C$3)*Raw_Data_Daily!$D$2:$D$9999*Raw_Data_Daily!$W$2:$W$9999)/SUMIFS(Raw_Data_Daily!$D:$D, Raw_Data_Daily!$B:$B, "Control", Raw_Data_Daily!$A:$A, $A36, Raw_Data_Daily!$C:$C, $C$3),""))</f>
        <v>3.9682</v>
      </c>
      <c r="BK36" s="137">
        <f>IF($A36="","",IFERROR(SUMPRODUCT((Raw_Data_Daily!$B$2:$B$9999="Variant")*(Raw_Data_Daily!$A$2:$A$9999=$A36)*(Raw_Data_Daily!$C$2:$C$9999=$C$3)*Raw_Data_Daily!$D$2:$D$9999*Raw_Data_Daily!$W$2:$W$9999)/SUMIFS(Raw_Data_Daily!$D:$D, Raw_Data_Daily!$B:$B, "Variant", Raw_Data_Daily!$A:$A, $A36, Raw_Data_Daily!$C:$C, $C$3),""))</f>
        <v>4.3042</v>
      </c>
      <c r="BL36" s="129">
        <f t="shared" si="21"/>
        <v>0.08467315155</v>
      </c>
      <c r="BM36" s="139">
        <f>IF($A36="","",IFERROR(SUMPRODUCT((Raw_Data_Daily!$B$2:$B$9999="Control")*(Raw_Data_Daily!$A$2:$A$9999=$A36)*(Raw_Data_Daily!$C$2:$C$9999=$C$3)*Raw_Data_Daily!$D$2:$D$9999*Raw_Data_Daily!$X$2:$X$9999)/SUMIFS(Raw_Data_Daily!$D:$D, Raw_Data_Daily!$B:$B, "Control", Raw_Data_Daily!$A:$A, $A36, Raw_Data_Daily!$C:$C, $C$3),""))</f>
        <v>13.8</v>
      </c>
      <c r="BN36" s="139">
        <f>IF($A36="","",IFERROR(SUMPRODUCT((Raw_Data_Daily!$B$2:$B$9999="Variant")*(Raw_Data_Daily!$A$2:$A$9999=$A36)*(Raw_Data_Daily!$C$2:$C$9999=$C$3)*Raw_Data_Daily!$D$2:$D$9999*Raw_Data_Daily!$X$2:$X$9999)/SUMIFS(Raw_Data_Daily!$D:$D, Raw_Data_Daily!$B:$B, "Variant", Raw_Data_Daily!$A:$A, $A36, Raw_Data_Daily!$C:$C, $C$3),""))</f>
        <v>14.3</v>
      </c>
      <c r="BO36" s="132">
        <f t="shared" si="22"/>
        <v>0.03623188406</v>
      </c>
      <c r="BP36" s="128">
        <f>IF($A36="","",IFERROR(SUMPRODUCT((Raw_Data_Daily!$B$2:$B$9999="Control")*(Raw_Data_Daily!$A$2:$A$9999=$A36)*(Raw_Data_Daily!$C$2:$C$9999=$C$3)*Raw_Data_Daily!$D$2:$D$9999*Raw_Data_Daily!$Y$2:$Y$9999)/SUMIFS(Raw_Data_Daily!$D:$D, Raw_Data_Daily!$B:$B, "Control", Raw_Data_Daily!$A:$A, $A36, Raw_Data_Daily!$C:$C, $C$3),""))</f>
        <v>378</v>
      </c>
      <c r="BQ36" s="128">
        <f>IF($A36="","",IFERROR(SUMPRODUCT((Raw_Data_Daily!$B$2:$B$9999="Variant")*(Raw_Data_Daily!$A$2:$A$9999=$A36)*(Raw_Data_Daily!$C$2:$C$9999=$C$3)*Raw_Data_Daily!$D$2:$D$9999*Raw_Data_Daily!$Y$2:$Y$9999)/SUMIFS(Raw_Data_Daily!$D:$D, Raw_Data_Daily!$B:$B, "Variant", Raw_Data_Daily!$A:$A, $A36, Raw_Data_Daily!$C:$C, $C$3),""))</f>
        <v>434</v>
      </c>
      <c r="BR36" s="129">
        <f t="shared" si="23"/>
        <v>0.1481481481</v>
      </c>
      <c r="BS36" s="128">
        <f>IF($A36="","",IFERROR(SUMPRODUCT((Raw_Data_Daily!$B$2:$B$9999="Control")*(Raw_Data_Daily!$A$2:$A$9999=$A36)*(Raw_Data_Daily!$C$2:$C$9999=$C$3)*Raw_Data_Daily!$D$2:$D$9999*Raw_Data_Daily!$Z$2:$Z$9999)/SUMIFS(Raw_Data_Daily!$D:$D, Raw_Data_Daily!$B:$B, "Control", Raw_Data_Daily!$A:$A, $A36, Raw_Data_Daily!$C:$C, $C$3),""))</f>
        <v>1069</v>
      </c>
      <c r="BT36" s="128">
        <f>IF($A36="","",IFERROR(SUMPRODUCT((Raw_Data_Daily!$B$2:$B$9999="Variant")*(Raw_Data_Daily!$A$2:$A$9999=$A36)*(Raw_Data_Daily!$C$2:$C$9999=$C$3)*Raw_Data_Daily!$D$2:$D$9999*Raw_Data_Daily!$Z$2:$Z$9999)/SUMIFS(Raw_Data_Daily!$D:$D, Raw_Data_Daily!$B:$B, "Variant", Raw_Data_Daily!$A:$A, $A36, Raw_Data_Daily!$C:$C, $C$3),""))</f>
        <v>1077</v>
      </c>
      <c r="BU36" s="129">
        <f t="shared" si="24"/>
        <v>0.00748362956</v>
      </c>
      <c r="BV36" s="128">
        <f>IF($A36="","",IFERROR(SUMPRODUCT((Raw_Data_Daily!$B$2:$B$9999="Control")*(Raw_Data_Daily!$A$2:$A$9999=$A36)*(Raw_Data_Daily!$C$2:$C$9999=$C$3)*Raw_Data_Daily!$D$2:$D$9999*Raw_Data_Daily!$AA$2:$AA$9999)/SUMIFS(Raw_Data_Daily!$D:$D, Raw_Data_Daily!$B:$B, "Control", Raw_Data_Daily!$A:$A, $A36, Raw_Data_Daily!$C:$C, $C$3),""))</f>
        <v>4118</v>
      </c>
      <c r="BW36" s="128">
        <f>IF($A36="","",IFERROR(SUMPRODUCT((Raw_Data_Daily!$B$2:$B$9999="Variant")*(Raw_Data_Daily!$A$2:$A$9999=$A36)*(Raw_Data_Daily!$C$2:$C$9999=$C$3)*Raw_Data_Daily!$D$2:$D$9999*Raw_Data_Daily!$AA$2:$AA$9999)/SUMIFS(Raw_Data_Daily!$D:$D, Raw_Data_Daily!$B:$B, "Variant", Raw_Data_Daily!$A:$A, $A36, Raw_Data_Daily!$C:$C, $C$3),""))</f>
        <v>4184</v>
      </c>
      <c r="BX36" s="129">
        <f t="shared" si="25"/>
        <v>0.01602719767</v>
      </c>
      <c r="BY36" s="137">
        <f>IF($A36="","",IFERROR(SUMPRODUCT((Raw_Data_Daily!$B$2:$B$9999="Control")*(Raw_Data_Daily!$A$2:$A$9999=$A36)*(Raw_Data_Daily!$C$2:$C$9999=$C$3)*Raw_Data_Daily!$D$2:$D$9999*Raw_Data_Daily!$AB$2:$AB$9999)/SUMIFS(Raw_Data_Daily!$D:$D, Raw_Data_Daily!$B:$B, "Control", Raw_Data_Daily!$A:$A, $A36, Raw_Data_Daily!$C:$C, $C$3),""))</f>
        <v>56.9168</v>
      </c>
      <c r="BZ36" s="137">
        <f>IF($A36="","",IFERROR(SUMPRODUCT((Raw_Data_Daily!$B$2:$B$9999="Variant")*(Raw_Data_Daily!$A$2:$A$9999=$A36)*(Raw_Data_Daily!$C$2:$C$9999=$C$3)*Raw_Data_Daily!$D$2:$D$9999*Raw_Data_Daily!$AB$2:$AB$9999)/SUMIFS(Raw_Data_Daily!$D:$D, Raw_Data_Daily!$B:$B, "Variant", Raw_Data_Daily!$A:$A, $A36, Raw_Data_Daily!$C:$C, $C$3),""))</f>
        <v>57.3958</v>
      </c>
      <c r="CA36" s="132">
        <f t="shared" si="26"/>
        <v>0.008415792877</v>
      </c>
      <c r="CB36" s="137">
        <f>IF($A36="","",IFERROR(SUMPRODUCT((Raw_Data_Daily!$B$2:$B$9999="Control")*(Raw_Data_Daily!$A$2:$A$9999=$A36)*(Raw_Data_Daily!$C$2:$C$9999=$C$3)*Raw_Data_Daily!$D$2:$D$9999*Raw_Data_Daily!$AC$2:$AC$9999)/SUMIFS(Raw_Data_Daily!$D:$D, Raw_Data_Daily!$B:$B, "Control", Raw_Data_Daily!$A:$A, $A36, Raw_Data_Daily!$C:$C, $C$3),""))</f>
        <v>0.6184</v>
      </c>
      <c r="CC36" s="137">
        <f>IF($A36="","",IFERROR(SUMPRODUCT((Raw_Data_Daily!$B$2:$B$9999="Variant")*(Raw_Data_Daily!$A$2:$A$9999=$A36)*(Raw_Data_Daily!$C$2:$C$9999=$C$3)*Raw_Data_Daily!$D$2:$D$9999*Raw_Data_Daily!$AC$2:$AC$9999)/SUMIFS(Raw_Data_Daily!$D:$D, Raw_Data_Daily!$B:$B, "Variant", Raw_Data_Daily!$A:$A, $A36, Raw_Data_Daily!$C:$C, $C$3),""))</f>
        <v>0.6025</v>
      </c>
      <c r="CD36" s="132">
        <f t="shared" si="27"/>
        <v>-0.02571151358</v>
      </c>
      <c r="CE36" s="137">
        <f>IF($A36="","",IFERROR(SUMPRODUCT((Raw_Data_Daily!$B$2:$B$9999="Control")*(Raw_Data_Daily!$A$2:$A$9999=$A36)*(Raw_Data_Daily!$C$2:$C$9999=$C$3)*Raw_Data_Daily!$D$2:$D$9999*Raw_Data_Daily!$AD$2:$AD$9999)/SUMIFS(Raw_Data_Daily!$D:$D, Raw_Data_Daily!$B:$B, "Control", Raw_Data_Daily!$A:$A, $A36, Raw_Data_Daily!$C:$C, $C$3),""))</f>
        <v>43.95</v>
      </c>
      <c r="CF36" s="137">
        <f>IF($A36="","",IFERROR(SUMPRODUCT((Raw_Data_Daily!$B$2:$B$9999="Variant")*(Raw_Data_Daily!$A$2:$A$9999=$A36)*(Raw_Data_Daily!$C$2:$C$9999=$C$3)*Raw_Data_Daily!$D$2:$D$9999*Raw_Data_Daily!$AD$2:$AD$9999)/SUMIFS(Raw_Data_Daily!$D:$D, Raw_Data_Daily!$B:$B, "Variant", Raw_Data_Daily!$A:$A, $A36, Raw_Data_Daily!$C:$C, $C$3),""))</f>
        <v>42.21</v>
      </c>
      <c r="CG36" s="132">
        <f t="shared" si="28"/>
        <v>-0.03959044369</v>
      </c>
      <c r="CH36" s="137">
        <f>IF($A36="","",IFERROR(SUMPRODUCT((Raw_Data_Daily!$B$2:$B$9999="Control")*(Raw_Data_Daily!$A$2:$A$9999=$A36)*(Raw_Data_Daily!$C$2:$C$9999=$C$3)*Raw_Data_Daily!$D$2:$D$9999*Raw_Data_Daily!$AE$2:$AE$9999)/SUMIFS(Raw_Data_Daily!$D:$D, Raw_Data_Daily!$B:$B, "Control", Raw_Data_Daily!$A:$A, $A36, Raw_Data_Daily!$C:$C, $C$3),""))</f>
        <v>16</v>
      </c>
      <c r="CI36" s="137">
        <f>IF($A36="","",IFERROR(SUMPRODUCT((Raw_Data_Daily!$B$2:$B$9999="Variant")*(Raw_Data_Daily!$A$2:$A$9999=$A36)*(Raw_Data_Daily!$C$2:$C$9999=$C$3)*Raw_Data_Daily!$D$2:$D$9999*Raw_Data_Daily!$AE$2:$AE$9999)/SUMIFS(Raw_Data_Daily!$D:$D, Raw_Data_Daily!$B:$B, "Variant", Raw_Data_Daily!$A:$A, $A36, Raw_Data_Daily!$C:$C, $C$3),""))</f>
        <v>15</v>
      </c>
      <c r="CJ36" s="132">
        <f t="shared" si="29"/>
        <v>-0.0625</v>
      </c>
      <c r="CK36" s="137">
        <f>IF($A36="","",IFERROR(SUMPRODUCT((Raw_Data_Daily!$B$2:$B$9999="Control")*(Raw_Data_Daily!$A$2:$A$9999=$A36)*(Raw_Data_Daily!$C$2:$C$9999=$C$3)*Raw_Data_Daily!$D$2:$D$9999*Raw_Data_Daily!$AF$2:$AF$9999)/SUMIFS(Raw_Data_Daily!$D:$D, Raw_Data_Daily!$B:$B, "Control", Raw_Data_Daily!$A:$A, $A36, Raw_Data_Daily!$C:$C, $C$3),""))</f>
        <v>30</v>
      </c>
      <c r="CL36" s="137">
        <f>IF($A36="","",IFERROR(SUMPRODUCT((Raw_Data_Daily!$B$2:$B$9999="Variant")*(Raw_Data_Daily!$A$2:$A$9999=$A36)*(Raw_Data_Daily!$C$2:$C$9999=$C$3)*Raw_Data_Daily!$D$2:$D$9999*Raw_Data_Daily!$AF$2:$AF$9999)/SUMIFS(Raw_Data_Daily!$D:$D, Raw_Data_Daily!$B:$B, "Variant", Raw_Data_Daily!$A:$A, $A36, Raw_Data_Daily!$C:$C, $C$3),""))</f>
        <v>27</v>
      </c>
      <c r="CM36" s="132">
        <f t="shared" si="30"/>
        <v>-0.1</v>
      </c>
      <c r="CN36" s="137">
        <f>IF($A36="","",IFERROR(SUMPRODUCT((Raw_Data_Daily!$B$2:$B$9999="Control")*(Raw_Data_Daily!$A$2:$A$9999=$A36)*(Raw_Data_Daily!$C$2:$C$9999=$C$3)*Raw_Data_Daily!$D$2:$D$9999*Raw_Data_Daily!$AG$2:$AG$9999)/SUMIFS(Raw_Data_Daily!$D:$D, Raw_Data_Daily!$B:$B, "Control", Raw_Data_Daily!$A:$A, $A36, Raw_Data_Daily!$C:$C, $C$3),""))</f>
        <v>58</v>
      </c>
      <c r="CO36" s="137">
        <f>IF($A36="","",IFERROR(SUMPRODUCT((Raw_Data_Daily!$B$2:$B$9999="Variant")*(Raw_Data_Daily!$A$2:$A$9999=$A36)*(Raw_Data_Daily!$C$2:$C$9999=$C$3)*Raw_Data_Daily!$D$2:$D$9999*Raw_Data_Daily!$AG$2:$AG$9999)/SUMIFS(Raw_Data_Daily!$D:$D, Raw_Data_Daily!$B:$B, "Variant", Raw_Data_Daily!$A:$A, $A36, Raw_Data_Daily!$C:$C, $C$3),""))</f>
        <v>58</v>
      </c>
      <c r="CP36" s="132">
        <f t="shared" si="31"/>
        <v>0</v>
      </c>
      <c r="CQ36" s="137">
        <f>IF($A36="","",IFERROR(SUMPRODUCT((Raw_Data_Daily!$B$2:$B$9999="Control")*(Raw_Data_Daily!$A$2:$A$9999=$A36)*(Raw_Data_Daily!$C$2:$C$9999=$C$3)*Raw_Data_Daily!$D$2:$D$9999*Raw_Data_Daily!$AH$2:$AH$9999)/SUMIFS(Raw_Data_Daily!$D:$D, Raw_Data_Daily!$B:$B, "Control", Raw_Data_Daily!$A:$A, $A36, Raw_Data_Daily!$C:$C, $C$3),""))</f>
        <v>94</v>
      </c>
      <c r="CR36" s="137">
        <f>IF($A36="","",IFERROR(SUMPRODUCT((Raw_Data_Daily!$B$2:$B$9999="Variant")*(Raw_Data_Daily!$A$2:$A$9999=$A36)*(Raw_Data_Daily!$C$2:$C$9999=$C$3)*Raw_Data_Daily!$D$2:$D$9999*Raw_Data_Daily!$AH$2:$AH$9999)/SUMIFS(Raw_Data_Daily!$D:$D, Raw_Data_Daily!$B:$B, "Variant", Raw_Data_Daily!$A:$A, $A36, Raw_Data_Daily!$C:$C, $C$3),""))</f>
        <v>102</v>
      </c>
      <c r="CS36" s="132">
        <f t="shared" si="32"/>
        <v>0.08510638298</v>
      </c>
      <c r="CT36" s="130">
        <f>IF($A36="","",IFERROR(SUMPRODUCT((Raw_Data_Daily!$B$2:$B$9999="Control")*(Raw_Data_Daily!$A$2:$A$9999=$A36)*(Raw_Data_Daily!$C$2:$C$9999=$C$3)*Raw_Data_Daily!$D$2:$D$9999*Raw_Data_Daily!$AI$2:$AI$9999)/SUMIFS(Raw_Data_Daily!$D:$D, Raw_Data_Daily!$B:$B, "Control", Raw_Data_Daily!$A:$A, $A36, Raw_Data_Daily!$C:$C, $C$3),""))</f>
        <v>19.97</v>
      </c>
      <c r="CU36" s="130">
        <f>IF($A36="","",IFERROR(SUMPRODUCT((Raw_Data_Daily!$B$2:$B$9999="Variant")*(Raw_Data_Daily!$A$2:$A$9999=$A36)*(Raw_Data_Daily!$C$2:$C$9999=$C$3)*Raw_Data_Daily!$D$2:$D$9999*Raw_Data_Daily!$AI$2:$AI$9999)/SUMIFS(Raw_Data_Daily!$D:$D, Raw_Data_Daily!$B:$B, "Variant", Raw_Data_Daily!$A:$A, $A36, Raw_Data_Daily!$C:$C, $C$3),""))</f>
        <v>17.45</v>
      </c>
      <c r="CV36" s="140">
        <f t="shared" si="33"/>
        <v>-0.1261892839</v>
      </c>
      <c r="CW36" s="130">
        <f>IF($A36="","",IFERROR(SUMPRODUCT((Raw_Data_Daily!$B$2:$B$9999="Control")*(Raw_Data_Daily!$A$2:$A$9999=$A36)*(Raw_Data_Daily!$C$2:$C$9999=$C$3)*Raw_Data_Daily!$D$2:$D$9999*Raw_Data_Daily!$AJ$2:$AJ$9999)/SUMIFS(Raw_Data_Daily!$D:$D, Raw_Data_Daily!$B:$B, "Control", Raw_Data_Daily!$A:$A, $A36, Raw_Data_Daily!$C:$C, $C$3),""))</f>
        <v>5.03</v>
      </c>
      <c r="CX36" s="130">
        <f>IF($A36="","",IFERROR(SUMPRODUCT((Raw_Data_Daily!$B$2:$B$9999="Variant")*(Raw_Data_Daily!$A$2:$A$9999=$A36)*(Raw_Data_Daily!$C$2:$C$9999=$C$3)*Raw_Data_Daily!$D$2:$D$9999*Raw_Data_Daily!$AJ$2:$AJ$9999)/SUMIFS(Raw_Data_Daily!$D:$D, Raw_Data_Daily!$B:$B, "Variant", Raw_Data_Daily!$A:$A, $A36, Raw_Data_Daily!$C:$C, $C$3),""))</f>
        <v>4.18</v>
      </c>
      <c r="CY36" s="140">
        <f t="shared" si="34"/>
        <v>-0.1689860835</v>
      </c>
      <c r="CZ36" s="130">
        <f>IF($A36="","",IFERROR(SUMPRODUCT((Raw_Data_Daily!$B$2:$B$9999="Control")*(Raw_Data_Daily!$A$2:$A$9999=$A36)*(Raw_Data_Daily!$C$2:$C$9999=$C$3)*Raw_Data_Daily!$D$2:$D$9999*Raw_Data_Daily!$AK$2:$AK$9999)/SUMIFS(Raw_Data_Daily!$D:$D, Raw_Data_Daily!$B:$B, "Control", Raw_Data_Daily!$A:$A, $A36, Raw_Data_Daily!$C:$C, $C$3),""))</f>
        <v>0.17</v>
      </c>
      <c r="DA36" s="130">
        <f>IF($A36="","",IFERROR(SUMPRODUCT((Raw_Data_Daily!$B$2:$B$9999="Variant")*(Raw_Data_Daily!$A$2:$A$9999=$A36)*(Raw_Data_Daily!$C$2:$C$9999=$C$3)*Raw_Data_Daily!$D$2:$D$9999*Raw_Data_Daily!$AK$2:$AK$9999)/SUMIFS(Raw_Data_Daily!$D:$D, Raw_Data_Daily!$B:$B, "Variant", Raw_Data_Daily!$A:$A, $A36, Raw_Data_Daily!$C:$C, $C$3),""))</f>
        <v>0.73</v>
      </c>
      <c r="DB36" s="132">
        <f t="shared" si="35"/>
        <v>3.294117647</v>
      </c>
      <c r="DC36" s="139">
        <f>IF($A36="","",IFERROR(SUMPRODUCT((Raw_Data_Daily!$B$2:$B$9999="Control")*(Raw_Data_Daily!$A$2:$A$9999=$A36)*(Raw_Data_Daily!$C$2:$C$9999=$C$3)*Raw_Data_Daily!$D$2:$D$9999*Raw_Data_Daily!$AL$2:$AL$9999)/SUMIFS(Raw_Data_Daily!$D:$D, Raw_Data_Daily!$B:$B, "Control", Raw_Data_Daily!$A:$A, $A36, Raw_Data_Daily!$C:$C, $C$3),""))</f>
        <v>0.0799</v>
      </c>
      <c r="DD36" s="139">
        <f>IF($A36="","",IFERROR(SUMPRODUCT((Raw_Data_Daily!$B$2:$B$9999="Variant")*(Raw_Data_Daily!$A$2:$A$9999=$A36)*(Raw_Data_Daily!$C$2:$C$9999=$C$3)*Raw_Data_Daily!$D$2:$D$9999*Raw_Data_Daily!$AL$2:$AL$9999)/SUMIFS(Raw_Data_Daily!$D:$D, Raw_Data_Daily!$B:$B, "Variant", Raw_Data_Daily!$A:$A, $A36, Raw_Data_Daily!$C:$C, $C$3),""))</f>
        <v>0.0818</v>
      </c>
      <c r="DE36" s="140">
        <f t="shared" si="36"/>
        <v>0.02377972466</v>
      </c>
      <c r="DF36" s="165"/>
      <c r="DG36" s="130">
        <f>IF($A36="","",IFERROR(SUMPRODUCT((Raw_Data_Daily!$B$2:$B$9999="Variant")*(Raw_Data_Daily!$A$2:$A$9999=$A36)*(Raw_Data_Daily!$C$2:$C$9999=$C$3)*Raw_Data_Daily!$D$2:$D$9999*Raw_Data_Daily!$AM$2:$AM$9999)/SUMIFS(Raw_Data_Daily!$D:$D, Raw_Data_Daily!$B:$B, "Variant", Raw_Data_Daily!$A:$A, $A36, Raw_Data_Daily!$C:$C, $C$3),""))</f>
        <v>32.91</v>
      </c>
      <c r="DH36" s="166"/>
      <c r="DI36" s="165"/>
      <c r="DJ36" s="130">
        <f>IF($A36="","",IFERROR(SUMPRODUCT((Raw_Data_Daily!$B$2:$B$9999="Variant")*(Raw_Data_Daily!$A$2:$A$9999=$A36)*(Raw_Data_Daily!$C$2:$C$9999=$C$3)*Raw_Data_Daily!$D$2:$D$9999*Raw_Data_Daily!$AN$2:$AN$9999)/SUMIFS(Raw_Data_Daily!$D:$D, Raw_Data_Daily!$B:$B, "Variant", Raw_Data_Daily!$A:$A, $A36, Raw_Data_Daily!$C:$C, $C$3),""))</f>
        <v>32.91</v>
      </c>
      <c r="DK36" s="166"/>
      <c r="DL36" s="165"/>
      <c r="DM36" s="130">
        <f>IF($A36="","",IFERROR(SUMPRODUCT((Raw_Data_Daily!$B$2:$B$9999="Variant")*(Raw_Data_Daily!$A$2:$A$9999=$A36)*(Raw_Data_Daily!$C$2:$C$9999=$C$3)*Raw_Data_Daily!$D$2:$D$9999*Raw_Data_Daily!$AO$2:$AO$9999)/SUMIFS(Raw_Data_Daily!$D:$D, Raw_Data_Daily!$B:$B, "Variant", Raw_Data_Daily!$A:$A, $A36, Raw_Data_Daily!$C:$C, $C$3),""))</f>
        <v>17.09</v>
      </c>
      <c r="DN36" s="166"/>
      <c r="DO36" s="165"/>
      <c r="DP36" s="130">
        <f>IF($A36="","",IFERROR(SUMPRODUCT((Raw_Data_Daily!$B$2:$B$9999="Variant")*(Raw_Data_Daily!$A$2:$A$9999=$A36)*(Raw_Data_Daily!$C$2:$C$9999=$C$3)*Raw_Data_Daily!$D$2:$D$9999*Raw_Data_Daily!$AP$2:$AP$9999)/SUMIFS(Raw_Data_Daily!$D:$D, Raw_Data_Daily!$B:$B, "Variant", Raw_Data_Daily!$A:$A, $A36, Raw_Data_Daily!$C:$C, $C$3),""))</f>
        <v>9.27</v>
      </c>
      <c r="DQ36" s="166"/>
      <c r="DR36" s="139">
        <f>IF($A36="","",IFERROR(SUMPRODUCT((Raw_Data_Daily!$B$2:$B$9999="Control")*(Raw_Data_Daily!$A$2:$A$9999=$A36)*(Raw_Data_Daily!$C$2:$C$9999=$C$3)*Raw_Data_Daily!$D$2:$D$9999*Raw_Data_Daily!$AQ$2:$AQ$9999)/SUMIFS(Raw_Data_Daily!$D:$D, Raw_Data_Daily!$B:$B, "Control", Raw_Data_Daily!$A:$A, $A36, Raw_Data_Daily!$C:$C, $C$3),""))</f>
        <v>18.5486</v>
      </c>
      <c r="DS36" s="139">
        <f>IF($A36="","",IFERROR(SUMPRODUCT((Raw_Data_Daily!$B$2:$B$9999="Variant")*(Raw_Data_Daily!$A$2:$A$9999=$A36)*(Raw_Data_Daily!$C$2:$C$9999=$C$3)*Raw_Data_Daily!$D$2:$D$9999*Raw_Data_Daily!$AQ$2:$AQ$9999)/SUMIFS(Raw_Data_Daily!$D:$D, Raw_Data_Daily!$B:$B, "Variant", Raw_Data_Daily!$A:$A, $A36, Raw_Data_Daily!$C:$C, $C$3),""))</f>
        <v>15.6509</v>
      </c>
      <c r="DT36" s="167">
        <f t="shared" si="37"/>
        <v>-0.1562220329</v>
      </c>
      <c r="DU36" s="139">
        <f>IF($A36="","",IFERROR(SUMPRODUCT((Raw_Data_Daily!$B$2:$B$9999="Control")*(Raw_Data_Daily!$A$2:$A$9999=$A36)*(Raw_Data_Daily!$C$2:$C$9999=$C$3)*Raw_Data_Daily!$D$2:$D$9999*Raw_Data_Daily!$AR$2:$AR$9999)/SUMIFS(Raw_Data_Daily!$D:$D, Raw_Data_Daily!$B:$B, "Control", Raw_Data_Daily!$A:$A, $A36, Raw_Data_Daily!$C:$C, $C$3),""))</f>
        <v>0.5469</v>
      </c>
      <c r="DV36" s="139">
        <f>IF($A36="","",IFERROR(SUMPRODUCT((Raw_Data_Daily!$B$2:$B$9999="Variant")*(Raw_Data_Daily!$A$2:$A$9999=$A36)*(Raw_Data_Daily!$C$2:$C$9999=$C$3)*Raw_Data_Daily!$D$2:$D$9999*Raw_Data_Daily!$AR$2:$AR$9999)/SUMIFS(Raw_Data_Daily!$D:$D, Raw_Data_Daily!$B:$B, "Variant", Raw_Data_Daily!$A:$A, $A36, Raw_Data_Daily!$C:$C, $C$3),""))</f>
        <v>0.8418</v>
      </c>
      <c r="DW36" s="167">
        <f t="shared" si="38"/>
        <v>0.5392210642</v>
      </c>
      <c r="DX36" s="139">
        <f>IF($A36="","",IFERROR(SUMPRODUCT((Raw_Data_Daily!$B$2:$B$9999="Control")*(Raw_Data_Daily!$A$2:$A$9999=$A36)*(Raw_Data_Daily!$C$2:$C$9999=$C$3)*Raw_Data_Daily!$D$2:$D$9999*Raw_Data_Daily!$AS$2:$AS$9999)/SUMIFS(Raw_Data_Daily!$D:$D, Raw_Data_Daily!$B:$B, "Control", Raw_Data_Daily!$A:$A, $A36, Raw_Data_Daily!$C:$C, $C$3),""))</f>
        <v>18.0017</v>
      </c>
      <c r="DY36" s="139">
        <f>IF($A36="","",IFERROR(SUMPRODUCT((Raw_Data_Daily!$B$2:$B$9999="Variant")*(Raw_Data_Daily!$A$2:$A$9999=$A36)*(Raw_Data_Daily!$C$2:$C$9999=$C$3)*Raw_Data_Daily!$D$2:$D$9999*Raw_Data_Daily!$AS$2:$AS$9999)/SUMIFS(Raw_Data_Daily!$D:$D, Raw_Data_Daily!$B:$B, "Variant", Raw_Data_Daily!$A:$A, $A36, Raw_Data_Daily!$C:$C, $C$3),""))</f>
        <v>14.8091</v>
      </c>
      <c r="DZ36" s="168">
        <f t="shared" si="39"/>
        <v>-0.177349917</v>
      </c>
      <c r="EA36" s="139">
        <f>IF($A36="","",IFERROR(SUMPRODUCT((Raw_Data_Daily!$B$2:$B$9999="Control")*(Raw_Data_Daily!$A$2:$A$9999=$A36)*(Raw_Data_Daily!$C$2:$C$9999=$C$3)*Raw_Data_Daily!$D$2:$D$9999*Raw_Data_Daily!$AT$2:$AT$9999)/SUMIFS(Raw_Data_Daily!$D:$D, Raw_Data_Daily!$B:$B, "Control", Raw_Data_Daily!$A:$A, $A36, Raw_Data_Daily!$C:$C, $C$3),""))</f>
        <v>23.4236</v>
      </c>
      <c r="EB36" s="139">
        <f>IF($A36="","",IFERROR(SUMPRODUCT((Raw_Data_Daily!$B$2:$B$9999="Variant")*(Raw_Data_Daily!$A$2:$A$9999=$A36)*(Raw_Data_Daily!$C$2:$C$9999=$C$3)*Raw_Data_Daily!$D$2:$D$9999*Raw_Data_Daily!$AT$2:$AT$9999)/SUMIFS(Raw_Data_Daily!$D:$D, Raw_Data_Daily!$B:$B, "Variant", Raw_Data_Daily!$A:$A, $A36, Raw_Data_Daily!$C:$C, $C$3),""))</f>
        <v>15.9527</v>
      </c>
      <c r="EC36" s="167">
        <f t="shared" si="40"/>
        <v>-0.3189475572</v>
      </c>
      <c r="ED36" s="139">
        <f>IF($A36="","",IFERROR(SUMPRODUCT((Raw_Data_Daily!$B$2:$B$9999="Control")*(Raw_Data_Daily!$A$2:$A$9999=$A36)*(Raw_Data_Daily!$C$2:$C$9999=$C$3)*Raw_Data_Daily!$D$2:$D$9999*(Raw_Data_Daily!$AQ$2:$AQ$9999-Raw_Data_Daily!$AT$2:$AT$9999))/SUMIFS(Raw_Data_Daily!$D:$D, Raw_Data_Daily!$B:$B, "Control", Raw_Data_Daily!$A:$A, $A36, Raw_Data_Daily!$C:$C, $C$3),""))</f>
        <v>-4.875</v>
      </c>
      <c r="EE36" s="139">
        <f>IF($A36="","",IFERROR(SUMPRODUCT((Raw_Data_Daily!$B$2:$B$9999="Variant")*(Raw_Data_Daily!$A$2:$A$9999=$A36)*(Raw_Data_Daily!$C$2:$C$9999=$C$3)*Raw_Data_Daily!$D$2:$D$9999*(Raw_Data_Daily!$AQ$2:$AQ$9999-Raw_Data_Daily!$AT$2:$AT$9999))/SUMIFS(Raw_Data_Daily!$D:$D, Raw_Data_Daily!$B:$B, "Variant", Raw_Data_Daily!$A:$A, $A36, Raw_Data_Daily!$C:$C, $C$3),""))</f>
        <v>-0.3018</v>
      </c>
      <c r="EF36" s="168">
        <f t="shared" si="41"/>
        <v>0.9380923077</v>
      </c>
      <c r="EG36" s="139">
        <f>IF($A36="","",IFERROR(SUMPRODUCT((Raw_Data_Daily!$B$2:$B$9999="Control")*(Raw_Data_Daily!$A$2:$A$9999=$A36)*(Raw_Data_Daily!$C$2:$C$9999=$C$3)*Raw_Data_Daily!$D$2:$D$9999*Raw_Data_Daily!$AU$2:$AU$9999)/SUMIFS(Raw_Data_Daily!$D:$D, Raw_Data_Daily!$B:$B, "Control", Raw_Data_Daily!$A:$A, $A36, Raw_Data_Daily!$C:$C, $C$3),""))</f>
        <v>0.1859</v>
      </c>
      <c r="EH36" s="139">
        <f>IF($A36="","",IFERROR(SUMPRODUCT((Raw_Data_Daily!$B$2:$B$9999="Variant")*(Raw_Data_Daily!$A$2:$A$9999=$A36)*(Raw_Data_Daily!$C$2:$C$9999=$C$3)*Raw_Data_Daily!$D$2:$D$9999*Raw_Data_Daily!$AU$2:$AU$9999)/SUMIFS(Raw_Data_Daily!$D:$D, Raw_Data_Daily!$B:$B, "Variant", Raw_Data_Daily!$A:$A, $A36, Raw_Data_Daily!$C:$C, $C$3),""))</f>
        <v>0.1255</v>
      </c>
      <c r="EI36" s="167">
        <f t="shared" si="42"/>
        <v>-0.3249058634</v>
      </c>
    </row>
    <row r="37" ht="15.75" customHeight="1">
      <c r="A37" s="126">
        <v>46260.0</v>
      </c>
      <c r="B37" s="128">
        <f>IF($A37="","",SUMIFS(Raw_Data_Daily!$D:$D, Raw_Data_Daily!$B:$B, "Control", Raw_Data_Daily!$A:$A, $A37, Raw_Data_Daily!$C:$C, $C$3))</f>
        <v>543</v>
      </c>
      <c r="C37" s="128">
        <f>IF($A37="","",SUMIFS(Raw_Data_Daily!$D:$D, Raw_Data_Daily!$B:$B, "Variant", Raw_Data_Daily!$A:$A, $A37, Raw_Data_Daily!$C:$C, $C$3))</f>
        <v>532</v>
      </c>
      <c r="D37" s="129">
        <f t="shared" si="1"/>
        <v>-0.02025782689</v>
      </c>
      <c r="E37" s="130">
        <f>IF($A37="","",IFERROR(SUMPRODUCT((Raw_Data_Daily!$B$2:$B$9999="Control")*(Raw_Data_Daily!$A$2:$A$9999=$A37)*(Raw_Data_Daily!$C$2:$C$9999=$C$3)*Raw_Data_Daily!$D$2:$D$9999*Raw_Data_Daily!$E$2:$E$9999)/SUMIFS(Raw_Data_Daily!$D:$D, Raw_Data_Daily!$B:$B, "Control", Raw_Data_Daily!$A:$A, $A37, Raw_Data_Daily!$C:$C, $C$3),""))</f>
        <v>1.94</v>
      </c>
      <c r="F37" s="130">
        <f>IF($A37="","",IFERROR(SUMPRODUCT((Raw_Data_Daily!$B$2:$B$9999="Variant")*(Raw_Data_Daily!$A$2:$A$9999=$A37)*(Raw_Data_Daily!$C$2:$C$9999=$C$3)*Raw_Data_Daily!$D$2:$D$9999*Raw_Data_Daily!$E$2:$E$9999)/SUMIFS(Raw_Data_Daily!$D:$D, Raw_Data_Daily!$B:$B, "Variant", Raw_Data_Daily!$A:$A, $A37, Raw_Data_Daily!$C:$C, $C$3),""))</f>
        <v>1.89</v>
      </c>
      <c r="G37" s="129">
        <f t="shared" si="2"/>
        <v>-0.02577319588</v>
      </c>
      <c r="H37" s="131">
        <f>IF($A37="","",SUMIFS(Raw_Data_Daily!$F:$F, Raw_Data_Daily!$B:$B, "Control", Raw_Data_Daily!$A:$A, $A37, Raw_Data_Daily!$C:$C, $C$3))</f>
        <v>408.1</v>
      </c>
      <c r="I37" s="131">
        <f>IF($A37="","",SUMIFS(Raw_Data_Daily!$F:$F, Raw_Data_Daily!$B:$B, "Variant", Raw_Data_Daily!$A:$A, $A37, Raw_Data_Daily!$C:$C, $C$3))</f>
        <v>461.64</v>
      </c>
      <c r="J37" s="132">
        <f t="shared" si="3"/>
        <v>0.131193335</v>
      </c>
      <c r="K37" s="134">
        <f>IF($A37="","",IFERROR(SUMIFS(Raw_Data_Daily!$F:$F, Raw_Data_Daily!$B:$B, "Control", Raw_Data_Daily!$A:$A, $A37, Raw_Data_Daily!$C:$C, $C$3)/SUMIFS(Raw_Data_Daily!$D:$D, Raw_Data_Daily!$B:$B, "Control", Raw_Data_Daily!$A:$A, $A37, Raw_Data_Daily!$C:$C, $C$3),""))</f>
        <v>0.7515653775</v>
      </c>
      <c r="L37" s="134">
        <f>IF($A37="","",IFERROR(SUMIFS(Raw_Data_Daily!$F:$F, Raw_Data_Daily!$B:$B, "Variant", Raw_Data_Daily!$A:$A, $A37, Raw_Data_Daily!$C:$C, $C$3)/SUMIFS(Raw_Data_Daily!$D:$D, Raw_Data_Daily!$B:$B, "Variant", Raw_Data_Daily!$A:$A, $A37, Raw_Data_Daily!$C:$C, $C$3),""))</f>
        <v>0.8677443609</v>
      </c>
      <c r="M37" s="132">
        <f t="shared" si="4"/>
        <v>0.1545826708</v>
      </c>
      <c r="N37" s="130">
        <f>IF($A37="","",IFERROR(SUMPRODUCT((Raw_Data_Daily!$B$2:$B$9999="Control")*(Raw_Data_Daily!$A$2:$A$9999=$A37)*(Raw_Data_Daily!$C$2:$C$9999=$C$3)*Raw_Data_Daily!$D$2:$D$9999*Raw_Data_Daily!$H$2:$H$9999/100)/SUMIFS(Raw_Data_Daily!$D:$D, Raw_Data_Daily!$B:$B, "Control", Raw_Data_Daily!$A:$A, $A37, Raw_Data_Daily!$C:$C, $C$3)*100,""))</f>
        <v>7.92</v>
      </c>
      <c r="O37" s="130">
        <f>IF($A37="","",IFERROR(SUMPRODUCT((Raw_Data_Daily!$B$2:$B$9999="Variant")*(Raw_Data_Daily!$A$2:$A$9999=$A37)*(Raw_Data_Daily!$C$2:$C$9999=$C$3)*Raw_Data_Daily!$D$2:$D$9999*Raw_Data_Daily!$H$2:$H$9999/100)/SUMIFS(Raw_Data_Daily!$D:$D, Raw_Data_Daily!$B:$B, "Variant", Raw_Data_Daily!$A:$A, $A37, Raw_Data_Daily!$C:$C, $C$3)*100,""))</f>
        <v>8.08</v>
      </c>
      <c r="P37" s="132">
        <f t="shared" si="5"/>
        <v>0.0202020202</v>
      </c>
      <c r="Q37" s="134">
        <f>IF($A37="","",IFERROR(SUMIFS(Raw_Data_Daily!$F:$F, Raw_Data_Daily!$B:$B, "Control", Raw_Data_Daily!$A:$A, $A37, Raw_Data_Daily!$C:$C, $C$3)/SUMPRODUCT((Raw_Data_Daily!$B$2:$B$9999="Control")*(Raw_Data_Daily!$A$2:$A$9999=$A37)*(Raw_Data_Daily!$C$2:$C$9999=$C$3)*Raw_Data_Daily!$D$2:$D$9999*Raw_Data_Daily!$H$2:$H$9999/100),""))</f>
        <v>9.489461838</v>
      </c>
      <c r="R37" s="134">
        <f>IF($A37="","",IFERROR(SUMIFS(Raw_Data_Daily!$F:$F, Raw_Data_Daily!$B:$B, "Variant", Raw_Data_Daily!$A:$A, $A37, Raw_Data_Daily!$C:$C, $C$3)/SUMPRODUCT((Raw_Data_Daily!$B$2:$B$9999="Variant")*(Raw_Data_Daily!$A$2:$A$9999=$A37)*(Raw_Data_Daily!$C$2:$C$9999=$C$3)*Raw_Data_Daily!$D$2:$D$9999*Raw_Data_Daily!$H$2:$H$9999/100),""))</f>
        <v>10.73941041</v>
      </c>
      <c r="S37" s="132">
        <f t="shared" si="6"/>
        <v>0.1317196477</v>
      </c>
      <c r="T37" s="137">
        <f>IF($A37="","",IFERROR(SUMPRODUCT((Raw_Data_Daily!$B$2:$B$9999="Control")*(Raw_Data_Daily!$A$2:$A$9999=$A37)*(Raw_Data_Daily!$C$2:$C$9999=$C$3)*Raw_Data_Daily!$D$2:$D$9999*Raw_Data_Daily!$J$2:$J$9999)/SUMIFS(Raw_Data_Daily!$D:$D, Raw_Data_Daily!$B:$B, "Control", Raw_Data_Daily!$A:$A, $A37, Raw_Data_Daily!$C:$C, $C$3),""))</f>
        <v>209.08</v>
      </c>
      <c r="U37" s="137">
        <f>IF($A37="","",IFERROR(SUMPRODUCT((Raw_Data_Daily!$B$2:$B$9999="Variant")*(Raw_Data_Daily!$A$2:$A$9999=$A37)*(Raw_Data_Daily!$C$2:$C$9999=$C$3)*Raw_Data_Daily!$D$2:$D$9999*Raw_Data_Daily!$J$2:$J$9999)/SUMIFS(Raw_Data_Daily!$D:$D, Raw_Data_Daily!$B:$B, "Variant", Raw_Data_Daily!$A:$A, $A37, Raw_Data_Daily!$C:$C, $C$3),""))</f>
        <v>204.74</v>
      </c>
      <c r="V37" s="132">
        <f t="shared" si="7"/>
        <v>-0.02075760474</v>
      </c>
      <c r="W37" s="137">
        <f>IF($A37="","",IFERROR(SUMPRODUCT((Raw_Data_Daily!$B$2:$B$9999="Control")*(Raw_Data_Daily!$A$2:$A$9999=$A37)*(Raw_Data_Daily!$C$2:$C$9999=$C$3)*Raw_Data_Daily!$D$2:$D$9999*Raw_Data_Daily!$K$2:$K$9999)/SUMIFS(Raw_Data_Daily!$D:$D, Raw_Data_Daily!$B:$B, "Control", Raw_Data_Daily!$A:$A, $A37, Raw_Data_Daily!$C:$C, $C$3),""))</f>
        <v>130.27</v>
      </c>
      <c r="X37" s="137">
        <f>IF($A37="","",IFERROR(SUMPRODUCT((Raw_Data_Daily!$B$2:$B$9999="Variant")*(Raw_Data_Daily!$A$2:$A$9999=$A37)*(Raw_Data_Daily!$C$2:$C$9999=$C$3)*Raw_Data_Daily!$D$2:$D$9999*Raw_Data_Daily!$K$2:$K$9999)/SUMIFS(Raw_Data_Daily!$D:$D, Raw_Data_Daily!$B:$B, "Variant", Raw_Data_Daily!$A:$A, $A37, Raw_Data_Daily!$C:$C, $C$3),""))</f>
        <v>126.16</v>
      </c>
      <c r="Y37" s="132">
        <f t="shared" si="8"/>
        <v>-0.03154985799</v>
      </c>
      <c r="Z37" s="137">
        <f>IF($A37="","",IFERROR(SUMPRODUCT((Raw_Data_Daily!$B$2:$B$9999="Control")*(Raw_Data_Daily!$A$2:$A$9999=$A37)*(Raw_Data_Daily!$C$2:$C$9999=$C$3)*Raw_Data_Daily!$D$2:$D$9999*Raw_Data_Daily!$L$2:$L$9999)/SUMIFS(Raw_Data_Daily!$D:$D, Raw_Data_Daily!$B:$B, "Control", Raw_Data_Daily!$A:$A, $A37, Raw_Data_Daily!$C:$C, $C$3),""))</f>
        <v>100.33</v>
      </c>
      <c r="AA37" s="137">
        <f>IF($A37="","",IFERROR(SUMPRODUCT((Raw_Data_Daily!$B$2:$B$9999="Variant")*(Raw_Data_Daily!$A$2:$A$9999=$A37)*(Raw_Data_Daily!$C$2:$C$9999=$C$3)*Raw_Data_Daily!$D$2:$D$9999*Raw_Data_Daily!$L$2:$L$9999)/SUMIFS(Raw_Data_Daily!$D:$D, Raw_Data_Daily!$B:$B, "Variant", Raw_Data_Daily!$A:$A, $A37, Raw_Data_Daily!$C:$C, $C$3),""))</f>
        <v>98.77</v>
      </c>
      <c r="AB37" s="132">
        <f t="shared" si="9"/>
        <v>-0.01554868933</v>
      </c>
      <c r="AC37" s="139">
        <f>IF($A37="","",IFERROR(SUMPRODUCT((Raw_Data_Daily!$B$2:$B$9999="Control")*(Raw_Data_Daily!$A$2:$A$9999=$A37)*(Raw_Data_Daily!$C$2:$C$9999=$C$3)*Raw_Data_Daily!$D$2:$D$9999*Raw_Data_Daily!$M$2:$M$9999)/SUMIFS(Raw_Data_Daily!$D:$D, Raw_Data_Daily!$B:$B, "Control", Raw_Data_Daily!$A:$A, $A37, Raw_Data_Daily!$C:$C, $C$3),""))</f>
        <v>0.7702</v>
      </c>
      <c r="AD37" s="139">
        <f>IF($A37="","",IFERROR(SUMPRODUCT((Raw_Data_Daily!$B$2:$B$9999="Variant")*(Raw_Data_Daily!$A$2:$A$9999=$A37)*(Raw_Data_Daily!$C$2:$C$9999=$C$3)*Raw_Data_Daily!$D$2:$D$9999*Raw_Data_Daily!$M$2:$M$9999)/SUMIFS(Raw_Data_Daily!$D:$D, Raw_Data_Daily!$B:$B, "Variant", Raw_Data_Daily!$A:$A, $A37, Raw_Data_Daily!$C:$C, $C$3),""))</f>
        <v>0.783</v>
      </c>
      <c r="AE37" s="140">
        <f t="shared" si="10"/>
        <v>0.01661905998</v>
      </c>
      <c r="AF37" s="139">
        <f>IF($A37="","",IFERROR(SUMPRODUCT((Raw_Data_Daily!$B$2:$B$9999="Control")*(Raw_Data_Daily!$A$2:$A$9999=$A37)*(Raw_Data_Daily!$C$2:$C$9999=$C$3)*Raw_Data_Daily!$D$2:$D$9999*Raw_Data_Daily!$N$2:$N$9999)/SUMIFS(Raw_Data_Daily!$D:$D, Raw_Data_Daily!$B:$B, "Control", Raw_Data_Daily!$A:$A, $A37, Raw_Data_Daily!$C:$C, $C$3),""))</f>
        <v>0.359</v>
      </c>
      <c r="AG37" s="139">
        <f>IF($A37="","",IFERROR(SUMPRODUCT((Raw_Data_Daily!$B$2:$B$9999="Variant")*(Raw_Data_Daily!$A$2:$A$9999=$A37)*(Raw_Data_Daily!$C$2:$C$9999=$C$3)*Raw_Data_Daily!$D$2:$D$9999*Raw_Data_Daily!$N$2:$N$9999)/SUMIFS(Raw_Data_Daily!$D:$D, Raw_Data_Daily!$B:$B, "Variant", Raw_Data_Daily!$A:$A, $A37, Raw_Data_Daily!$C:$C, $C$3),""))</f>
        <v>0.364</v>
      </c>
      <c r="AH37" s="140">
        <f t="shared" si="11"/>
        <v>0.0139275766</v>
      </c>
      <c r="AI37" s="139">
        <f>IF($A37="","",IFERROR(SUMPRODUCT((Raw_Data_Daily!$B$2:$B$9999="Control")*(Raw_Data_Daily!$A$2:$A$9999=$A37)*(Raw_Data_Daily!$C$2:$C$9999=$C$3)*Raw_Data_Daily!$D$2:$D$9999*Raw_Data_Daily!$O$2:$O$9999)/SUMIFS(Raw_Data_Daily!$D:$D, Raw_Data_Daily!$B:$B, "Control", Raw_Data_Daily!$A:$A, $A37, Raw_Data_Daily!$C:$C, $C$3),""))</f>
        <v>0.2246</v>
      </c>
      <c r="AJ37" s="139">
        <f>IF($A37="","",IFERROR(SUMPRODUCT((Raw_Data_Daily!$B$2:$B$9999="Variant")*(Raw_Data_Daily!$A$2:$A$9999=$A37)*(Raw_Data_Daily!$C$2:$C$9999=$C$3)*Raw_Data_Daily!$D$2:$D$9999*Raw_Data_Daily!$O$2:$O$9999)/SUMIFS(Raw_Data_Daily!$D:$D, Raw_Data_Daily!$B:$B, "Variant", Raw_Data_Daily!$A:$A, $A37, Raw_Data_Daily!$C:$C, $C$3),""))</f>
        <v>0.2369</v>
      </c>
      <c r="AK37" s="132">
        <f t="shared" si="12"/>
        <v>0.05476402493</v>
      </c>
      <c r="AL37" s="137">
        <f>IF($A37="","",IFERROR(SUMPRODUCT((Raw_Data_Daily!$B$2:$B$9999="Control")*(Raw_Data_Daily!$A$2:$A$9999=$A37)*(Raw_Data_Daily!$C$2:$C$9999=$C$3)*Raw_Data_Daily!$D$2:$D$9999*Raw_Data_Daily!$P$2:$P$9999)/SUMIFS(Raw_Data_Daily!$D:$D, Raw_Data_Daily!$B:$B, "Control", Raw_Data_Daily!$A:$A, $A37, Raw_Data_Daily!$C:$C, $C$3),""))</f>
        <v>1.2983</v>
      </c>
      <c r="AM37" s="137">
        <f>IF($A37="","",IFERROR(SUMPRODUCT((Raw_Data_Daily!$B$2:$B$9999="Variant")*(Raw_Data_Daily!$A$2:$A$9999=$A37)*(Raw_Data_Daily!$C$2:$C$9999=$C$3)*Raw_Data_Daily!$D$2:$D$9999*Raw_Data_Daily!$P$2:$P$9999)/SUMIFS(Raw_Data_Daily!$D:$D, Raw_Data_Daily!$B:$B, "Variant", Raw_Data_Daily!$A:$A, $A37, Raw_Data_Daily!$C:$C, $C$3),""))</f>
        <v>1.2772</v>
      </c>
      <c r="AN37" s="132">
        <f t="shared" si="13"/>
        <v>-0.01625202187</v>
      </c>
      <c r="AO37" s="137">
        <f>IF($A37="","",IFERROR(SUMPRODUCT((Raw_Data_Daily!$B$2:$B$9999="Control")*(Raw_Data_Daily!$A$2:$A$9999=$A37)*(Raw_Data_Daily!$C$2:$C$9999=$C$3)*Raw_Data_Daily!$D$2:$D$9999*Raw_Data_Daily!$Q$2:$Q$9999)/SUMIFS(Raw_Data_Daily!$D:$D, Raw_Data_Daily!$B:$B, "Control", Raw_Data_Daily!$A:$A, $A37, Raw_Data_Daily!$C:$C, $C$3),""))</f>
        <v>341.56</v>
      </c>
      <c r="AP37" s="137">
        <f>IF($A37="","",IFERROR(SUMPRODUCT((Raw_Data_Daily!$B$2:$B$9999="Variant")*(Raw_Data_Daily!$A$2:$A$9999=$A37)*(Raw_Data_Daily!$C$2:$C$9999=$C$3)*Raw_Data_Daily!$D$2:$D$9999*Raw_Data_Daily!$Q$2:$Q$9999)/SUMIFS(Raw_Data_Daily!$D:$D, Raw_Data_Daily!$B:$B, "Variant", Raw_Data_Daily!$A:$A, $A37, Raw_Data_Daily!$C:$C, $C$3),""))</f>
        <v>640.44</v>
      </c>
      <c r="AQ37" s="129">
        <f t="shared" si="14"/>
        <v>0.8750439161</v>
      </c>
      <c r="AR37" s="137">
        <f>IF($A37="","",IFERROR(SUMPRODUCT((Raw_Data_Daily!$B$2:$B$9999="Control")*(Raw_Data_Daily!$A$2:$A$9999=$A37)*(Raw_Data_Daily!$C$2:$C$9999=$C$3)*Raw_Data_Daily!$D$2:$D$9999*Raw_Data_Daily!$R$2:$R$9999)/SUMIFS(Raw_Data_Daily!$D:$D, Raw_Data_Daily!$B:$B, "Control", Raw_Data_Daily!$A:$A, $A37, Raw_Data_Daily!$C:$C, $C$3),""))</f>
        <v>281.7</v>
      </c>
      <c r="AS37" s="137">
        <f>IF($A37="","",IFERROR(SUMPRODUCT((Raw_Data_Daily!$B$2:$B$9999="Variant")*(Raw_Data_Daily!$A$2:$A$9999=$A37)*(Raw_Data_Daily!$C$2:$C$9999=$C$3)*Raw_Data_Daily!$D$2:$D$9999*Raw_Data_Daily!$R$2:$R$9999)/SUMIFS(Raw_Data_Daily!$D:$D, Raw_Data_Daily!$B:$B, "Variant", Raw_Data_Daily!$A:$A, $A37, Raw_Data_Daily!$C:$C, $C$3),""))</f>
        <v>591.63</v>
      </c>
      <c r="AT37" s="129">
        <f t="shared" si="15"/>
        <v>1.100212993</v>
      </c>
      <c r="AU37" s="137">
        <f>IF($A37="","",IFERROR(SUMPRODUCT((Raw_Data_Daily!$B$2:$B$9999="Control")*(Raw_Data_Daily!$A$2:$A$9999=$A37)*(Raw_Data_Daily!$C$2:$C$9999=$C$3)*Raw_Data_Daily!$D$2:$D$9999*Raw_Data_Daily!$S$2:$S$9999)/SUMIFS(Raw_Data_Daily!$D:$D, Raw_Data_Daily!$B:$B, "Control", Raw_Data_Daily!$A:$A, $A37, Raw_Data_Daily!$C:$C, $C$3),""))</f>
        <v>59.86</v>
      </c>
      <c r="AV37" s="137">
        <f>IF($A37="","",IFERROR(SUMPRODUCT((Raw_Data_Daily!$B$2:$B$9999="Variant")*(Raw_Data_Daily!$A$2:$A$9999=$A37)*(Raw_Data_Daily!$C$2:$C$9999=$C$3)*Raw_Data_Daily!$D$2:$D$9999*Raw_Data_Daily!$S$2:$S$9999)/SUMIFS(Raw_Data_Daily!$D:$D, Raw_Data_Daily!$B:$B, "Variant", Raw_Data_Daily!$A:$A, $A37, Raw_Data_Daily!$C:$C, $C$3),""))</f>
        <v>48.82</v>
      </c>
      <c r="AW37" s="129">
        <f t="shared" si="16"/>
        <v>-0.1844303375</v>
      </c>
      <c r="AX37" s="137">
        <f>IF($A37="","",IFERROR(SUMPRODUCT((Raw_Data_Daily!$B$2:$B$9999="Control")*(Raw_Data_Daily!$A$2:$A$9999=$A37)*(Raw_Data_Daily!$C$2:$C$9999=$C$3)*Raw_Data_Daily!$D$2:$D$9999*Raw_Data_Daily!$T$2:$T$9999)/SUMIFS(Raw_Data_Daily!$D:$D, Raw_Data_Daily!$B:$B, "Control", Raw_Data_Daily!$A:$A, $A37, Raw_Data_Daily!$C:$C, $C$3),""))</f>
        <v>72.56</v>
      </c>
      <c r="AY37" s="137">
        <f>IF($A37="","",IFERROR(SUMPRODUCT((Raw_Data_Daily!$B$2:$B$9999="Variant")*(Raw_Data_Daily!$A$2:$A$9999=$A37)*(Raw_Data_Daily!$C$2:$C$9999=$C$3)*Raw_Data_Daily!$D$2:$D$9999*Raw_Data_Daily!$T$2:$T$9999)/SUMIFS(Raw_Data_Daily!$D:$D, Raw_Data_Daily!$B:$B, "Variant", Raw_Data_Daily!$A:$A, $A37, Raw_Data_Daily!$C:$C, $C$3),""))</f>
        <v>90.23</v>
      </c>
      <c r="AZ37" s="132">
        <f t="shared" si="17"/>
        <v>0.243522602</v>
      </c>
      <c r="BA37" s="137">
        <f>IF($A37="","",IFERROR(SUMPRODUCT((Raw_Data_Daily!$B$2:$B$9999="Control")*(Raw_Data_Daily!$A$2:$A$9999=$A37)*(Raw_Data_Daily!$C$2:$C$9999=$C$3)*Raw_Data_Daily!$D$2:$D$9999*Raw_Data_Daily!$U$2:$U$9999)/SUMIFS(Raw_Data_Daily!$D:$D, Raw_Data_Daily!$B:$B, "Control", Raw_Data_Daily!$A:$A, $A37, Raw_Data_Daily!$C:$C, $C$3),""))</f>
        <v>269</v>
      </c>
      <c r="BB37" s="137">
        <f>IF($A37="","",IFERROR(SUMPRODUCT((Raw_Data_Daily!$B$2:$B$9999="Variant")*(Raw_Data_Daily!$A$2:$A$9999=$A37)*(Raw_Data_Daily!$C$2:$C$9999=$C$3)*Raw_Data_Daily!$D$2:$D$9999*Raw_Data_Daily!$U$2:$U$9999)/SUMIFS(Raw_Data_Daily!$D:$D, Raw_Data_Daily!$B:$B, "Variant", Raw_Data_Daily!$A:$A, $A37, Raw_Data_Daily!$C:$C, $C$3),""))</f>
        <v>550.22</v>
      </c>
      <c r="BC37" s="129">
        <f t="shared" si="18"/>
        <v>1.045427509</v>
      </c>
      <c r="BD37" s="137">
        <f>IF($A37="","",IFERROR(SUMPRODUCT((Raw_Data_Daily!$B$2:$B$9999="Control")*(Raw_Data_Daily!$A$2:$A$9999=$A37)*(Raw_Data_Daily!$C$2:$C$9999=$C$3)*Raw_Data_Daily!$D$2:$D$9999*Raw_Data_Daily!$V$2:$V$9999)/SUMIFS(Raw_Data_Daily!$D:$D, Raw_Data_Daily!$B:$B, "Control", Raw_Data_Daily!$A:$A, $A37, Raw_Data_Daily!$C:$C, $C$3),""))</f>
        <v>431.95</v>
      </c>
      <c r="BE37" s="137">
        <f>IF($A37="","",IFERROR(SUMPRODUCT((Raw_Data_Daily!$B$2:$B$9999="Variant")*(Raw_Data_Daily!$A$2:$A$9999=$A37)*(Raw_Data_Daily!$C$2:$C$9999=$C$3)*Raw_Data_Daily!$D$2:$D$9999*Raw_Data_Daily!$V$2:$V$9999)/SUMIFS(Raw_Data_Daily!$D:$D, Raw_Data_Daily!$B:$B, "Variant", Raw_Data_Daily!$A:$A, $A37, Raw_Data_Daily!$C:$C, $C$3),""))</f>
        <v>614.66</v>
      </c>
      <c r="BF37" s="148">
        <f t="shared" si="19"/>
        <v>0.4229887718</v>
      </c>
      <c r="BG37" s="149">
        <f>IF($A37="","",IFERROR(SUMPRODUCT((Raw_Data_Daily!$B$2:$B$9999="Control")*(Raw_Data_Daily!$A$2:$A$9999=$A37)*(Raw_Data_Daily!$C$2:$C$9999=$C$3)*Raw_Data_Daily!$D$2:$D$9999*(Raw_Data_Daily!$Q$2:$Q$9999-Raw_Data_Daily!$V$2:$V$9999))/SUMIFS(Raw_Data_Daily!$D:$D, Raw_Data_Daily!$B:$B, "Control", Raw_Data_Daily!$A:$A, $A37, Raw_Data_Daily!$C:$C, $C$3),""))</f>
        <v>-90.39</v>
      </c>
      <c r="BH37" s="137">
        <f>IF($A37="","",IFERROR(SUMPRODUCT((Raw_Data_Daily!$B$2:$B$9999="Variant")*(Raw_Data_Daily!$A$2:$A$9999=$A37)*(Raw_Data_Daily!$C$2:$C$9999=$C$3)*Raw_Data_Daily!$D$2:$D$9999*(Raw_Data_Daily!$Q$2:$Q$9999-Raw_Data_Daily!$V$2:$V$9999))/SUMIFS(Raw_Data_Daily!$D:$D, Raw_Data_Daily!$B:$B, "Variant", Raw_Data_Daily!$A:$A, $A37, Raw_Data_Daily!$C:$C, $C$3),""))</f>
        <v>25.78</v>
      </c>
      <c r="BI37" s="155">
        <f t="shared" si="20"/>
        <v>1.285208541</v>
      </c>
      <c r="BJ37" s="156">
        <f>IF($A37="","",IFERROR(SUMPRODUCT((Raw_Data_Daily!$B$2:$B$9999="Control")*(Raw_Data_Daily!$A$2:$A$9999=$A37)*(Raw_Data_Daily!$C$2:$C$9999=$C$3)*Raw_Data_Daily!$D$2:$D$9999*Raw_Data_Daily!$W$2:$W$9999)/SUMIFS(Raw_Data_Daily!$D:$D, Raw_Data_Daily!$B:$B, "Control", Raw_Data_Daily!$A:$A, $A37, Raw_Data_Daily!$C:$C, $C$3),""))</f>
        <v>3.3159</v>
      </c>
      <c r="BK37" s="137">
        <f>IF($A37="","",IFERROR(SUMPRODUCT((Raw_Data_Daily!$B$2:$B$9999="Variant")*(Raw_Data_Daily!$A$2:$A$9999=$A37)*(Raw_Data_Daily!$C$2:$C$9999=$C$3)*Raw_Data_Daily!$D$2:$D$9999*Raw_Data_Daily!$W$2:$W$9999)/SUMIFS(Raw_Data_Daily!$D:$D, Raw_Data_Daily!$B:$B, "Variant", Raw_Data_Daily!$A:$A, $A37, Raw_Data_Daily!$C:$C, $C$3),""))</f>
        <v>4.8722</v>
      </c>
      <c r="BL37" s="129">
        <f t="shared" si="21"/>
        <v>0.4693446726</v>
      </c>
      <c r="BM37" s="139">
        <f>IF($A37="","",IFERROR(SUMPRODUCT((Raw_Data_Daily!$B$2:$B$9999="Control")*(Raw_Data_Daily!$A$2:$A$9999=$A37)*(Raw_Data_Daily!$C$2:$C$9999=$C$3)*Raw_Data_Daily!$D$2:$D$9999*Raw_Data_Daily!$X$2:$X$9999)/SUMIFS(Raw_Data_Daily!$D:$D, Raw_Data_Daily!$B:$B, "Control", Raw_Data_Daily!$A:$A, $A37, Raw_Data_Daily!$C:$C, $C$3),""))</f>
        <v>21.24</v>
      </c>
      <c r="BN37" s="139">
        <f>IF($A37="","",IFERROR(SUMPRODUCT((Raw_Data_Daily!$B$2:$B$9999="Variant")*(Raw_Data_Daily!$A$2:$A$9999=$A37)*(Raw_Data_Daily!$C$2:$C$9999=$C$3)*Raw_Data_Daily!$D$2:$D$9999*Raw_Data_Daily!$X$2:$X$9999)/SUMIFS(Raw_Data_Daily!$D:$D, Raw_Data_Daily!$B:$B, "Variant", Raw_Data_Daily!$A:$A, $A37, Raw_Data_Daily!$C:$C, $C$3),""))</f>
        <v>14.09</v>
      </c>
      <c r="BO37" s="132">
        <f t="shared" si="22"/>
        <v>-0.3366290019</v>
      </c>
      <c r="BP37" s="128">
        <f>IF($A37="","",IFERROR(SUMPRODUCT((Raw_Data_Daily!$B$2:$B$9999="Control")*(Raw_Data_Daily!$A$2:$A$9999=$A37)*(Raw_Data_Daily!$C$2:$C$9999=$C$3)*Raw_Data_Daily!$D$2:$D$9999*Raw_Data_Daily!$Y$2:$Y$9999)/SUMIFS(Raw_Data_Daily!$D:$D, Raw_Data_Daily!$B:$B, "Control", Raw_Data_Daily!$A:$A, $A37, Raw_Data_Daily!$C:$C, $C$3),""))</f>
        <v>280</v>
      </c>
      <c r="BQ37" s="128">
        <f>IF($A37="","",IFERROR(SUMPRODUCT((Raw_Data_Daily!$B$2:$B$9999="Variant")*(Raw_Data_Daily!$A$2:$A$9999=$A37)*(Raw_Data_Daily!$C$2:$C$9999=$C$3)*Raw_Data_Daily!$D$2:$D$9999*Raw_Data_Daily!$Y$2:$Y$9999)/SUMIFS(Raw_Data_Daily!$D:$D, Raw_Data_Daily!$B:$B, "Variant", Raw_Data_Daily!$A:$A, $A37, Raw_Data_Daily!$C:$C, $C$3),""))</f>
        <v>492</v>
      </c>
      <c r="BR37" s="129">
        <f t="shared" si="23"/>
        <v>0.7571428571</v>
      </c>
      <c r="BS37" s="128">
        <f>IF($A37="","",IFERROR(SUMPRODUCT((Raw_Data_Daily!$B$2:$B$9999="Control")*(Raw_Data_Daily!$A$2:$A$9999=$A37)*(Raw_Data_Daily!$C$2:$C$9999=$C$3)*Raw_Data_Daily!$D$2:$D$9999*Raw_Data_Daily!$Z$2:$Z$9999)/SUMIFS(Raw_Data_Daily!$D:$D, Raw_Data_Daily!$B:$B, "Control", Raw_Data_Daily!$A:$A, $A37, Raw_Data_Daily!$C:$C, $C$3),""))</f>
        <v>962</v>
      </c>
      <c r="BT37" s="128">
        <f>IF($A37="","",IFERROR(SUMPRODUCT((Raw_Data_Daily!$B$2:$B$9999="Variant")*(Raw_Data_Daily!$A$2:$A$9999=$A37)*(Raw_Data_Daily!$C$2:$C$9999=$C$3)*Raw_Data_Daily!$D$2:$D$9999*Raw_Data_Daily!$Z$2:$Z$9999)/SUMIFS(Raw_Data_Daily!$D:$D, Raw_Data_Daily!$B:$B, "Variant", Raw_Data_Daily!$A:$A, $A37, Raw_Data_Daily!$C:$C, $C$3),""))</f>
        <v>1029</v>
      </c>
      <c r="BU37" s="129">
        <f t="shared" si="24"/>
        <v>0.06964656965</v>
      </c>
      <c r="BV37" s="128">
        <f>IF($A37="","",IFERROR(SUMPRODUCT((Raw_Data_Daily!$B$2:$B$9999="Control")*(Raw_Data_Daily!$A$2:$A$9999=$A37)*(Raw_Data_Daily!$C$2:$C$9999=$C$3)*Raw_Data_Daily!$D$2:$D$9999*Raw_Data_Daily!$AA$2:$AA$9999)/SUMIFS(Raw_Data_Daily!$D:$D, Raw_Data_Daily!$B:$B, "Control", Raw_Data_Daily!$A:$A, $A37, Raw_Data_Daily!$C:$C, $C$3),""))</f>
        <v>4395</v>
      </c>
      <c r="BW37" s="128">
        <f>IF($A37="","",IFERROR(SUMPRODUCT((Raw_Data_Daily!$B$2:$B$9999="Variant")*(Raw_Data_Daily!$A$2:$A$9999=$A37)*(Raw_Data_Daily!$C$2:$C$9999=$C$3)*Raw_Data_Daily!$D$2:$D$9999*Raw_Data_Daily!$AA$2:$AA$9999)/SUMIFS(Raw_Data_Daily!$D:$D, Raw_Data_Daily!$B:$B, "Variant", Raw_Data_Daily!$A:$A, $A37, Raw_Data_Daily!$C:$C, $C$3),""))</f>
        <v>3943</v>
      </c>
      <c r="BX37" s="129">
        <f t="shared" si="25"/>
        <v>-0.1028441411</v>
      </c>
      <c r="BY37" s="137">
        <f>IF($A37="","",IFERROR(SUMPRODUCT((Raw_Data_Daily!$B$2:$B$9999="Control")*(Raw_Data_Daily!$A$2:$A$9999=$A37)*(Raw_Data_Daily!$C$2:$C$9999=$C$3)*Raw_Data_Daily!$D$2:$D$9999*Raw_Data_Daily!$AB$2:$AB$9999)/SUMIFS(Raw_Data_Daily!$D:$D, Raw_Data_Daily!$B:$B, "Control", Raw_Data_Daily!$A:$A, $A37, Raw_Data_Daily!$C:$C, $C$3),""))</f>
        <v>57.1514</v>
      </c>
      <c r="BZ37" s="137">
        <f>IF($A37="","",IFERROR(SUMPRODUCT((Raw_Data_Daily!$B$2:$B$9999="Variant")*(Raw_Data_Daily!$A$2:$A$9999=$A37)*(Raw_Data_Daily!$C$2:$C$9999=$C$3)*Raw_Data_Daily!$D$2:$D$9999*Raw_Data_Daily!$AB$2:$AB$9999)/SUMIFS(Raw_Data_Daily!$D:$D, Raw_Data_Daily!$B:$B, "Variant", Raw_Data_Daily!$A:$A, $A37, Raw_Data_Daily!$C:$C, $C$3),""))</f>
        <v>57.2808</v>
      </c>
      <c r="CA37" s="132">
        <f t="shared" si="26"/>
        <v>0.002264161508</v>
      </c>
      <c r="CB37" s="137">
        <f>IF($A37="","",IFERROR(SUMPRODUCT((Raw_Data_Daily!$B$2:$B$9999="Control")*(Raw_Data_Daily!$A$2:$A$9999=$A37)*(Raw_Data_Daily!$C$2:$C$9999=$C$3)*Raw_Data_Daily!$D$2:$D$9999*Raw_Data_Daily!$AC$2:$AC$9999)/SUMIFS(Raw_Data_Daily!$D:$D, Raw_Data_Daily!$B:$B, "Control", Raw_Data_Daily!$A:$A, $A37, Raw_Data_Daily!$C:$C, $C$3),""))</f>
        <v>0.6376</v>
      </c>
      <c r="CC37" s="137">
        <f>IF($A37="","",IFERROR(SUMPRODUCT((Raw_Data_Daily!$B$2:$B$9999="Variant")*(Raw_Data_Daily!$A$2:$A$9999=$A37)*(Raw_Data_Daily!$C$2:$C$9999=$C$3)*Raw_Data_Daily!$D$2:$D$9999*Raw_Data_Daily!$AC$2:$AC$9999)/SUMIFS(Raw_Data_Daily!$D:$D, Raw_Data_Daily!$B:$B, "Variant", Raw_Data_Daily!$A:$A, $A37, Raw_Data_Daily!$C:$C, $C$3),""))</f>
        <v>0.6034</v>
      </c>
      <c r="CD37" s="132">
        <f t="shared" si="27"/>
        <v>-0.05363864492</v>
      </c>
      <c r="CE37" s="137">
        <f>IF($A37="","",IFERROR(SUMPRODUCT((Raw_Data_Daily!$B$2:$B$9999="Control")*(Raw_Data_Daily!$A$2:$A$9999=$A37)*(Raw_Data_Daily!$C$2:$C$9999=$C$3)*Raw_Data_Daily!$D$2:$D$9999*Raw_Data_Daily!$AD$2:$AD$9999)/SUMIFS(Raw_Data_Daily!$D:$D, Raw_Data_Daily!$B:$B, "Control", Raw_Data_Daily!$A:$A, $A37, Raw_Data_Daily!$C:$C, $C$3),""))</f>
        <v>45.7</v>
      </c>
      <c r="CF37" s="137">
        <f>IF($A37="","",IFERROR(SUMPRODUCT((Raw_Data_Daily!$B$2:$B$9999="Variant")*(Raw_Data_Daily!$A$2:$A$9999=$A37)*(Raw_Data_Daily!$C$2:$C$9999=$C$3)*Raw_Data_Daily!$D$2:$D$9999*Raw_Data_Daily!$AD$2:$AD$9999)/SUMIFS(Raw_Data_Daily!$D:$D, Raw_Data_Daily!$B:$B, "Variant", Raw_Data_Daily!$A:$A, $A37, Raw_Data_Daily!$C:$C, $C$3),""))</f>
        <v>44.22</v>
      </c>
      <c r="CG37" s="132">
        <f t="shared" si="28"/>
        <v>-0.03238512035</v>
      </c>
      <c r="CH37" s="137">
        <f>IF($A37="","",IFERROR(SUMPRODUCT((Raw_Data_Daily!$B$2:$B$9999="Control")*(Raw_Data_Daily!$A$2:$A$9999=$A37)*(Raw_Data_Daily!$C$2:$C$9999=$C$3)*Raw_Data_Daily!$D$2:$D$9999*Raw_Data_Daily!$AE$2:$AE$9999)/SUMIFS(Raw_Data_Daily!$D:$D, Raw_Data_Daily!$B:$B, "Control", Raw_Data_Daily!$A:$A, $A37, Raw_Data_Daily!$C:$C, $C$3),""))</f>
        <v>16</v>
      </c>
      <c r="CI37" s="137">
        <f>IF($A37="","",IFERROR(SUMPRODUCT((Raw_Data_Daily!$B$2:$B$9999="Variant")*(Raw_Data_Daily!$A$2:$A$9999=$A37)*(Raw_Data_Daily!$C$2:$C$9999=$C$3)*Raw_Data_Daily!$D$2:$D$9999*Raw_Data_Daily!$AE$2:$AE$9999)/SUMIFS(Raw_Data_Daily!$D:$D, Raw_Data_Daily!$B:$B, "Variant", Raw_Data_Daily!$A:$A, $A37, Raw_Data_Daily!$C:$C, $C$3),""))</f>
        <v>18</v>
      </c>
      <c r="CJ37" s="132">
        <f t="shared" si="29"/>
        <v>0.125</v>
      </c>
      <c r="CK37" s="137">
        <f>IF($A37="","",IFERROR(SUMPRODUCT((Raw_Data_Daily!$B$2:$B$9999="Control")*(Raw_Data_Daily!$A$2:$A$9999=$A37)*(Raw_Data_Daily!$C$2:$C$9999=$C$3)*Raw_Data_Daily!$D$2:$D$9999*Raw_Data_Daily!$AF$2:$AF$9999)/SUMIFS(Raw_Data_Daily!$D:$D, Raw_Data_Daily!$B:$B, "Control", Raw_Data_Daily!$A:$A, $A37, Raw_Data_Daily!$C:$C, $C$3),""))</f>
        <v>28</v>
      </c>
      <c r="CL37" s="137">
        <f>IF($A37="","",IFERROR(SUMPRODUCT((Raw_Data_Daily!$B$2:$B$9999="Variant")*(Raw_Data_Daily!$A$2:$A$9999=$A37)*(Raw_Data_Daily!$C$2:$C$9999=$C$3)*Raw_Data_Daily!$D$2:$D$9999*Raw_Data_Daily!$AF$2:$AF$9999)/SUMIFS(Raw_Data_Daily!$D:$D, Raw_Data_Daily!$B:$B, "Variant", Raw_Data_Daily!$A:$A, $A37, Raw_Data_Daily!$C:$C, $C$3),""))</f>
        <v>35</v>
      </c>
      <c r="CM37" s="132">
        <f t="shared" si="30"/>
        <v>0.25</v>
      </c>
      <c r="CN37" s="137">
        <f>IF($A37="","",IFERROR(SUMPRODUCT((Raw_Data_Daily!$B$2:$B$9999="Control")*(Raw_Data_Daily!$A$2:$A$9999=$A37)*(Raw_Data_Daily!$C$2:$C$9999=$C$3)*Raw_Data_Daily!$D$2:$D$9999*Raw_Data_Daily!$AG$2:$AG$9999)/SUMIFS(Raw_Data_Daily!$D:$D, Raw_Data_Daily!$B:$B, "Control", Raw_Data_Daily!$A:$A, $A37, Raw_Data_Daily!$C:$C, $C$3),""))</f>
        <v>54</v>
      </c>
      <c r="CO37" s="137">
        <f>IF($A37="","",IFERROR(SUMPRODUCT((Raw_Data_Daily!$B$2:$B$9999="Variant")*(Raw_Data_Daily!$A$2:$A$9999=$A37)*(Raw_Data_Daily!$C$2:$C$9999=$C$3)*Raw_Data_Daily!$D$2:$D$9999*Raw_Data_Daily!$AG$2:$AG$9999)/SUMIFS(Raw_Data_Daily!$D:$D, Raw_Data_Daily!$B:$B, "Variant", Raw_Data_Daily!$A:$A, $A37, Raw_Data_Daily!$C:$C, $C$3),""))</f>
        <v>58</v>
      </c>
      <c r="CP37" s="132">
        <f t="shared" si="31"/>
        <v>0.07407407407</v>
      </c>
      <c r="CQ37" s="137">
        <f>IF($A37="","",IFERROR(SUMPRODUCT((Raw_Data_Daily!$B$2:$B$9999="Control")*(Raw_Data_Daily!$A$2:$A$9999=$A37)*(Raw_Data_Daily!$C$2:$C$9999=$C$3)*Raw_Data_Daily!$D$2:$D$9999*Raw_Data_Daily!$AH$2:$AH$9999)/SUMIFS(Raw_Data_Daily!$D:$D, Raw_Data_Daily!$B:$B, "Control", Raw_Data_Daily!$A:$A, $A37, Raw_Data_Daily!$C:$C, $C$3),""))</f>
        <v>104</v>
      </c>
      <c r="CR37" s="137">
        <f>IF($A37="","",IFERROR(SUMPRODUCT((Raw_Data_Daily!$B$2:$B$9999="Variant")*(Raw_Data_Daily!$A$2:$A$9999=$A37)*(Raw_Data_Daily!$C$2:$C$9999=$C$3)*Raw_Data_Daily!$D$2:$D$9999*Raw_Data_Daily!$AH$2:$AH$9999)/SUMIFS(Raw_Data_Daily!$D:$D, Raw_Data_Daily!$B:$B, "Variant", Raw_Data_Daily!$A:$A, $A37, Raw_Data_Daily!$C:$C, $C$3),""))</f>
        <v>90</v>
      </c>
      <c r="CS37" s="132">
        <f t="shared" si="32"/>
        <v>-0.1346153846</v>
      </c>
      <c r="CT37" s="130">
        <f>IF($A37="","",IFERROR(SUMPRODUCT((Raw_Data_Daily!$B$2:$B$9999="Control")*(Raw_Data_Daily!$A$2:$A$9999=$A37)*(Raw_Data_Daily!$C$2:$C$9999=$C$3)*Raw_Data_Daily!$D$2:$D$9999*Raw_Data_Daily!$AI$2:$AI$9999)/SUMIFS(Raw_Data_Daily!$D:$D, Raw_Data_Daily!$B:$B, "Control", Raw_Data_Daily!$A:$A, $A37, Raw_Data_Daily!$C:$C, $C$3),""))</f>
        <v>16.76</v>
      </c>
      <c r="CU37" s="130">
        <f>IF($A37="","",IFERROR(SUMPRODUCT((Raw_Data_Daily!$B$2:$B$9999="Variant")*(Raw_Data_Daily!$A$2:$A$9999=$A37)*(Raw_Data_Daily!$C$2:$C$9999=$C$3)*Raw_Data_Daily!$D$2:$D$9999*Raw_Data_Daily!$AI$2:$AI$9999)/SUMIFS(Raw_Data_Daily!$D:$D, Raw_Data_Daily!$B:$B, "Variant", Raw_Data_Daily!$A:$A, $A37, Raw_Data_Daily!$C:$C, $C$3),""))</f>
        <v>15.79</v>
      </c>
      <c r="CV37" s="140">
        <f t="shared" si="33"/>
        <v>-0.05787589499</v>
      </c>
      <c r="CW37" s="130">
        <f>IF($A37="","",IFERROR(SUMPRODUCT((Raw_Data_Daily!$B$2:$B$9999="Control")*(Raw_Data_Daily!$A$2:$A$9999=$A37)*(Raw_Data_Daily!$C$2:$C$9999=$C$3)*Raw_Data_Daily!$D$2:$D$9999*Raw_Data_Daily!$AJ$2:$AJ$9999)/SUMIFS(Raw_Data_Daily!$D:$D, Raw_Data_Daily!$B:$B, "Control", Raw_Data_Daily!$A:$A, $A37, Raw_Data_Daily!$C:$C, $C$3),""))</f>
        <v>4.6</v>
      </c>
      <c r="CX37" s="130">
        <f>IF($A37="","",IFERROR(SUMPRODUCT((Raw_Data_Daily!$B$2:$B$9999="Variant")*(Raw_Data_Daily!$A$2:$A$9999=$A37)*(Raw_Data_Daily!$C$2:$C$9999=$C$3)*Raw_Data_Daily!$D$2:$D$9999*Raw_Data_Daily!$AJ$2:$AJ$9999)/SUMIFS(Raw_Data_Daily!$D:$D, Raw_Data_Daily!$B:$B, "Variant", Raw_Data_Daily!$A:$A, $A37, Raw_Data_Daily!$C:$C, $C$3),""))</f>
        <v>3.95</v>
      </c>
      <c r="CY37" s="140">
        <f t="shared" si="34"/>
        <v>-0.1413043478</v>
      </c>
      <c r="CZ37" s="130">
        <f>IF($A37="","",IFERROR(SUMPRODUCT((Raw_Data_Daily!$B$2:$B$9999="Control")*(Raw_Data_Daily!$A$2:$A$9999=$A37)*(Raw_Data_Daily!$C$2:$C$9999=$C$3)*Raw_Data_Daily!$D$2:$D$9999*Raw_Data_Daily!$AK$2:$AK$9999)/SUMIFS(Raw_Data_Daily!$D:$D, Raw_Data_Daily!$B:$B, "Control", Raw_Data_Daily!$A:$A, $A37, Raw_Data_Daily!$C:$C, $C$3),""))</f>
        <v>1.1</v>
      </c>
      <c r="DA37" s="130">
        <f>IF($A37="","",IFERROR(SUMPRODUCT((Raw_Data_Daily!$B$2:$B$9999="Variant")*(Raw_Data_Daily!$A$2:$A$9999=$A37)*(Raw_Data_Daily!$C$2:$C$9999=$C$3)*Raw_Data_Daily!$D$2:$D$9999*Raw_Data_Daily!$AK$2:$AK$9999)/SUMIFS(Raw_Data_Daily!$D:$D, Raw_Data_Daily!$B:$B, "Variant", Raw_Data_Daily!$A:$A, $A37, Raw_Data_Daily!$C:$C, $C$3),""))</f>
        <v>0.56</v>
      </c>
      <c r="DB37" s="132">
        <f t="shared" si="35"/>
        <v>-0.4909090909</v>
      </c>
      <c r="DC37" s="139">
        <f>IF($A37="","",IFERROR(SUMPRODUCT((Raw_Data_Daily!$B$2:$B$9999="Control")*(Raw_Data_Daily!$A$2:$A$9999=$A37)*(Raw_Data_Daily!$C$2:$C$9999=$C$3)*Raw_Data_Daily!$D$2:$D$9999*Raw_Data_Daily!$AL$2:$AL$9999)/SUMIFS(Raw_Data_Daily!$D:$D, Raw_Data_Daily!$B:$B, "Control", Raw_Data_Daily!$A:$A, $A37, Raw_Data_Daily!$C:$C, $C$3),""))</f>
        <v>0</v>
      </c>
      <c r="DD37" s="139">
        <f>IF($A37="","",IFERROR(SUMPRODUCT((Raw_Data_Daily!$B$2:$B$9999="Variant")*(Raw_Data_Daily!$A$2:$A$9999=$A37)*(Raw_Data_Daily!$C$2:$C$9999=$C$3)*Raw_Data_Daily!$D$2:$D$9999*Raw_Data_Daily!$AL$2:$AL$9999)/SUMIFS(Raw_Data_Daily!$D:$D, Raw_Data_Daily!$B:$B, "Variant", Raw_Data_Daily!$A:$A, $A37, Raw_Data_Daily!$C:$C, $C$3),""))</f>
        <v>0</v>
      </c>
      <c r="DE37" s="140" t="str">
        <f t="shared" si="36"/>
        <v/>
      </c>
      <c r="DF37" s="165"/>
      <c r="DG37" s="130">
        <f>IF($A37="","",IFERROR(SUMPRODUCT((Raw_Data_Daily!$B$2:$B$9999="Variant")*(Raw_Data_Daily!$A$2:$A$9999=$A37)*(Raw_Data_Daily!$C$2:$C$9999=$C$3)*Raw_Data_Daily!$D$2:$D$9999*Raw_Data_Daily!$AM$2:$AM$9999)/SUMIFS(Raw_Data_Daily!$D:$D, Raw_Data_Daily!$B:$B, "Variant", Raw_Data_Daily!$A:$A, $A37, Raw_Data_Daily!$C:$C, $C$3),""))</f>
        <v>33.08</v>
      </c>
      <c r="DH37" s="166"/>
      <c r="DI37" s="165"/>
      <c r="DJ37" s="130">
        <f>IF($A37="","",IFERROR(SUMPRODUCT((Raw_Data_Daily!$B$2:$B$9999="Variant")*(Raw_Data_Daily!$A$2:$A$9999=$A37)*(Raw_Data_Daily!$C$2:$C$9999=$C$3)*Raw_Data_Daily!$D$2:$D$9999*Raw_Data_Daily!$AN$2:$AN$9999)/SUMIFS(Raw_Data_Daily!$D:$D, Raw_Data_Daily!$B:$B, "Variant", Raw_Data_Daily!$A:$A, $A37, Raw_Data_Daily!$C:$C, $C$3),""))</f>
        <v>33.08</v>
      </c>
      <c r="DK37" s="166"/>
      <c r="DL37" s="165"/>
      <c r="DM37" s="130">
        <f>IF($A37="","",IFERROR(SUMPRODUCT((Raw_Data_Daily!$B$2:$B$9999="Variant")*(Raw_Data_Daily!$A$2:$A$9999=$A37)*(Raw_Data_Daily!$C$2:$C$9999=$C$3)*Raw_Data_Daily!$D$2:$D$9999*Raw_Data_Daily!$AO$2:$AO$9999)/SUMIFS(Raw_Data_Daily!$D:$D, Raw_Data_Daily!$B:$B, "Variant", Raw_Data_Daily!$A:$A, $A37, Raw_Data_Daily!$C:$C, $C$3),""))</f>
        <v>18.42</v>
      </c>
      <c r="DN37" s="166"/>
      <c r="DO37" s="165"/>
      <c r="DP37" s="130">
        <f>IF($A37="","",IFERROR(SUMPRODUCT((Raw_Data_Daily!$B$2:$B$9999="Variant")*(Raw_Data_Daily!$A$2:$A$9999=$A37)*(Raw_Data_Daily!$C$2:$C$9999=$C$3)*Raw_Data_Daily!$D$2:$D$9999*Raw_Data_Daily!$AP$2:$AP$9999)/SUMIFS(Raw_Data_Daily!$D:$D, Raw_Data_Daily!$B:$B, "Variant", Raw_Data_Daily!$A:$A, $A37, Raw_Data_Daily!$C:$C, $C$3),""))</f>
        <v>9.02</v>
      </c>
      <c r="DQ37" s="166"/>
      <c r="DR37" s="139">
        <f>IF($A37="","",IFERROR(SUMPRODUCT((Raw_Data_Daily!$B$2:$B$9999="Control")*(Raw_Data_Daily!$A$2:$A$9999=$A37)*(Raw_Data_Daily!$C$2:$C$9999=$C$3)*Raw_Data_Daily!$D$2:$D$9999*Raw_Data_Daily!$AQ$2:$AQ$9999)/SUMIFS(Raw_Data_Daily!$D:$D, Raw_Data_Daily!$B:$B, "Control", Raw_Data_Daily!$A:$A, $A37, Raw_Data_Daily!$C:$C, $C$3),""))</f>
        <v>18.9908</v>
      </c>
      <c r="DS37" s="139">
        <f>IF($A37="","",IFERROR(SUMPRODUCT((Raw_Data_Daily!$B$2:$B$9999="Variant")*(Raw_Data_Daily!$A$2:$A$9999=$A37)*(Raw_Data_Daily!$C$2:$C$9999=$C$3)*Raw_Data_Daily!$D$2:$D$9999*Raw_Data_Daily!$AQ$2:$AQ$9999)/SUMIFS(Raw_Data_Daily!$D:$D, Raw_Data_Daily!$B:$B, "Variant", Raw_Data_Daily!$A:$A, $A37, Raw_Data_Daily!$C:$C, $C$3),""))</f>
        <v>15.562</v>
      </c>
      <c r="DT37" s="167">
        <f t="shared" si="37"/>
        <v>-0.1805505824</v>
      </c>
      <c r="DU37" s="139">
        <f>IF($A37="","",IFERROR(SUMPRODUCT((Raw_Data_Daily!$B$2:$B$9999="Control")*(Raw_Data_Daily!$A$2:$A$9999=$A37)*(Raw_Data_Daily!$C$2:$C$9999=$C$3)*Raw_Data_Daily!$D$2:$D$9999*Raw_Data_Daily!$AR$2:$AR$9999)/SUMIFS(Raw_Data_Daily!$D:$D, Raw_Data_Daily!$B:$B, "Control", Raw_Data_Daily!$A:$A, $A37, Raw_Data_Daily!$C:$C, $C$3),""))</f>
        <v>0.7901</v>
      </c>
      <c r="DV37" s="139">
        <f>IF($A37="","",IFERROR(SUMPRODUCT((Raw_Data_Daily!$B$2:$B$9999="Variant")*(Raw_Data_Daily!$A$2:$A$9999=$A37)*(Raw_Data_Daily!$C$2:$C$9999=$C$3)*Raw_Data_Daily!$D$2:$D$9999*Raw_Data_Daily!$AR$2:$AR$9999)/SUMIFS(Raw_Data_Daily!$D:$D, Raw_Data_Daily!$B:$B, "Variant", Raw_Data_Daily!$A:$A, $A37, Raw_Data_Daily!$C:$C, $C$3),""))</f>
        <v>1.0226</v>
      </c>
      <c r="DW37" s="167">
        <f t="shared" si="38"/>
        <v>0.2942665485</v>
      </c>
      <c r="DX37" s="139">
        <f>IF($A37="","",IFERROR(SUMPRODUCT((Raw_Data_Daily!$B$2:$B$9999="Control")*(Raw_Data_Daily!$A$2:$A$9999=$A37)*(Raw_Data_Daily!$C$2:$C$9999=$C$3)*Raw_Data_Daily!$D$2:$D$9999*Raw_Data_Daily!$AS$2:$AS$9999)/SUMIFS(Raw_Data_Daily!$D:$D, Raw_Data_Daily!$B:$B, "Control", Raw_Data_Daily!$A:$A, $A37, Raw_Data_Daily!$C:$C, $C$3),""))</f>
        <v>18.2007</v>
      </c>
      <c r="DY37" s="139">
        <f>IF($A37="","",IFERROR(SUMPRODUCT((Raw_Data_Daily!$B$2:$B$9999="Variant")*(Raw_Data_Daily!$A$2:$A$9999=$A37)*(Raw_Data_Daily!$C$2:$C$9999=$C$3)*Raw_Data_Daily!$D$2:$D$9999*Raw_Data_Daily!$AS$2:$AS$9999)/SUMIFS(Raw_Data_Daily!$D:$D, Raw_Data_Daily!$B:$B, "Variant", Raw_Data_Daily!$A:$A, $A37, Raw_Data_Daily!$C:$C, $C$3),""))</f>
        <v>14.5395</v>
      </c>
      <c r="DZ37" s="168">
        <f t="shared" si="39"/>
        <v>-0.2011570984</v>
      </c>
      <c r="EA37" s="139">
        <f>IF($A37="","",IFERROR(SUMPRODUCT((Raw_Data_Daily!$B$2:$B$9999="Control")*(Raw_Data_Daily!$A$2:$A$9999=$A37)*(Raw_Data_Daily!$C$2:$C$9999=$C$3)*Raw_Data_Daily!$D$2:$D$9999*Raw_Data_Daily!$AT$2:$AT$9999)/SUMIFS(Raw_Data_Daily!$D:$D, Raw_Data_Daily!$B:$B, "Control", Raw_Data_Daily!$A:$A, $A37, Raw_Data_Daily!$C:$C, $C$3),""))</f>
        <v>25.4475</v>
      </c>
      <c r="EB37" s="139">
        <f>IF($A37="","",IFERROR(SUMPRODUCT((Raw_Data_Daily!$B$2:$B$9999="Variant")*(Raw_Data_Daily!$A$2:$A$9999=$A37)*(Raw_Data_Daily!$C$2:$C$9999=$C$3)*Raw_Data_Daily!$D$2:$D$9999*Raw_Data_Daily!$AT$2:$AT$9999)/SUMIFS(Raw_Data_Daily!$D:$D, Raw_Data_Daily!$B:$B, "Variant", Raw_Data_Daily!$A:$A, $A37, Raw_Data_Daily!$C:$C, $C$3),""))</f>
        <v>15.6447</v>
      </c>
      <c r="EC37" s="167">
        <f t="shared" si="40"/>
        <v>-0.3852166225</v>
      </c>
      <c r="ED37" s="139">
        <f>IF($A37="","",IFERROR(SUMPRODUCT((Raw_Data_Daily!$B$2:$B$9999="Control")*(Raw_Data_Daily!$A$2:$A$9999=$A37)*(Raw_Data_Daily!$C$2:$C$9999=$C$3)*Raw_Data_Daily!$D$2:$D$9999*(Raw_Data_Daily!$AQ$2:$AQ$9999-Raw_Data_Daily!$AT$2:$AT$9999))/SUMIFS(Raw_Data_Daily!$D:$D, Raw_Data_Daily!$B:$B, "Control", Raw_Data_Daily!$A:$A, $A37, Raw_Data_Daily!$C:$C, $C$3),""))</f>
        <v>-6.4567</v>
      </c>
      <c r="EE37" s="139">
        <f>IF($A37="","",IFERROR(SUMPRODUCT((Raw_Data_Daily!$B$2:$B$9999="Variant")*(Raw_Data_Daily!$A$2:$A$9999=$A37)*(Raw_Data_Daily!$C$2:$C$9999=$C$3)*Raw_Data_Daily!$D$2:$D$9999*(Raw_Data_Daily!$AQ$2:$AQ$9999-Raw_Data_Daily!$AT$2:$AT$9999))/SUMIFS(Raw_Data_Daily!$D:$D, Raw_Data_Daily!$B:$B, "Variant", Raw_Data_Daily!$A:$A, $A37, Raw_Data_Daily!$C:$C, $C$3),""))</f>
        <v>-0.0827</v>
      </c>
      <c r="EF37" s="168">
        <f t="shared" si="41"/>
        <v>0.9871915994</v>
      </c>
      <c r="EG37" s="139">
        <f>IF($A37="","",IFERROR(SUMPRODUCT((Raw_Data_Daily!$B$2:$B$9999="Control")*(Raw_Data_Daily!$A$2:$A$9999=$A37)*(Raw_Data_Daily!$C$2:$C$9999=$C$3)*Raw_Data_Daily!$D$2:$D$9999*Raw_Data_Daily!$AU$2:$AU$9999)/SUMIFS(Raw_Data_Daily!$D:$D, Raw_Data_Daily!$B:$B, "Control", Raw_Data_Daily!$A:$A, $A37, Raw_Data_Daily!$C:$C, $C$3),""))</f>
        <v>0.1954</v>
      </c>
      <c r="EH37" s="139">
        <f>IF($A37="","",IFERROR(SUMPRODUCT((Raw_Data_Daily!$B$2:$B$9999="Variant")*(Raw_Data_Daily!$A$2:$A$9999=$A37)*(Raw_Data_Daily!$C$2:$C$9999=$C$3)*Raw_Data_Daily!$D$2:$D$9999*Raw_Data_Daily!$AU$2:$AU$9999)/SUMIFS(Raw_Data_Daily!$D:$D, Raw_Data_Daily!$B:$B, "Variant", Raw_Data_Daily!$A:$A, $A37, Raw_Data_Daily!$C:$C, $C$3),""))</f>
        <v>0.124</v>
      </c>
      <c r="EI37" s="167">
        <f t="shared" si="42"/>
        <v>-0.3654042989</v>
      </c>
    </row>
    <row r="38" ht="15.75" customHeight="1">
      <c r="A38" s="126">
        <v>46261.0</v>
      </c>
      <c r="B38" s="128">
        <f>IF($A38="","",SUMIFS(Raw_Data_Daily!$D:$D, Raw_Data_Daily!$B:$B, "Control", Raw_Data_Daily!$A:$A, $A38, Raw_Data_Daily!$C:$C, $C$3))</f>
        <v>0</v>
      </c>
      <c r="C38" s="128">
        <f>IF($A38="","",SUMIFS(Raw_Data_Daily!$D:$D, Raw_Data_Daily!$B:$B, "Variant", Raw_Data_Daily!$A:$A, $A38, Raw_Data_Daily!$C:$C, $C$3))</f>
        <v>0</v>
      </c>
      <c r="D38" s="129" t="str">
        <f t="shared" si="1"/>
        <v/>
      </c>
      <c r="E38" s="130" t="str">
        <f>IF($A38="","",IFERROR(SUMPRODUCT((Raw_Data_Daily!$B$2:$B$9999="Control")*(Raw_Data_Daily!$A$2:$A$9999=$A38)*(Raw_Data_Daily!$C$2:$C$9999=$C$3)*Raw_Data_Daily!$D$2:$D$9999*Raw_Data_Daily!$E$2:$E$9999)/SUMIFS(Raw_Data_Daily!$D:$D, Raw_Data_Daily!$B:$B, "Control", Raw_Data_Daily!$A:$A, $A38, Raw_Data_Daily!$C:$C, $C$3),""))</f>
        <v/>
      </c>
      <c r="F38" s="130" t="str">
        <f>IF($A38="","",IFERROR(SUMPRODUCT((Raw_Data_Daily!$B$2:$B$9999="Variant")*(Raw_Data_Daily!$A$2:$A$9999=$A38)*(Raw_Data_Daily!$C$2:$C$9999=$C$3)*Raw_Data_Daily!$D$2:$D$9999*Raw_Data_Daily!$E$2:$E$9999)/SUMIFS(Raw_Data_Daily!$D:$D, Raw_Data_Daily!$B:$B, "Variant", Raw_Data_Daily!$A:$A, $A38, Raw_Data_Daily!$C:$C, $C$3),""))</f>
        <v/>
      </c>
      <c r="G38" s="129" t="str">
        <f t="shared" si="2"/>
        <v/>
      </c>
      <c r="H38" s="131">
        <f>IF($A38="","",SUMIFS(Raw_Data_Daily!$F:$F, Raw_Data_Daily!$B:$B, "Control", Raw_Data_Daily!$A:$A, $A38, Raw_Data_Daily!$C:$C, $C$3))</f>
        <v>0</v>
      </c>
      <c r="I38" s="131">
        <f>IF($A38="","",SUMIFS(Raw_Data_Daily!$F:$F, Raw_Data_Daily!$B:$B, "Variant", Raw_Data_Daily!$A:$A, $A38, Raw_Data_Daily!$C:$C, $C$3))</f>
        <v>0</v>
      </c>
      <c r="J38" s="132" t="str">
        <f t="shared" si="3"/>
        <v/>
      </c>
      <c r="K38" s="134" t="str">
        <f>IF($A38="","",IFERROR(SUMIFS(Raw_Data_Daily!$F:$F, Raw_Data_Daily!$B:$B, "Control", Raw_Data_Daily!$A:$A, $A38, Raw_Data_Daily!$C:$C, $C$3)/SUMIFS(Raw_Data_Daily!$D:$D, Raw_Data_Daily!$B:$B, "Control", Raw_Data_Daily!$A:$A, $A38, Raw_Data_Daily!$C:$C, $C$3),""))</f>
        <v/>
      </c>
      <c r="L38" s="134" t="str">
        <f>IF($A38="","",IFERROR(SUMIFS(Raw_Data_Daily!$F:$F, Raw_Data_Daily!$B:$B, "Variant", Raw_Data_Daily!$A:$A, $A38, Raw_Data_Daily!$C:$C, $C$3)/SUMIFS(Raw_Data_Daily!$D:$D, Raw_Data_Daily!$B:$B, "Variant", Raw_Data_Daily!$A:$A, $A38, Raw_Data_Daily!$C:$C, $C$3),""))</f>
        <v/>
      </c>
      <c r="M38" s="132" t="str">
        <f t="shared" si="4"/>
        <v/>
      </c>
      <c r="N38" s="130" t="str">
        <f>IF($A38="","",IFERROR(SUMPRODUCT((Raw_Data_Daily!$B$2:$B$9999="Control")*(Raw_Data_Daily!$A$2:$A$9999=$A38)*(Raw_Data_Daily!$C$2:$C$9999=$C$3)*Raw_Data_Daily!$D$2:$D$9999*Raw_Data_Daily!$H$2:$H$9999/100)/SUMIFS(Raw_Data_Daily!$D:$D, Raw_Data_Daily!$B:$B, "Control", Raw_Data_Daily!$A:$A, $A38, Raw_Data_Daily!$C:$C, $C$3)*100,""))</f>
        <v/>
      </c>
      <c r="O38" s="130" t="str">
        <f>IF($A38="","",IFERROR(SUMPRODUCT((Raw_Data_Daily!$B$2:$B$9999="Variant")*(Raw_Data_Daily!$A$2:$A$9999=$A38)*(Raw_Data_Daily!$C$2:$C$9999=$C$3)*Raw_Data_Daily!$D$2:$D$9999*Raw_Data_Daily!$H$2:$H$9999/100)/SUMIFS(Raw_Data_Daily!$D:$D, Raw_Data_Daily!$B:$B, "Variant", Raw_Data_Daily!$A:$A, $A38, Raw_Data_Daily!$C:$C, $C$3)*100,""))</f>
        <v/>
      </c>
      <c r="P38" s="132" t="str">
        <f t="shared" si="5"/>
        <v/>
      </c>
      <c r="Q38" s="134" t="str">
        <f>IF($A38="","",IFERROR(SUMIFS(Raw_Data_Daily!$F:$F, Raw_Data_Daily!$B:$B, "Control", Raw_Data_Daily!$A:$A, $A38, Raw_Data_Daily!$C:$C, $C$3)/SUMPRODUCT((Raw_Data_Daily!$B$2:$B$9999="Control")*(Raw_Data_Daily!$A$2:$A$9999=$A38)*(Raw_Data_Daily!$C$2:$C$9999=$C$3)*Raw_Data_Daily!$D$2:$D$9999*Raw_Data_Daily!$H$2:$H$9999/100),""))</f>
        <v/>
      </c>
      <c r="R38" s="134" t="str">
        <f>IF($A38="","",IFERROR(SUMIFS(Raw_Data_Daily!$F:$F, Raw_Data_Daily!$B:$B, "Variant", Raw_Data_Daily!$A:$A, $A38, Raw_Data_Daily!$C:$C, $C$3)/SUMPRODUCT((Raw_Data_Daily!$B$2:$B$9999="Variant")*(Raw_Data_Daily!$A$2:$A$9999=$A38)*(Raw_Data_Daily!$C$2:$C$9999=$C$3)*Raw_Data_Daily!$D$2:$D$9999*Raw_Data_Daily!$H$2:$H$9999/100),""))</f>
        <v/>
      </c>
      <c r="S38" s="132" t="str">
        <f t="shared" si="6"/>
        <v/>
      </c>
      <c r="T38" s="137" t="str">
        <f>IF($A38="","",IFERROR(SUMPRODUCT((Raw_Data_Daily!$B$2:$B$9999="Control")*(Raw_Data_Daily!$A$2:$A$9999=$A38)*(Raw_Data_Daily!$C$2:$C$9999=$C$3)*Raw_Data_Daily!$D$2:$D$9999*Raw_Data_Daily!$J$2:$J$9999)/SUMIFS(Raw_Data_Daily!$D:$D, Raw_Data_Daily!$B:$B, "Control", Raw_Data_Daily!$A:$A, $A38, Raw_Data_Daily!$C:$C, $C$3),""))</f>
        <v/>
      </c>
      <c r="U38" s="137" t="str">
        <f>IF($A38="","",IFERROR(SUMPRODUCT((Raw_Data_Daily!$B$2:$B$9999="Variant")*(Raw_Data_Daily!$A$2:$A$9999=$A38)*(Raw_Data_Daily!$C$2:$C$9999=$C$3)*Raw_Data_Daily!$D$2:$D$9999*Raw_Data_Daily!$J$2:$J$9999)/SUMIFS(Raw_Data_Daily!$D:$D, Raw_Data_Daily!$B:$B, "Variant", Raw_Data_Daily!$A:$A, $A38, Raw_Data_Daily!$C:$C, $C$3),""))</f>
        <v/>
      </c>
      <c r="V38" s="132" t="str">
        <f t="shared" si="7"/>
        <v/>
      </c>
      <c r="W38" s="137" t="str">
        <f>IF($A38="","",IFERROR(SUMPRODUCT((Raw_Data_Daily!$B$2:$B$9999="Control")*(Raw_Data_Daily!$A$2:$A$9999=$A38)*(Raw_Data_Daily!$C$2:$C$9999=$C$3)*Raw_Data_Daily!$D$2:$D$9999*Raw_Data_Daily!$K$2:$K$9999)/SUMIFS(Raw_Data_Daily!$D:$D, Raw_Data_Daily!$B:$B, "Control", Raw_Data_Daily!$A:$A, $A38, Raw_Data_Daily!$C:$C, $C$3),""))</f>
        <v/>
      </c>
      <c r="X38" s="137" t="str">
        <f>IF($A38="","",IFERROR(SUMPRODUCT((Raw_Data_Daily!$B$2:$B$9999="Variant")*(Raw_Data_Daily!$A$2:$A$9999=$A38)*(Raw_Data_Daily!$C$2:$C$9999=$C$3)*Raw_Data_Daily!$D$2:$D$9999*Raw_Data_Daily!$K$2:$K$9999)/SUMIFS(Raw_Data_Daily!$D:$D, Raw_Data_Daily!$B:$B, "Variant", Raw_Data_Daily!$A:$A, $A38, Raw_Data_Daily!$C:$C, $C$3),""))</f>
        <v/>
      </c>
      <c r="Y38" s="132" t="str">
        <f t="shared" si="8"/>
        <v/>
      </c>
      <c r="Z38" s="137" t="str">
        <f>IF($A38="","",IFERROR(SUMPRODUCT((Raw_Data_Daily!$B$2:$B$9999="Control")*(Raw_Data_Daily!$A$2:$A$9999=$A38)*(Raw_Data_Daily!$C$2:$C$9999=$C$3)*Raw_Data_Daily!$D$2:$D$9999*Raw_Data_Daily!$L$2:$L$9999)/SUMIFS(Raw_Data_Daily!$D:$D, Raw_Data_Daily!$B:$B, "Control", Raw_Data_Daily!$A:$A, $A38, Raw_Data_Daily!$C:$C, $C$3),""))</f>
        <v/>
      </c>
      <c r="AA38" s="137" t="str">
        <f>IF($A38="","",IFERROR(SUMPRODUCT((Raw_Data_Daily!$B$2:$B$9999="Variant")*(Raw_Data_Daily!$A$2:$A$9999=$A38)*(Raw_Data_Daily!$C$2:$C$9999=$C$3)*Raw_Data_Daily!$D$2:$D$9999*Raw_Data_Daily!$L$2:$L$9999)/SUMIFS(Raw_Data_Daily!$D:$D, Raw_Data_Daily!$B:$B, "Variant", Raw_Data_Daily!$A:$A, $A38, Raw_Data_Daily!$C:$C, $C$3),""))</f>
        <v/>
      </c>
      <c r="AB38" s="132" t="str">
        <f t="shared" si="9"/>
        <v/>
      </c>
      <c r="AC38" s="139" t="str">
        <f>IF($A38="","",IFERROR(SUMPRODUCT((Raw_Data_Daily!$B$2:$B$9999="Control")*(Raw_Data_Daily!$A$2:$A$9999=$A38)*(Raw_Data_Daily!$C$2:$C$9999=$C$3)*Raw_Data_Daily!$D$2:$D$9999*Raw_Data_Daily!$M$2:$M$9999)/SUMIFS(Raw_Data_Daily!$D:$D, Raw_Data_Daily!$B:$B, "Control", Raw_Data_Daily!$A:$A, $A38, Raw_Data_Daily!$C:$C, $C$3),""))</f>
        <v/>
      </c>
      <c r="AD38" s="139" t="str">
        <f>IF($A38="","",IFERROR(SUMPRODUCT((Raw_Data_Daily!$B$2:$B$9999="Variant")*(Raw_Data_Daily!$A$2:$A$9999=$A38)*(Raw_Data_Daily!$C$2:$C$9999=$C$3)*Raw_Data_Daily!$D$2:$D$9999*Raw_Data_Daily!$M$2:$M$9999)/SUMIFS(Raw_Data_Daily!$D:$D, Raw_Data_Daily!$B:$B, "Variant", Raw_Data_Daily!$A:$A, $A38, Raw_Data_Daily!$C:$C, $C$3),""))</f>
        <v/>
      </c>
      <c r="AE38" s="140" t="str">
        <f t="shared" si="10"/>
        <v/>
      </c>
      <c r="AF38" s="139" t="str">
        <f>IF($A38="","",IFERROR(SUMPRODUCT((Raw_Data_Daily!$B$2:$B$9999="Control")*(Raw_Data_Daily!$A$2:$A$9999=$A38)*(Raw_Data_Daily!$C$2:$C$9999=$C$3)*Raw_Data_Daily!$D$2:$D$9999*Raw_Data_Daily!$N$2:$N$9999)/SUMIFS(Raw_Data_Daily!$D:$D, Raw_Data_Daily!$B:$B, "Control", Raw_Data_Daily!$A:$A, $A38, Raw_Data_Daily!$C:$C, $C$3),""))</f>
        <v/>
      </c>
      <c r="AG38" s="139" t="str">
        <f>IF($A38="","",IFERROR(SUMPRODUCT((Raw_Data_Daily!$B$2:$B$9999="Variant")*(Raw_Data_Daily!$A$2:$A$9999=$A38)*(Raw_Data_Daily!$C$2:$C$9999=$C$3)*Raw_Data_Daily!$D$2:$D$9999*Raw_Data_Daily!$N$2:$N$9999)/SUMIFS(Raw_Data_Daily!$D:$D, Raw_Data_Daily!$B:$B, "Variant", Raw_Data_Daily!$A:$A, $A38, Raw_Data_Daily!$C:$C, $C$3),""))</f>
        <v/>
      </c>
      <c r="AH38" s="140" t="str">
        <f t="shared" si="11"/>
        <v/>
      </c>
      <c r="AI38" s="139" t="str">
        <f>IF($A38="","",IFERROR(SUMPRODUCT((Raw_Data_Daily!$B$2:$B$9999="Control")*(Raw_Data_Daily!$A$2:$A$9999=$A38)*(Raw_Data_Daily!$C$2:$C$9999=$C$3)*Raw_Data_Daily!$D$2:$D$9999*Raw_Data_Daily!$O$2:$O$9999)/SUMIFS(Raw_Data_Daily!$D:$D, Raw_Data_Daily!$B:$B, "Control", Raw_Data_Daily!$A:$A, $A38, Raw_Data_Daily!$C:$C, $C$3),""))</f>
        <v/>
      </c>
      <c r="AJ38" s="139" t="str">
        <f>IF($A38="","",IFERROR(SUMPRODUCT((Raw_Data_Daily!$B$2:$B$9999="Variant")*(Raw_Data_Daily!$A$2:$A$9999=$A38)*(Raw_Data_Daily!$C$2:$C$9999=$C$3)*Raw_Data_Daily!$D$2:$D$9999*Raw_Data_Daily!$O$2:$O$9999)/SUMIFS(Raw_Data_Daily!$D:$D, Raw_Data_Daily!$B:$B, "Variant", Raw_Data_Daily!$A:$A, $A38, Raw_Data_Daily!$C:$C, $C$3),""))</f>
        <v/>
      </c>
      <c r="AK38" s="132" t="str">
        <f t="shared" si="12"/>
        <v/>
      </c>
      <c r="AL38" s="137" t="str">
        <f>IF($A38="","",IFERROR(SUMPRODUCT((Raw_Data_Daily!$B$2:$B$9999="Control")*(Raw_Data_Daily!$A$2:$A$9999=$A38)*(Raw_Data_Daily!$C$2:$C$9999=$C$3)*Raw_Data_Daily!$D$2:$D$9999*Raw_Data_Daily!$P$2:$P$9999)/SUMIFS(Raw_Data_Daily!$D:$D, Raw_Data_Daily!$B:$B, "Control", Raw_Data_Daily!$A:$A, $A38, Raw_Data_Daily!$C:$C, $C$3),""))</f>
        <v/>
      </c>
      <c r="AM38" s="137" t="str">
        <f>IF($A38="","",IFERROR(SUMPRODUCT((Raw_Data_Daily!$B$2:$B$9999="Variant")*(Raw_Data_Daily!$A$2:$A$9999=$A38)*(Raw_Data_Daily!$C$2:$C$9999=$C$3)*Raw_Data_Daily!$D$2:$D$9999*Raw_Data_Daily!$P$2:$P$9999)/SUMIFS(Raw_Data_Daily!$D:$D, Raw_Data_Daily!$B:$B, "Variant", Raw_Data_Daily!$A:$A, $A38, Raw_Data_Daily!$C:$C, $C$3),""))</f>
        <v/>
      </c>
      <c r="AN38" s="132" t="str">
        <f t="shared" si="13"/>
        <v/>
      </c>
      <c r="AO38" s="137" t="str">
        <f>IF($A38="","",IFERROR(SUMPRODUCT((Raw_Data_Daily!$B$2:$B$9999="Control")*(Raw_Data_Daily!$A$2:$A$9999=$A38)*(Raw_Data_Daily!$C$2:$C$9999=$C$3)*Raw_Data_Daily!$D$2:$D$9999*Raw_Data_Daily!$Q$2:$Q$9999)/SUMIFS(Raw_Data_Daily!$D:$D, Raw_Data_Daily!$B:$B, "Control", Raw_Data_Daily!$A:$A, $A38, Raw_Data_Daily!$C:$C, $C$3),""))</f>
        <v/>
      </c>
      <c r="AP38" s="137" t="str">
        <f>IF($A38="","",IFERROR(SUMPRODUCT((Raw_Data_Daily!$B$2:$B$9999="Variant")*(Raw_Data_Daily!$A$2:$A$9999=$A38)*(Raw_Data_Daily!$C$2:$C$9999=$C$3)*Raw_Data_Daily!$D$2:$D$9999*Raw_Data_Daily!$Q$2:$Q$9999)/SUMIFS(Raw_Data_Daily!$D:$D, Raw_Data_Daily!$B:$B, "Variant", Raw_Data_Daily!$A:$A, $A38, Raw_Data_Daily!$C:$C, $C$3),""))</f>
        <v/>
      </c>
      <c r="AQ38" s="129" t="str">
        <f t="shared" si="14"/>
        <v/>
      </c>
      <c r="AR38" s="137" t="str">
        <f>IF($A38="","",IFERROR(SUMPRODUCT((Raw_Data_Daily!$B$2:$B$9999="Control")*(Raw_Data_Daily!$A$2:$A$9999=$A38)*(Raw_Data_Daily!$C$2:$C$9999=$C$3)*Raw_Data_Daily!$D$2:$D$9999*Raw_Data_Daily!$R$2:$R$9999)/SUMIFS(Raw_Data_Daily!$D:$D, Raw_Data_Daily!$B:$B, "Control", Raw_Data_Daily!$A:$A, $A38, Raw_Data_Daily!$C:$C, $C$3),""))</f>
        <v/>
      </c>
      <c r="AS38" s="137" t="str">
        <f>IF($A38="","",IFERROR(SUMPRODUCT((Raw_Data_Daily!$B$2:$B$9999="Variant")*(Raw_Data_Daily!$A$2:$A$9999=$A38)*(Raw_Data_Daily!$C$2:$C$9999=$C$3)*Raw_Data_Daily!$D$2:$D$9999*Raw_Data_Daily!$R$2:$R$9999)/SUMIFS(Raw_Data_Daily!$D:$D, Raw_Data_Daily!$B:$B, "Variant", Raw_Data_Daily!$A:$A, $A38, Raw_Data_Daily!$C:$C, $C$3),""))</f>
        <v/>
      </c>
      <c r="AT38" s="129" t="str">
        <f t="shared" si="15"/>
        <v/>
      </c>
      <c r="AU38" s="137" t="str">
        <f>IF($A38="","",IFERROR(SUMPRODUCT((Raw_Data_Daily!$B$2:$B$9999="Control")*(Raw_Data_Daily!$A$2:$A$9999=$A38)*(Raw_Data_Daily!$C$2:$C$9999=$C$3)*Raw_Data_Daily!$D$2:$D$9999*Raw_Data_Daily!$S$2:$S$9999)/SUMIFS(Raw_Data_Daily!$D:$D, Raw_Data_Daily!$B:$B, "Control", Raw_Data_Daily!$A:$A, $A38, Raw_Data_Daily!$C:$C, $C$3),""))</f>
        <v/>
      </c>
      <c r="AV38" s="137" t="str">
        <f>IF($A38="","",IFERROR(SUMPRODUCT((Raw_Data_Daily!$B$2:$B$9999="Variant")*(Raw_Data_Daily!$A$2:$A$9999=$A38)*(Raw_Data_Daily!$C$2:$C$9999=$C$3)*Raw_Data_Daily!$D$2:$D$9999*Raw_Data_Daily!$S$2:$S$9999)/SUMIFS(Raw_Data_Daily!$D:$D, Raw_Data_Daily!$B:$B, "Variant", Raw_Data_Daily!$A:$A, $A38, Raw_Data_Daily!$C:$C, $C$3),""))</f>
        <v/>
      </c>
      <c r="AW38" s="129" t="str">
        <f t="shared" si="16"/>
        <v/>
      </c>
      <c r="AX38" s="137" t="str">
        <f>IF($A38="","",IFERROR(SUMPRODUCT((Raw_Data_Daily!$B$2:$B$9999="Control")*(Raw_Data_Daily!$A$2:$A$9999=$A38)*(Raw_Data_Daily!$C$2:$C$9999=$C$3)*Raw_Data_Daily!$D$2:$D$9999*Raw_Data_Daily!$T$2:$T$9999)/SUMIFS(Raw_Data_Daily!$D:$D, Raw_Data_Daily!$B:$B, "Control", Raw_Data_Daily!$A:$A, $A38, Raw_Data_Daily!$C:$C, $C$3),""))</f>
        <v/>
      </c>
      <c r="AY38" s="137" t="str">
        <f>IF($A38="","",IFERROR(SUMPRODUCT((Raw_Data_Daily!$B$2:$B$9999="Variant")*(Raw_Data_Daily!$A$2:$A$9999=$A38)*(Raw_Data_Daily!$C$2:$C$9999=$C$3)*Raw_Data_Daily!$D$2:$D$9999*Raw_Data_Daily!$T$2:$T$9999)/SUMIFS(Raw_Data_Daily!$D:$D, Raw_Data_Daily!$B:$B, "Variant", Raw_Data_Daily!$A:$A, $A38, Raw_Data_Daily!$C:$C, $C$3),""))</f>
        <v/>
      </c>
      <c r="AZ38" s="132" t="str">
        <f t="shared" si="17"/>
        <v/>
      </c>
      <c r="BA38" s="137" t="str">
        <f>IF($A38="","",IFERROR(SUMPRODUCT((Raw_Data_Daily!$B$2:$B$9999="Control")*(Raw_Data_Daily!$A$2:$A$9999=$A38)*(Raw_Data_Daily!$C$2:$C$9999=$C$3)*Raw_Data_Daily!$D$2:$D$9999*Raw_Data_Daily!$U$2:$U$9999)/SUMIFS(Raw_Data_Daily!$D:$D, Raw_Data_Daily!$B:$B, "Control", Raw_Data_Daily!$A:$A, $A38, Raw_Data_Daily!$C:$C, $C$3),""))</f>
        <v/>
      </c>
      <c r="BB38" s="137" t="str">
        <f>IF($A38="","",IFERROR(SUMPRODUCT((Raw_Data_Daily!$B$2:$B$9999="Variant")*(Raw_Data_Daily!$A$2:$A$9999=$A38)*(Raw_Data_Daily!$C$2:$C$9999=$C$3)*Raw_Data_Daily!$D$2:$D$9999*Raw_Data_Daily!$U$2:$U$9999)/SUMIFS(Raw_Data_Daily!$D:$D, Raw_Data_Daily!$B:$B, "Variant", Raw_Data_Daily!$A:$A, $A38, Raw_Data_Daily!$C:$C, $C$3),""))</f>
        <v/>
      </c>
      <c r="BC38" s="129" t="str">
        <f t="shared" si="18"/>
        <v/>
      </c>
      <c r="BD38" s="137" t="str">
        <f>IF($A38="","",IFERROR(SUMPRODUCT((Raw_Data_Daily!$B$2:$B$9999="Control")*(Raw_Data_Daily!$A$2:$A$9999=$A38)*(Raw_Data_Daily!$C$2:$C$9999=$C$3)*Raw_Data_Daily!$D$2:$D$9999*Raw_Data_Daily!$V$2:$V$9999)/SUMIFS(Raw_Data_Daily!$D:$D, Raw_Data_Daily!$B:$B, "Control", Raw_Data_Daily!$A:$A, $A38, Raw_Data_Daily!$C:$C, $C$3),""))</f>
        <v/>
      </c>
      <c r="BE38" s="137" t="str">
        <f>IF($A38="","",IFERROR(SUMPRODUCT((Raw_Data_Daily!$B$2:$B$9999="Variant")*(Raw_Data_Daily!$A$2:$A$9999=$A38)*(Raw_Data_Daily!$C$2:$C$9999=$C$3)*Raw_Data_Daily!$D$2:$D$9999*Raw_Data_Daily!$V$2:$V$9999)/SUMIFS(Raw_Data_Daily!$D:$D, Raw_Data_Daily!$B:$B, "Variant", Raw_Data_Daily!$A:$A, $A38, Raw_Data_Daily!$C:$C, $C$3),""))</f>
        <v/>
      </c>
      <c r="BF38" s="148" t="str">
        <f t="shared" si="19"/>
        <v/>
      </c>
      <c r="BG38" s="149" t="str">
        <f>IF($A38="","",IFERROR(SUMPRODUCT((Raw_Data_Daily!$B$2:$B$9999="Control")*(Raw_Data_Daily!$A$2:$A$9999=$A38)*(Raw_Data_Daily!$C$2:$C$9999=$C$3)*Raw_Data_Daily!$D$2:$D$9999*(Raw_Data_Daily!$Q$2:$Q$9999-Raw_Data_Daily!$V$2:$V$9999))/SUMIFS(Raw_Data_Daily!$D:$D, Raw_Data_Daily!$B:$B, "Control", Raw_Data_Daily!$A:$A, $A38, Raw_Data_Daily!$C:$C, $C$3),""))</f>
        <v/>
      </c>
      <c r="BH38" s="137" t="str">
        <f>IF($A38="","",IFERROR(SUMPRODUCT((Raw_Data_Daily!$B$2:$B$9999="Variant")*(Raw_Data_Daily!$A$2:$A$9999=$A38)*(Raw_Data_Daily!$C$2:$C$9999=$C$3)*Raw_Data_Daily!$D$2:$D$9999*(Raw_Data_Daily!$Q$2:$Q$9999-Raw_Data_Daily!$V$2:$V$9999))/SUMIFS(Raw_Data_Daily!$D:$D, Raw_Data_Daily!$B:$B, "Variant", Raw_Data_Daily!$A:$A, $A38, Raw_Data_Daily!$C:$C, $C$3),""))</f>
        <v/>
      </c>
      <c r="BI38" s="155" t="str">
        <f t="shared" si="20"/>
        <v/>
      </c>
      <c r="BJ38" s="156" t="str">
        <f>IF($A38="","",IFERROR(SUMPRODUCT((Raw_Data_Daily!$B$2:$B$9999="Control")*(Raw_Data_Daily!$A$2:$A$9999=$A38)*(Raw_Data_Daily!$C$2:$C$9999=$C$3)*Raw_Data_Daily!$D$2:$D$9999*Raw_Data_Daily!$W$2:$W$9999)/SUMIFS(Raw_Data_Daily!$D:$D, Raw_Data_Daily!$B:$B, "Control", Raw_Data_Daily!$A:$A, $A38, Raw_Data_Daily!$C:$C, $C$3),""))</f>
        <v/>
      </c>
      <c r="BK38" s="137" t="str">
        <f>IF($A38="","",IFERROR(SUMPRODUCT((Raw_Data_Daily!$B$2:$B$9999="Variant")*(Raw_Data_Daily!$A$2:$A$9999=$A38)*(Raw_Data_Daily!$C$2:$C$9999=$C$3)*Raw_Data_Daily!$D$2:$D$9999*Raw_Data_Daily!$W$2:$W$9999)/SUMIFS(Raw_Data_Daily!$D:$D, Raw_Data_Daily!$B:$B, "Variant", Raw_Data_Daily!$A:$A, $A38, Raw_Data_Daily!$C:$C, $C$3),""))</f>
        <v/>
      </c>
      <c r="BL38" s="129" t="str">
        <f t="shared" si="21"/>
        <v/>
      </c>
      <c r="BM38" s="139" t="str">
        <f>IF($A38="","",IFERROR(SUMPRODUCT((Raw_Data_Daily!$B$2:$B$9999="Control")*(Raw_Data_Daily!$A$2:$A$9999=$A38)*(Raw_Data_Daily!$C$2:$C$9999=$C$3)*Raw_Data_Daily!$D$2:$D$9999*Raw_Data_Daily!$X$2:$X$9999)/SUMIFS(Raw_Data_Daily!$D:$D, Raw_Data_Daily!$B:$B, "Control", Raw_Data_Daily!$A:$A, $A38, Raw_Data_Daily!$C:$C, $C$3),""))</f>
        <v/>
      </c>
      <c r="BN38" s="139" t="str">
        <f>IF($A38="","",IFERROR(SUMPRODUCT((Raw_Data_Daily!$B$2:$B$9999="Variant")*(Raw_Data_Daily!$A$2:$A$9999=$A38)*(Raw_Data_Daily!$C$2:$C$9999=$C$3)*Raw_Data_Daily!$D$2:$D$9999*Raw_Data_Daily!$X$2:$X$9999)/SUMIFS(Raw_Data_Daily!$D:$D, Raw_Data_Daily!$B:$B, "Variant", Raw_Data_Daily!$A:$A, $A38, Raw_Data_Daily!$C:$C, $C$3),""))</f>
        <v/>
      </c>
      <c r="BO38" s="132" t="str">
        <f t="shared" si="22"/>
        <v/>
      </c>
      <c r="BP38" s="128" t="str">
        <f>IF($A38="","",IFERROR(SUMPRODUCT((Raw_Data_Daily!$B$2:$B$9999="Control")*(Raw_Data_Daily!$A$2:$A$9999=$A38)*(Raw_Data_Daily!$C$2:$C$9999=$C$3)*Raw_Data_Daily!$D$2:$D$9999*Raw_Data_Daily!$Y$2:$Y$9999)/SUMIFS(Raw_Data_Daily!$D:$D, Raw_Data_Daily!$B:$B, "Control", Raw_Data_Daily!$A:$A, $A38, Raw_Data_Daily!$C:$C, $C$3),""))</f>
        <v/>
      </c>
      <c r="BQ38" s="128" t="str">
        <f>IF($A38="","",IFERROR(SUMPRODUCT((Raw_Data_Daily!$B$2:$B$9999="Variant")*(Raw_Data_Daily!$A$2:$A$9999=$A38)*(Raw_Data_Daily!$C$2:$C$9999=$C$3)*Raw_Data_Daily!$D$2:$D$9999*Raw_Data_Daily!$Y$2:$Y$9999)/SUMIFS(Raw_Data_Daily!$D:$D, Raw_Data_Daily!$B:$B, "Variant", Raw_Data_Daily!$A:$A, $A38, Raw_Data_Daily!$C:$C, $C$3),""))</f>
        <v/>
      </c>
      <c r="BR38" s="129" t="str">
        <f t="shared" si="23"/>
        <v/>
      </c>
      <c r="BS38" s="128" t="str">
        <f>IF($A38="","",IFERROR(SUMPRODUCT((Raw_Data_Daily!$B$2:$B$9999="Control")*(Raw_Data_Daily!$A$2:$A$9999=$A38)*(Raw_Data_Daily!$C$2:$C$9999=$C$3)*Raw_Data_Daily!$D$2:$D$9999*Raw_Data_Daily!$Z$2:$Z$9999)/SUMIFS(Raw_Data_Daily!$D:$D, Raw_Data_Daily!$B:$B, "Control", Raw_Data_Daily!$A:$A, $A38, Raw_Data_Daily!$C:$C, $C$3),""))</f>
        <v/>
      </c>
      <c r="BT38" s="128" t="str">
        <f>IF($A38="","",IFERROR(SUMPRODUCT((Raw_Data_Daily!$B$2:$B$9999="Variant")*(Raw_Data_Daily!$A$2:$A$9999=$A38)*(Raw_Data_Daily!$C$2:$C$9999=$C$3)*Raw_Data_Daily!$D$2:$D$9999*Raw_Data_Daily!$Z$2:$Z$9999)/SUMIFS(Raw_Data_Daily!$D:$D, Raw_Data_Daily!$B:$B, "Variant", Raw_Data_Daily!$A:$A, $A38, Raw_Data_Daily!$C:$C, $C$3),""))</f>
        <v/>
      </c>
      <c r="BU38" s="129" t="str">
        <f t="shared" si="24"/>
        <v/>
      </c>
      <c r="BV38" s="128" t="str">
        <f>IF($A38="","",IFERROR(SUMPRODUCT((Raw_Data_Daily!$B$2:$B$9999="Control")*(Raw_Data_Daily!$A$2:$A$9999=$A38)*(Raw_Data_Daily!$C$2:$C$9999=$C$3)*Raw_Data_Daily!$D$2:$D$9999*Raw_Data_Daily!$AA$2:$AA$9999)/SUMIFS(Raw_Data_Daily!$D:$D, Raw_Data_Daily!$B:$B, "Control", Raw_Data_Daily!$A:$A, $A38, Raw_Data_Daily!$C:$C, $C$3),""))</f>
        <v/>
      </c>
      <c r="BW38" s="128" t="str">
        <f>IF($A38="","",IFERROR(SUMPRODUCT((Raw_Data_Daily!$B$2:$B$9999="Variant")*(Raw_Data_Daily!$A$2:$A$9999=$A38)*(Raw_Data_Daily!$C$2:$C$9999=$C$3)*Raw_Data_Daily!$D$2:$D$9999*Raw_Data_Daily!$AA$2:$AA$9999)/SUMIFS(Raw_Data_Daily!$D:$D, Raw_Data_Daily!$B:$B, "Variant", Raw_Data_Daily!$A:$A, $A38, Raw_Data_Daily!$C:$C, $C$3),""))</f>
        <v/>
      </c>
      <c r="BX38" s="129" t="str">
        <f t="shared" si="25"/>
        <v/>
      </c>
      <c r="BY38" s="137" t="str">
        <f>IF($A38="","",IFERROR(SUMPRODUCT((Raw_Data_Daily!$B$2:$B$9999="Control")*(Raw_Data_Daily!$A$2:$A$9999=$A38)*(Raw_Data_Daily!$C$2:$C$9999=$C$3)*Raw_Data_Daily!$D$2:$D$9999*Raw_Data_Daily!$AB$2:$AB$9999)/SUMIFS(Raw_Data_Daily!$D:$D, Raw_Data_Daily!$B:$B, "Control", Raw_Data_Daily!$A:$A, $A38, Raw_Data_Daily!$C:$C, $C$3),""))</f>
        <v/>
      </c>
      <c r="BZ38" s="137" t="str">
        <f>IF($A38="","",IFERROR(SUMPRODUCT((Raw_Data_Daily!$B$2:$B$9999="Variant")*(Raw_Data_Daily!$A$2:$A$9999=$A38)*(Raw_Data_Daily!$C$2:$C$9999=$C$3)*Raw_Data_Daily!$D$2:$D$9999*Raw_Data_Daily!$AB$2:$AB$9999)/SUMIFS(Raw_Data_Daily!$D:$D, Raw_Data_Daily!$B:$B, "Variant", Raw_Data_Daily!$A:$A, $A38, Raw_Data_Daily!$C:$C, $C$3),""))</f>
        <v/>
      </c>
      <c r="CA38" s="132" t="str">
        <f t="shared" si="26"/>
        <v/>
      </c>
      <c r="CB38" s="137" t="str">
        <f>IF($A38="","",IFERROR(SUMPRODUCT((Raw_Data_Daily!$B$2:$B$9999="Control")*(Raw_Data_Daily!$A$2:$A$9999=$A38)*(Raw_Data_Daily!$C$2:$C$9999=$C$3)*Raw_Data_Daily!$D$2:$D$9999*Raw_Data_Daily!$AC$2:$AC$9999)/SUMIFS(Raw_Data_Daily!$D:$D, Raw_Data_Daily!$B:$B, "Control", Raw_Data_Daily!$A:$A, $A38, Raw_Data_Daily!$C:$C, $C$3),""))</f>
        <v/>
      </c>
      <c r="CC38" s="137" t="str">
        <f>IF($A38="","",IFERROR(SUMPRODUCT((Raw_Data_Daily!$B$2:$B$9999="Variant")*(Raw_Data_Daily!$A$2:$A$9999=$A38)*(Raw_Data_Daily!$C$2:$C$9999=$C$3)*Raw_Data_Daily!$D$2:$D$9999*Raw_Data_Daily!$AC$2:$AC$9999)/SUMIFS(Raw_Data_Daily!$D:$D, Raw_Data_Daily!$B:$B, "Variant", Raw_Data_Daily!$A:$A, $A38, Raw_Data_Daily!$C:$C, $C$3),""))</f>
        <v/>
      </c>
      <c r="CD38" s="132" t="str">
        <f t="shared" si="27"/>
        <v/>
      </c>
      <c r="CE38" s="137" t="str">
        <f>IF($A38="","",IFERROR(SUMPRODUCT((Raw_Data_Daily!$B$2:$B$9999="Control")*(Raw_Data_Daily!$A$2:$A$9999=$A38)*(Raw_Data_Daily!$C$2:$C$9999=$C$3)*Raw_Data_Daily!$D$2:$D$9999*Raw_Data_Daily!$AD$2:$AD$9999)/SUMIFS(Raw_Data_Daily!$D:$D, Raw_Data_Daily!$B:$B, "Control", Raw_Data_Daily!$A:$A, $A38, Raw_Data_Daily!$C:$C, $C$3),""))</f>
        <v/>
      </c>
      <c r="CF38" s="137" t="str">
        <f>IF($A38="","",IFERROR(SUMPRODUCT((Raw_Data_Daily!$B$2:$B$9999="Variant")*(Raw_Data_Daily!$A$2:$A$9999=$A38)*(Raw_Data_Daily!$C$2:$C$9999=$C$3)*Raw_Data_Daily!$D$2:$D$9999*Raw_Data_Daily!$AD$2:$AD$9999)/SUMIFS(Raw_Data_Daily!$D:$D, Raw_Data_Daily!$B:$B, "Variant", Raw_Data_Daily!$A:$A, $A38, Raw_Data_Daily!$C:$C, $C$3),""))</f>
        <v/>
      </c>
      <c r="CG38" s="132" t="str">
        <f t="shared" si="28"/>
        <v/>
      </c>
      <c r="CH38" s="137" t="str">
        <f>IF($A38="","",IFERROR(SUMPRODUCT((Raw_Data_Daily!$B$2:$B$9999="Control")*(Raw_Data_Daily!$A$2:$A$9999=$A38)*(Raw_Data_Daily!$C$2:$C$9999=$C$3)*Raw_Data_Daily!$D$2:$D$9999*Raw_Data_Daily!$AE$2:$AE$9999)/SUMIFS(Raw_Data_Daily!$D:$D, Raw_Data_Daily!$B:$B, "Control", Raw_Data_Daily!$A:$A, $A38, Raw_Data_Daily!$C:$C, $C$3),""))</f>
        <v/>
      </c>
      <c r="CI38" s="137" t="str">
        <f>IF($A38="","",IFERROR(SUMPRODUCT((Raw_Data_Daily!$B$2:$B$9999="Variant")*(Raw_Data_Daily!$A$2:$A$9999=$A38)*(Raw_Data_Daily!$C$2:$C$9999=$C$3)*Raw_Data_Daily!$D$2:$D$9999*Raw_Data_Daily!$AE$2:$AE$9999)/SUMIFS(Raw_Data_Daily!$D:$D, Raw_Data_Daily!$B:$B, "Variant", Raw_Data_Daily!$A:$A, $A38, Raw_Data_Daily!$C:$C, $C$3),""))</f>
        <v/>
      </c>
      <c r="CJ38" s="132" t="str">
        <f t="shared" si="29"/>
        <v/>
      </c>
      <c r="CK38" s="137" t="str">
        <f>IF($A38="","",IFERROR(SUMPRODUCT((Raw_Data_Daily!$B$2:$B$9999="Control")*(Raw_Data_Daily!$A$2:$A$9999=$A38)*(Raw_Data_Daily!$C$2:$C$9999=$C$3)*Raw_Data_Daily!$D$2:$D$9999*Raw_Data_Daily!$AF$2:$AF$9999)/SUMIFS(Raw_Data_Daily!$D:$D, Raw_Data_Daily!$B:$B, "Control", Raw_Data_Daily!$A:$A, $A38, Raw_Data_Daily!$C:$C, $C$3),""))</f>
        <v/>
      </c>
      <c r="CL38" s="137" t="str">
        <f>IF($A38="","",IFERROR(SUMPRODUCT((Raw_Data_Daily!$B$2:$B$9999="Variant")*(Raw_Data_Daily!$A$2:$A$9999=$A38)*(Raw_Data_Daily!$C$2:$C$9999=$C$3)*Raw_Data_Daily!$D$2:$D$9999*Raw_Data_Daily!$AF$2:$AF$9999)/SUMIFS(Raw_Data_Daily!$D:$D, Raw_Data_Daily!$B:$B, "Variant", Raw_Data_Daily!$A:$A, $A38, Raw_Data_Daily!$C:$C, $C$3),""))</f>
        <v/>
      </c>
      <c r="CM38" s="132" t="str">
        <f t="shared" si="30"/>
        <v/>
      </c>
      <c r="CN38" s="137" t="str">
        <f>IF($A38="","",IFERROR(SUMPRODUCT((Raw_Data_Daily!$B$2:$B$9999="Control")*(Raw_Data_Daily!$A$2:$A$9999=$A38)*(Raw_Data_Daily!$C$2:$C$9999=$C$3)*Raw_Data_Daily!$D$2:$D$9999*Raw_Data_Daily!$AG$2:$AG$9999)/SUMIFS(Raw_Data_Daily!$D:$D, Raw_Data_Daily!$B:$B, "Control", Raw_Data_Daily!$A:$A, $A38, Raw_Data_Daily!$C:$C, $C$3),""))</f>
        <v/>
      </c>
      <c r="CO38" s="137" t="str">
        <f>IF($A38="","",IFERROR(SUMPRODUCT((Raw_Data_Daily!$B$2:$B$9999="Variant")*(Raw_Data_Daily!$A$2:$A$9999=$A38)*(Raw_Data_Daily!$C$2:$C$9999=$C$3)*Raw_Data_Daily!$D$2:$D$9999*Raw_Data_Daily!$AG$2:$AG$9999)/SUMIFS(Raw_Data_Daily!$D:$D, Raw_Data_Daily!$B:$B, "Variant", Raw_Data_Daily!$A:$A, $A38, Raw_Data_Daily!$C:$C, $C$3),""))</f>
        <v/>
      </c>
      <c r="CP38" s="132" t="str">
        <f t="shared" si="31"/>
        <v/>
      </c>
      <c r="CQ38" s="137" t="str">
        <f>IF($A38="","",IFERROR(SUMPRODUCT((Raw_Data_Daily!$B$2:$B$9999="Control")*(Raw_Data_Daily!$A$2:$A$9999=$A38)*(Raw_Data_Daily!$C$2:$C$9999=$C$3)*Raw_Data_Daily!$D$2:$D$9999*Raw_Data_Daily!$AH$2:$AH$9999)/SUMIFS(Raw_Data_Daily!$D:$D, Raw_Data_Daily!$B:$B, "Control", Raw_Data_Daily!$A:$A, $A38, Raw_Data_Daily!$C:$C, $C$3),""))</f>
        <v/>
      </c>
      <c r="CR38" s="137" t="str">
        <f>IF($A38="","",IFERROR(SUMPRODUCT((Raw_Data_Daily!$B$2:$B$9999="Variant")*(Raw_Data_Daily!$A$2:$A$9999=$A38)*(Raw_Data_Daily!$C$2:$C$9999=$C$3)*Raw_Data_Daily!$D$2:$D$9999*Raw_Data_Daily!$AH$2:$AH$9999)/SUMIFS(Raw_Data_Daily!$D:$D, Raw_Data_Daily!$B:$B, "Variant", Raw_Data_Daily!$A:$A, $A38, Raw_Data_Daily!$C:$C, $C$3),""))</f>
        <v/>
      </c>
      <c r="CS38" s="132" t="str">
        <f t="shared" si="32"/>
        <v/>
      </c>
      <c r="CT38" s="130" t="str">
        <f>IF($A38="","",IFERROR(SUMPRODUCT((Raw_Data_Daily!$B$2:$B$9999="Control")*(Raw_Data_Daily!$A$2:$A$9999=$A38)*(Raw_Data_Daily!$C$2:$C$9999=$C$3)*Raw_Data_Daily!$D$2:$D$9999*Raw_Data_Daily!$AI$2:$AI$9999)/SUMIFS(Raw_Data_Daily!$D:$D, Raw_Data_Daily!$B:$B, "Control", Raw_Data_Daily!$A:$A, $A38, Raw_Data_Daily!$C:$C, $C$3),""))</f>
        <v/>
      </c>
      <c r="CU38" s="130" t="str">
        <f>IF($A38="","",IFERROR(SUMPRODUCT((Raw_Data_Daily!$B$2:$B$9999="Variant")*(Raw_Data_Daily!$A$2:$A$9999=$A38)*(Raw_Data_Daily!$C$2:$C$9999=$C$3)*Raw_Data_Daily!$D$2:$D$9999*Raw_Data_Daily!$AI$2:$AI$9999)/SUMIFS(Raw_Data_Daily!$D:$D, Raw_Data_Daily!$B:$B, "Variant", Raw_Data_Daily!$A:$A, $A38, Raw_Data_Daily!$C:$C, $C$3),""))</f>
        <v/>
      </c>
      <c r="CV38" s="140" t="str">
        <f t="shared" si="33"/>
        <v/>
      </c>
      <c r="CW38" s="130" t="str">
        <f>IF($A38="","",IFERROR(SUMPRODUCT((Raw_Data_Daily!$B$2:$B$9999="Control")*(Raw_Data_Daily!$A$2:$A$9999=$A38)*(Raw_Data_Daily!$C$2:$C$9999=$C$3)*Raw_Data_Daily!$D$2:$D$9999*Raw_Data_Daily!$AJ$2:$AJ$9999)/SUMIFS(Raw_Data_Daily!$D:$D, Raw_Data_Daily!$B:$B, "Control", Raw_Data_Daily!$A:$A, $A38, Raw_Data_Daily!$C:$C, $C$3),""))</f>
        <v/>
      </c>
      <c r="CX38" s="130" t="str">
        <f>IF($A38="","",IFERROR(SUMPRODUCT((Raw_Data_Daily!$B$2:$B$9999="Variant")*(Raw_Data_Daily!$A$2:$A$9999=$A38)*(Raw_Data_Daily!$C$2:$C$9999=$C$3)*Raw_Data_Daily!$D$2:$D$9999*Raw_Data_Daily!$AJ$2:$AJ$9999)/SUMIFS(Raw_Data_Daily!$D:$D, Raw_Data_Daily!$B:$B, "Variant", Raw_Data_Daily!$A:$A, $A38, Raw_Data_Daily!$C:$C, $C$3),""))</f>
        <v/>
      </c>
      <c r="CY38" s="140" t="str">
        <f t="shared" si="34"/>
        <v/>
      </c>
      <c r="CZ38" s="130" t="str">
        <f>IF($A38="","",IFERROR(SUMPRODUCT((Raw_Data_Daily!$B$2:$B$9999="Control")*(Raw_Data_Daily!$A$2:$A$9999=$A38)*(Raw_Data_Daily!$C$2:$C$9999=$C$3)*Raw_Data_Daily!$D$2:$D$9999*Raw_Data_Daily!$AK$2:$AK$9999)/SUMIFS(Raw_Data_Daily!$D:$D, Raw_Data_Daily!$B:$B, "Control", Raw_Data_Daily!$A:$A, $A38, Raw_Data_Daily!$C:$C, $C$3),""))</f>
        <v/>
      </c>
      <c r="DA38" s="130" t="str">
        <f>IF($A38="","",IFERROR(SUMPRODUCT((Raw_Data_Daily!$B$2:$B$9999="Variant")*(Raw_Data_Daily!$A$2:$A$9999=$A38)*(Raw_Data_Daily!$C$2:$C$9999=$C$3)*Raw_Data_Daily!$D$2:$D$9999*Raw_Data_Daily!$AK$2:$AK$9999)/SUMIFS(Raw_Data_Daily!$D:$D, Raw_Data_Daily!$B:$B, "Variant", Raw_Data_Daily!$A:$A, $A38, Raw_Data_Daily!$C:$C, $C$3),""))</f>
        <v/>
      </c>
      <c r="DB38" s="132" t="str">
        <f t="shared" si="35"/>
        <v/>
      </c>
      <c r="DC38" s="139" t="str">
        <f>IF($A38="","",IFERROR(SUMPRODUCT((Raw_Data_Daily!$B$2:$B$9999="Control")*(Raw_Data_Daily!$A$2:$A$9999=$A38)*(Raw_Data_Daily!$C$2:$C$9999=$C$3)*Raw_Data_Daily!$D$2:$D$9999*Raw_Data_Daily!$AL$2:$AL$9999)/SUMIFS(Raw_Data_Daily!$D:$D, Raw_Data_Daily!$B:$B, "Control", Raw_Data_Daily!$A:$A, $A38, Raw_Data_Daily!$C:$C, $C$3),""))</f>
        <v/>
      </c>
      <c r="DD38" s="139" t="str">
        <f>IF($A38="","",IFERROR(SUMPRODUCT((Raw_Data_Daily!$B$2:$B$9999="Variant")*(Raw_Data_Daily!$A$2:$A$9999=$A38)*(Raw_Data_Daily!$C$2:$C$9999=$C$3)*Raw_Data_Daily!$D$2:$D$9999*Raw_Data_Daily!$AL$2:$AL$9999)/SUMIFS(Raw_Data_Daily!$D:$D, Raw_Data_Daily!$B:$B, "Variant", Raw_Data_Daily!$A:$A, $A38, Raw_Data_Daily!$C:$C, $C$3),""))</f>
        <v/>
      </c>
      <c r="DE38" s="140" t="str">
        <f t="shared" si="36"/>
        <v/>
      </c>
      <c r="DF38" s="165"/>
      <c r="DG38" s="130" t="str">
        <f>IF($A38="","",IFERROR(SUMPRODUCT((Raw_Data_Daily!$B$2:$B$9999="Variant")*(Raw_Data_Daily!$A$2:$A$9999=$A38)*(Raw_Data_Daily!$C$2:$C$9999=$C$3)*Raw_Data_Daily!$D$2:$D$9999*Raw_Data_Daily!$AM$2:$AM$9999)/SUMIFS(Raw_Data_Daily!$D:$D, Raw_Data_Daily!$B:$B, "Variant", Raw_Data_Daily!$A:$A, $A38, Raw_Data_Daily!$C:$C, $C$3),""))</f>
        <v/>
      </c>
      <c r="DH38" s="166"/>
      <c r="DI38" s="165"/>
      <c r="DJ38" s="130" t="str">
        <f>IF($A38="","",IFERROR(SUMPRODUCT((Raw_Data_Daily!$B$2:$B$9999="Variant")*(Raw_Data_Daily!$A$2:$A$9999=$A38)*(Raw_Data_Daily!$C$2:$C$9999=$C$3)*Raw_Data_Daily!$D$2:$D$9999*Raw_Data_Daily!$AN$2:$AN$9999)/SUMIFS(Raw_Data_Daily!$D:$D, Raw_Data_Daily!$B:$B, "Variant", Raw_Data_Daily!$A:$A, $A38, Raw_Data_Daily!$C:$C, $C$3),""))</f>
        <v/>
      </c>
      <c r="DK38" s="166"/>
      <c r="DL38" s="165"/>
      <c r="DM38" s="130" t="str">
        <f>IF($A38="","",IFERROR(SUMPRODUCT((Raw_Data_Daily!$B$2:$B$9999="Variant")*(Raw_Data_Daily!$A$2:$A$9999=$A38)*(Raw_Data_Daily!$C$2:$C$9999=$C$3)*Raw_Data_Daily!$D$2:$D$9999*Raw_Data_Daily!$AO$2:$AO$9999)/SUMIFS(Raw_Data_Daily!$D:$D, Raw_Data_Daily!$B:$B, "Variant", Raw_Data_Daily!$A:$A, $A38, Raw_Data_Daily!$C:$C, $C$3),""))</f>
        <v/>
      </c>
      <c r="DN38" s="166"/>
      <c r="DO38" s="165"/>
      <c r="DP38" s="130" t="str">
        <f>IF($A38="","",IFERROR(SUMPRODUCT((Raw_Data_Daily!$B$2:$B$9999="Variant")*(Raw_Data_Daily!$A$2:$A$9999=$A38)*(Raw_Data_Daily!$C$2:$C$9999=$C$3)*Raw_Data_Daily!$D$2:$D$9999*Raw_Data_Daily!$AP$2:$AP$9999)/SUMIFS(Raw_Data_Daily!$D:$D, Raw_Data_Daily!$B:$B, "Variant", Raw_Data_Daily!$A:$A, $A38, Raw_Data_Daily!$C:$C, $C$3),""))</f>
        <v/>
      </c>
      <c r="DQ38" s="166"/>
      <c r="DR38" s="139" t="str">
        <f>IF($A38="","",IFERROR(SUMPRODUCT((Raw_Data_Daily!$B$2:$B$9999="Control")*(Raw_Data_Daily!$A$2:$A$9999=$A38)*(Raw_Data_Daily!$C$2:$C$9999=$C$3)*Raw_Data_Daily!$D$2:$D$9999*Raw_Data_Daily!$AQ$2:$AQ$9999)/SUMIFS(Raw_Data_Daily!$D:$D, Raw_Data_Daily!$B:$B, "Control", Raw_Data_Daily!$A:$A, $A38, Raw_Data_Daily!$C:$C, $C$3),""))</f>
        <v/>
      </c>
      <c r="DS38" s="139" t="str">
        <f>IF($A38="","",IFERROR(SUMPRODUCT((Raw_Data_Daily!$B$2:$B$9999="Variant")*(Raw_Data_Daily!$A$2:$A$9999=$A38)*(Raw_Data_Daily!$C$2:$C$9999=$C$3)*Raw_Data_Daily!$D$2:$D$9999*Raw_Data_Daily!$AQ$2:$AQ$9999)/SUMIFS(Raw_Data_Daily!$D:$D, Raw_Data_Daily!$B:$B, "Variant", Raw_Data_Daily!$A:$A, $A38, Raw_Data_Daily!$C:$C, $C$3),""))</f>
        <v/>
      </c>
      <c r="DT38" s="167" t="str">
        <f t="shared" si="37"/>
        <v/>
      </c>
      <c r="DU38" s="139" t="str">
        <f>IF($A38="","",IFERROR(SUMPRODUCT((Raw_Data_Daily!$B$2:$B$9999="Control")*(Raw_Data_Daily!$A$2:$A$9999=$A38)*(Raw_Data_Daily!$C$2:$C$9999=$C$3)*Raw_Data_Daily!$D$2:$D$9999*Raw_Data_Daily!$AR$2:$AR$9999)/SUMIFS(Raw_Data_Daily!$D:$D, Raw_Data_Daily!$B:$B, "Control", Raw_Data_Daily!$A:$A, $A38, Raw_Data_Daily!$C:$C, $C$3),""))</f>
        <v/>
      </c>
      <c r="DV38" s="139" t="str">
        <f>IF($A38="","",IFERROR(SUMPRODUCT((Raw_Data_Daily!$B$2:$B$9999="Variant")*(Raw_Data_Daily!$A$2:$A$9999=$A38)*(Raw_Data_Daily!$C$2:$C$9999=$C$3)*Raw_Data_Daily!$D$2:$D$9999*Raw_Data_Daily!$AR$2:$AR$9999)/SUMIFS(Raw_Data_Daily!$D:$D, Raw_Data_Daily!$B:$B, "Variant", Raw_Data_Daily!$A:$A, $A38, Raw_Data_Daily!$C:$C, $C$3),""))</f>
        <v/>
      </c>
      <c r="DW38" s="167" t="str">
        <f t="shared" si="38"/>
        <v/>
      </c>
      <c r="DX38" s="139" t="str">
        <f>IF($A38="","",IFERROR(SUMPRODUCT((Raw_Data_Daily!$B$2:$B$9999="Control")*(Raw_Data_Daily!$A$2:$A$9999=$A38)*(Raw_Data_Daily!$C$2:$C$9999=$C$3)*Raw_Data_Daily!$D$2:$D$9999*Raw_Data_Daily!$AS$2:$AS$9999)/SUMIFS(Raw_Data_Daily!$D:$D, Raw_Data_Daily!$B:$B, "Control", Raw_Data_Daily!$A:$A, $A38, Raw_Data_Daily!$C:$C, $C$3),""))</f>
        <v/>
      </c>
      <c r="DY38" s="139" t="str">
        <f>IF($A38="","",IFERROR(SUMPRODUCT((Raw_Data_Daily!$B$2:$B$9999="Variant")*(Raw_Data_Daily!$A$2:$A$9999=$A38)*(Raw_Data_Daily!$C$2:$C$9999=$C$3)*Raw_Data_Daily!$D$2:$D$9999*Raw_Data_Daily!$AS$2:$AS$9999)/SUMIFS(Raw_Data_Daily!$D:$D, Raw_Data_Daily!$B:$B, "Variant", Raw_Data_Daily!$A:$A, $A38, Raw_Data_Daily!$C:$C, $C$3),""))</f>
        <v/>
      </c>
      <c r="DZ38" s="168" t="str">
        <f t="shared" si="39"/>
        <v/>
      </c>
      <c r="EA38" s="139" t="str">
        <f>IF($A38="","",IFERROR(SUMPRODUCT((Raw_Data_Daily!$B$2:$B$9999="Control")*(Raw_Data_Daily!$A$2:$A$9999=$A38)*(Raw_Data_Daily!$C$2:$C$9999=$C$3)*Raw_Data_Daily!$D$2:$D$9999*Raw_Data_Daily!$AT$2:$AT$9999)/SUMIFS(Raw_Data_Daily!$D:$D, Raw_Data_Daily!$B:$B, "Control", Raw_Data_Daily!$A:$A, $A38, Raw_Data_Daily!$C:$C, $C$3),""))</f>
        <v/>
      </c>
      <c r="EB38" s="139" t="str">
        <f>IF($A38="","",IFERROR(SUMPRODUCT((Raw_Data_Daily!$B$2:$B$9999="Variant")*(Raw_Data_Daily!$A$2:$A$9999=$A38)*(Raw_Data_Daily!$C$2:$C$9999=$C$3)*Raw_Data_Daily!$D$2:$D$9999*Raw_Data_Daily!$AT$2:$AT$9999)/SUMIFS(Raw_Data_Daily!$D:$D, Raw_Data_Daily!$B:$B, "Variant", Raw_Data_Daily!$A:$A, $A38, Raw_Data_Daily!$C:$C, $C$3),""))</f>
        <v/>
      </c>
      <c r="EC38" s="167" t="str">
        <f t="shared" si="40"/>
        <v/>
      </c>
      <c r="ED38" s="139" t="str">
        <f>IF($A38="","",IFERROR(SUMPRODUCT((Raw_Data_Daily!$B$2:$B$9999="Control")*(Raw_Data_Daily!$A$2:$A$9999=$A38)*(Raw_Data_Daily!$C$2:$C$9999=$C$3)*Raw_Data_Daily!$D$2:$D$9999*(Raw_Data_Daily!$AQ$2:$AQ$9999-Raw_Data_Daily!$AT$2:$AT$9999))/SUMIFS(Raw_Data_Daily!$D:$D, Raw_Data_Daily!$B:$B, "Control", Raw_Data_Daily!$A:$A, $A38, Raw_Data_Daily!$C:$C, $C$3),""))</f>
        <v/>
      </c>
      <c r="EE38" s="139" t="str">
        <f>IF($A38="","",IFERROR(SUMPRODUCT((Raw_Data_Daily!$B$2:$B$9999="Variant")*(Raw_Data_Daily!$A$2:$A$9999=$A38)*(Raw_Data_Daily!$C$2:$C$9999=$C$3)*Raw_Data_Daily!$D$2:$D$9999*(Raw_Data_Daily!$AQ$2:$AQ$9999-Raw_Data_Daily!$AT$2:$AT$9999))/SUMIFS(Raw_Data_Daily!$D:$D, Raw_Data_Daily!$B:$B, "Variant", Raw_Data_Daily!$A:$A, $A38, Raw_Data_Daily!$C:$C, $C$3),""))</f>
        <v/>
      </c>
      <c r="EF38" s="168" t="str">
        <f t="shared" si="41"/>
        <v/>
      </c>
      <c r="EG38" s="139" t="str">
        <f>IF($A38="","",IFERROR(SUMPRODUCT((Raw_Data_Daily!$B$2:$B$9999="Control")*(Raw_Data_Daily!$A$2:$A$9999=$A38)*(Raw_Data_Daily!$C$2:$C$9999=$C$3)*Raw_Data_Daily!$D$2:$D$9999*Raw_Data_Daily!$AU$2:$AU$9999)/SUMIFS(Raw_Data_Daily!$D:$D, Raw_Data_Daily!$B:$B, "Control", Raw_Data_Daily!$A:$A, $A38, Raw_Data_Daily!$C:$C, $C$3),""))</f>
        <v/>
      </c>
      <c r="EH38" s="139" t="str">
        <f>IF($A38="","",IFERROR(SUMPRODUCT((Raw_Data_Daily!$B$2:$B$9999="Variant")*(Raw_Data_Daily!$A$2:$A$9999=$A38)*(Raw_Data_Daily!$C$2:$C$9999=$C$3)*Raw_Data_Daily!$D$2:$D$9999*Raw_Data_Daily!$AU$2:$AU$9999)/SUMIFS(Raw_Data_Daily!$D:$D, Raw_Data_Daily!$B:$B, "Variant", Raw_Data_Daily!$A:$A, $A38, Raw_Data_Daily!$C:$C, $C$3),""))</f>
        <v/>
      </c>
      <c r="EI38" s="167" t="str">
        <f t="shared" si="42"/>
        <v/>
      </c>
    </row>
    <row r="39" ht="15.75" customHeight="1">
      <c r="A39" s="239">
        <v>46262.0</v>
      </c>
      <c r="B39" s="240">
        <f>IF($A39="","",SUMIFS(Raw_Data_Daily!$D:$D, Raw_Data_Daily!$B:$B, "Control", Raw_Data_Daily!$A:$A, $A39, Raw_Data_Daily!$C:$C, $C$3))</f>
        <v>0</v>
      </c>
      <c r="C39" s="240">
        <f>IF($A39="","",SUMIFS(Raw_Data_Daily!$D:$D, Raw_Data_Daily!$B:$B, "Variant", Raw_Data_Daily!$A:$A, $A39, Raw_Data_Daily!$C:$C, $C$3))</f>
        <v>0</v>
      </c>
      <c r="D39" s="241" t="str">
        <f t="shared" si="1"/>
        <v/>
      </c>
      <c r="E39" s="242" t="str">
        <f>IF($A39="","",IFERROR(SUMPRODUCT((Raw_Data_Daily!$B$2:$B$9999="Control")*(Raw_Data_Daily!$A$2:$A$9999=$A39)*(Raw_Data_Daily!$C$2:$C$9999=$C$3)*Raw_Data_Daily!$D$2:$D$9999*Raw_Data_Daily!$E$2:$E$9999)/SUMIFS(Raw_Data_Daily!$D:$D, Raw_Data_Daily!$B:$B, "Control", Raw_Data_Daily!$A:$A, $A39, Raw_Data_Daily!$C:$C, $C$3),""))</f>
        <v/>
      </c>
      <c r="F39" s="242" t="str">
        <f>IF($A39="","",IFERROR(SUMPRODUCT((Raw_Data_Daily!$B$2:$B$9999="Variant")*(Raw_Data_Daily!$A$2:$A$9999=$A39)*(Raw_Data_Daily!$C$2:$C$9999=$C$3)*Raw_Data_Daily!$D$2:$D$9999*Raw_Data_Daily!$E$2:$E$9999)/SUMIFS(Raw_Data_Daily!$D:$D, Raw_Data_Daily!$B:$B, "Variant", Raw_Data_Daily!$A:$A, $A39, Raw_Data_Daily!$C:$C, $C$3),""))</f>
        <v/>
      </c>
      <c r="G39" s="241" t="str">
        <f t="shared" si="2"/>
        <v/>
      </c>
      <c r="H39" s="243">
        <f>IF($A39="","",SUMIFS(Raw_Data_Daily!$F:$F, Raw_Data_Daily!$B:$B, "Control", Raw_Data_Daily!$A:$A, $A39, Raw_Data_Daily!$C:$C, $C$3))</f>
        <v>0</v>
      </c>
      <c r="I39" s="243">
        <f>IF($A39="","",SUMIFS(Raw_Data_Daily!$F:$F, Raw_Data_Daily!$B:$B, "Variant", Raw_Data_Daily!$A:$A, $A39, Raw_Data_Daily!$C:$C, $C$3))</f>
        <v>0</v>
      </c>
      <c r="J39" s="244" t="str">
        <f t="shared" si="3"/>
        <v/>
      </c>
      <c r="K39" s="245" t="str">
        <f>IF($A39="","",IFERROR(SUMIFS(Raw_Data_Daily!$F:$F, Raw_Data_Daily!$B:$B, "Control", Raw_Data_Daily!$A:$A, $A39, Raw_Data_Daily!$C:$C, $C$3)/SUMIFS(Raw_Data_Daily!$D:$D, Raw_Data_Daily!$B:$B, "Control", Raw_Data_Daily!$A:$A, $A39, Raw_Data_Daily!$C:$C, $C$3),""))</f>
        <v/>
      </c>
      <c r="L39" s="245" t="str">
        <f>IF($A39="","",IFERROR(SUMIFS(Raw_Data_Daily!$F:$F, Raw_Data_Daily!$B:$B, "Variant", Raw_Data_Daily!$A:$A, $A39, Raw_Data_Daily!$C:$C, $C$3)/SUMIFS(Raw_Data_Daily!$D:$D, Raw_Data_Daily!$B:$B, "Variant", Raw_Data_Daily!$A:$A, $A39, Raw_Data_Daily!$C:$C, $C$3),""))</f>
        <v/>
      </c>
      <c r="M39" s="244" t="str">
        <f t="shared" si="4"/>
        <v/>
      </c>
      <c r="N39" s="242" t="str">
        <f>IF($A39="","",IFERROR(SUMPRODUCT((Raw_Data_Daily!$B$2:$B$9999="Control")*(Raw_Data_Daily!$A$2:$A$9999=$A39)*(Raw_Data_Daily!$C$2:$C$9999=$C$3)*Raw_Data_Daily!$D$2:$D$9999*Raw_Data_Daily!$H$2:$H$9999/100)/SUMIFS(Raw_Data_Daily!$D:$D, Raw_Data_Daily!$B:$B, "Control", Raw_Data_Daily!$A:$A, $A39, Raw_Data_Daily!$C:$C, $C$3)*100,""))</f>
        <v/>
      </c>
      <c r="O39" s="242" t="str">
        <f>IF($A39="","",IFERROR(SUMPRODUCT((Raw_Data_Daily!$B$2:$B$9999="Variant")*(Raw_Data_Daily!$A$2:$A$9999=$A39)*(Raw_Data_Daily!$C$2:$C$9999=$C$3)*Raw_Data_Daily!$D$2:$D$9999*Raw_Data_Daily!$H$2:$H$9999/100)/SUMIFS(Raw_Data_Daily!$D:$D, Raw_Data_Daily!$B:$B, "Variant", Raw_Data_Daily!$A:$A, $A39, Raw_Data_Daily!$C:$C, $C$3)*100,""))</f>
        <v/>
      </c>
      <c r="P39" s="244" t="str">
        <f t="shared" si="5"/>
        <v/>
      </c>
      <c r="Q39" s="245" t="str">
        <f>IF($A39="","",IFERROR(SUMIFS(Raw_Data_Daily!$F:$F, Raw_Data_Daily!$B:$B, "Control", Raw_Data_Daily!$A:$A, $A39, Raw_Data_Daily!$C:$C, $C$3)/SUMPRODUCT((Raw_Data_Daily!$B$2:$B$9999="Control")*(Raw_Data_Daily!$A$2:$A$9999=$A39)*(Raw_Data_Daily!$C$2:$C$9999=$C$3)*Raw_Data_Daily!$D$2:$D$9999*Raw_Data_Daily!$H$2:$H$9999/100),""))</f>
        <v/>
      </c>
      <c r="R39" s="245" t="str">
        <f>IF($A39="","",IFERROR(SUMIFS(Raw_Data_Daily!$F:$F, Raw_Data_Daily!$B:$B, "Variant", Raw_Data_Daily!$A:$A, $A39, Raw_Data_Daily!$C:$C, $C$3)/SUMPRODUCT((Raw_Data_Daily!$B$2:$B$9999="Variant")*(Raw_Data_Daily!$A$2:$A$9999=$A39)*(Raw_Data_Daily!$C$2:$C$9999=$C$3)*Raw_Data_Daily!$D$2:$D$9999*Raw_Data_Daily!$H$2:$H$9999/100),""))</f>
        <v/>
      </c>
      <c r="S39" s="244" t="str">
        <f t="shared" si="6"/>
        <v/>
      </c>
      <c r="T39" s="246" t="str">
        <f>IF($A39="","",IFERROR(SUMPRODUCT((Raw_Data_Daily!$B$2:$B$9999="Control")*(Raw_Data_Daily!$A$2:$A$9999=$A39)*(Raw_Data_Daily!$C$2:$C$9999=$C$3)*Raw_Data_Daily!$D$2:$D$9999*Raw_Data_Daily!$J$2:$J$9999)/SUMIFS(Raw_Data_Daily!$D:$D, Raw_Data_Daily!$B:$B, "Control", Raw_Data_Daily!$A:$A, $A39, Raw_Data_Daily!$C:$C, $C$3),""))</f>
        <v/>
      </c>
      <c r="U39" s="246" t="str">
        <f>IF($A39="","",IFERROR(SUMPRODUCT((Raw_Data_Daily!$B$2:$B$9999="Variant")*(Raw_Data_Daily!$A$2:$A$9999=$A39)*(Raw_Data_Daily!$C$2:$C$9999=$C$3)*Raw_Data_Daily!$D$2:$D$9999*Raw_Data_Daily!$J$2:$J$9999)/SUMIFS(Raw_Data_Daily!$D:$D, Raw_Data_Daily!$B:$B, "Variant", Raw_Data_Daily!$A:$A, $A39, Raw_Data_Daily!$C:$C, $C$3),""))</f>
        <v/>
      </c>
      <c r="V39" s="244" t="str">
        <f t="shared" si="7"/>
        <v/>
      </c>
      <c r="W39" s="246" t="str">
        <f>IF($A39="","",IFERROR(SUMPRODUCT((Raw_Data_Daily!$B$2:$B$9999="Control")*(Raw_Data_Daily!$A$2:$A$9999=$A39)*(Raw_Data_Daily!$C$2:$C$9999=$C$3)*Raw_Data_Daily!$D$2:$D$9999*Raw_Data_Daily!$K$2:$K$9999)/SUMIFS(Raw_Data_Daily!$D:$D, Raw_Data_Daily!$B:$B, "Control", Raw_Data_Daily!$A:$A, $A39, Raw_Data_Daily!$C:$C, $C$3),""))</f>
        <v/>
      </c>
      <c r="X39" s="246" t="str">
        <f>IF($A39="","",IFERROR(SUMPRODUCT((Raw_Data_Daily!$B$2:$B$9999="Variant")*(Raw_Data_Daily!$A$2:$A$9999=$A39)*(Raw_Data_Daily!$C$2:$C$9999=$C$3)*Raw_Data_Daily!$D$2:$D$9999*Raw_Data_Daily!$K$2:$K$9999)/SUMIFS(Raw_Data_Daily!$D:$D, Raw_Data_Daily!$B:$B, "Variant", Raw_Data_Daily!$A:$A, $A39, Raw_Data_Daily!$C:$C, $C$3),""))</f>
        <v/>
      </c>
      <c r="Y39" s="244" t="str">
        <f t="shared" si="8"/>
        <v/>
      </c>
      <c r="Z39" s="246" t="str">
        <f>IF($A39="","",IFERROR(SUMPRODUCT((Raw_Data_Daily!$B$2:$B$9999="Control")*(Raw_Data_Daily!$A$2:$A$9999=$A39)*(Raw_Data_Daily!$C$2:$C$9999=$C$3)*Raw_Data_Daily!$D$2:$D$9999*Raw_Data_Daily!$L$2:$L$9999)/SUMIFS(Raw_Data_Daily!$D:$D, Raw_Data_Daily!$B:$B, "Control", Raw_Data_Daily!$A:$A, $A39, Raw_Data_Daily!$C:$C, $C$3),""))</f>
        <v/>
      </c>
      <c r="AA39" s="246" t="str">
        <f>IF($A39="","",IFERROR(SUMPRODUCT((Raw_Data_Daily!$B$2:$B$9999="Variant")*(Raw_Data_Daily!$A$2:$A$9999=$A39)*(Raw_Data_Daily!$C$2:$C$9999=$C$3)*Raw_Data_Daily!$D$2:$D$9999*Raw_Data_Daily!$L$2:$L$9999)/SUMIFS(Raw_Data_Daily!$D:$D, Raw_Data_Daily!$B:$B, "Variant", Raw_Data_Daily!$A:$A, $A39, Raw_Data_Daily!$C:$C, $C$3),""))</f>
        <v/>
      </c>
      <c r="AB39" s="244" t="str">
        <f t="shared" si="9"/>
        <v/>
      </c>
      <c r="AC39" s="248" t="str">
        <f>IF($A39="","",IFERROR(SUMPRODUCT((Raw_Data_Daily!$B$2:$B$9999="Control")*(Raw_Data_Daily!$A$2:$A$9999=$A39)*(Raw_Data_Daily!$C$2:$C$9999=$C$3)*Raw_Data_Daily!$D$2:$D$9999*Raw_Data_Daily!$M$2:$M$9999)/SUMIFS(Raw_Data_Daily!$D:$D, Raw_Data_Daily!$B:$B, "Control", Raw_Data_Daily!$A:$A, $A39, Raw_Data_Daily!$C:$C, $C$3),""))</f>
        <v/>
      </c>
      <c r="AD39" s="248" t="str">
        <f>IF($A39="","",IFERROR(SUMPRODUCT((Raw_Data_Daily!$B$2:$B$9999="Variant")*(Raw_Data_Daily!$A$2:$A$9999=$A39)*(Raw_Data_Daily!$C$2:$C$9999=$C$3)*Raw_Data_Daily!$D$2:$D$9999*Raw_Data_Daily!$M$2:$M$9999)/SUMIFS(Raw_Data_Daily!$D:$D, Raw_Data_Daily!$B:$B, "Variant", Raw_Data_Daily!$A:$A, $A39, Raw_Data_Daily!$C:$C, $C$3),""))</f>
        <v/>
      </c>
      <c r="AE39" s="249" t="str">
        <f t="shared" si="10"/>
        <v/>
      </c>
      <c r="AF39" s="248" t="str">
        <f>IF($A39="","",IFERROR(SUMPRODUCT((Raw_Data_Daily!$B$2:$B$9999="Control")*(Raw_Data_Daily!$A$2:$A$9999=$A39)*(Raw_Data_Daily!$C$2:$C$9999=$C$3)*Raw_Data_Daily!$D$2:$D$9999*Raw_Data_Daily!$N$2:$N$9999)/SUMIFS(Raw_Data_Daily!$D:$D, Raw_Data_Daily!$B:$B, "Control", Raw_Data_Daily!$A:$A, $A39, Raw_Data_Daily!$C:$C, $C$3),""))</f>
        <v/>
      </c>
      <c r="AG39" s="248" t="str">
        <f>IF($A39="","",IFERROR(SUMPRODUCT((Raw_Data_Daily!$B$2:$B$9999="Variant")*(Raw_Data_Daily!$A$2:$A$9999=$A39)*(Raw_Data_Daily!$C$2:$C$9999=$C$3)*Raw_Data_Daily!$D$2:$D$9999*Raw_Data_Daily!$N$2:$N$9999)/SUMIFS(Raw_Data_Daily!$D:$D, Raw_Data_Daily!$B:$B, "Variant", Raw_Data_Daily!$A:$A, $A39, Raw_Data_Daily!$C:$C, $C$3),""))</f>
        <v/>
      </c>
      <c r="AH39" s="249" t="str">
        <f t="shared" si="11"/>
        <v/>
      </c>
      <c r="AI39" s="248" t="str">
        <f>IF($A39="","",IFERROR(SUMPRODUCT((Raw_Data_Daily!$B$2:$B$9999="Control")*(Raw_Data_Daily!$A$2:$A$9999=$A39)*(Raw_Data_Daily!$C$2:$C$9999=$C$3)*Raw_Data_Daily!$D$2:$D$9999*Raw_Data_Daily!$O$2:$O$9999)/SUMIFS(Raw_Data_Daily!$D:$D, Raw_Data_Daily!$B:$B, "Control", Raw_Data_Daily!$A:$A, $A39, Raw_Data_Daily!$C:$C, $C$3),""))</f>
        <v/>
      </c>
      <c r="AJ39" s="248" t="str">
        <f>IF($A39="","",IFERROR(SUMPRODUCT((Raw_Data_Daily!$B$2:$B$9999="Variant")*(Raw_Data_Daily!$A$2:$A$9999=$A39)*(Raw_Data_Daily!$C$2:$C$9999=$C$3)*Raw_Data_Daily!$D$2:$D$9999*Raw_Data_Daily!$O$2:$O$9999)/SUMIFS(Raw_Data_Daily!$D:$D, Raw_Data_Daily!$B:$B, "Variant", Raw_Data_Daily!$A:$A, $A39, Raw_Data_Daily!$C:$C, $C$3),""))</f>
        <v/>
      </c>
      <c r="AK39" s="244" t="str">
        <f t="shared" si="12"/>
        <v/>
      </c>
      <c r="AL39" s="246" t="str">
        <f>IF($A39="","",IFERROR(SUMPRODUCT((Raw_Data_Daily!$B$2:$B$9999="Control")*(Raw_Data_Daily!$A$2:$A$9999=$A39)*(Raw_Data_Daily!$C$2:$C$9999=$C$3)*Raw_Data_Daily!$D$2:$D$9999*Raw_Data_Daily!$P$2:$P$9999)/SUMIFS(Raw_Data_Daily!$D:$D, Raw_Data_Daily!$B:$B, "Control", Raw_Data_Daily!$A:$A, $A39, Raw_Data_Daily!$C:$C, $C$3),""))</f>
        <v/>
      </c>
      <c r="AM39" s="246" t="str">
        <f>IF($A39="","",IFERROR(SUMPRODUCT((Raw_Data_Daily!$B$2:$B$9999="Variant")*(Raw_Data_Daily!$A$2:$A$9999=$A39)*(Raw_Data_Daily!$C$2:$C$9999=$C$3)*Raw_Data_Daily!$D$2:$D$9999*Raw_Data_Daily!$P$2:$P$9999)/SUMIFS(Raw_Data_Daily!$D:$D, Raw_Data_Daily!$B:$B, "Variant", Raw_Data_Daily!$A:$A, $A39, Raw_Data_Daily!$C:$C, $C$3),""))</f>
        <v/>
      </c>
      <c r="AN39" s="244" t="str">
        <f t="shared" si="13"/>
        <v/>
      </c>
      <c r="AO39" s="246" t="str">
        <f>IF($A39="","",IFERROR(SUMPRODUCT((Raw_Data_Daily!$B$2:$B$9999="Control")*(Raw_Data_Daily!$A$2:$A$9999=$A39)*(Raw_Data_Daily!$C$2:$C$9999=$C$3)*Raw_Data_Daily!$D$2:$D$9999*Raw_Data_Daily!$Q$2:$Q$9999)/SUMIFS(Raw_Data_Daily!$D:$D, Raw_Data_Daily!$B:$B, "Control", Raw_Data_Daily!$A:$A, $A39, Raw_Data_Daily!$C:$C, $C$3),""))</f>
        <v/>
      </c>
      <c r="AP39" s="246" t="str">
        <f>IF($A39="","",IFERROR(SUMPRODUCT((Raw_Data_Daily!$B$2:$B$9999="Variant")*(Raw_Data_Daily!$A$2:$A$9999=$A39)*(Raw_Data_Daily!$C$2:$C$9999=$C$3)*Raw_Data_Daily!$D$2:$D$9999*Raw_Data_Daily!$Q$2:$Q$9999)/SUMIFS(Raw_Data_Daily!$D:$D, Raw_Data_Daily!$B:$B, "Variant", Raw_Data_Daily!$A:$A, $A39, Raw_Data_Daily!$C:$C, $C$3),""))</f>
        <v/>
      </c>
      <c r="AQ39" s="241" t="str">
        <f t="shared" si="14"/>
        <v/>
      </c>
      <c r="AR39" s="246" t="str">
        <f>IF($A39="","",IFERROR(SUMPRODUCT((Raw_Data_Daily!$B$2:$B$9999="Control")*(Raw_Data_Daily!$A$2:$A$9999=$A39)*(Raw_Data_Daily!$C$2:$C$9999=$C$3)*Raw_Data_Daily!$D$2:$D$9999*Raw_Data_Daily!$R$2:$R$9999)/SUMIFS(Raw_Data_Daily!$D:$D, Raw_Data_Daily!$B:$B, "Control", Raw_Data_Daily!$A:$A, $A39, Raw_Data_Daily!$C:$C, $C$3),""))</f>
        <v/>
      </c>
      <c r="AS39" s="246" t="str">
        <f>IF($A39="","",IFERROR(SUMPRODUCT((Raw_Data_Daily!$B$2:$B$9999="Variant")*(Raw_Data_Daily!$A$2:$A$9999=$A39)*(Raw_Data_Daily!$C$2:$C$9999=$C$3)*Raw_Data_Daily!$D$2:$D$9999*Raw_Data_Daily!$R$2:$R$9999)/SUMIFS(Raw_Data_Daily!$D:$D, Raw_Data_Daily!$B:$B, "Variant", Raw_Data_Daily!$A:$A, $A39, Raw_Data_Daily!$C:$C, $C$3),""))</f>
        <v/>
      </c>
      <c r="AT39" s="241" t="str">
        <f t="shared" si="15"/>
        <v/>
      </c>
      <c r="AU39" s="246" t="str">
        <f>IF($A39="","",IFERROR(SUMPRODUCT((Raw_Data_Daily!$B$2:$B$9999="Control")*(Raw_Data_Daily!$A$2:$A$9999=$A39)*(Raw_Data_Daily!$C$2:$C$9999=$C$3)*Raw_Data_Daily!$D$2:$D$9999*Raw_Data_Daily!$S$2:$S$9999)/SUMIFS(Raw_Data_Daily!$D:$D, Raw_Data_Daily!$B:$B, "Control", Raw_Data_Daily!$A:$A, $A39, Raw_Data_Daily!$C:$C, $C$3),""))</f>
        <v/>
      </c>
      <c r="AV39" s="246" t="str">
        <f>IF($A39="","",IFERROR(SUMPRODUCT((Raw_Data_Daily!$B$2:$B$9999="Variant")*(Raw_Data_Daily!$A$2:$A$9999=$A39)*(Raw_Data_Daily!$C$2:$C$9999=$C$3)*Raw_Data_Daily!$D$2:$D$9999*Raw_Data_Daily!$S$2:$S$9999)/SUMIFS(Raw_Data_Daily!$D:$D, Raw_Data_Daily!$B:$B, "Variant", Raw_Data_Daily!$A:$A, $A39, Raw_Data_Daily!$C:$C, $C$3),""))</f>
        <v/>
      </c>
      <c r="AW39" s="241" t="str">
        <f t="shared" si="16"/>
        <v/>
      </c>
      <c r="AX39" s="246" t="str">
        <f>IF($A39="","",IFERROR(SUMPRODUCT((Raw_Data_Daily!$B$2:$B$9999="Control")*(Raw_Data_Daily!$A$2:$A$9999=$A39)*(Raw_Data_Daily!$C$2:$C$9999=$C$3)*Raw_Data_Daily!$D$2:$D$9999*Raw_Data_Daily!$T$2:$T$9999)/SUMIFS(Raw_Data_Daily!$D:$D, Raw_Data_Daily!$B:$B, "Control", Raw_Data_Daily!$A:$A, $A39, Raw_Data_Daily!$C:$C, $C$3),""))</f>
        <v/>
      </c>
      <c r="AY39" s="246" t="str">
        <f>IF($A39="","",IFERROR(SUMPRODUCT((Raw_Data_Daily!$B$2:$B$9999="Variant")*(Raw_Data_Daily!$A$2:$A$9999=$A39)*(Raw_Data_Daily!$C$2:$C$9999=$C$3)*Raw_Data_Daily!$D$2:$D$9999*Raw_Data_Daily!$T$2:$T$9999)/SUMIFS(Raw_Data_Daily!$D:$D, Raw_Data_Daily!$B:$B, "Variant", Raw_Data_Daily!$A:$A, $A39, Raw_Data_Daily!$C:$C, $C$3),""))</f>
        <v/>
      </c>
      <c r="AZ39" s="244" t="str">
        <f t="shared" si="17"/>
        <v/>
      </c>
      <c r="BA39" s="246" t="str">
        <f>IF($A39="","",IFERROR(SUMPRODUCT((Raw_Data_Daily!$B$2:$B$9999="Control")*(Raw_Data_Daily!$A$2:$A$9999=$A39)*(Raw_Data_Daily!$C$2:$C$9999=$C$3)*Raw_Data_Daily!$D$2:$D$9999*Raw_Data_Daily!$U$2:$U$9999)/SUMIFS(Raw_Data_Daily!$D:$D, Raw_Data_Daily!$B:$B, "Control", Raw_Data_Daily!$A:$A, $A39, Raw_Data_Daily!$C:$C, $C$3),""))</f>
        <v/>
      </c>
      <c r="BB39" s="246" t="str">
        <f>IF($A39="","",IFERROR(SUMPRODUCT((Raw_Data_Daily!$B$2:$B$9999="Variant")*(Raw_Data_Daily!$A$2:$A$9999=$A39)*(Raw_Data_Daily!$C$2:$C$9999=$C$3)*Raw_Data_Daily!$D$2:$D$9999*Raw_Data_Daily!$U$2:$U$9999)/SUMIFS(Raw_Data_Daily!$D:$D, Raw_Data_Daily!$B:$B, "Variant", Raw_Data_Daily!$A:$A, $A39, Raw_Data_Daily!$C:$C, $C$3),""))</f>
        <v/>
      </c>
      <c r="BC39" s="241" t="str">
        <f t="shared" si="18"/>
        <v/>
      </c>
      <c r="BD39" s="246" t="str">
        <f>IF($A39="","",IFERROR(SUMPRODUCT((Raw_Data_Daily!$B$2:$B$9999="Control")*(Raw_Data_Daily!$A$2:$A$9999=$A39)*(Raw_Data_Daily!$C$2:$C$9999=$C$3)*Raw_Data_Daily!$D$2:$D$9999*Raw_Data_Daily!$V$2:$V$9999)/SUMIFS(Raw_Data_Daily!$D:$D, Raw_Data_Daily!$B:$B, "Control", Raw_Data_Daily!$A:$A, $A39, Raw_Data_Daily!$C:$C, $C$3),""))</f>
        <v/>
      </c>
      <c r="BE39" s="246" t="str">
        <f>IF($A39="","",IFERROR(SUMPRODUCT((Raw_Data_Daily!$B$2:$B$9999="Variant")*(Raw_Data_Daily!$A$2:$A$9999=$A39)*(Raw_Data_Daily!$C$2:$C$9999=$C$3)*Raw_Data_Daily!$D$2:$D$9999*Raw_Data_Daily!$V$2:$V$9999)/SUMIFS(Raw_Data_Daily!$D:$D, Raw_Data_Daily!$B:$B, "Variant", Raw_Data_Daily!$A:$A, $A39, Raw_Data_Daily!$C:$C, $C$3),""))</f>
        <v/>
      </c>
      <c r="BF39" s="251" t="str">
        <f t="shared" si="19"/>
        <v/>
      </c>
      <c r="BG39" s="252" t="str">
        <f>IF($A39="","",IFERROR(SUMPRODUCT((Raw_Data_Daily!$B$2:$B$9999="Control")*(Raw_Data_Daily!$A$2:$A$9999=$A39)*(Raw_Data_Daily!$C$2:$C$9999=$C$3)*Raw_Data_Daily!$D$2:$D$9999*(Raw_Data_Daily!$Q$2:$Q$9999-Raw_Data_Daily!$V$2:$V$9999))/SUMIFS(Raw_Data_Daily!$D:$D, Raw_Data_Daily!$B:$B, "Control", Raw_Data_Daily!$A:$A, $A39, Raw_Data_Daily!$C:$C, $C$3),""))</f>
        <v/>
      </c>
      <c r="BH39" s="246" t="str">
        <f>IF($A39="","",IFERROR(SUMPRODUCT((Raw_Data_Daily!$B$2:$B$9999="Variant")*(Raw_Data_Daily!$A$2:$A$9999=$A39)*(Raw_Data_Daily!$C$2:$C$9999=$C$3)*Raw_Data_Daily!$D$2:$D$9999*(Raw_Data_Daily!$Q$2:$Q$9999-Raw_Data_Daily!$V$2:$V$9999))/SUMIFS(Raw_Data_Daily!$D:$D, Raw_Data_Daily!$B:$B, "Variant", Raw_Data_Daily!$A:$A, $A39, Raw_Data_Daily!$C:$C, $C$3),""))</f>
        <v/>
      </c>
      <c r="BI39" s="253" t="str">
        <f t="shared" si="20"/>
        <v/>
      </c>
      <c r="BJ39" s="254" t="str">
        <f>IF($A39="","",IFERROR(SUMPRODUCT((Raw_Data_Daily!$B$2:$B$9999="Control")*(Raw_Data_Daily!$A$2:$A$9999=$A39)*(Raw_Data_Daily!$C$2:$C$9999=$C$3)*Raw_Data_Daily!$D$2:$D$9999*Raw_Data_Daily!$W$2:$W$9999)/SUMIFS(Raw_Data_Daily!$D:$D, Raw_Data_Daily!$B:$B, "Control", Raw_Data_Daily!$A:$A, $A39, Raw_Data_Daily!$C:$C, $C$3),""))</f>
        <v/>
      </c>
      <c r="BK39" s="246" t="str">
        <f>IF($A39="","",IFERROR(SUMPRODUCT((Raw_Data_Daily!$B$2:$B$9999="Variant")*(Raw_Data_Daily!$A$2:$A$9999=$A39)*(Raw_Data_Daily!$C$2:$C$9999=$C$3)*Raw_Data_Daily!$D$2:$D$9999*Raw_Data_Daily!$W$2:$W$9999)/SUMIFS(Raw_Data_Daily!$D:$D, Raw_Data_Daily!$B:$B, "Variant", Raw_Data_Daily!$A:$A, $A39, Raw_Data_Daily!$C:$C, $C$3),""))</f>
        <v/>
      </c>
      <c r="BL39" s="241" t="str">
        <f t="shared" si="21"/>
        <v/>
      </c>
      <c r="BM39" s="248" t="str">
        <f>IF($A39="","",IFERROR(SUMPRODUCT((Raw_Data_Daily!$B$2:$B$9999="Control")*(Raw_Data_Daily!$A$2:$A$9999=$A39)*(Raw_Data_Daily!$C$2:$C$9999=$C$3)*Raw_Data_Daily!$D$2:$D$9999*Raw_Data_Daily!$X$2:$X$9999)/SUMIFS(Raw_Data_Daily!$D:$D, Raw_Data_Daily!$B:$B, "Control", Raw_Data_Daily!$A:$A, $A39, Raw_Data_Daily!$C:$C, $C$3),""))</f>
        <v/>
      </c>
      <c r="BN39" s="248" t="str">
        <f>IF($A39="","",IFERROR(SUMPRODUCT((Raw_Data_Daily!$B$2:$B$9999="Variant")*(Raw_Data_Daily!$A$2:$A$9999=$A39)*(Raw_Data_Daily!$C$2:$C$9999=$C$3)*Raw_Data_Daily!$D$2:$D$9999*Raw_Data_Daily!$X$2:$X$9999)/SUMIFS(Raw_Data_Daily!$D:$D, Raw_Data_Daily!$B:$B, "Variant", Raw_Data_Daily!$A:$A, $A39, Raw_Data_Daily!$C:$C, $C$3),""))</f>
        <v/>
      </c>
      <c r="BO39" s="244" t="str">
        <f t="shared" si="22"/>
        <v/>
      </c>
      <c r="BP39" s="240" t="str">
        <f>IF($A39="","",IFERROR(SUMPRODUCT((Raw_Data_Daily!$B$2:$B$9999="Control")*(Raw_Data_Daily!$A$2:$A$9999=$A39)*(Raw_Data_Daily!$C$2:$C$9999=$C$3)*Raw_Data_Daily!$D$2:$D$9999*Raw_Data_Daily!$Y$2:$Y$9999)/SUMIFS(Raw_Data_Daily!$D:$D, Raw_Data_Daily!$B:$B, "Control", Raw_Data_Daily!$A:$A, $A39, Raw_Data_Daily!$C:$C, $C$3),""))</f>
        <v/>
      </c>
      <c r="BQ39" s="240" t="str">
        <f>IF($A39="","",IFERROR(SUMPRODUCT((Raw_Data_Daily!$B$2:$B$9999="Variant")*(Raw_Data_Daily!$A$2:$A$9999=$A39)*(Raw_Data_Daily!$C$2:$C$9999=$C$3)*Raw_Data_Daily!$D$2:$D$9999*Raw_Data_Daily!$Y$2:$Y$9999)/SUMIFS(Raw_Data_Daily!$D:$D, Raw_Data_Daily!$B:$B, "Variant", Raw_Data_Daily!$A:$A, $A39, Raw_Data_Daily!$C:$C, $C$3),""))</f>
        <v/>
      </c>
      <c r="BR39" s="241" t="str">
        <f t="shared" si="23"/>
        <v/>
      </c>
      <c r="BS39" s="240" t="str">
        <f>IF($A39="","",IFERROR(SUMPRODUCT((Raw_Data_Daily!$B$2:$B$9999="Control")*(Raw_Data_Daily!$A$2:$A$9999=$A39)*(Raw_Data_Daily!$C$2:$C$9999=$C$3)*Raw_Data_Daily!$D$2:$D$9999*Raw_Data_Daily!$Z$2:$Z$9999)/SUMIFS(Raw_Data_Daily!$D:$D, Raw_Data_Daily!$B:$B, "Control", Raw_Data_Daily!$A:$A, $A39, Raw_Data_Daily!$C:$C, $C$3),""))</f>
        <v/>
      </c>
      <c r="BT39" s="240" t="str">
        <f>IF($A39="","",IFERROR(SUMPRODUCT((Raw_Data_Daily!$B$2:$B$9999="Variant")*(Raw_Data_Daily!$A$2:$A$9999=$A39)*(Raw_Data_Daily!$C$2:$C$9999=$C$3)*Raw_Data_Daily!$D$2:$D$9999*Raw_Data_Daily!$Z$2:$Z$9999)/SUMIFS(Raw_Data_Daily!$D:$D, Raw_Data_Daily!$B:$B, "Variant", Raw_Data_Daily!$A:$A, $A39, Raw_Data_Daily!$C:$C, $C$3),""))</f>
        <v/>
      </c>
      <c r="BU39" s="241" t="str">
        <f t="shared" si="24"/>
        <v/>
      </c>
      <c r="BV39" s="240" t="str">
        <f>IF($A39="","",IFERROR(SUMPRODUCT((Raw_Data_Daily!$B$2:$B$9999="Control")*(Raw_Data_Daily!$A$2:$A$9999=$A39)*(Raw_Data_Daily!$C$2:$C$9999=$C$3)*Raw_Data_Daily!$D$2:$D$9999*Raw_Data_Daily!$AA$2:$AA$9999)/SUMIFS(Raw_Data_Daily!$D:$D, Raw_Data_Daily!$B:$B, "Control", Raw_Data_Daily!$A:$A, $A39, Raw_Data_Daily!$C:$C, $C$3),""))</f>
        <v/>
      </c>
      <c r="BW39" s="240" t="str">
        <f>IF($A39="","",IFERROR(SUMPRODUCT((Raw_Data_Daily!$B$2:$B$9999="Variant")*(Raw_Data_Daily!$A$2:$A$9999=$A39)*(Raw_Data_Daily!$C$2:$C$9999=$C$3)*Raw_Data_Daily!$D$2:$D$9999*Raw_Data_Daily!$AA$2:$AA$9999)/SUMIFS(Raw_Data_Daily!$D:$D, Raw_Data_Daily!$B:$B, "Variant", Raw_Data_Daily!$A:$A, $A39, Raw_Data_Daily!$C:$C, $C$3),""))</f>
        <v/>
      </c>
      <c r="BX39" s="241" t="str">
        <f t="shared" si="25"/>
        <v/>
      </c>
      <c r="BY39" s="246" t="str">
        <f>IF($A39="","",IFERROR(SUMPRODUCT((Raw_Data_Daily!$B$2:$B$9999="Control")*(Raw_Data_Daily!$A$2:$A$9999=$A39)*(Raw_Data_Daily!$C$2:$C$9999=$C$3)*Raw_Data_Daily!$D$2:$D$9999*Raw_Data_Daily!$AB$2:$AB$9999)/SUMIFS(Raw_Data_Daily!$D:$D, Raw_Data_Daily!$B:$B, "Control", Raw_Data_Daily!$A:$A, $A39, Raw_Data_Daily!$C:$C, $C$3),""))</f>
        <v/>
      </c>
      <c r="BZ39" s="246" t="str">
        <f>IF($A39="","",IFERROR(SUMPRODUCT((Raw_Data_Daily!$B$2:$B$9999="Variant")*(Raw_Data_Daily!$A$2:$A$9999=$A39)*(Raw_Data_Daily!$C$2:$C$9999=$C$3)*Raw_Data_Daily!$D$2:$D$9999*Raw_Data_Daily!$AB$2:$AB$9999)/SUMIFS(Raw_Data_Daily!$D:$D, Raw_Data_Daily!$B:$B, "Variant", Raw_Data_Daily!$A:$A, $A39, Raw_Data_Daily!$C:$C, $C$3),""))</f>
        <v/>
      </c>
      <c r="CA39" s="244" t="str">
        <f t="shared" si="26"/>
        <v/>
      </c>
      <c r="CB39" s="246" t="str">
        <f>IF($A39="","",IFERROR(SUMPRODUCT((Raw_Data_Daily!$B$2:$B$9999="Control")*(Raw_Data_Daily!$A$2:$A$9999=$A39)*(Raw_Data_Daily!$C$2:$C$9999=$C$3)*Raw_Data_Daily!$D$2:$D$9999*Raw_Data_Daily!$AC$2:$AC$9999)/SUMIFS(Raw_Data_Daily!$D:$D, Raw_Data_Daily!$B:$B, "Control", Raw_Data_Daily!$A:$A, $A39, Raw_Data_Daily!$C:$C, $C$3),""))</f>
        <v/>
      </c>
      <c r="CC39" s="246" t="str">
        <f>IF($A39="","",IFERROR(SUMPRODUCT((Raw_Data_Daily!$B$2:$B$9999="Variant")*(Raw_Data_Daily!$A$2:$A$9999=$A39)*(Raw_Data_Daily!$C$2:$C$9999=$C$3)*Raw_Data_Daily!$D$2:$D$9999*Raw_Data_Daily!$AC$2:$AC$9999)/SUMIFS(Raw_Data_Daily!$D:$D, Raw_Data_Daily!$B:$B, "Variant", Raw_Data_Daily!$A:$A, $A39, Raw_Data_Daily!$C:$C, $C$3),""))</f>
        <v/>
      </c>
      <c r="CD39" s="244" t="str">
        <f t="shared" si="27"/>
        <v/>
      </c>
      <c r="CE39" s="246" t="str">
        <f>IF($A39="","",IFERROR(SUMPRODUCT((Raw_Data_Daily!$B$2:$B$9999="Control")*(Raw_Data_Daily!$A$2:$A$9999=$A39)*(Raw_Data_Daily!$C$2:$C$9999=$C$3)*Raw_Data_Daily!$D$2:$D$9999*Raw_Data_Daily!$AD$2:$AD$9999)/SUMIFS(Raw_Data_Daily!$D:$D, Raw_Data_Daily!$B:$B, "Control", Raw_Data_Daily!$A:$A, $A39, Raw_Data_Daily!$C:$C, $C$3),""))</f>
        <v/>
      </c>
      <c r="CF39" s="246" t="str">
        <f>IF($A39="","",IFERROR(SUMPRODUCT((Raw_Data_Daily!$B$2:$B$9999="Variant")*(Raw_Data_Daily!$A$2:$A$9999=$A39)*(Raw_Data_Daily!$C$2:$C$9999=$C$3)*Raw_Data_Daily!$D$2:$D$9999*Raw_Data_Daily!$AD$2:$AD$9999)/SUMIFS(Raw_Data_Daily!$D:$D, Raw_Data_Daily!$B:$B, "Variant", Raw_Data_Daily!$A:$A, $A39, Raw_Data_Daily!$C:$C, $C$3),""))</f>
        <v/>
      </c>
      <c r="CG39" s="244" t="str">
        <f t="shared" si="28"/>
        <v/>
      </c>
      <c r="CH39" s="246" t="str">
        <f>IF($A39="","",IFERROR(SUMPRODUCT((Raw_Data_Daily!$B$2:$B$9999="Control")*(Raw_Data_Daily!$A$2:$A$9999=$A39)*(Raw_Data_Daily!$C$2:$C$9999=$C$3)*Raw_Data_Daily!$D$2:$D$9999*Raw_Data_Daily!$AE$2:$AE$9999)/SUMIFS(Raw_Data_Daily!$D:$D, Raw_Data_Daily!$B:$B, "Control", Raw_Data_Daily!$A:$A, $A39, Raw_Data_Daily!$C:$C, $C$3),""))</f>
        <v/>
      </c>
      <c r="CI39" s="246" t="str">
        <f>IF($A39="","",IFERROR(SUMPRODUCT((Raw_Data_Daily!$B$2:$B$9999="Variant")*(Raw_Data_Daily!$A$2:$A$9999=$A39)*(Raw_Data_Daily!$C$2:$C$9999=$C$3)*Raw_Data_Daily!$D$2:$D$9999*Raw_Data_Daily!$AE$2:$AE$9999)/SUMIFS(Raw_Data_Daily!$D:$D, Raw_Data_Daily!$B:$B, "Variant", Raw_Data_Daily!$A:$A, $A39, Raw_Data_Daily!$C:$C, $C$3),""))</f>
        <v/>
      </c>
      <c r="CJ39" s="244" t="str">
        <f t="shared" si="29"/>
        <v/>
      </c>
      <c r="CK39" s="246" t="str">
        <f>IF($A39="","",IFERROR(SUMPRODUCT((Raw_Data_Daily!$B$2:$B$9999="Control")*(Raw_Data_Daily!$A$2:$A$9999=$A39)*(Raw_Data_Daily!$C$2:$C$9999=$C$3)*Raw_Data_Daily!$D$2:$D$9999*Raw_Data_Daily!$AF$2:$AF$9999)/SUMIFS(Raw_Data_Daily!$D:$D, Raw_Data_Daily!$B:$B, "Control", Raw_Data_Daily!$A:$A, $A39, Raw_Data_Daily!$C:$C, $C$3),""))</f>
        <v/>
      </c>
      <c r="CL39" s="246" t="str">
        <f>IF($A39="","",IFERROR(SUMPRODUCT((Raw_Data_Daily!$B$2:$B$9999="Variant")*(Raw_Data_Daily!$A$2:$A$9999=$A39)*(Raw_Data_Daily!$C$2:$C$9999=$C$3)*Raw_Data_Daily!$D$2:$D$9999*Raw_Data_Daily!$AF$2:$AF$9999)/SUMIFS(Raw_Data_Daily!$D:$D, Raw_Data_Daily!$B:$B, "Variant", Raw_Data_Daily!$A:$A, $A39, Raw_Data_Daily!$C:$C, $C$3),""))</f>
        <v/>
      </c>
      <c r="CM39" s="244" t="str">
        <f t="shared" si="30"/>
        <v/>
      </c>
      <c r="CN39" s="246" t="str">
        <f>IF($A39="","",IFERROR(SUMPRODUCT((Raw_Data_Daily!$B$2:$B$9999="Control")*(Raw_Data_Daily!$A$2:$A$9999=$A39)*(Raw_Data_Daily!$C$2:$C$9999=$C$3)*Raw_Data_Daily!$D$2:$D$9999*Raw_Data_Daily!$AG$2:$AG$9999)/SUMIFS(Raw_Data_Daily!$D:$D, Raw_Data_Daily!$B:$B, "Control", Raw_Data_Daily!$A:$A, $A39, Raw_Data_Daily!$C:$C, $C$3),""))</f>
        <v/>
      </c>
      <c r="CO39" s="246" t="str">
        <f>IF($A39="","",IFERROR(SUMPRODUCT((Raw_Data_Daily!$B$2:$B$9999="Variant")*(Raw_Data_Daily!$A$2:$A$9999=$A39)*(Raw_Data_Daily!$C$2:$C$9999=$C$3)*Raw_Data_Daily!$D$2:$D$9999*Raw_Data_Daily!$AG$2:$AG$9999)/SUMIFS(Raw_Data_Daily!$D:$D, Raw_Data_Daily!$B:$B, "Variant", Raw_Data_Daily!$A:$A, $A39, Raw_Data_Daily!$C:$C, $C$3),""))</f>
        <v/>
      </c>
      <c r="CP39" s="244" t="str">
        <f t="shared" si="31"/>
        <v/>
      </c>
      <c r="CQ39" s="246" t="str">
        <f>IF($A39="","",IFERROR(SUMPRODUCT((Raw_Data_Daily!$B$2:$B$9999="Control")*(Raw_Data_Daily!$A$2:$A$9999=$A39)*(Raw_Data_Daily!$C$2:$C$9999=$C$3)*Raw_Data_Daily!$D$2:$D$9999*Raw_Data_Daily!$AH$2:$AH$9999)/SUMIFS(Raw_Data_Daily!$D:$D, Raw_Data_Daily!$B:$B, "Control", Raw_Data_Daily!$A:$A, $A39, Raw_Data_Daily!$C:$C, $C$3),""))</f>
        <v/>
      </c>
      <c r="CR39" s="246" t="str">
        <f>IF($A39="","",IFERROR(SUMPRODUCT((Raw_Data_Daily!$B$2:$B$9999="Variant")*(Raw_Data_Daily!$A$2:$A$9999=$A39)*(Raw_Data_Daily!$C$2:$C$9999=$C$3)*Raw_Data_Daily!$D$2:$D$9999*Raw_Data_Daily!$AH$2:$AH$9999)/SUMIFS(Raw_Data_Daily!$D:$D, Raw_Data_Daily!$B:$B, "Variant", Raw_Data_Daily!$A:$A, $A39, Raw_Data_Daily!$C:$C, $C$3),""))</f>
        <v/>
      </c>
      <c r="CS39" s="244" t="str">
        <f t="shared" si="32"/>
        <v/>
      </c>
      <c r="CT39" s="242" t="str">
        <f>IF($A39="","",IFERROR(SUMPRODUCT((Raw_Data_Daily!$B$2:$B$9999="Control")*(Raw_Data_Daily!$A$2:$A$9999=$A39)*(Raw_Data_Daily!$C$2:$C$9999=$C$3)*Raw_Data_Daily!$D$2:$D$9999*Raw_Data_Daily!$AI$2:$AI$9999)/SUMIFS(Raw_Data_Daily!$D:$D, Raw_Data_Daily!$B:$B, "Control", Raw_Data_Daily!$A:$A, $A39, Raw_Data_Daily!$C:$C, $C$3),""))</f>
        <v/>
      </c>
      <c r="CU39" s="242" t="str">
        <f>IF($A39="","",IFERROR(SUMPRODUCT((Raw_Data_Daily!$B$2:$B$9999="Variant")*(Raw_Data_Daily!$A$2:$A$9999=$A39)*(Raw_Data_Daily!$C$2:$C$9999=$C$3)*Raw_Data_Daily!$D$2:$D$9999*Raw_Data_Daily!$AI$2:$AI$9999)/SUMIFS(Raw_Data_Daily!$D:$D, Raw_Data_Daily!$B:$B, "Variant", Raw_Data_Daily!$A:$A, $A39, Raw_Data_Daily!$C:$C, $C$3),""))</f>
        <v/>
      </c>
      <c r="CV39" s="249" t="str">
        <f t="shared" si="33"/>
        <v/>
      </c>
      <c r="CW39" s="242" t="str">
        <f>IF($A39="","",IFERROR(SUMPRODUCT((Raw_Data_Daily!$B$2:$B$9999="Control")*(Raw_Data_Daily!$A$2:$A$9999=$A39)*(Raw_Data_Daily!$C$2:$C$9999=$C$3)*Raw_Data_Daily!$D$2:$D$9999*Raw_Data_Daily!$AJ$2:$AJ$9999)/SUMIFS(Raw_Data_Daily!$D:$D, Raw_Data_Daily!$B:$B, "Control", Raw_Data_Daily!$A:$A, $A39, Raw_Data_Daily!$C:$C, $C$3),""))</f>
        <v/>
      </c>
      <c r="CX39" s="242" t="str">
        <f>IF($A39="","",IFERROR(SUMPRODUCT((Raw_Data_Daily!$B$2:$B$9999="Variant")*(Raw_Data_Daily!$A$2:$A$9999=$A39)*(Raw_Data_Daily!$C$2:$C$9999=$C$3)*Raw_Data_Daily!$D$2:$D$9999*Raw_Data_Daily!$AJ$2:$AJ$9999)/SUMIFS(Raw_Data_Daily!$D:$D, Raw_Data_Daily!$B:$B, "Variant", Raw_Data_Daily!$A:$A, $A39, Raw_Data_Daily!$C:$C, $C$3),""))</f>
        <v/>
      </c>
      <c r="CY39" s="249" t="str">
        <f t="shared" si="34"/>
        <v/>
      </c>
      <c r="CZ39" s="242" t="str">
        <f>IF($A39="","",IFERROR(SUMPRODUCT((Raw_Data_Daily!$B$2:$B$9999="Control")*(Raw_Data_Daily!$A$2:$A$9999=$A39)*(Raw_Data_Daily!$C$2:$C$9999=$C$3)*Raw_Data_Daily!$D$2:$D$9999*Raw_Data_Daily!$AK$2:$AK$9999)/SUMIFS(Raw_Data_Daily!$D:$D, Raw_Data_Daily!$B:$B, "Control", Raw_Data_Daily!$A:$A, $A39, Raw_Data_Daily!$C:$C, $C$3),""))</f>
        <v/>
      </c>
      <c r="DA39" s="242" t="str">
        <f>IF($A39="","",IFERROR(SUMPRODUCT((Raw_Data_Daily!$B$2:$B$9999="Variant")*(Raw_Data_Daily!$A$2:$A$9999=$A39)*(Raw_Data_Daily!$C$2:$C$9999=$C$3)*Raw_Data_Daily!$D$2:$D$9999*Raw_Data_Daily!$AK$2:$AK$9999)/SUMIFS(Raw_Data_Daily!$D:$D, Raw_Data_Daily!$B:$B, "Variant", Raw_Data_Daily!$A:$A, $A39, Raw_Data_Daily!$C:$C, $C$3),""))</f>
        <v/>
      </c>
      <c r="DB39" s="244" t="str">
        <f t="shared" si="35"/>
        <v/>
      </c>
      <c r="DC39" s="248" t="str">
        <f>IF($A39="","",IFERROR(SUMPRODUCT((Raw_Data_Daily!$B$2:$B$9999="Control")*(Raw_Data_Daily!$A$2:$A$9999=$A39)*(Raw_Data_Daily!$C$2:$C$9999=$C$3)*Raw_Data_Daily!$D$2:$D$9999*Raw_Data_Daily!$AL$2:$AL$9999)/SUMIFS(Raw_Data_Daily!$D:$D, Raw_Data_Daily!$B:$B, "Control", Raw_Data_Daily!$A:$A, $A39, Raw_Data_Daily!$C:$C, $C$3),""))</f>
        <v/>
      </c>
      <c r="DD39" s="248" t="str">
        <f>IF($A39="","",IFERROR(SUMPRODUCT((Raw_Data_Daily!$B$2:$B$9999="Variant")*(Raw_Data_Daily!$A$2:$A$9999=$A39)*(Raw_Data_Daily!$C$2:$C$9999=$C$3)*Raw_Data_Daily!$D$2:$D$9999*Raw_Data_Daily!$AL$2:$AL$9999)/SUMIFS(Raw_Data_Daily!$D:$D, Raw_Data_Daily!$B:$B, "Variant", Raw_Data_Daily!$A:$A, $A39, Raw_Data_Daily!$C:$C, $C$3),""))</f>
        <v/>
      </c>
      <c r="DE39" s="249" t="str">
        <f t="shared" si="36"/>
        <v/>
      </c>
      <c r="DF39" s="255"/>
      <c r="DG39" s="242" t="str">
        <f>IF($A39="","",IFERROR(SUMPRODUCT((Raw_Data_Daily!$B$2:$B$9999="Variant")*(Raw_Data_Daily!$A$2:$A$9999=$A39)*(Raw_Data_Daily!$C$2:$C$9999=$C$3)*Raw_Data_Daily!$D$2:$D$9999*Raw_Data_Daily!$AM$2:$AM$9999)/SUMIFS(Raw_Data_Daily!$D:$D, Raw_Data_Daily!$B:$B, "Variant", Raw_Data_Daily!$A:$A, $A39, Raw_Data_Daily!$C:$C, $C$3),""))</f>
        <v/>
      </c>
      <c r="DH39" s="256"/>
      <c r="DI39" s="255"/>
      <c r="DJ39" s="242" t="str">
        <f>IF($A39="","",IFERROR(SUMPRODUCT((Raw_Data_Daily!$B$2:$B$9999="Variant")*(Raw_Data_Daily!$A$2:$A$9999=$A39)*(Raw_Data_Daily!$C$2:$C$9999=$C$3)*Raw_Data_Daily!$D$2:$D$9999*Raw_Data_Daily!$AN$2:$AN$9999)/SUMIFS(Raw_Data_Daily!$D:$D, Raw_Data_Daily!$B:$B, "Variant", Raw_Data_Daily!$A:$A, $A39, Raw_Data_Daily!$C:$C, $C$3),""))</f>
        <v/>
      </c>
      <c r="DK39" s="256"/>
      <c r="DL39" s="255"/>
      <c r="DM39" s="242" t="str">
        <f>IF($A39="","",IFERROR(SUMPRODUCT((Raw_Data_Daily!$B$2:$B$9999="Variant")*(Raw_Data_Daily!$A$2:$A$9999=$A39)*(Raw_Data_Daily!$C$2:$C$9999=$C$3)*Raw_Data_Daily!$D$2:$D$9999*Raw_Data_Daily!$AO$2:$AO$9999)/SUMIFS(Raw_Data_Daily!$D:$D, Raw_Data_Daily!$B:$B, "Variant", Raw_Data_Daily!$A:$A, $A39, Raw_Data_Daily!$C:$C, $C$3),""))</f>
        <v/>
      </c>
      <c r="DN39" s="256"/>
      <c r="DO39" s="255"/>
      <c r="DP39" s="242" t="str">
        <f>IF($A39="","",IFERROR(SUMPRODUCT((Raw_Data_Daily!$B$2:$B$9999="Variant")*(Raw_Data_Daily!$A$2:$A$9999=$A39)*(Raw_Data_Daily!$C$2:$C$9999=$C$3)*Raw_Data_Daily!$D$2:$D$9999*Raw_Data_Daily!$AP$2:$AP$9999)/SUMIFS(Raw_Data_Daily!$D:$D, Raw_Data_Daily!$B:$B, "Variant", Raw_Data_Daily!$A:$A, $A39, Raw_Data_Daily!$C:$C, $C$3),""))</f>
        <v/>
      </c>
      <c r="DQ39" s="256"/>
      <c r="DR39" s="248" t="str">
        <f>IF($A39="","",IFERROR(SUMPRODUCT((Raw_Data_Daily!$B$2:$B$9999="Control")*(Raw_Data_Daily!$A$2:$A$9999=$A39)*(Raw_Data_Daily!$C$2:$C$9999=$C$3)*Raw_Data_Daily!$D$2:$D$9999*Raw_Data_Daily!$AQ$2:$AQ$9999)/SUMIFS(Raw_Data_Daily!$D:$D, Raw_Data_Daily!$B:$B, "Control", Raw_Data_Daily!$A:$A, $A39, Raw_Data_Daily!$C:$C, $C$3),""))</f>
        <v/>
      </c>
      <c r="DS39" s="248" t="str">
        <f>IF($A39="","",IFERROR(SUMPRODUCT((Raw_Data_Daily!$B$2:$B$9999="Variant")*(Raw_Data_Daily!$A$2:$A$9999=$A39)*(Raw_Data_Daily!$C$2:$C$9999=$C$3)*Raw_Data_Daily!$D$2:$D$9999*Raw_Data_Daily!$AQ$2:$AQ$9999)/SUMIFS(Raw_Data_Daily!$D:$D, Raw_Data_Daily!$B:$B, "Variant", Raw_Data_Daily!$A:$A, $A39, Raw_Data_Daily!$C:$C, $C$3),""))</f>
        <v/>
      </c>
      <c r="DT39" s="257" t="str">
        <f t="shared" si="37"/>
        <v/>
      </c>
      <c r="DU39" s="248" t="str">
        <f>IF($A39="","",IFERROR(SUMPRODUCT((Raw_Data_Daily!$B$2:$B$9999="Control")*(Raw_Data_Daily!$A$2:$A$9999=$A39)*(Raw_Data_Daily!$C$2:$C$9999=$C$3)*Raw_Data_Daily!$D$2:$D$9999*Raw_Data_Daily!$AR$2:$AR$9999)/SUMIFS(Raw_Data_Daily!$D:$D, Raw_Data_Daily!$B:$B, "Control", Raw_Data_Daily!$A:$A, $A39, Raw_Data_Daily!$C:$C, $C$3),""))</f>
        <v/>
      </c>
      <c r="DV39" s="248" t="str">
        <f>IF($A39="","",IFERROR(SUMPRODUCT((Raw_Data_Daily!$B$2:$B$9999="Variant")*(Raw_Data_Daily!$A$2:$A$9999=$A39)*(Raw_Data_Daily!$C$2:$C$9999=$C$3)*Raw_Data_Daily!$D$2:$D$9999*Raw_Data_Daily!$AR$2:$AR$9999)/SUMIFS(Raw_Data_Daily!$D:$D, Raw_Data_Daily!$B:$B, "Variant", Raw_Data_Daily!$A:$A, $A39, Raw_Data_Daily!$C:$C, $C$3),""))</f>
        <v/>
      </c>
      <c r="DW39" s="257" t="str">
        <f t="shared" si="38"/>
        <v/>
      </c>
      <c r="DX39" s="248" t="str">
        <f>IF($A39="","",IFERROR(SUMPRODUCT((Raw_Data_Daily!$B$2:$B$9999="Control")*(Raw_Data_Daily!$A$2:$A$9999=$A39)*(Raw_Data_Daily!$C$2:$C$9999=$C$3)*Raw_Data_Daily!$D$2:$D$9999*Raw_Data_Daily!$AS$2:$AS$9999)/SUMIFS(Raw_Data_Daily!$D:$D, Raw_Data_Daily!$B:$B, "Control", Raw_Data_Daily!$A:$A, $A39, Raw_Data_Daily!$C:$C, $C$3),""))</f>
        <v/>
      </c>
      <c r="DY39" s="248" t="str">
        <f>IF($A39="","",IFERROR(SUMPRODUCT((Raw_Data_Daily!$B$2:$B$9999="Variant")*(Raw_Data_Daily!$A$2:$A$9999=$A39)*(Raw_Data_Daily!$C$2:$C$9999=$C$3)*Raw_Data_Daily!$D$2:$D$9999*Raw_Data_Daily!$AS$2:$AS$9999)/SUMIFS(Raw_Data_Daily!$D:$D, Raw_Data_Daily!$B:$B, "Variant", Raw_Data_Daily!$A:$A, $A39, Raw_Data_Daily!$C:$C, $C$3),""))</f>
        <v/>
      </c>
      <c r="DZ39" s="257" t="str">
        <f t="shared" si="39"/>
        <v/>
      </c>
      <c r="EA39" s="248" t="str">
        <f>IF($A39="","",IFERROR(SUMPRODUCT((Raw_Data_Daily!$B$2:$B$9999="Control")*(Raw_Data_Daily!$A$2:$A$9999=$A39)*(Raw_Data_Daily!$C$2:$C$9999=$C$3)*Raw_Data_Daily!$D$2:$D$9999*Raw_Data_Daily!$AT$2:$AT$9999)/SUMIFS(Raw_Data_Daily!$D:$D, Raw_Data_Daily!$B:$B, "Control", Raw_Data_Daily!$A:$A, $A39, Raw_Data_Daily!$C:$C, $C$3),""))</f>
        <v/>
      </c>
      <c r="EB39" s="248" t="str">
        <f>IF($A39="","",IFERROR(SUMPRODUCT((Raw_Data_Daily!$B$2:$B$9999="Variant")*(Raw_Data_Daily!$A$2:$A$9999=$A39)*(Raw_Data_Daily!$C$2:$C$9999=$C$3)*Raw_Data_Daily!$D$2:$D$9999*Raw_Data_Daily!$AT$2:$AT$9999)/SUMIFS(Raw_Data_Daily!$D:$D, Raw_Data_Daily!$B:$B, "Variant", Raw_Data_Daily!$A:$A, $A39, Raw_Data_Daily!$C:$C, $C$3),""))</f>
        <v/>
      </c>
      <c r="EC39" s="257" t="str">
        <f t="shared" si="40"/>
        <v/>
      </c>
      <c r="ED39" s="248" t="str">
        <f>IF($A39="","",IFERROR(SUMPRODUCT((Raw_Data_Daily!$B$2:$B$9999="Control")*(Raw_Data_Daily!$A$2:$A$9999=$A39)*(Raw_Data_Daily!$C$2:$C$9999=$C$3)*Raw_Data_Daily!$D$2:$D$9999*(Raw_Data_Daily!$AQ$2:$AQ$9999-Raw_Data_Daily!$AT$2:$AT$9999))/SUMIFS(Raw_Data_Daily!$D:$D, Raw_Data_Daily!$B:$B, "Control", Raw_Data_Daily!$A:$A, $A39, Raw_Data_Daily!$C:$C, $C$3),""))</f>
        <v/>
      </c>
      <c r="EE39" s="248" t="str">
        <f>IF($A39="","",IFERROR(SUMPRODUCT((Raw_Data_Daily!$B$2:$B$9999="Variant")*(Raw_Data_Daily!$A$2:$A$9999=$A39)*(Raw_Data_Daily!$C$2:$C$9999=$C$3)*Raw_Data_Daily!$D$2:$D$9999*(Raw_Data_Daily!$AQ$2:$AQ$9999-Raw_Data_Daily!$AT$2:$AT$9999))/SUMIFS(Raw_Data_Daily!$D:$D, Raw_Data_Daily!$B:$B, "Variant", Raw_Data_Daily!$A:$A, $A39, Raw_Data_Daily!$C:$C, $C$3),""))</f>
        <v/>
      </c>
      <c r="EF39" s="257" t="str">
        <f t="shared" si="41"/>
        <v/>
      </c>
      <c r="EG39" s="248" t="str">
        <f>IF($A39="","",IFERROR(SUMPRODUCT((Raw_Data_Daily!$B$2:$B$9999="Control")*(Raw_Data_Daily!$A$2:$A$9999=$A39)*(Raw_Data_Daily!$C$2:$C$9999=$C$3)*Raw_Data_Daily!$D$2:$D$9999*Raw_Data_Daily!$AU$2:$AU$9999)/SUMIFS(Raw_Data_Daily!$D:$D, Raw_Data_Daily!$B:$B, "Control", Raw_Data_Daily!$A:$A, $A39, Raw_Data_Daily!$C:$C, $C$3),""))</f>
        <v/>
      </c>
      <c r="EH39" s="248" t="str">
        <f>IF($A39="","",IFERROR(SUMPRODUCT((Raw_Data_Daily!$B$2:$B$9999="Variant")*(Raw_Data_Daily!$A$2:$A$9999=$A39)*(Raw_Data_Daily!$C$2:$C$9999=$C$3)*Raw_Data_Daily!$D$2:$D$9999*Raw_Data_Daily!$AU$2:$AU$9999)/SUMIFS(Raw_Data_Daily!$D:$D, Raw_Data_Daily!$B:$B, "Variant", Raw_Data_Daily!$A:$A, $A39, Raw_Data_Daily!$C:$C, $C$3),""))</f>
        <v/>
      </c>
      <c r="EI39" s="257" t="str">
        <f t="shared" si="42"/>
        <v/>
      </c>
    </row>
    <row r="40" ht="15.75" customHeight="1">
      <c r="A40" s="239">
        <v>46263.0</v>
      </c>
      <c r="B40" s="240">
        <f>IF($A40="","",SUMIFS(Raw_Data_Daily!$D:$D, Raw_Data_Daily!$B:$B, "Control", Raw_Data_Daily!$A:$A, $A40, Raw_Data_Daily!$C:$C, $C$3))</f>
        <v>0</v>
      </c>
      <c r="C40" s="240">
        <f>IF($A40="","",SUMIFS(Raw_Data_Daily!$D:$D, Raw_Data_Daily!$B:$B, "Variant", Raw_Data_Daily!$A:$A, $A40, Raw_Data_Daily!$C:$C, $C$3))</f>
        <v>0</v>
      </c>
      <c r="D40" s="241" t="str">
        <f t="shared" si="1"/>
        <v/>
      </c>
      <c r="E40" s="242" t="str">
        <f>IF($A40="","",IFERROR(SUMPRODUCT((Raw_Data_Daily!$B$2:$B$9999="Control")*(Raw_Data_Daily!$A$2:$A$9999=$A40)*(Raw_Data_Daily!$C$2:$C$9999=$C$3)*Raw_Data_Daily!$D$2:$D$9999*Raw_Data_Daily!$E$2:$E$9999)/SUMIFS(Raw_Data_Daily!$D:$D, Raw_Data_Daily!$B:$B, "Control", Raw_Data_Daily!$A:$A, $A40, Raw_Data_Daily!$C:$C, $C$3),""))</f>
        <v/>
      </c>
      <c r="F40" s="242" t="str">
        <f>IF($A40="","",IFERROR(SUMPRODUCT((Raw_Data_Daily!$B$2:$B$9999="Variant")*(Raw_Data_Daily!$A$2:$A$9999=$A40)*(Raw_Data_Daily!$C$2:$C$9999=$C$3)*Raw_Data_Daily!$D$2:$D$9999*Raw_Data_Daily!$E$2:$E$9999)/SUMIFS(Raw_Data_Daily!$D:$D, Raw_Data_Daily!$B:$B, "Variant", Raw_Data_Daily!$A:$A, $A40, Raw_Data_Daily!$C:$C, $C$3),""))</f>
        <v/>
      </c>
      <c r="G40" s="241" t="str">
        <f t="shared" si="2"/>
        <v/>
      </c>
      <c r="H40" s="243">
        <f>IF($A40="","",SUMIFS(Raw_Data_Daily!$F:$F, Raw_Data_Daily!$B:$B, "Control", Raw_Data_Daily!$A:$A, $A40, Raw_Data_Daily!$C:$C, $C$3))</f>
        <v>0</v>
      </c>
      <c r="I40" s="243">
        <f>IF($A40="","",SUMIFS(Raw_Data_Daily!$F:$F, Raw_Data_Daily!$B:$B, "Variant", Raw_Data_Daily!$A:$A, $A40, Raw_Data_Daily!$C:$C, $C$3))</f>
        <v>0</v>
      </c>
      <c r="J40" s="244" t="str">
        <f t="shared" si="3"/>
        <v/>
      </c>
      <c r="K40" s="245" t="str">
        <f>IF($A40="","",IFERROR(SUMIFS(Raw_Data_Daily!$F:$F, Raw_Data_Daily!$B:$B, "Control", Raw_Data_Daily!$A:$A, $A40, Raw_Data_Daily!$C:$C, $C$3)/SUMIFS(Raw_Data_Daily!$D:$D, Raw_Data_Daily!$B:$B, "Control", Raw_Data_Daily!$A:$A, $A40, Raw_Data_Daily!$C:$C, $C$3),""))</f>
        <v/>
      </c>
      <c r="L40" s="245" t="str">
        <f>IF($A40="","",IFERROR(SUMIFS(Raw_Data_Daily!$F:$F, Raw_Data_Daily!$B:$B, "Variant", Raw_Data_Daily!$A:$A, $A40, Raw_Data_Daily!$C:$C, $C$3)/SUMIFS(Raw_Data_Daily!$D:$D, Raw_Data_Daily!$B:$B, "Variant", Raw_Data_Daily!$A:$A, $A40, Raw_Data_Daily!$C:$C, $C$3),""))</f>
        <v/>
      </c>
      <c r="M40" s="244" t="str">
        <f t="shared" si="4"/>
        <v/>
      </c>
      <c r="N40" s="242" t="str">
        <f>IF($A40="","",IFERROR(SUMPRODUCT((Raw_Data_Daily!$B$2:$B$9999="Control")*(Raw_Data_Daily!$A$2:$A$9999=$A40)*(Raw_Data_Daily!$C$2:$C$9999=$C$3)*Raw_Data_Daily!$D$2:$D$9999*Raw_Data_Daily!$H$2:$H$9999/100)/SUMIFS(Raw_Data_Daily!$D:$D, Raw_Data_Daily!$B:$B, "Control", Raw_Data_Daily!$A:$A, $A40, Raw_Data_Daily!$C:$C, $C$3)*100,""))</f>
        <v/>
      </c>
      <c r="O40" s="242" t="str">
        <f>IF($A40="","",IFERROR(SUMPRODUCT((Raw_Data_Daily!$B$2:$B$9999="Variant")*(Raw_Data_Daily!$A$2:$A$9999=$A40)*(Raw_Data_Daily!$C$2:$C$9999=$C$3)*Raw_Data_Daily!$D$2:$D$9999*Raw_Data_Daily!$H$2:$H$9999/100)/SUMIFS(Raw_Data_Daily!$D:$D, Raw_Data_Daily!$B:$B, "Variant", Raw_Data_Daily!$A:$A, $A40, Raw_Data_Daily!$C:$C, $C$3)*100,""))</f>
        <v/>
      </c>
      <c r="P40" s="244" t="str">
        <f t="shared" si="5"/>
        <v/>
      </c>
      <c r="Q40" s="245" t="str">
        <f>IF($A40="","",IFERROR(SUMIFS(Raw_Data_Daily!$F:$F, Raw_Data_Daily!$B:$B, "Control", Raw_Data_Daily!$A:$A, $A40, Raw_Data_Daily!$C:$C, $C$3)/SUMPRODUCT((Raw_Data_Daily!$B$2:$B$9999="Control")*(Raw_Data_Daily!$A$2:$A$9999=$A40)*(Raw_Data_Daily!$C$2:$C$9999=$C$3)*Raw_Data_Daily!$D$2:$D$9999*Raw_Data_Daily!$H$2:$H$9999/100),""))</f>
        <v/>
      </c>
      <c r="R40" s="245" t="str">
        <f>IF($A40="","",IFERROR(SUMIFS(Raw_Data_Daily!$F:$F, Raw_Data_Daily!$B:$B, "Variant", Raw_Data_Daily!$A:$A, $A40, Raw_Data_Daily!$C:$C, $C$3)/SUMPRODUCT((Raw_Data_Daily!$B$2:$B$9999="Variant")*(Raw_Data_Daily!$A$2:$A$9999=$A40)*(Raw_Data_Daily!$C$2:$C$9999=$C$3)*Raw_Data_Daily!$D$2:$D$9999*Raw_Data_Daily!$H$2:$H$9999/100),""))</f>
        <v/>
      </c>
      <c r="S40" s="244" t="str">
        <f t="shared" si="6"/>
        <v/>
      </c>
      <c r="T40" s="246" t="str">
        <f>IF($A40="","",IFERROR(SUMPRODUCT((Raw_Data_Daily!$B$2:$B$9999="Control")*(Raw_Data_Daily!$A$2:$A$9999=$A40)*(Raw_Data_Daily!$C$2:$C$9999=$C$3)*Raw_Data_Daily!$D$2:$D$9999*Raw_Data_Daily!$J$2:$J$9999)/SUMIFS(Raw_Data_Daily!$D:$D, Raw_Data_Daily!$B:$B, "Control", Raw_Data_Daily!$A:$A, $A40, Raw_Data_Daily!$C:$C, $C$3),""))</f>
        <v/>
      </c>
      <c r="U40" s="246" t="str">
        <f>IF($A40="","",IFERROR(SUMPRODUCT((Raw_Data_Daily!$B$2:$B$9999="Variant")*(Raw_Data_Daily!$A$2:$A$9999=$A40)*(Raw_Data_Daily!$C$2:$C$9999=$C$3)*Raw_Data_Daily!$D$2:$D$9999*Raw_Data_Daily!$J$2:$J$9999)/SUMIFS(Raw_Data_Daily!$D:$D, Raw_Data_Daily!$B:$B, "Variant", Raw_Data_Daily!$A:$A, $A40, Raw_Data_Daily!$C:$C, $C$3),""))</f>
        <v/>
      </c>
      <c r="V40" s="244" t="str">
        <f t="shared" si="7"/>
        <v/>
      </c>
      <c r="W40" s="246" t="str">
        <f>IF($A40="","",IFERROR(SUMPRODUCT((Raw_Data_Daily!$B$2:$B$9999="Control")*(Raw_Data_Daily!$A$2:$A$9999=$A40)*(Raw_Data_Daily!$C$2:$C$9999=$C$3)*Raw_Data_Daily!$D$2:$D$9999*Raw_Data_Daily!$K$2:$K$9999)/SUMIFS(Raw_Data_Daily!$D:$D, Raw_Data_Daily!$B:$B, "Control", Raw_Data_Daily!$A:$A, $A40, Raw_Data_Daily!$C:$C, $C$3),""))</f>
        <v/>
      </c>
      <c r="X40" s="246" t="str">
        <f>IF($A40="","",IFERROR(SUMPRODUCT((Raw_Data_Daily!$B$2:$B$9999="Variant")*(Raw_Data_Daily!$A$2:$A$9999=$A40)*(Raw_Data_Daily!$C$2:$C$9999=$C$3)*Raw_Data_Daily!$D$2:$D$9999*Raw_Data_Daily!$K$2:$K$9999)/SUMIFS(Raw_Data_Daily!$D:$D, Raw_Data_Daily!$B:$B, "Variant", Raw_Data_Daily!$A:$A, $A40, Raw_Data_Daily!$C:$C, $C$3),""))</f>
        <v/>
      </c>
      <c r="Y40" s="244" t="str">
        <f t="shared" si="8"/>
        <v/>
      </c>
      <c r="Z40" s="246" t="str">
        <f>IF($A40="","",IFERROR(SUMPRODUCT((Raw_Data_Daily!$B$2:$B$9999="Control")*(Raw_Data_Daily!$A$2:$A$9999=$A40)*(Raw_Data_Daily!$C$2:$C$9999=$C$3)*Raw_Data_Daily!$D$2:$D$9999*Raw_Data_Daily!$L$2:$L$9999)/SUMIFS(Raw_Data_Daily!$D:$D, Raw_Data_Daily!$B:$B, "Control", Raw_Data_Daily!$A:$A, $A40, Raw_Data_Daily!$C:$C, $C$3),""))</f>
        <v/>
      </c>
      <c r="AA40" s="246" t="str">
        <f>IF($A40="","",IFERROR(SUMPRODUCT((Raw_Data_Daily!$B$2:$B$9999="Variant")*(Raw_Data_Daily!$A$2:$A$9999=$A40)*(Raw_Data_Daily!$C$2:$C$9999=$C$3)*Raw_Data_Daily!$D$2:$D$9999*Raw_Data_Daily!$L$2:$L$9999)/SUMIFS(Raw_Data_Daily!$D:$D, Raw_Data_Daily!$B:$B, "Variant", Raw_Data_Daily!$A:$A, $A40, Raw_Data_Daily!$C:$C, $C$3),""))</f>
        <v/>
      </c>
      <c r="AB40" s="244" t="str">
        <f t="shared" si="9"/>
        <v/>
      </c>
      <c r="AC40" s="248" t="str">
        <f>IF($A40="","",IFERROR(SUMPRODUCT((Raw_Data_Daily!$B$2:$B$9999="Control")*(Raw_Data_Daily!$A$2:$A$9999=$A40)*(Raw_Data_Daily!$C$2:$C$9999=$C$3)*Raw_Data_Daily!$D$2:$D$9999*Raw_Data_Daily!$M$2:$M$9999)/SUMIFS(Raw_Data_Daily!$D:$D, Raw_Data_Daily!$B:$B, "Control", Raw_Data_Daily!$A:$A, $A40, Raw_Data_Daily!$C:$C, $C$3),""))</f>
        <v/>
      </c>
      <c r="AD40" s="248" t="str">
        <f>IF($A40="","",IFERROR(SUMPRODUCT((Raw_Data_Daily!$B$2:$B$9999="Variant")*(Raw_Data_Daily!$A$2:$A$9999=$A40)*(Raw_Data_Daily!$C$2:$C$9999=$C$3)*Raw_Data_Daily!$D$2:$D$9999*Raw_Data_Daily!$M$2:$M$9999)/SUMIFS(Raw_Data_Daily!$D:$D, Raw_Data_Daily!$B:$B, "Variant", Raw_Data_Daily!$A:$A, $A40, Raw_Data_Daily!$C:$C, $C$3),""))</f>
        <v/>
      </c>
      <c r="AE40" s="249" t="str">
        <f t="shared" si="10"/>
        <v/>
      </c>
      <c r="AF40" s="248" t="str">
        <f>IF($A40="","",IFERROR(SUMPRODUCT((Raw_Data_Daily!$B$2:$B$9999="Control")*(Raw_Data_Daily!$A$2:$A$9999=$A40)*(Raw_Data_Daily!$C$2:$C$9999=$C$3)*Raw_Data_Daily!$D$2:$D$9999*Raw_Data_Daily!$N$2:$N$9999)/SUMIFS(Raw_Data_Daily!$D:$D, Raw_Data_Daily!$B:$B, "Control", Raw_Data_Daily!$A:$A, $A40, Raw_Data_Daily!$C:$C, $C$3),""))</f>
        <v/>
      </c>
      <c r="AG40" s="248" t="str">
        <f>IF($A40="","",IFERROR(SUMPRODUCT((Raw_Data_Daily!$B$2:$B$9999="Variant")*(Raw_Data_Daily!$A$2:$A$9999=$A40)*(Raw_Data_Daily!$C$2:$C$9999=$C$3)*Raw_Data_Daily!$D$2:$D$9999*Raw_Data_Daily!$N$2:$N$9999)/SUMIFS(Raw_Data_Daily!$D:$D, Raw_Data_Daily!$B:$B, "Variant", Raw_Data_Daily!$A:$A, $A40, Raw_Data_Daily!$C:$C, $C$3),""))</f>
        <v/>
      </c>
      <c r="AH40" s="249" t="str">
        <f t="shared" si="11"/>
        <v/>
      </c>
      <c r="AI40" s="248" t="str">
        <f>IF($A40="","",IFERROR(SUMPRODUCT((Raw_Data_Daily!$B$2:$B$9999="Control")*(Raw_Data_Daily!$A$2:$A$9999=$A40)*(Raw_Data_Daily!$C$2:$C$9999=$C$3)*Raw_Data_Daily!$D$2:$D$9999*Raw_Data_Daily!$O$2:$O$9999)/SUMIFS(Raw_Data_Daily!$D:$D, Raw_Data_Daily!$B:$B, "Control", Raw_Data_Daily!$A:$A, $A40, Raw_Data_Daily!$C:$C, $C$3),""))</f>
        <v/>
      </c>
      <c r="AJ40" s="248" t="str">
        <f>IF($A40="","",IFERROR(SUMPRODUCT((Raw_Data_Daily!$B$2:$B$9999="Variant")*(Raw_Data_Daily!$A$2:$A$9999=$A40)*(Raw_Data_Daily!$C$2:$C$9999=$C$3)*Raw_Data_Daily!$D$2:$D$9999*Raw_Data_Daily!$O$2:$O$9999)/SUMIFS(Raw_Data_Daily!$D:$D, Raw_Data_Daily!$B:$B, "Variant", Raw_Data_Daily!$A:$A, $A40, Raw_Data_Daily!$C:$C, $C$3),""))</f>
        <v/>
      </c>
      <c r="AK40" s="244" t="str">
        <f t="shared" si="12"/>
        <v/>
      </c>
      <c r="AL40" s="246" t="str">
        <f>IF($A40="","",IFERROR(SUMPRODUCT((Raw_Data_Daily!$B$2:$B$9999="Control")*(Raw_Data_Daily!$A$2:$A$9999=$A40)*(Raw_Data_Daily!$C$2:$C$9999=$C$3)*Raw_Data_Daily!$D$2:$D$9999*Raw_Data_Daily!$P$2:$P$9999)/SUMIFS(Raw_Data_Daily!$D:$D, Raw_Data_Daily!$B:$B, "Control", Raw_Data_Daily!$A:$A, $A40, Raw_Data_Daily!$C:$C, $C$3),""))</f>
        <v/>
      </c>
      <c r="AM40" s="246" t="str">
        <f>IF($A40="","",IFERROR(SUMPRODUCT((Raw_Data_Daily!$B$2:$B$9999="Variant")*(Raw_Data_Daily!$A$2:$A$9999=$A40)*(Raw_Data_Daily!$C$2:$C$9999=$C$3)*Raw_Data_Daily!$D$2:$D$9999*Raw_Data_Daily!$P$2:$P$9999)/SUMIFS(Raw_Data_Daily!$D:$D, Raw_Data_Daily!$B:$B, "Variant", Raw_Data_Daily!$A:$A, $A40, Raw_Data_Daily!$C:$C, $C$3),""))</f>
        <v/>
      </c>
      <c r="AN40" s="244" t="str">
        <f t="shared" si="13"/>
        <v/>
      </c>
      <c r="AO40" s="246" t="str">
        <f>IF($A40="","",IFERROR(SUMPRODUCT((Raw_Data_Daily!$B$2:$B$9999="Control")*(Raw_Data_Daily!$A$2:$A$9999=$A40)*(Raw_Data_Daily!$C$2:$C$9999=$C$3)*Raw_Data_Daily!$D$2:$D$9999*Raw_Data_Daily!$Q$2:$Q$9999)/SUMIFS(Raw_Data_Daily!$D:$D, Raw_Data_Daily!$B:$B, "Control", Raw_Data_Daily!$A:$A, $A40, Raw_Data_Daily!$C:$C, $C$3),""))</f>
        <v/>
      </c>
      <c r="AP40" s="246" t="str">
        <f>IF($A40="","",IFERROR(SUMPRODUCT((Raw_Data_Daily!$B$2:$B$9999="Variant")*(Raw_Data_Daily!$A$2:$A$9999=$A40)*(Raw_Data_Daily!$C$2:$C$9999=$C$3)*Raw_Data_Daily!$D$2:$D$9999*Raw_Data_Daily!$Q$2:$Q$9999)/SUMIFS(Raw_Data_Daily!$D:$D, Raw_Data_Daily!$B:$B, "Variant", Raw_Data_Daily!$A:$A, $A40, Raw_Data_Daily!$C:$C, $C$3),""))</f>
        <v/>
      </c>
      <c r="AQ40" s="241" t="str">
        <f t="shared" si="14"/>
        <v/>
      </c>
      <c r="AR40" s="246" t="str">
        <f>IF($A40="","",IFERROR(SUMPRODUCT((Raw_Data_Daily!$B$2:$B$9999="Control")*(Raw_Data_Daily!$A$2:$A$9999=$A40)*(Raw_Data_Daily!$C$2:$C$9999=$C$3)*Raw_Data_Daily!$D$2:$D$9999*Raw_Data_Daily!$R$2:$R$9999)/SUMIFS(Raw_Data_Daily!$D:$D, Raw_Data_Daily!$B:$B, "Control", Raw_Data_Daily!$A:$A, $A40, Raw_Data_Daily!$C:$C, $C$3),""))</f>
        <v/>
      </c>
      <c r="AS40" s="246" t="str">
        <f>IF($A40="","",IFERROR(SUMPRODUCT((Raw_Data_Daily!$B$2:$B$9999="Variant")*(Raw_Data_Daily!$A$2:$A$9999=$A40)*(Raw_Data_Daily!$C$2:$C$9999=$C$3)*Raw_Data_Daily!$D$2:$D$9999*Raw_Data_Daily!$R$2:$R$9999)/SUMIFS(Raw_Data_Daily!$D:$D, Raw_Data_Daily!$B:$B, "Variant", Raw_Data_Daily!$A:$A, $A40, Raw_Data_Daily!$C:$C, $C$3),""))</f>
        <v/>
      </c>
      <c r="AT40" s="241" t="str">
        <f t="shared" si="15"/>
        <v/>
      </c>
      <c r="AU40" s="246" t="str">
        <f>IF($A40="","",IFERROR(SUMPRODUCT((Raw_Data_Daily!$B$2:$B$9999="Control")*(Raw_Data_Daily!$A$2:$A$9999=$A40)*(Raw_Data_Daily!$C$2:$C$9999=$C$3)*Raw_Data_Daily!$D$2:$D$9999*Raw_Data_Daily!$S$2:$S$9999)/SUMIFS(Raw_Data_Daily!$D:$D, Raw_Data_Daily!$B:$B, "Control", Raw_Data_Daily!$A:$A, $A40, Raw_Data_Daily!$C:$C, $C$3),""))</f>
        <v/>
      </c>
      <c r="AV40" s="246" t="str">
        <f>IF($A40="","",IFERROR(SUMPRODUCT((Raw_Data_Daily!$B$2:$B$9999="Variant")*(Raw_Data_Daily!$A$2:$A$9999=$A40)*(Raw_Data_Daily!$C$2:$C$9999=$C$3)*Raw_Data_Daily!$D$2:$D$9999*Raw_Data_Daily!$S$2:$S$9999)/SUMIFS(Raw_Data_Daily!$D:$D, Raw_Data_Daily!$B:$B, "Variant", Raw_Data_Daily!$A:$A, $A40, Raw_Data_Daily!$C:$C, $C$3),""))</f>
        <v/>
      </c>
      <c r="AW40" s="241" t="str">
        <f t="shared" si="16"/>
        <v/>
      </c>
      <c r="AX40" s="246" t="str">
        <f>IF($A40="","",IFERROR(SUMPRODUCT((Raw_Data_Daily!$B$2:$B$9999="Control")*(Raw_Data_Daily!$A$2:$A$9999=$A40)*(Raw_Data_Daily!$C$2:$C$9999=$C$3)*Raw_Data_Daily!$D$2:$D$9999*Raw_Data_Daily!$T$2:$T$9999)/SUMIFS(Raw_Data_Daily!$D:$D, Raw_Data_Daily!$B:$B, "Control", Raw_Data_Daily!$A:$A, $A40, Raw_Data_Daily!$C:$C, $C$3),""))</f>
        <v/>
      </c>
      <c r="AY40" s="246" t="str">
        <f>IF($A40="","",IFERROR(SUMPRODUCT((Raw_Data_Daily!$B$2:$B$9999="Variant")*(Raw_Data_Daily!$A$2:$A$9999=$A40)*(Raw_Data_Daily!$C$2:$C$9999=$C$3)*Raw_Data_Daily!$D$2:$D$9999*Raw_Data_Daily!$T$2:$T$9999)/SUMIFS(Raw_Data_Daily!$D:$D, Raw_Data_Daily!$B:$B, "Variant", Raw_Data_Daily!$A:$A, $A40, Raw_Data_Daily!$C:$C, $C$3),""))</f>
        <v/>
      </c>
      <c r="AZ40" s="244" t="str">
        <f t="shared" si="17"/>
        <v/>
      </c>
      <c r="BA40" s="246" t="str">
        <f>IF($A40="","",IFERROR(SUMPRODUCT((Raw_Data_Daily!$B$2:$B$9999="Control")*(Raw_Data_Daily!$A$2:$A$9999=$A40)*(Raw_Data_Daily!$C$2:$C$9999=$C$3)*Raw_Data_Daily!$D$2:$D$9999*Raw_Data_Daily!$U$2:$U$9999)/SUMIFS(Raw_Data_Daily!$D:$D, Raw_Data_Daily!$B:$B, "Control", Raw_Data_Daily!$A:$A, $A40, Raw_Data_Daily!$C:$C, $C$3),""))</f>
        <v/>
      </c>
      <c r="BB40" s="246" t="str">
        <f>IF($A40="","",IFERROR(SUMPRODUCT((Raw_Data_Daily!$B$2:$B$9999="Variant")*(Raw_Data_Daily!$A$2:$A$9999=$A40)*(Raw_Data_Daily!$C$2:$C$9999=$C$3)*Raw_Data_Daily!$D$2:$D$9999*Raw_Data_Daily!$U$2:$U$9999)/SUMIFS(Raw_Data_Daily!$D:$D, Raw_Data_Daily!$B:$B, "Variant", Raw_Data_Daily!$A:$A, $A40, Raw_Data_Daily!$C:$C, $C$3),""))</f>
        <v/>
      </c>
      <c r="BC40" s="241" t="str">
        <f t="shared" si="18"/>
        <v/>
      </c>
      <c r="BD40" s="246" t="str">
        <f>IF($A40="","",IFERROR(SUMPRODUCT((Raw_Data_Daily!$B$2:$B$9999="Control")*(Raw_Data_Daily!$A$2:$A$9999=$A40)*(Raw_Data_Daily!$C$2:$C$9999=$C$3)*Raw_Data_Daily!$D$2:$D$9999*Raw_Data_Daily!$V$2:$V$9999)/SUMIFS(Raw_Data_Daily!$D:$D, Raw_Data_Daily!$B:$B, "Control", Raw_Data_Daily!$A:$A, $A40, Raw_Data_Daily!$C:$C, $C$3),""))</f>
        <v/>
      </c>
      <c r="BE40" s="246" t="str">
        <f>IF($A40="","",IFERROR(SUMPRODUCT((Raw_Data_Daily!$B$2:$B$9999="Variant")*(Raw_Data_Daily!$A$2:$A$9999=$A40)*(Raw_Data_Daily!$C$2:$C$9999=$C$3)*Raw_Data_Daily!$D$2:$D$9999*Raw_Data_Daily!$V$2:$V$9999)/SUMIFS(Raw_Data_Daily!$D:$D, Raw_Data_Daily!$B:$B, "Variant", Raw_Data_Daily!$A:$A, $A40, Raw_Data_Daily!$C:$C, $C$3),""))</f>
        <v/>
      </c>
      <c r="BF40" s="251" t="str">
        <f t="shared" si="19"/>
        <v/>
      </c>
      <c r="BG40" s="252" t="str">
        <f>IF($A40="","",IFERROR(SUMPRODUCT((Raw_Data_Daily!$B$2:$B$9999="Control")*(Raw_Data_Daily!$A$2:$A$9999=$A40)*(Raw_Data_Daily!$C$2:$C$9999=$C$3)*Raw_Data_Daily!$D$2:$D$9999*(Raw_Data_Daily!$Q$2:$Q$9999-Raw_Data_Daily!$V$2:$V$9999))/SUMIFS(Raw_Data_Daily!$D:$D, Raw_Data_Daily!$B:$B, "Control", Raw_Data_Daily!$A:$A, $A40, Raw_Data_Daily!$C:$C, $C$3),""))</f>
        <v/>
      </c>
      <c r="BH40" s="246" t="str">
        <f>IF($A40="","",IFERROR(SUMPRODUCT((Raw_Data_Daily!$B$2:$B$9999="Variant")*(Raw_Data_Daily!$A$2:$A$9999=$A40)*(Raw_Data_Daily!$C$2:$C$9999=$C$3)*Raw_Data_Daily!$D$2:$D$9999*(Raw_Data_Daily!$Q$2:$Q$9999-Raw_Data_Daily!$V$2:$V$9999))/SUMIFS(Raw_Data_Daily!$D:$D, Raw_Data_Daily!$B:$B, "Variant", Raw_Data_Daily!$A:$A, $A40, Raw_Data_Daily!$C:$C, $C$3),""))</f>
        <v/>
      </c>
      <c r="BI40" s="253" t="str">
        <f t="shared" si="20"/>
        <v/>
      </c>
      <c r="BJ40" s="254" t="str">
        <f>IF($A40="","",IFERROR(SUMPRODUCT((Raw_Data_Daily!$B$2:$B$9999="Control")*(Raw_Data_Daily!$A$2:$A$9999=$A40)*(Raw_Data_Daily!$C$2:$C$9999=$C$3)*Raw_Data_Daily!$D$2:$D$9999*Raw_Data_Daily!$W$2:$W$9999)/SUMIFS(Raw_Data_Daily!$D:$D, Raw_Data_Daily!$B:$B, "Control", Raw_Data_Daily!$A:$A, $A40, Raw_Data_Daily!$C:$C, $C$3),""))</f>
        <v/>
      </c>
      <c r="BK40" s="246" t="str">
        <f>IF($A40="","",IFERROR(SUMPRODUCT((Raw_Data_Daily!$B$2:$B$9999="Variant")*(Raw_Data_Daily!$A$2:$A$9999=$A40)*(Raw_Data_Daily!$C$2:$C$9999=$C$3)*Raw_Data_Daily!$D$2:$D$9999*Raw_Data_Daily!$W$2:$W$9999)/SUMIFS(Raw_Data_Daily!$D:$D, Raw_Data_Daily!$B:$B, "Variant", Raw_Data_Daily!$A:$A, $A40, Raw_Data_Daily!$C:$C, $C$3),""))</f>
        <v/>
      </c>
      <c r="BL40" s="241" t="str">
        <f t="shared" si="21"/>
        <v/>
      </c>
      <c r="BM40" s="248" t="str">
        <f>IF($A40="","",IFERROR(SUMPRODUCT((Raw_Data_Daily!$B$2:$B$9999="Control")*(Raw_Data_Daily!$A$2:$A$9999=$A40)*(Raw_Data_Daily!$C$2:$C$9999=$C$3)*Raw_Data_Daily!$D$2:$D$9999*Raw_Data_Daily!$X$2:$X$9999)/SUMIFS(Raw_Data_Daily!$D:$D, Raw_Data_Daily!$B:$B, "Control", Raw_Data_Daily!$A:$A, $A40, Raw_Data_Daily!$C:$C, $C$3),""))</f>
        <v/>
      </c>
      <c r="BN40" s="248" t="str">
        <f>IF($A40="","",IFERROR(SUMPRODUCT((Raw_Data_Daily!$B$2:$B$9999="Variant")*(Raw_Data_Daily!$A$2:$A$9999=$A40)*(Raw_Data_Daily!$C$2:$C$9999=$C$3)*Raw_Data_Daily!$D$2:$D$9999*Raw_Data_Daily!$X$2:$X$9999)/SUMIFS(Raw_Data_Daily!$D:$D, Raw_Data_Daily!$B:$B, "Variant", Raw_Data_Daily!$A:$A, $A40, Raw_Data_Daily!$C:$C, $C$3),""))</f>
        <v/>
      </c>
      <c r="BO40" s="244" t="str">
        <f t="shared" si="22"/>
        <v/>
      </c>
      <c r="BP40" s="240" t="str">
        <f>IF($A40="","",IFERROR(SUMPRODUCT((Raw_Data_Daily!$B$2:$B$9999="Control")*(Raw_Data_Daily!$A$2:$A$9999=$A40)*(Raw_Data_Daily!$C$2:$C$9999=$C$3)*Raw_Data_Daily!$D$2:$D$9999*Raw_Data_Daily!$Y$2:$Y$9999)/SUMIFS(Raw_Data_Daily!$D:$D, Raw_Data_Daily!$B:$B, "Control", Raw_Data_Daily!$A:$A, $A40, Raw_Data_Daily!$C:$C, $C$3),""))</f>
        <v/>
      </c>
      <c r="BQ40" s="240" t="str">
        <f>IF($A40="","",IFERROR(SUMPRODUCT((Raw_Data_Daily!$B$2:$B$9999="Variant")*(Raw_Data_Daily!$A$2:$A$9999=$A40)*(Raw_Data_Daily!$C$2:$C$9999=$C$3)*Raw_Data_Daily!$D$2:$D$9999*Raw_Data_Daily!$Y$2:$Y$9999)/SUMIFS(Raw_Data_Daily!$D:$D, Raw_Data_Daily!$B:$B, "Variant", Raw_Data_Daily!$A:$A, $A40, Raw_Data_Daily!$C:$C, $C$3),""))</f>
        <v/>
      </c>
      <c r="BR40" s="241" t="str">
        <f t="shared" si="23"/>
        <v/>
      </c>
      <c r="BS40" s="240" t="str">
        <f>IF($A40="","",IFERROR(SUMPRODUCT((Raw_Data_Daily!$B$2:$B$9999="Control")*(Raw_Data_Daily!$A$2:$A$9999=$A40)*(Raw_Data_Daily!$C$2:$C$9999=$C$3)*Raw_Data_Daily!$D$2:$D$9999*Raw_Data_Daily!$Z$2:$Z$9999)/SUMIFS(Raw_Data_Daily!$D:$D, Raw_Data_Daily!$B:$B, "Control", Raw_Data_Daily!$A:$A, $A40, Raw_Data_Daily!$C:$C, $C$3),""))</f>
        <v/>
      </c>
      <c r="BT40" s="240" t="str">
        <f>IF($A40="","",IFERROR(SUMPRODUCT((Raw_Data_Daily!$B$2:$B$9999="Variant")*(Raw_Data_Daily!$A$2:$A$9999=$A40)*(Raw_Data_Daily!$C$2:$C$9999=$C$3)*Raw_Data_Daily!$D$2:$D$9999*Raw_Data_Daily!$Z$2:$Z$9999)/SUMIFS(Raw_Data_Daily!$D:$D, Raw_Data_Daily!$B:$B, "Variant", Raw_Data_Daily!$A:$A, $A40, Raw_Data_Daily!$C:$C, $C$3),""))</f>
        <v/>
      </c>
      <c r="BU40" s="241" t="str">
        <f t="shared" si="24"/>
        <v/>
      </c>
      <c r="BV40" s="240" t="str">
        <f>IF($A40="","",IFERROR(SUMPRODUCT((Raw_Data_Daily!$B$2:$B$9999="Control")*(Raw_Data_Daily!$A$2:$A$9999=$A40)*(Raw_Data_Daily!$C$2:$C$9999=$C$3)*Raw_Data_Daily!$D$2:$D$9999*Raw_Data_Daily!$AA$2:$AA$9999)/SUMIFS(Raw_Data_Daily!$D:$D, Raw_Data_Daily!$B:$B, "Control", Raw_Data_Daily!$A:$A, $A40, Raw_Data_Daily!$C:$C, $C$3),""))</f>
        <v/>
      </c>
      <c r="BW40" s="240" t="str">
        <f>IF($A40="","",IFERROR(SUMPRODUCT((Raw_Data_Daily!$B$2:$B$9999="Variant")*(Raw_Data_Daily!$A$2:$A$9999=$A40)*(Raw_Data_Daily!$C$2:$C$9999=$C$3)*Raw_Data_Daily!$D$2:$D$9999*Raw_Data_Daily!$AA$2:$AA$9999)/SUMIFS(Raw_Data_Daily!$D:$D, Raw_Data_Daily!$B:$B, "Variant", Raw_Data_Daily!$A:$A, $A40, Raw_Data_Daily!$C:$C, $C$3),""))</f>
        <v/>
      </c>
      <c r="BX40" s="241" t="str">
        <f t="shared" si="25"/>
        <v/>
      </c>
      <c r="BY40" s="246" t="str">
        <f>IF($A40="","",IFERROR(SUMPRODUCT((Raw_Data_Daily!$B$2:$B$9999="Control")*(Raw_Data_Daily!$A$2:$A$9999=$A40)*(Raw_Data_Daily!$C$2:$C$9999=$C$3)*Raw_Data_Daily!$D$2:$D$9999*Raw_Data_Daily!$AB$2:$AB$9999)/SUMIFS(Raw_Data_Daily!$D:$D, Raw_Data_Daily!$B:$B, "Control", Raw_Data_Daily!$A:$A, $A40, Raw_Data_Daily!$C:$C, $C$3),""))</f>
        <v/>
      </c>
      <c r="BZ40" s="246" t="str">
        <f>IF($A40="","",IFERROR(SUMPRODUCT((Raw_Data_Daily!$B$2:$B$9999="Variant")*(Raw_Data_Daily!$A$2:$A$9999=$A40)*(Raw_Data_Daily!$C$2:$C$9999=$C$3)*Raw_Data_Daily!$D$2:$D$9999*Raw_Data_Daily!$AB$2:$AB$9999)/SUMIFS(Raw_Data_Daily!$D:$D, Raw_Data_Daily!$B:$B, "Variant", Raw_Data_Daily!$A:$A, $A40, Raw_Data_Daily!$C:$C, $C$3),""))</f>
        <v/>
      </c>
      <c r="CA40" s="244" t="str">
        <f t="shared" si="26"/>
        <v/>
      </c>
      <c r="CB40" s="246" t="str">
        <f>IF($A40="","",IFERROR(SUMPRODUCT((Raw_Data_Daily!$B$2:$B$9999="Control")*(Raw_Data_Daily!$A$2:$A$9999=$A40)*(Raw_Data_Daily!$C$2:$C$9999=$C$3)*Raw_Data_Daily!$D$2:$D$9999*Raw_Data_Daily!$AC$2:$AC$9999)/SUMIFS(Raw_Data_Daily!$D:$D, Raw_Data_Daily!$B:$B, "Control", Raw_Data_Daily!$A:$A, $A40, Raw_Data_Daily!$C:$C, $C$3),""))</f>
        <v/>
      </c>
      <c r="CC40" s="246" t="str">
        <f>IF($A40="","",IFERROR(SUMPRODUCT((Raw_Data_Daily!$B$2:$B$9999="Variant")*(Raw_Data_Daily!$A$2:$A$9999=$A40)*(Raw_Data_Daily!$C$2:$C$9999=$C$3)*Raw_Data_Daily!$D$2:$D$9999*Raw_Data_Daily!$AC$2:$AC$9999)/SUMIFS(Raw_Data_Daily!$D:$D, Raw_Data_Daily!$B:$B, "Variant", Raw_Data_Daily!$A:$A, $A40, Raw_Data_Daily!$C:$C, $C$3),""))</f>
        <v/>
      </c>
      <c r="CD40" s="244" t="str">
        <f t="shared" si="27"/>
        <v/>
      </c>
      <c r="CE40" s="246" t="str">
        <f>IF($A40="","",IFERROR(SUMPRODUCT((Raw_Data_Daily!$B$2:$B$9999="Control")*(Raw_Data_Daily!$A$2:$A$9999=$A40)*(Raw_Data_Daily!$C$2:$C$9999=$C$3)*Raw_Data_Daily!$D$2:$D$9999*Raw_Data_Daily!$AD$2:$AD$9999)/SUMIFS(Raw_Data_Daily!$D:$D, Raw_Data_Daily!$B:$B, "Control", Raw_Data_Daily!$A:$A, $A40, Raw_Data_Daily!$C:$C, $C$3),""))</f>
        <v/>
      </c>
      <c r="CF40" s="246" t="str">
        <f>IF($A40="","",IFERROR(SUMPRODUCT((Raw_Data_Daily!$B$2:$B$9999="Variant")*(Raw_Data_Daily!$A$2:$A$9999=$A40)*(Raw_Data_Daily!$C$2:$C$9999=$C$3)*Raw_Data_Daily!$D$2:$D$9999*Raw_Data_Daily!$AD$2:$AD$9999)/SUMIFS(Raw_Data_Daily!$D:$D, Raw_Data_Daily!$B:$B, "Variant", Raw_Data_Daily!$A:$A, $A40, Raw_Data_Daily!$C:$C, $C$3),""))</f>
        <v/>
      </c>
      <c r="CG40" s="244" t="str">
        <f t="shared" si="28"/>
        <v/>
      </c>
      <c r="CH40" s="246" t="str">
        <f>IF($A40="","",IFERROR(SUMPRODUCT((Raw_Data_Daily!$B$2:$B$9999="Control")*(Raw_Data_Daily!$A$2:$A$9999=$A40)*(Raw_Data_Daily!$C$2:$C$9999=$C$3)*Raw_Data_Daily!$D$2:$D$9999*Raw_Data_Daily!$AE$2:$AE$9999)/SUMIFS(Raw_Data_Daily!$D:$D, Raw_Data_Daily!$B:$B, "Control", Raw_Data_Daily!$A:$A, $A40, Raw_Data_Daily!$C:$C, $C$3),""))</f>
        <v/>
      </c>
      <c r="CI40" s="246" t="str">
        <f>IF($A40="","",IFERROR(SUMPRODUCT((Raw_Data_Daily!$B$2:$B$9999="Variant")*(Raw_Data_Daily!$A$2:$A$9999=$A40)*(Raw_Data_Daily!$C$2:$C$9999=$C$3)*Raw_Data_Daily!$D$2:$D$9999*Raw_Data_Daily!$AE$2:$AE$9999)/SUMIFS(Raw_Data_Daily!$D:$D, Raw_Data_Daily!$B:$B, "Variant", Raw_Data_Daily!$A:$A, $A40, Raw_Data_Daily!$C:$C, $C$3),""))</f>
        <v/>
      </c>
      <c r="CJ40" s="244" t="str">
        <f t="shared" si="29"/>
        <v/>
      </c>
      <c r="CK40" s="246" t="str">
        <f>IF($A40="","",IFERROR(SUMPRODUCT((Raw_Data_Daily!$B$2:$B$9999="Control")*(Raw_Data_Daily!$A$2:$A$9999=$A40)*(Raw_Data_Daily!$C$2:$C$9999=$C$3)*Raw_Data_Daily!$D$2:$D$9999*Raw_Data_Daily!$AF$2:$AF$9999)/SUMIFS(Raw_Data_Daily!$D:$D, Raw_Data_Daily!$B:$B, "Control", Raw_Data_Daily!$A:$A, $A40, Raw_Data_Daily!$C:$C, $C$3),""))</f>
        <v/>
      </c>
      <c r="CL40" s="246" t="str">
        <f>IF($A40="","",IFERROR(SUMPRODUCT((Raw_Data_Daily!$B$2:$B$9999="Variant")*(Raw_Data_Daily!$A$2:$A$9999=$A40)*(Raw_Data_Daily!$C$2:$C$9999=$C$3)*Raw_Data_Daily!$D$2:$D$9999*Raw_Data_Daily!$AF$2:$AF$9999)/SUMIFS(Raw_Data_Daily!$D:$D, Raw_Data_Daily!$B:$B, "Variant", Raw_Data_Daily!$A:$A, $A40, Raw_Data_Daily!$C:$C, $C$3),""))</f>
        <v/>
      </c>
      <c r="CM40" s="244" t="str">
        <f t="shared" si="30"/>
        <v/>
      </c>
      <c r="CN40" s="246" t="str">
        <f>IF($A40="","",IFERROR(SUMPRODUCT((Raw_Data_Daily!$B$2:$B$9999="Control")*(Raw_Data_Daily!$A$2:$A$9999=$A40)*(Raw_Data_Daily!$C$2:$C$9999=$C$3)*Raw_Data_Daily!$D$2:$D$9999*Raw_Data_Daily!$AG$2:$AG$9999)/SUMIFS(Raw_Data_Daily!$D:$D, Raw_Data_Daily!$B:$B, "Control", Raw_Data_Daily!$A:$A, $A40, Raw_Data_Daily!$C:$C, $C$3),""))</f>
        <v/>
      </c>
      <c r="CO40" s="246" t="str">
        <f>IF($A40="","",IFERROR(SUMPRODUCT((Raw_Data_Daily!$B$2:$B$9999="Variant")*(Raw_Data_Daily!$A$2:$A$9999=$A40)*(Raw_Data_Daily!$C$2:$C$9999=$C$3)*Raw_Data_Daily!$D$2:$D$9999*Raw_Data_Daily!$AG$2:$AG$9999)/SUMIFS(Raw_Data_Daily!$D:$D, Raw_Data_Daily!$B:$B, "Variant", Raw_Data_Daily!$A:$A, $A40, Raw_Data_Daily!$C:$C, $C$3),""))</f>
        <v/>
      </c>
      <c r="CP40" s="244" t="str">
        <f t="shared" si="31"/>
        <v/>
      </c>
      <c r="CQ40" s="246" t="str">
        <f>IF($A40="","",IFERROR(SUMPRODUCT((Raw_Data_Daily!$B$2:$B$9999="Control")*(Raw_Data_Daily!$A$2:$A$9999=$A40)*(Raw_Data_Daily!$C$2:$C$9999=$C$3)*Raw_Data_Daily!$D$2:$D$9999*Raw_Data_Daily!$AH$2:$AH$9999)/SUMIFS(Raw_Data_Daily!$D:$D, Raw_Data_Daily!$B:$B, "Control", Raw_Data_Daily!$A:$A, $A40, Raw_Data_Daily!$C:$C, $C$3),""))</f>
        <v/>
      </c>
      <c r="CR40" s="246" t="str">
        <f>IF($A40="","",IFERROR(SUMPRODUCT((Raw_Data_Daily!$B$2:$B$9999="Variant")*(Raw_Data_Daily!$A$2:$A$9999=$A40)*(Raw_Data_Daily!$C$2:$C$9999=$C$3)*Raw_Data_Daily!$D$2:$D$9999*Raw_Data_Daily!$AH$2:$AH$9999)/SUMIFS(Raw_Data_Daily!$D:$D, Raw_Data_Daily!$B:$B, "Variant", Raw_Data_Daily!$A:$A, $A40, Raw_Data_Daily!$C:$C, $C$3),""))</f>
        <v/>
      </c>
      <c r="CS40" s="244" t="str">
        <f t="shared" si="32"/>
        <v/>
      </c>
      <c r="CT40" s="242" t="str">
        <f>IF($A40="","",IFERROR(SUMPRODUCT((Raw_Data_Daily!$B$2:$B$9999="Control")*(Raw_Data_Daily!$A$2:$A$9999=$A40)*(Raw_Data_Daily!$C$2:$C$9999=$C$3)*Raw_Data_Daily!$D$2:$D$9999*Raw_Data_Daily!$AI$2:$AI$9999)/SUMIFS(Raw_Data_Daily!$D:$D, Raw_Data_Daily!$B:$B, "Control", Raw_Data_Daily!$A:$A, $A40, Raw_Data_Daily!$C:$C, $C$3),""))</f>
        <v/>
      </c>
      <c r="CU40" s="242" t="str">
        <f>IF($A40="","",IFERROR(SUMPRODUCT((Raw_Data_Daily!$B$2:$B$9999="Variant")*(Raw_Data_Daily!$A$2:$A$9999=$A40)*(Raw_Data_Daily!$C$2:$C$9999=$C$3)*Raw_Data_Daily!$D$2:$D$9999*Raw_Data_Daily!$AI$2:$AI$9999)/SUMIFS(Raw_Data_Daily!$D:$D, Raw_Data_Daily!$B:$B, "Variant", Raw_Data_Daily!$A:$A, $A40, Raw_Data_Daily!$C:$C, $C$3),""))</f>
        <v/>
      </c>
      <c r="CV40" s="249" t="str">
        <f t="shared" si="33"/>
        <v/>
      </c>
      <c r="CW40" s="242" t="str">
        <f>IF($A40="","",IFERROR(SUMPRODUCT((Raw_Data_Daily!$B$2:$B$9999="Control")*(Raw_Data_Daily!$A$2:$A$9999=$A40)*(Raw_Data_Daily!$C$2:$C$9999=$C$3)*Raw_Data_Daily!$D$2:$D$9999*Raw_Data_Daily!$AJ$2:$AJ$9999)/SUMIFS(Raw_Data_Daily!$D:$D, Raw_Data_Daily!$B:$B, "Control", Raw_Data_Daily!$A:$A, $A40, Raw_Data_Daily!$C:$C, $C$3),""))</f>
        <v/>
      </c>
      <c r="CX40" s="242" t="str">
        <f>IF($A40="","",IFERROR(SUMPRODUCT((Raw_Data_Daily!$B$2:$B$9999="Variant")*(Raw_Data_Daily!$A$2:$A$9999=$A40)*(Raw_Data_Daily!$C$2:$C$9999=$C$3)*Raw_Data_Daily!$D$2:$D$9999*Raw_Data_Daily!$AJ$2:$AJ$9999)/SUMIFS(Raw_Data_Daily!$D:$D, Raw_Data_Daily!$B:$B, "Variant", Raw_Data_Daily!$A:$A, $A40, Raw_Data_Daily!$C:$C, $C$3),""))</f>
        <v/>
      </c>
      <c r="CY40" s="249" t="str">
        <f t="shared" si="34"/>
        <v/>
      </c>
      <c r="CZ40" s="242" t="str">
        <f>IF($A40="","",IFERROR(SUMPRODUCT((Raw_Data_Daily!$B$2:$B$9999="Control")*(Raw_Data_Daily!$A$2:$A$9999=$A40)*(Raw_Data_Daily!$C$2:$C$9999=$C$3)*Raw_Data_Daily!$D$2:$D$9999*Raw_Data_Daily!$AK$2:$AK$9999)/SUMIFS(Raw_Data_Daily!$D:$D, Raw_Data_Daily!$B:$B, "Control", Raw_Data_Daily!$A:$A, $A40, Raw_Data_Daily!$C:$C, $C$3),""))</f>
        <v/>
      </c>
      <c r="DA40" s="242" t="str">
        <f>IF($A40="","",IFERROR(SUMPRODUCT((Raw_Data_Daily!$B$2:$B$9999="Variant")*(Raw_Data_Daily!$A$2:$A$9999=$A40)*(Raw_Data_Daily!$C$2:$C$9999=$C$3)*Raw_Data_Daily!$D$2:$D$9999*Raw_Data_Daily!$AK$2:$AK$9999)/SUMIFS(Raw_Data_Daily!$D:$D, Raw_Data_Daily!$B:$B, "Variant", Raw_Data_Daily!$A:$A, $A40, Raw_Data_Daily!$C:$C, $C$3),""))</f>
        <v/>
      </c>
      <c r="DB40" s="244" t="str">
        <f t="shared" si="35"/>
        <v/>
      </c>
      <c r="DC40" s="248" t="str">
        <f>IF($A40="","",IFERROR(SUMPRODUCT((Raw_Data_Daily!$B$2:$B$9999="Control")*(Raw_Data_Daily!$A$2:$A$9999=$A40)*(Raw_Data_Daily!$C$2:$C$9999=$C$3)*Raw_Data_Daily!$D$2:$D$9999*Raw_Data_Daily!$AL$2:$AL$9999)/SUMIFS(Raw_Data_Daily!$D:$D, Raw_Data_Daily!$B:$B, "Control", Raw_Data_Daily!$A:$A, $A40, Raw_Data_Daily!$C:$C, $C$3),""))</f>
        <v/>
      </c>
      <c r="DD40" s="248" t="str">
        <f>IF($A40="","",IFERROR(SUMPRODUCT((Raw_Data_Daily!$B$2:$B$9999="Variant")*(Raw_Data_Daily!$A$2:$A$9999=$A40)*(Raw_Data_Daily!$C$2:$C$9999=$C$3)*Raw_Data_Daily!$D$2:$D$9999*Raw_Data_Daily!$AL$2:$AL$9999)/SUMIFS(Raw_Data_Daily!$D:$D, Raw_Data_Daily!$B:$B, "Variant", Raw_Data_Daily!$A:$A, $A40, Raw_Data_Daily!$C:$C, $C$3),""))</f>
        <v/>
      </c>
      <c r="DE40" s="249" t="str">
        <f t="shared" si="36"/>
        <v/>
      </c>
      <c r="DF40" s="255"/>
      <c r="DG40" s="242" t="str">
        <f>IF($A40="","",IFERROR(SUMPRODUCT((Raw_Data_Daily!$B$2:$B$9999="Variant")*(Raw_Data_Daily!$A$2:$A$9999=$A40)*(Raw_Data_Daily!$C$2:$C$9999=$C$3)*Raw_Data_Daily!$D$2:$D$9999*Raw_Data_Daily!$AM$2:$AM$9999)/SUMIFS(Raw_Data_Daily!$D:$D, Raw_Data_Daily!$B:$B, "Variant", Raw_Data_Daily!$A:$A, $A40, Raw_Data_Daily!$C:$C, $C$3),""))</f>
        <v/>
      </c>
      <c r="DH40" s="256"/>
      <c r="DI40" s="255"/>
      <c r="DJ40" s="242" t="str">
        <f>IF($A40="","",IFERROR(SUMPRODUCT((Raw_Data_Daily!$B$2:$B$9999="Variant")*(Raw_Data_Daily!$A$2:$A$9999=$A40)*(Raw_Data_Daily!$C$2:$C$9999=$C$3)*Raw_Data_Daily!$D$2:$D$9999*Raw_Data_Daily!$AN$2:$AN$9999)/SUMIFS(Raw_Data_Daily!$D:$D, Raw_Data_Daily!$B:$B, "Variant", Raw_Data_Daily!$A:$A, $A40, Raw_Data_Daily!$C:$C, $C$3),""))</f>
        <v/>
      </c>
      <c r="DK40" s="256"/>
      <c r="DL40" s="255"/>
      <c r="DM40" s="242" t="str">
        <f>IF($A40="","",IFERROR(SUMPRODUCT((Raw_Data_Daily!$B$2:$B$9999="Variant")*(Raw_Data_Daily!$A$2:$A$9999=$A40)*(Raw_Data_Daily!$C$2:$C$9999=$C$3)*Raw_Data_Daily!$D$2:$D$9999*Raw_Data_Daily!$AO$2:$AO$9999)/SUMIFS(Raw_Data_Daily!$D:$D, Raw_Data_Daily!$B:$B, "Variant", Raw_Data_Daily!$A:$A, $A40, Raw_Data_Daily!$C:$C, $C$3),""))</f>
        <v/>
      </c>
      <c r="DN40" s="256"/>
      <c r="DO40" s="255"/>
      <c r="DP40" s="242" t="str">
        <f>IF($A40="","",IFERROR(SUMPRODUCT((Raw_Data_Daily!$B$2:$B$9999="Variant")*(Raw_Data_Daily!$A$2:$A$9999=$A40)*(Raw_Data_Daily!$C$2:$C$9999=$C$3)*Raw_Data_Daily!$D$2:$D$9999*Raw_Data_Daily!$AP$2:$AP$9999)/SUMIFS(Raw_Data_Daily!$D:$D, Raw_Data_Daily!$B:$B, "Variant", Raw_Data_Daily!$A:$A, $A40, Raw_Data_Daily!$C:$C, $C$3),""))</f>
        <v/>
      </c>
      <c r="DQ40" s="256"/>
      <c r="DR40" s="248" t="str">
        <f>IF($A40="","",IFERROR(SUMPRODUCT((Raw_Data_Daily!$B$2:$B$9999="Control")*(Raw_Data_Daily!$A$2:$A$9999=$A40)*(Raw_Data_Daily!$C$2:$C$9999=$C$3)*Raw_Data_Daily!$D$2:$D$9999*Raw_Data_Daily!$AQ$2:$AQ$9999)/SUMIFS(Raw_Data_Daily!$D:$D, Raw_Data_Daily!$B:$B, "Control", Raw_Data_Daily!$A:$A, $A40, Raw_Data_Daily!$C:$C, $C$3),""))</f>
        <v/>
      </c>
      <c r="DS40" s="248" t="str">
        <f>IF($A40="","",IFERROR(SUMPRODUCT((Raw_Data_Daily!$B$2:$B$9999="Variant")*(Raw_Data_Daily!$A$2:$A$9999=$A40)*(Raw_Data_Daily!$C$2:$C$9999=$C$3)*Raw_Data_Daily!$D$2:$D$9999*Raw_Data_Daily!$AQ$2:$AQ$9999)/SUMIFS(Raw_Data_Daily!$D:$D, Raw_Data_Daily!$B:$B, "Variant", Raw_Data_Daily!$A:$A, $A40, Raw_Data_Daily!$C:$C, $C$3),""))</f>
        <v/>
      </c>
      <c r="DT40" s="257" t="str">
        <f t="shared" si="37"/>
        <v/>
      </c>
      <c r="DU40" s="248" t="str">
        <f>IF($A40="","",IFERROR(SUMPRODUCT((Raw_Data_Daily!$B$2:$B$9999="Control")*(Raw_Data_Daily!$A$2:$A$9999=$A40)*(Raw_Data_Daily!$C$2:$C$9999=$C$3)*Raw_Data_Daily!$D$2:$D$9999*Raw_Data_Daily!$AR$2:$AR$9999)/SUMIFS(Raw_Data_Daily!$D:$D, Raw_Data_Daily!$B:$B, "Control", Raw_Data_Daily!$A:$A, $A40, Raw_Data_Daily!$C:$C, $C$3),""))</f>
        <v/>
      </c>
      <c r="DV40" s="248" t="str">
        <f>IF($A40="","",IFERROR(SUMPRODUCT((Raw_Data_Daily!$B$2:$B$9999="Variant")*(Raw_Data_Daily!$A$2:$A$9999=$A40)*(Raw_Data_Daily!$C$2:$C$9999=$C$3)*Raw_Data_Daily!$D$2:$D$9999*Raw_Data_Daily!$AR$2:$AR$9999)/SUMIFS(Raw_Data_Daily!$D:$D, Raw_Data_Daily!$B:$B, "Variant", Raw_Data_Daily!$A:$A, $A40, Raw_Data_Daily!$C:$C, $C$3),""))</f>
        <v/>
      </c>
      <c r="DW40" s="257" t="str">
        <f t="shared" si="38"/>
        <v/>
      </c>
      <c r="DX40" s="248" t="str">
        <f>IF($A40="","",IFERROR(SUMPRODUCT((Raw_Data_Daily!$B$2:$B$9999="Control")*(Raw_Data_Daily!$A$2:$A$9999=$A40)*(Raw_Data_Daily!$C$2:$C$9999=$C$3)*Raw_Data_Daily!$D$2:$D$9999*Raw_Data_Daily!$AS$2:$AS$9999)/SUMIFS(Raw_Data_Daily!$D:$D, Raw_Data_Daily!$B:$B, "Control", Raw_Data_Daily!$A:$A, $A40, Raw_Data_Daily!$C:$C, $C$3),""))</f>
        <v/>
      </c>
      <c r="DY40" s="248" t="str">
        <f>IF($A40="","",IFERROR(SUMPRODUCT((Raw_Data_Daily!$B$2:$B$9999="Variant")*(Raw_Data_Daily!$A$2:$A$9999=$A40)*(Raw_Data_Daily!$C$2:$C$9999=$C$3)*Raw_Data_Daily!$D$2:$D$9999*Raw_Data_Daily!$AS$2:$AS$9999)/SUMIFS(Raw_Data_Daily!$D:$D, Raw_Data_Daily!$B:$B, "Variant", Raw_Data_Daily!$A:$A, $A40, Raw_Data_Daily!$C:$C, $C$3),""))</f>
        <v/>
      </c>
      <c r="DZ40" s="257" t="str">
        <f t="shared" si="39"/>
        <v/>
      </c>
      <c r="EA40" s="248" t="str">
        <f>IF($A40="","",IFERROR(SUMPRODUCT((Raw_Data_Daily!$B$2:$B$9999="Control")*(Raw_Data_Daily!$A$2:$A$9999=$A40)*(Raw_Data_Daily!$C$2:$C$9999=$C$3)*Raw_Data_Daily!$D$2:$D$9999*Raw_Data_Daily!$AT$2:$AT$9999)/SUMIFS(Raw_Data_Daily!$D:$D, Raw_Data_Daily!$B:$B, "Control", Raw_Data_Daily!$A:$A, $A40, Raw_Data_Daily!$C:$C, $C$3),""))</f>
        <v/>
      </c>
      <c r="EB40" s="248" t="str">
        <f>IF($A40="","",IFERROR(SUMPRODUCT((Raw_Data_Daily!$B$2:$B$9999="Variant")*(Raw_Data_Daily!$A$2:$A$9999=$A40)*(Raw_Data_Daily!$C$2:$C$9999=$C$3)*Raw_Data_Daily!$D$2:$D$9999*Raw_Data_Daily!$AT$2:$AT$9999)/SUMIFS(Raw_Data_Daily!$D:$D, Raw_Data_Daily!$B:$B, "Variant", Raw_Data_Daily!$A:$A, $A40, Raw_Data_Daily!$C:$C, $C$3),""))</f>
        <v/>
      </c>
      <c r="EC40" s="257" t="str">
        <f t="shared" si="40"/>
        <v/>
      </c>
      <c r="ED40" s="248" t="str">
        <f>IF($A40="","",IFERROR(SUMPRODUCT((Raw_Data_Daily!$B$2:$B$9999="Control")*(Raw_Data_Daily!$A$2:$A$9999=$A40)*(Raw_Data_Daily!$C$2:$C$9999=$C$3)*Raw_Data_Daily!$D$2:$D$9999*(Raw_Data_Daily!$AQ$2:$AQ$9999-Raw_Data_Daily!$AT$2:$AT$9999))/SUMIFS(Raw_Data_Daily!$D:$D, Raw_Data_Daily!$B:$B, "Control", Raw_Data_Daily!$A:$A, $A40, Raw_Data_Daily!$C:$C, $C$3),""))</f>
        <v/>
      </c>
      <c r="EE40" s="248" t="str">
        <f>IF($A40="","",IFERROR(SUMPRODUCT((Raw_Data_Daily!$B$2:$B$9999="Variant")*(Raw_Data_Daily!$A$2:$A$9999=$A40)*(Raw_Data_Daily!$C$2:$C$9999=$C$3)*Raw_Data_Daily!$D$2:$D$9999*(Raw_Data_Daily!$AQ$2:$AQ$9999-Raw_Data_Daily!$AT$2:$AT$9999))/SUMIFS(Raw_Data_Daily!$D:$D, Raw_Data_Daily!$B:$B, "Variant", Raw_Data_Daily!$A:$A, $A40, Raw_Data_Daily!$C:$C, $C$3),""))</f>
        <v/>
      </c>
      <c r="EF40" s="257" t="str">
        <f t="shared" si="41"/>
        <v/>
      </c>
      <c r="EG40" s="248" t="str">
        <f>IF($A40="","",IFERROR(SUMPRODUCT((Raw_Data_Daily!$B$2:$B$9999="Control")*(Raw_Data_Daily!$A$2:$A$9999=$A40)*(Raw_Data_Daily!$C$2:$C$9999=$C$3)*Raw_Data_Daily!$D$2:$D$9999*Raw_Data_Daily!$AU$2:$AU$9999)/SUMIFS(Raw_Data_Daily!$D:$D, Raw_Data_Daily!$B:$B, "Control", Raw_Data_Daily!$A:$A, $A40, Raw_Data_Daily!$C:$C, $C$3),""))</f>
        <v/>
      </c>
      <c r="EH40" s="248" t="str">
        <f>IF($A40="","",IFERROR(SUMPRODUCT((Raw_Data_Daily!$B$2:$B$9999="Variant")*(Raw_Data_Daily!$A$2:$A$9999=$A40)*(Raw_Data_Daily!$C$2:$C$9999=$C$3)*Raw_Data_Daily!$D$2:$D$9999*Raw_Data_Daily!$AU$2:$AU$9999)/SUMIFS(Raw_Data_Daily!$D:$D, Raw_Data_Daily!$B:$B, "Variant", Raw_Data_Daily!$A:$A, $A40, Raw_Data_Daily!$C:$C, $C$3),""))</f>
        <v/>
      </c>
      <c r="EI40" s="257" t="str">
        <f t="shared" si="42"/>
        <v/>
      </c>
    </row>
    <row r="41" ht="15.75" customHeight="1">
      <c r="A41" s="239">
        <v>46264.0</v>
      </c>
      <c r="B41" s="240">
        <f>IF($A41="","",SUMIFS(Raw_Data_Daily!$D:$D, Raw_Data_Daily!$B:$B, "Control", Raw_Data_Daily!$A:$A, $A41, Raw_Data_Daily!$C:$C, $C$3))</f>
        <v>0</v>
      </c>
      <c r="C41" s="240">
        <f>IF($A41="","",SUMIFS(Raw_Data_Daily!$D:$D, Raw_Data_Daily!$B:$B, "Variant", Raw_Data_Daily!$A:$A, $A41, Raw_Data_Daily!$C:$C, $C$3))</f>
        <v>0</v>
      </c>
      <c r="D41" s="241" t="str">
        <f t="shared" si="1"/>
        <v/>
      </c>
      <c r="E41" s="242" t="str">
        <f>IF($A41="","",IFERROR(SUMPRODUCT((Raw_Data_Daily!$B$2:$B$9999="Control")*(Raw_Data_Daily!$A$2:$A$9999=$A41)*(Raw_Data_Daily!$C$2:$C$9999=$C$3)*Raw_Data_Daily!$D$2:$D$9999*Raw_Data_Daily!$E$2:$E$9999)/SUMIFS(Raw_Data_Daily!$D:$D, Raw_Data_Daily!$B:$B, "Control", Raw_Data_Daily!$A:$A, $A41, Raw_Data_Daily!$C:$C, $C$3),""))</f>
        <v/>
      </c>
      <c r="F41" s="242" t="str">
        <f>IF($A41="","",IFERROR(SUMPRODUCT((Raw_Data_Daily!$B$2:$B$9999="Variant")*(Raw_Data_Daily!$A$2:$A$9999=$A41)*(Raw_Data_Daily!$C$2:$C$9999=$C$3)*Raw_Data_Daily!$D$2:$D$9999*Raw_Data_Daily!$E$2:$E$9999)/SUMIFS(Raw_Data_Daily!$D:$D, Raw_Data_Daily!$B:$B, "Variant", Raw_Data_Daily!$A:$A, $A41, Raw_Data_Daily!$C:$C, $C$3),""))</f>
        <v/>
      </c>
      <c r="G41" s="241" t="str">
        <f t="shared" si="2"/>
        <v/>
      </c>
      <c r="H41" s="243">
        <f>IF($A41="","",SUMIFS(Raw_Data_Daily!$F:$F, Raw_Data_Daily!$B:$B, "Control", Raw_Data_Daily!$A:$A, $A41, Raw_Data_Daily!$C:$C, $C$3))</f>
        <v>0</v>
      </c>
      <c r="I41" s="243">
        <f>IF($A41="","",SUMIFS(Raw_Data_Daily!$F:$F, Raw_Data_Daily!$B:$B, "Variant", Raw_Data_Daily!$A:$A, $A41, Raw_Data_Daily!$C:$C, $C$3))</f>
        <v>0</v>
      </c>
      <c r="J41" s="244" t="str">
        <f t="shared" si="3"/>
        <v/>
      </c>
      <c r="K41" s="245" t="str">
        <f>IF($A41="","",IFERROR(SUMIFS(Raw_Data_Daily!$F:$F, Raw_Data_Daily!$B:$B, "Control", Raw_Data_Daily!$A:$A, $A41, Raw_Data_Daily!$C:$C, $C$3)/SUMIFS(Raw_Data_Daily!$D:$D, Raw_Data_Daily!$B:$B, "Control", Raw_Data_Daily!$A:$A, $A41, Raw_Data_Daily!$C:$C, $C$3),""))</f>
        <v/>
      </c>
      <c r="L41" s="245" t="str">
        <f>IF($A41="","",IFERROR(SUMIFS(Raw_Data_Daily!$F:$F, Raw_Data_Daily!$B:$B, "Variant", Raw_Data_Daily!$A:$A, $A41, Raw_Data_Daily!$C:$C, $C$3)/SUMIFS(Raw_Data_Daily!$D:$D, Raw_Data_Daily!$B:$B, "Variant", Raw_Data_Daily!$A:$A, $A41, Raw_Data_Daily!$C:$C, $C$3),""))</f>
        <v/>
      </c>
      <c r="M41" s="244" t="str">
        <f t="shared" si="4"/>
        <v/>
      </c>
      <c r="N41" s="242" t="str">
        <f>IF($A41="","",IFERROR(SUMPRODUCT((Raw_Data_Daily!$B$2:$B$9999="Control")*(Raw_Data_Daily!$A$2:$A$9999=$A41)*(Raw_Data_Daily!$C$2:$C$9999=$C$3)*Raw_Data_Daily!$D$2:$D$9999*Raw_Data_Daily!$H$2:$H$9999/100)/SUMIFS(Raw_Data_Daily!$D:$D, Raw_Data_Daily!$B:$B, "Control", Raw_Data_Daily!$A:$A, $A41, Raw_Data_Daily!$C:$C, $C$3)*100,""))</f>
        <v/>
      </c>
      <c r="O41" s="242" t="str">
        <f>IF($A41="","",IFERROR(SUMPRODUCT((Raw_Data_Daily!$B$2:$B$9999="Variant")*(Raw_Data_Daily!$A$2:$A$9999=$A41)*(Raw_Data_Daily!$C$2:$C$9999=$C$3)*Raw_Data_Daily!$D$2:$D$9999*Raw_Data_Daily!$H$2:$H$9999/100)/SUMIFS(Raw_Data_Daily!$D:$D, Raw_Data_Daily!$B:$B, "Variant", Raw_Data_Daily!$A:$A, $A41, Raw_Data_Daily!$C:$C, $C$3)*100,""))</f>
        <v/>
      </c>
      <c r="P41" s="244" t="str">
        <f t="shared" si="5"/>
        <v/>
      </c>
      <c r="Q41" s="245" t="str">
        <f>IF($A41="","",IFERROR(SUMIFS(Raw_Data_Daily!$F:$F, Raw_Data_Daily!$B:$B, "Control", Raw_Data_Daily!$A:$A, $A41, Raw_Data_Daily!$C:$C, $C$3)/SUMPRODUCT((Raw_Data_Daily!$B$2:$B$9999="Control")*(Raw_Data_Daily!$A$2:$A$9999=$A41)*(Raw_Data_Daily!$C$2:$C$9999=$C$3)*Raw_Data_Daily!$D$2:$D$9999*Raw_Data_Daily!$H$2:$H$9999/100),""))</f>
        <v/>
      </c>
      <c r="R41" s="245" t="str">
        <f>IF($A41="","",IFERROR(SUMIFS(Raw_Data_Daily!$F:$F, Raw_Data_Daily!$B:$B, "Variant", Raw_Data_Daily!$A:$A, $A41, Raw_Data_Daily!$C:$C, $C$3)/SUMPRODUCT((Raw_Data_Daily!$B$2:$B$9999="Variant")*(Raw_Data_Daily!$A$2:$A$9999=$A41)*(Raw_Data_Daily!$C$2:$C$9999=$C$3)*Raw_Data_Daily!$D$2:$D$9999*Raw_Data_Daily!$H$2:$H$9999/100),""))</f>
        <v/>
      </c>
      <c r="S41" s="244" t="str">
        <f t="shared" si="6"/>
        <v/>
      </c>
      <c r="T41" s="246" t="str">
        <f>IF($A41="","",IFERROR(SUMPRODUCT((Raw_Data_Daily!$B$2:$B$9999="Control")*(Raw_Data_Daily!$A$2:$A$9999=$A41)*(Raw_Data_Daily!$C$2:$C$9999=$C$3)*Raw_Data_Daily!$D$2:$D$9999*Raw_Data_Daily!$J$2:$J$9999)/SUMIFS(Raw_Data_Daily!$D:$D, Raw_Data_Daily!$B:$B, "Control", Raw_Data_Daily!$A:$A, $A41, Raw_Data_Daily!$C:$C, $C$3),""))</f>
        <v/>
      </c>
      <c r="U41" s="246" t="str">
        <f>IF($A41="","",IFERROR(SUMPRODUCT((Raw_Data_Daily!$B$2:$B$9999="Variant")*(Raw_Data_Daily!$A$2:$A$9999=$A41)*(Raw_Data_Daily!$C$2:$C$9999=$C$3)*Raw_Data_Daily!$D$2:$D$9999*Raw_Data_Daily!$J$2:$J$9999)/SUMIFS(Raw_Data_Daily!$D:$D, Raw_Data_Daily!$B:$B, "Variant", Raw_Data_Daily!$A:$A, $A41, Raw_Data_Daily!$C:$C, $C$3),""))</f>
        <v/>
      </c>
      <c r="V41" s="244" t="str">
        <f t="shared" si="7"/>
        <v/>
      </c>
      <c r="W41" s="246" t="str">
        <f>IF($A41="","",IFERROR(SUMPRODUCT((Raw_Data_Daily!$B$2:$B$9999="Control")*(Raw_Data_Daily!$A$2:$A$9999=$A41)*(Raw_Data_Daily!$C$2:$C$9999=$C$3)*Raw_Data_Daily!$D$2:$D$9999*Raw_Data_Daily!$K$2:$K$9999)/SUMIFS(Raw_Data_Daily!$D:$D, Raw_Data_Daily!$B:$B, "Control", Raw_Data_Daily!$A:$A, $A41, Raw_Data_Daily!$C:$C, $C$3),""))</f>
        <v/>
      </c>
      <c r="X41" s="246" t="str">
        <f>IF($A41="","",IFERROR(SUMPRODUCT((Raw_Data_Daily!$B$2:$B$9999="Variant")*(Raw_Data_Daily!$A$2:$A$9999=$A41)*(Raw_Data_Daily!$C$2:$C$9999=$C$3)*Raw_Data_Daily!$D$2:$D$9999*Raw_Data_Daily!$K$2:$K$9999)/SUMIFS(Raw_Data_Daily!$D:$D, Raw_Data_Daily!$B:$B, "Variant", Raw_Data_Daily!$A:$A, $A41, Raw_Data_Daily!$C:$C, $C$3),""))</f>
        <v/>
      </c>
      <c r="Y41" s="244" t="str">
        <f t="shared" si="8"/>
        <v/>
      </c>
      <c r="Z41" s="246" t="str">
        <f>IF($A41="","",IFERROR(SUMPRODUCT((Raw_Data_Daily!$B$2:$B$9999="Control")*(Raw_Data_Daily!$A$2:$A$9999=$A41)*(Raw_Data_Daily!$C$2:$C$9999=$C$3)*Raw_Data_Daily!$D$2:$D$9999*Raw_Data_Daily!$L$2:$L$9999)/SUMIFS(Raw_Data_Daily!$D:$D, Raw_Data_Daily!$B:$B, "Control", Raw_Data_Daily!$A:$A, $A41, Raw_Data_Daily!$C:$C, $C$3),""))</f>
        <v/>
      </c>
      <c r="AA41" s="246" t="str">
        <f>IF($A41="","",IFERROR(SUMPRODUCT((Raw_Data_Daily!$B$2:$B$9999="Variant")*(Raw_Data_Daily!$A$2:$A$9999=$A41)*(Raw_Data_Daily!$C$2:$C$9999=$C$3)*Raw_Data_Daily!$D$2:$D$9999*Raw_Data_Daily!$L$2:$L$9999)/SUMIFS(Raw_Data_Daily!$D:$D, Raw_Data_Daily!$B:$B, "Variant", Raw_Data_Daily!$A:$A, $A41, Raw_Data_Daily!$C:$C, $C$3),""))</f>
        <v/>
      </c>
      <c r="AB41" s="244" t="str">
        <f t="shared" si="9"/>
        <v/>
      </c>
      <c r="AC41" s="248" t="str">
        <f>IF($A41="","",IFERROR(SUMPRODUCT((Raw_Data_Daily!$B$2:$B$9999="Control")*(Raw_Data_Daily!$A$2:$A$9999=$A41)*(Raw_Data_Daily!$C$2:$C$9999=$C$3)*Raw_Data_Daily!$D$2:$D$9999*Raw_Data_Daily!$M$2:$M$9999)/SUMIFS(Raw_Data_Daily!$D:$D, Raw_Data_Daily!$B:$B, "Control", Raw_Data_Daily!$A:$A, $A41, Raw_Data_Daily!$C:$C, $C$3),""))</f>
        <v/>
      </c>
      <c r="AD41" s="248" t="str">
        <f>IF($A41="","",IFERROR(SUMPRODUCT((Raw_Data_Daily!$B$2:$B$9999="Variant")*(Raw_Data_Daily!$A$2:$A$9999=$A41)*(Raw_Data_Daily!$C$2:$C$9999=$C$3)*Raw_Data_Daily!$D$2:$D$9999*Raw_Data_Daily!$M$2:$M$9999)/SUMIFS(Raw_Data_Daily!$D:$D, Raw_Data_Daily!$B:$B, "Variant", Raw_Data_Daily!$A:$A, $A41, Raw_Data_Daily!$C:$C, $C$3),""))</f>
        <v/>
      </c>
      <c r="AE41" s="249" t="str">
        <f t="shared" si="10"/>
        <v/>
      </c>
      <c r="AF41" s="248" t="str">
        <f>IF($A41="","",IFERROR(SUMPRODUCT((Raw_Data_Daily!$B$2:$B$9999="Control")*(Raw_Data_Daily!$A$2:$A$9999=$A41)*(Raw_Data_Daily!$C$2:$C$9999=$C$3)*Raw_Data_Daily!$D$2:$D$9999*Raw_Data_Daily!$N$2:$N$9999)/SUMIFS(Raw_Data_Daily!$D:$D, Raw_Data_Daily!$B:$B, "Control", Raw_Data_Daily!$A:$A, $A41, Raw_Data_Daily!$C:$C, $C$3),""))</f>
        <v/>
      </c>
      <c r="AG41" s="248" t="str">
        <f>IF($A41="","",IFERROR(SUMPRODUCT((Raw_Data_Daily!$B$2:$B$9999="Variant")*(Raw_Data_Daily!$A$2:$A$9999=$A41)*(Raw_Data_Daily!$C$2:$C$9999=$C$3)*Raw_Data_Daily!$D$2:$D$9999*Raw_Data_Daily!$N$2:$N$9999)/SUMIFS(Raw_Data_Daily!$D:$D, Raw_Data_Daily!$B:$B, "Variant", Raw_Data_Daily!$A:$A, $A41, Raw_Data_Daily!$C:$C, $C$3),""))</f>
        <v/>
      </c>
      <c r="AH41" s="249" t="str">
        <f t="shared" si="11"/>
        <v/>
      </c>
      <c r="AI41" s="248" t="str">
        <f>IF($A41="","",IFERROR(SUMPRODUCT((Raw_Data_Daily!$B$2:$B$9999="Control")*(Raw_Data_Daily!$A$2:$A$9999=$A41)*(Raw_Data_Daily!$C$2:$C$9999=$C$3)*Raw_Data_Daily!$D$2:$D$9999*Raw_Data_Daily!$O$2:$O$9999)/SUMIFS(Raw_Data_Daily!$D:$D, Raw_Data_Daily!$B:$B, "Control", Raw_Data_Daily!$A:$A, $A41, Raw_Data_Daily!$C:$C, $C$3),""))</f>
        <v/>
      </c>
      <c r="AJ41" s="248" t="str">
        <f>IF($A41="","",IFERROR(SUMPRODUCT((Raw_Data_Daily!$B$2:$B$9999="Variant")*(Raw_Data_Daily!$A$2:$A$9999=$A41)*(Raw_Data_Daily!$C$2:$C$9999=$C$3)*Raw_Data_Daily!$D$2:$D$9999*Raw_Data_Daily!$O$2:$O$9999)/SUMIFS(Raw_Data_Daily!$D:$D, Raw_Data_Daily!$B:$B, "Variant", Raw_Data_Daily!$A:$A, $A41, Raw_Data_Daily!$C:$C, $C$3),""))</f>
        <v/>
      </c>
      <c r="AK41" s="244" t="str">
        <f t="shared" si="12"/>
        <v/>
      </c>
      <c r="AL41" s="246" t="str">
        <f>IF($A41="","",IFERROR(SUMPRODUCT((Raw_Data_Daily!$B$2:$B$9999="Control")*(Raw_Data_Daily!$A$2:$A$9999=$A41)*(Raw_Data_Daily!$C$2:$C$9999=$C$3)*Raw_Data_Daily!$D$2:$D$9999*Raw_Data_Daily!$P$2:$P$9999)/SUMIFS(Raw_Data_Daily!$D:$D, Raw_Data_Daily!$B:$B, "Control", Raw_Data_Daily!$A:$A, $A41, Raw_Data_Daily!$C:$C, $C$3),""))</f>
        <v/>
      </c>
      <c r="AM41" s="246" t="str">
        <f>IF($A41="","",IFERROR(SUMPRODUCT((Raw_Data_Daily!$B$2:$B$9999="Variant")*(Raw_Data_Daily!$A$2:$A$9999=$A41)*(Raw_Data_Daily!$C$2:$C$9999=$C$3)*Raw_Data_Daily!$D$2:$D$9999*Raw_Data_Daily!$P$2:$P$9999)/SUMIFS(Raw_Data_Daily!$D:$D, Raw_Data_Daily!$B:$B, "Variant", Raw_Data_Daily!$A:$A, $A41, Raw_Data_Daily!$C:$C, $C$3),""))</f>
        <v/>
      </c>
      <c r="AN41" s="244" t="str">
        <f t="shared" si="13"/>
        <v/>
      </c>
      <c r="AO41" s="246" t="str">
        <f>IF($A41="","",IFERROR(SUMPRODUCT((Raw_Data_Daily!$B$2:$B$9999="Control")*(Raw_Data_Daily!$A$2:$A$9999=$A41)*(Raw_Data_Daily!$C$2:$C$9999=$C$3)*Raw_Data_Daily!$D$2:$D$9999*Raw_Data_Daily!$Q$2:$Q$9999)/SUMIFS(Raw_Data_Daily!$D:$D, Raw_Data_Daily!$B:$B, "Control", Raw_Data_Daily!$A:$A, $A41, Raw_Data_Daily!$C:$C, $C$3),""))</f>
        <v/>
      </c>
      <c r="AP41" s="246" t="str">
        <f>IF($A41="","",IFERROR(SUMPRODUCT((Raw_Data_Daily!$B$2:$B$9999="Variant")*(Raw_Data_Daily!$A$2:$A$9999=$A41)*(Raw_Data_Daily!$C$2:$C$9999=$C$3)*Raw_Data_Daily!$D$2:$D$9999*Raw_Data_Daily!$Q$2:$Q$9999)/SUMIFS(Raw_Data_Daily!$D:$D, Raw_Data_Daily!$B:$B, "Variant", Raw_Data_Daily!$A:$A, $A41, Raw_Data_Daily!$C:$C, $C$3),""))</f>
        <v/>
      </c>
      <c r="AQ41" s="241" t="str">
        <f t="shared" si="14"/>
        <v/>
      </c>
      <c r="AR41" s="246" t="str">
        <f>IF($A41="","",IFERROR(SUMPRODUCT((Raw_Data_Daily!$B$2:$B$9999="Control")*(Raw_Data_Daily!$A$2:$A$9999=$A41)*(Raw_Data_Daily!$C$2:$C$9999=$C$3)*Raw_Data_Daily!$D$2:$D$9999*Raw_Data_Daily!$R$2:$R$9999)/SUMIFS(Raw_Data_Daily!$D:$D, Raw_Data_Daily!$B:$B, "Control", Raw_Data_Daily!$A:$A, $A41, Raw_Data_Daily!$C:$C, $C$3),""))</f>
        <v/>
      </c>
      <c r="AS41" s="246" t="str">
        <f>IF($A41="","",IFERROR(SUMPRODUCT((Raw_Data_Daily!$B$2:$B$9999="Variant")*(Raw_Data_Daily!$A$2:$A$9999=$A41)*(Raw_Data_Daily!$C$2:$C$9999=$C$3)*Raw_Data_Daily!$D$2:$D$9999*Raw_Data_Daily!$R$2:$R$9999)/SUMIFS(Raw_Data_Daily!$D:$D, Raw_Data_Daily!$B:$B, "Variant", Raw_Data_Daily!$A:$A, $A41, Raw_Data_Daily!$C:$C, $C$3),""))</f>
        <v/>
      </c>
      <c r="AT41" s="241" t="str">
        <f t="shared" si="15"/>
        <v/>
      </c>
      <c r="AU41" s="246" t="str">
        <f>IF($A41="","",IFERROR(SUMPRODUCT((Raw_Data_Daily!$B$2:$B$9999="Control")*(Raw_Data_Daily!$A$2:$A$9999=$A41)*(Raw_Data_Daily!$C$2:$C$9999=$C$3)*Raw_Data_Daily!$D$2:$D$9999*Raw_Data_Daily!$S$2:$S$9999)/SUMIFS(Raw_Data_Daily!$D:$D, Raw_Data_Daily!$B:$B, "Control", Raw_Data_Daily!$A:$A, $A41, Raw_Data_Daily!$C:$C, $C$3),""))</f>
        <v/>
      </c>
      <c r="AV41" s="246" t="str">
        <f>IF($A41="","",IFERROR(SUMPRODUCT((Raw_Data_Daily!$B$2:$B$9999="Variant")*(Raw_Data_Daily!$A$2:$A$9999=$A41)*(Raw_Data_Daily!$C$2:$C$9999=$C$3)*Raw_Data_Daily!$D$2:$D$9999*Raw_Data_Daily!$S$2:$S$9999)/SUMIFS(Raw_Data_Daily!$D:$D, Raw_Data_Daily!$B:$B, "Variant", Raw_Data_Daily!$A:$A, $A41, Raw_Data_Daily!$C:$C, $C$3),""))</f>
        <v/>
      </c>
      <c r="AW41" s="241" t="str">
        <f t="shared" si="16"/>
        <v/>
      </c>
      <c r="AX41" s="246" t="str">
        <f>IF($A41="","",IFERROR(SUMPRODUCT((Raw_Data_Daily!$B$2:$B$9999="Control")*(Raw_Data_Daily!$A$2:$A$9999=$A41)*(Raw_Data_Daily!$C$2:$C$9999=$C$3)*Raw_Data_Daily!$D$2:$D$9999*Raw_Data_Daily!$T$2:$T$9999)/SUMIFS(Raw_Data_Daily!$D:$D, Raw_Data_Daily!$B:$B, "Control", Raw_Data_Daily!$A:$A, $A41, Raw_Data_Daily!$C:$C, $C$3),""))</f>
        <v/>
      </c>
      <c r="AY41" s="246" t="str">
        <f>IF($A41="","",IFERROR(SUMPRODUCT((Raw_Data_Daily!$B$2:$B$9999="Variant")*(Raw_Data_Daily!$A$2:$A$9999=$A41)*(Raw_Data_Daily!$C$2:$C$9999=$C$3)*Raw_Data_Daily!$D$2:$D$9999*Raw_Data_Daily!$T$2:$T$9999)/SUMIFS(Raw_Data_Daily!$D:$D, Raw_Data_Daily!$B:$B, "Variant", Raw_Data_Daily!$A:$A, $A41, Raw_Data_Daily!$C:$C, $C$3),""))</f>
        <v/>
      </c>
      <c r="AZ41" s="244" t="str">
        <f t="shared" si="17"/>
        <v/>
      </c>
      <c r="BA41" s="246" t="str">
        <f>IF($A41="","",IFERROR(SUMPRODUCT((Raw_Data_Daily!$B$2:$B$9999="Control")*(Raw_Data_Daily!$A$2:$A$9999=$A41)*(Raw_Data_Daily!$C$2:$C$9999=$C$3)*Raw_Data_Daily!$D$2:$D$9999*Raw_Data_Daily!$U$2:$U$9999)/SUMIFS(Raw_Data_Daily!$D:$D, Raw_Data_Daily!$B:$B, "Control", Raw_Data_Daily!$A:$A, $A41, Raw_Data_Daily!$C:$C, $C$3),""))</f>
        <v/>
      </c>
      <c r="BB41" s="246" t="str">
        <f>IF($A41="","",IFERROR(SUMPRODUCT((Raw_Data_Daily!$B$2:$B$9999="Variant")*(Raw_Data_Daily!$A$2:$A$9999=$A41)*(Raw_Data_Daily!$C$2:$C$9999=$C$3)*Raw_Data_Daily!$D$2:$D$9999*Raw_Data_Daily!$U$2:$U$9999)/SUMIFS(Raw_Data_Daily!$D:$D, Raw_Data_Daily!$B:$B, "Variant", Raw_Data_Daily!$A:$A, $A41, Raw_Data_Daily!$C:$C, $C$3),""))</f>
        <v/>
      </c>
      <c r="BC41" s="241" t="str">
        <f t="shared" si="18"/>
        <v/>
      </c>
      <c r="BD41" s="246" t="str">
        <f>IF($A41="","",IFERROR(SUMPRODUCT((Raw_Data_Daily!$B$2:$B$9999="Control")*(Raw_Data_Daily!$A$2:$A$9999=$A41)*(Raw_Data_Daily!$C$2:$C$9999=$C$3)*Raw_Data_Daily!$D$2:$D$9999*Raw_Data_Daily!$V$2:$V$9999)/SUMIFS(Raw_Data_Daily!$D:$D, Raw_Data_Daily!$B:$B, "Control", Raw_Data_Daily!$A:$A, $A41, Raw_Data_Daily!$C:$C, $C$3),""))</f>
        <v/>
      </c>
      <c r="BE41" s="246" t="str">
        <f>IF($A41="","",IFERROR(SUMPRODUCT((Raw_Data_Daily!$B$2:$B$9999="Variant")*(Raw_Data_Daily!$A$2:$A$9999=$A41)*(Raw_Data_Daily!$C$2:$C$9999=$C$3)*Raw_Data_Daily!$D$2:$D$9999*Raw_Data_Daily!$V$2:$V$9999)/SUMIFS(Raw_Data_Daily!$D:$D, Raw_Data_Daily!$B:$B, "Variant", Raw_Data_Daily!$A:$A, $A41, Raw_Data_Daily!$C:$C, $C$3),""))</f>
        <v/>
      </c>
      <c r="BF41" s="251" t="str">
        <f t="shared" si="19"/>
        <v/>
      </c>
      <c r="BG41" s="252" t="str">
        <f>IF($A41="","",IFERROR(SUMPRODUCT((Raw_Data_Daily!$B$2:$B$9999="Control")*(Raw_Data_Daily!$A$2:$A$9999=$A41)*(Raw_Data_Daily!$C$2:$C$9999=$C$3)*Raw_Data_Daily!$D$2:$D$9999*(Raw_Data_Daily!$Q$2:$Q$9999-Raw_Data_Daily!$V$2:$V$9999))/SUMIFS(Raw_Data_Daily!$D:$D, Raw_Data_Daily!$B:$B, "Control", Raw_Data_Daily!$A:$A, $A41, Raw_Data_Daily!$C:$C, $C$3),""))</f>
        <v/>
      </c>
      <c r="BH41" s="246" t="str">
        <f>IF($A41="","",IFERROR(SUMPRODUCT((Raw_Data_Daily!$B$2:$B$9999="Variant")*(Raw_Data_Daily!$A$2:$A$9999=$A41)*(Raw_Data_Daily!$C$2:$C$9999=$C$3)*Raw_Data_Daily!$D$2:$D$9999*(Raw_Data_Daily!$Q$2:$Q$9999-Raw_Data_Daily!$V$2:$V$9999))/SUMIFS(Raw_Data_Daily!$D:$D, Raw_Data_Daily!$B:$B, "Variant", Raw_Data_Daily!$A:$A, $A41, Raw_Data_Daily!$C:$C, $C$3),""))</f>
        <v/>
      </c>
      <c r="BI41" s="253" t="str">
        <f t="shared" si="20"/>
        <v/>
      </c>
      <c r="BJ41" s="254" t="str">
        <f>IF($A41="","",IFERROR(SUMPRODUCT((Raw_Data_Daily!$B$2:$B$9999="Control")*(Raw_Data_Daily!$A$2:$A$9999=$A41)*(Raw_Data_Daily!$C$2:$C$9999=$C$3)*Raw_Data_Daily!$D$2:$D$9999*Raw_Data_Daily!$W$2:$W$9999)/SUMIFS(Raw_Data_Daily!$D:$D, Raw_Data_Daily!$B:$B, "Control", Raw_Data_Daily!$A:$A, $A41, Raw_Data_Daily!$C:$C, $C$3),""))</f>
        <v/>
      </c>
      <c r="BK41" s="246" t="str">
        <f>IF($A41="","",IFERROR(SUMPRODUCT((Raw_Data_Daily!$B$2:$B$9999="Variant")*(Raw_Data_Daily!$A$2:$A$9999=$A41)*(Raw_Data_Daily!$C$2:$C$9999=$C$3)*Raw_Data_Daily!$D$2:$D$9999*Raw_Data_Daily!$W$2:$W$9999)/SUMIFS(Raw_Data_Daily!$D:$D, Raw_Data_Daily!$B:$B, "Variant", Raw_Data_Daily!$A:$A, $A41, Raw_Data_Daily!$C:$C, $C$3),""))</f>
        <v/>
      </c>
      <c r="BL41" s="241" t="str">
        <f t="shared" si="21"/>
        <v/>
      </c>
      <c r="BM41" s="248" t="str">
        <f>IF($A41="","",IFERROR(SUMPRODUCT((Raw_Data_Daily!$B$2:$B$9999="Control")*(Raw_Data_Daily!$A$2:$A$9999=$A41)*(Raw_Data_Daily!$C$2:$C$9999=$C$3)*Raw_Data_Daily!$D$2:$D$9999*Raw_Data_Daily!$X$2:$X$9999)/SUMIFS(Raw_Data_Daily!$D:$D, Raw_Data_Daily!$B:$B, "Control", Raw_Data_Daily!$A:$A, $A41, Raw_Data_Daily!$C:$C, $C$3),""))</f>
        <v/>
      </c>
      <c r="BN41" s="248" t="str">
        <f>IF($A41="","",IFERROR(SUMPRODUCT((Raw_Data_Daily!$B$2:$B$9999="Variant")*(Raw_Data_Daily!$A$2:$A$9999=$A41)*(Raw_Data_Daily!$C$2:$C$9999=$C$3)*Raw_Data_Daily!$D$2:$D$9999*Raw_Data_Daily!$X$2:$X$9999)/SUMIFS(Raw_Data_Daily!$D:$D, Raw_Data_Daily!$B:$B, "Variant", Raw_Data_Daily!$A:$A, $A41, Raw_Data_Daily!$C:$C, $C$3),""))</f>
        <v/>
      </c>
      <c r="BO41" s="244" t="str">
        <f t="shared" si="22"/>
        <v/>
      </c>
      <c r="BP41" s="240" t="str">
        <f>IF($A41="","",IFERROR(SUMPRODUCT((Raw_Data_Daily!$B$2:$B$9999="Control")*(Raw_Data_Daily!$A$2:$A$9999=$A41)*(Raw_Data_Daily!$C$2:$C$9999=$C$3)*Raw_Data_Daily!$D$2:$D$9999*Raw_Data_Daily!$Y$2:$Y$9999)/SUMIFS(Raw_Data_Daily!$D:$D, Raw_Data_Daily!$B:$B, "Control", Raw_Data_Daily!$A:$A, $A41, Raw_Data_Daily!$C:$C, $C$3),""))</f>
        <v/>
      </c>
      <c r="BQ41" s="240" t="str">
        <f>IF($A41="","",IFERROR(SUMPRODUCT((Raw_Data_Daily!$B$2:$B$9999="Variant")*(Raw_Data_Daily!$A$2:$A$9999=$A41)*(Raw_Data_Daily!$C$2:$C$9999=$C$3)*Raw_Data_Daily!$D$2:$D$9999*Raw_Data_Daily!$Y$2:$Y$9999)/SUMIFS(Raw_Data_Daily!$D:$D, Raw_Data_Daily!$B:$B, "Variant", Raw_Data_Daily!$A:$A, $A41, Raw_Data_Daily!$C:$C, $C$3),""))</f>
        <v/>
      </c>
      <c r="BR41" s="241" t="str">
        <f t="shared" si="23"/>
        <v/>
      </c>
      <c r="BS41" s="240" t="str">
        <f>IF($A41="","",IFERROR(SUMPRODUCT((Raw_Data_Daily!$B$2:$B$9999="Control")*(Raw_Data_Daily!$A$2:$A$9999=$A41)*(Raw_Data_Daily!$C$2:$C$9999=$C$3)*Raw_Data_Daily!$D$2:$D$9999*Raw_Data_Daily!$Z$2:$Z$9999)/SUMIFS(Raw_Data_Daily!$D:$D, Raw_Data_Daily!$B:$B, "Control", Raw_Data_Daily!$A:$A, $A41, Raw_Data_Daily!$C:$C, $C$3),""))</f>
        <v/>
      </c>
      <c r="BT41" s="240" t="str">
        <f>IF($A41="","",IFERROR(SUMPRODUCT((Raw_Data_Daily!$B$2:$B$9999="Variant")*(Raw_Data_Daily!$A$2:$A$9999=$A41)*(Raw_Data_Daily!$C$2:$C$9999=$C$3)*Raw_Data_Daily!$D$2:$D$9999*Raw_Data_Daily!$Z$2:$Z$9999)/SUMIFS(Raw_Data_Daily!$D:$D, Raw_Data_Daily!$B:$B, "Variant", Raw_Data_Daily!$A:$A, $A41, Raw_Data_Daily!$C:$C, $C$3),""))</f>
        <v/>
      </c>
      <c r="BU41" s="241" t="str">
        <f t="shared" si="24"/>
        <v/>
      </c>
      <c r="BV41" s="240" t="str">
        <f>IF($A41="","",IFERROR(SUMPRODUCT((Raw_Data_Daily!$B$2:$B$9999="Control")*(Raw_Data_Daily!$A$2:$A$9999=$A41)*(Raw_Data_Daily!$C$2:$C$9999=$C$3)*Raw_Data_Daily!$D$2:$D$9999*Raw_Data_Daily!$AA$2:$AA$9999)/SUMIFS(Raw_Data_Daily!$D:$D, Raw_Data_Daily!$B:$B, "Control", Raw_Data_Daily!$A:$A, $A41, Raw_Data_Daily!$C:$C, $C$3),""))</f>
        <v/>
      </c>
      <c r="BW41" s="240" t="str">
        <f>IF($A41="","",IFERROR(SUMPRODUCT((Raw_Data_Daily!$B$2:$B$9999="Variant")*(Raw_Data_Daily!$A$2:$A$9999=$A41)*(Raw_Data_Daily!$C$2:$C$9999=$C$3)*Raw_Data_Daily!$D$2:$D$9999*Raw_Data_Daily!$AA$2:$AA$9999)/SUMIFS(Raw_Data_Daily!$D:$D, Raw_Data_Daily!$B:$B, "Variant", Raw_Data_Daily!$A:$A, $A41, Raw_Data_Daily!$C:$C, $C$3),""))</f>
        <v/>
      </c>
      <c r="BX41" s="241" t="str">
        <f t="shared" si="25"/>
        <v/>
      </c>
      <c r="BY41" s="246" t="str">
        <f>IF($A41="","",IFERROR(SUMPRODUCT((Raw_Data_Daily!$B$2:$B$9999="Control")*(Raw_Data_Daily!$A$2:$A$9999=$A41)*(Raw_Data_Daily!$C$2:$C$9999=$C$3)*Raw_Data_Daily!$D$2:$D$9999*Raw_Data_Daily!$AB$2:$AB$9999)/SUMIFS(Raw_Data_Daily!$D:$D, Raw_Data_Daily!$B:$B, "Control", Raw_Data_Daily!$A:$A, $A41, Raw_Data_Daily!$C:$C, $C$3),""))</f>
        <v/>
      </c>
      <c r="BZ41" s="246" t="str">
        <f>IF($A41="","",IFERROR(SUMPRODUCT((Raw_Data_Daily!$B$2:$B$9999="Variant")*(Raw_Data_Daily!$A$2:$A$9999=$A41)*(Raw_Data_Daily!$C$2:$C$9999=$C$3)*Raw_Data_Daily!$D$2:$D$9999*Raw_Data_Daily!$AB$2:$AB$9999)/SUMIFS(Raw_Data_Daily!$D:$D, Raw_Data_Daily!$B:$B, "Variant", Raw_Data_Daily!$A:$A, $A41, Raw_Data_Daily!$C:$C, $C$3),""))</f>
        <v/>
      </c>
      <c r="CA41" s="244" t="str">
        <f t="shared" si="26"/>
        <v/>
      </c>
      <c r="CB41" s="246" t="str">
        <f>IF($A41="","",IFERROR(SUMPRODUCT((Raw_Data_Daily!$B$2:$B$9999="Control")*(Raw_Data_Daily!$A$2:$A$9999=$A41)*(Raw_Data_Daily!$C$2:$C$9999=$C$3)*Raw_Data_Daily!$D$2:$D$9999*Raw_Data_Daily!$AC$2:$AC$9999)/SUMIFS(Raw_Data_Daily!$D:$D, Raw_Data_Daily!$B:$B, "Control", Raw_Data_Daily!$A:$A, $A41, Raw_Data_Daily!$C:$C, $C$3),""))</f>
        <v/>
      </c>
      <c r="CC41" s="246" t="str">
        <f>IF($A41="","",IFERROR(SUMPRODUCT((Raw_Data_Daily!$B$2:$B$9999="Variant")*(Raw_Data_Daily!$A$2:$A$9999=$A41)*(Raw_Data_Daily!$C$2:$C$9999=$C$3)*Raw_Data_Daily!$D$2:$D$9999*Raw_Data_Daily!$AC$2:$AC$9999)/SUMIFS(Raw_Data_Daily!$D:$D, Raw_Data_Daily!$B:$B, "Variant", Raw_Data_Daily!$A:$A, $A41, Raw_Data_Daily!$C:$C, $C$3),""))</f>
        <v/>
      </c>
      <c r="CD41" s="244" t="str">
        <f t="shared" si="27"/>
        <v/>
      </c>
      <c r="CE41" s="246" t="str">
        <f>IF($A41="","",IFERROR(SUMPRODUCT((Raw_Data_Daily!$B$2:$B$9999="Control")*(Raw_Data_Daily!$A$2:$A$9999=$A41)*(Raw_Data_Daily!$C$2:$C$9999=$C$3)*Raw_Data_Daily!$D$2:$D$9999*Raw_Data_Daily!$AD$2:$AD$9999)/SUMIFS(Raw_Data_Daily!$D:$D, Raw_Data_Daily!$B:$B, "Control", Raw_Data_Daily!$A:$A, $A41, Raw_Data_Daily!$C:$C, $C$3),""))</f>
        <v/>
      </c>
      <c r="CF41" s="246" t="str">
        <f>IF($A41="","",IFERROR(SUMPRODUCT((Raw_Data_Daily!$B$2:$B$9999="Variant")*(Raw_Data_Daily!$A$2:$A$9999=$A41)*(Raw_Data_Daily!$C$2:$C$9999=$C$3)*Raw_Data_Daily!$D$2:$D$9999*Raw_Data_Daily!$AD$2:$AD$9999)/SUMIFS(Raw_Data_Daily!$D:$D, Raw_Data_Daily!$B:$B, "Variant", Raw_Data_Daily!$A:$A, $A41, Raw_Data_Daily!$C:$C, $C$3),""))</f>
        <v/>
      </c>
      <c r="CG41" s="244" t="str">
        <f t="shared" si="28"/>
        <v/>
      </c>
      <c r="CH41" s="246" t="str">
        <f>IF($A41="","",IFERROR(SUMPRODUCT((Raw_Data_Daily!$B$2:$B$9999="Control")*(Raw_Data_Daily!$A$2:$A$9999=$A41)*(Raw_Data_Daily!$C$2:$C$9999=$C$3)*Raw_Data_Daily!$D$2:$D$9999*Raw_Data_Daily!$AE$2:$AE$9999)/SUMIFS(Raw_Data_Daily!$D:$D, Raw_Data_Daily!$B:$B, "Control", Raw_Data_Daily!$A:$A, $A41, Raw_Data_Daily!$C:$C, $C$3),""))</f>
        <v/>
      </c>
      <c r="CI41" s="246" t="str">
        <f>IF($A41="","",IFERROR(SUMPRODUCT((Raw_Data_Daily!$B$2:$B$9999="Variant")*(Raw_Data_Daily!$A$2:$A$9999=$A41)*(Raw_Data_Daily!$C$2:$C$9999=$C$3)*Raw_Data_Daily!$D$2:$D$9999*Raw_Data_Daily!$AE$2:$AE$9999)/SUMIFS(Raw_Data_Daily!$D:$D, Raw_Data_Daily!$B:$B, "Variant", Raw_Data_Daily!$A:$A, $A41, Raw_Data_Daily!$C:$C, $C$3),""))</f>
        <v/>
      </c>
      <c r="CJ41" s="244" t="str">
        <f t="shared" si="29"/>
        <v/>
      </c>
      <c r="CK41" s="246" t="str">
        <f>IF($A41="","",IFERROR(SUMPRODUCT((Raw_Data_Daily!$B$2:$B$9999="Control")*(Raw_Data_Daily!$A$2:$A$9999=$A41)*(Raw_Data_Daily!$C$2:$C$9999=$C$3)*Raw_Data_Daily!$D$2:$D$9999*Raw_Data_Daily!$AF$2:$AF$9999)/SUMIFS(Raw_Data_Daily!$D:$D, Raw_Data_Daily!$B:$B, "Control", Raw_Data_Daily!$A:$A, $A41, Raw_Data_Daily!$C:$C, $C$3),""))</f>
        <v/>
      </c>
      <c r="CL41" s="246" t="str">
        <f>IF($A41="","",IFERROR(SUMPRODUCT((Raw_Data_Daily!$B$2:$B$9999="Variant")*(Raw_Data_Daily!$A$2:$A$9999=$A41)*(Raw_Data_Daily!$C$2:$C$9999=$C$3)*Raw_Data_Daily!$D$2:$D$9999*Raw_Data_Daily!$AF$2:$AF$9999)/SUMIFS(Raw_Data_Daily!$D:$D, Raw_Data_Daily!$B:$B, "Variant", Raw_Data_Daily!$A:$A, $A41, Raw_Data_Daily!$C:$C, $C$3),""))</f>
        <v/>
      </c>
      <c r="CM41" s="244" t="str">
        <f t="shared" si="30"/>
        <v/>
      </c>
      <c r="CN41" s="246" t="str">
        <f>IF($A41="","",IFERROR(SUMPRODUCT((Raw_Data_Daily!$B$2:$B$9999="Control")*(Raw_Data_Daily!$A$2:$A$9999=$A41)*(Raw_Data_Daily!$C$2:$C$9999=$C$3)*Raw_Data_Daily!$D$2:$D$9999*Raw_Data_Daily!$AG$2:$AG$9999)/SUMIFS(Raw_Data_Daily!$D:$D, Raw_Data_Daily!$B:$B, "Control", Raw_Data_Daily!$A:$A, $A41, Raw_Data_Daily!$C:$C, $C$3),""))</f>
        <v/>
      </c>
      <c r="CO41" s="246" t="str">
        <f>IF($A41="","",IFERROR(SUMPRODUCT((Raw_Data_Daily!$B$2:$B$9999="Variant")*(Raw_Data_Daily!$A$2:$A$9999=$A41)*(Raw_Data_Daily!$C$2:$C$9999=$C$3)*Raw_Data_Daily!$D$2:$D$9999*Raw_Data_Daily!$AG$2:$AG$9999)/SUMIFS(Raw_Data_Daily!$D:$D, Raw_Data_Daily!$B:$B, "Variant", Raw_Data_Daily!$A:$A, $A41, Raw_Data_Daily!$C:$C, $C$3),""))</f>
        <v/>
      </c>
      <c r="CP41" s="244" t="str">
        <f t="shared" si="31"/>
        <v/>
      </c>
      <c r="CQ41" s="246" t="str">
        <f>IF($A41="","",IFERROR(SUMPRODUCT((Raw_Data_Daily!$B$2:$B$9999="Control")*(Raw_Data_Daily!$A$2:$A$9999=$A41)*(Raw_Data_Daily!$C$2:$C$9999=$C$3)*Raw_Data_Daily!$D$2:$D$9999*Raw_Data_Daily!$AH$2:$AH$9999)/SUMIFS(Raw_Data_Daily!$D:$D, Raw_Data_Daily!$B:$B, "Control", Raw_Data_Daily!$A:$A, $A41, Raw_Data_Daily!$C:$C, $C$3),""))</f>
        <v/>
      </c>
      <c r="CR41" s="246" t="str">
        <f>IF($A41="","",IFERROR(SUMPRODUCT((Raw_Data_Daily!$B$2:$B$9999="Variant")*(Raw_Data_Daily!$A$2:$A$9999=$A41)*(Raw_Data_Daily!$C$2:$C$9999=$C$3)*Raw_Data_Daily!$D$2:$D$9999*Raw_Data_Daily!$AH$2:$AH$9999)/SUMIFS(Raw_Data_Daily!$D:$D, Raw_Data_Daily!$B:$B, "Variant", Raw_Data_Daily!$A:$A, $A41, Raw_Data_Daily!$C:$C, $C$3),""))</f>
        <v/>
      </c>
      <c r="CS41" s="244" t="str">
        <f t="shared" si="32"/>
        <v/>
      </c>
      <c r="CT41" s="242" t="str">
        <f>IF($A41="","",IFERROR(SUMPRODUCT((Raw_Data_Daily!$B$2:$B$9999="Control")*(Raw_Data_Daily!$A$2:$A$9999=$A41)*(Raw_Data_Daily!$C$2:$C$9999=$C$3)*Raw_Data_Daily!$D$2:$D$9999*Raw_Data_Daily!$AI$2:$AI$9999)/SUMIFS(Raw_Data_Daily!$D:$D, Raw_Data_Daily!$B:$B, "Control", Raw_Data_Daily!$A:$A, $A41, Raw_Data_Daily!$C:$C, $C$3),""))</f>
        <v/>
      </c>
      <c r="CU41" s="242" t="str">
        <f>IF($A41="","",IFERROR(SUMPRODUCT((Raw_Data_Daily!$B$2:$B$9999="Variant")*(Raw_Data_Daily!$A$2:$A$9999=$A41)*(Raw_Data_Daily!$C$2:$C$9999=$C$3)*Raw_Data_Daily!$D$2:$D$9999*Raw_Data_Daily!$AI$2:$AI$9999)/SUMIFS(Raw_Data_Daily!$D:$D, Raw_Data_Daily!$B:$B, "Variant", Raw_Data_Daily!$A:$A, $A41, Raw_Data_Daily!$C:$C, $C$3),""))</f>
        <v/>
      </c>
      <c r="CV41" s="249" t="str">
        <f t="shared" si="33"/>
        <v/>
      </c>
      <c r="CW41" s="242" t="str">
        <f>IF($A41="","",IFERROR(SUMPRODUCT((Raw_Data_Daily!$B$2:$B$9999="Control")*(Raw_Data_Daily!$A$2:$A$9999=$A41)*(Raw_Data_Daily!$C$2:$C$9999=$C$3)*Raw_Data_Daily!$D$2:$D$9999*Raw_Data_Daily!$AJ$2:$AJ$9999)/SUMIFS(Raw_Data_Daily!$D:$D, Raw_Data_Daily!$B:$B, "Control", Raw_Data_Daily!$A:$A, $A41, Raw_Data_Daily!$C:$C, $C$3),""))</f>
        <v/>
      </c>
      <c r="CX41" s="242" t="str">
        <f>IF($A41="","",IFERROR(SUMPRODUCT((Raw_Data_Daily!$B$2:$B$9999="Variant")*(Raw_Data_Daily!$A$2:$A$9999=$A41)*(Raw_Data_Daily!$C$2:$C$9999=$C$3)*Raw_Data_Daily!$D$2:$D$9999*Raw_Data_Daily!$AJ$2:$AJ$9999)/SUMIFS(Raw_Data_Daily!$D:$D, Raw_Data_Daily!$B:$B, "Variant", Raw_Data_Daily!$A:$A, $A41, Raw_Data_Daily!$C:$C, $C$3),""))</f>
        <v/>
      </c>
      <c r="CY41" s="249" t="str">
        <f t="shared" si="34"/>
        <v/>
      </c>
      <c r="CZ41" s="242" t="str">
        <f>IF($A41="","",IFERROR(SUMPRODUCT((Raw_Data_Daily!$B$2:$B$9999="Control")*(Raw_Data_Daily!$A$2:$A$9999=$A41)*(Raw_Data_Daily!$C$2:$C$9999=$C$3)*Raw_Data_Daily!$D$2:$D$9999*Raw_Data_Daily!$AK$2:$AK$9999)/SUMIFS(Raw_Data_Daily!$D:$D, Raw_Data_Daily!$B:$B, "Control", Raw_Data_Daily!$A:$A, $A41, Raw_Data_Daily!$C:$C, $C$3),""))</f>
        <v/>
      </c>
      <c r="DA41" s="242" t="str">
        <f>IF($A41="","",IFERROR(SUMPRODUCT((Raw_Data_Daily!$B$2:$B$9999="Variant")*(Raw_Data_Daily!$A$2:$A$9999=$A41)*(Raw_Data_Daily!$C$2:$C$9999=$C$3)*Raw_Data_Daily!$D$2:$D$9999*Raw_Data_Daily!$AK$2:$AK$9999)/SUMIFS(Raw_Data_Daily!$D:$D, Raw_Data_Daily!$B:$B, "Variant", Raw_Data_Daily!$A:$A, $A41, Raw_Data_Daily!$C:$C, $C$3),""))</f>
        <v/>
      </c>
      <c r="DB41" s="244" t="str">
        <f t="shared" si="35"/>
        <v/>
      </c>
      <c r="DC41" s="248" t="str">
        <f>IF($A41="","",IFERROR(SUMPRODUCT((Raw_Data_Daily!$B$2:$B$9999="Control")*(Raw_Data_Daily!$A$2:$A$9999=$A41)*(Raw_Data_Daily!$C$2:$C$9999=$C$3)*Raw_Data_Daily!$D$2:$D$9999*Raw_Data_Daily!$AL$2:$AL$9999)/SUMIFS(Raw_Data_Daily!$D:$D, Raw_Data_Daily!$B:$B, "Control", Raw_Data_Daily!$A:$A, $A41, Raw_Data_Daily!$C:$C, $C$3),""))</f>
        <v/>
      </c>
      <c r="DD41" s="248" t="str">
        <f>IF($A41="","",IFERROR(SUMPRODUCT((Raw_Data_Daily!$B$2:$B$9999="Variant")*(Raw_Data_Daily!$A$2:$A$9999=$A41)*(Raw_Data_Daily!$C$2:$C$9999=$C$3)*Raw_Data_Daily!$D$2:$D$9999*Raw_Data_Daily!$AL$2:$AL$9999)/SUMIFS(Raw_Data_Daily!$D:$D, Raw_Data_Daily!$B:$B, "Variant", Raw_Data_Daily!$A:$A, $A41, Raw_Data_Daily!$C:$C, $C$3),""))</f>
        <v/>
      </c>
      <c r="DE41" s="249" t="str">
        <f t="shared" si="36"/>
        <v/>
      </c>
      <c r="DF41" s="255"/>
      <c r="DG41" s="242" t="str">
        <f>IF($A41="","",IFERROR(SUMPRODUCT((Raw_Data_Daily!$B$2:$B$9999="Variant")*(Raw_Data_Daily!$A$2:$A$9999=$A41)*(Raw_Data_Daily!$C$2:$C$9999=$C$3)*Raw_Data_Daily!$D$2:$D$9999*Raw_Data_Daily!$AM$2:$AM$9999)/SUMIFS(Raw_Data_Daily!$D:$D, Raw_Data_Daily!$B:$B, "Variant", Raw_Data_Daily!$A:$A, $A41, Raw_Data_Daily!$C:$C, $C$3),""))</f>
        <v/>
      </c>
      <c r="DH41" s="256"/>
      <c r="DI41" s="255"/>
      <c r="DJ41" s="242" t="str">
        <f>IF($A41="","",IFERROR(SUMPRODUCT((Raw_Data_Daily!$B$2:$B$9999="Variant")*(Raw_Data_Daily!$A$2:$A$9999=$A41)*(Raw_Data_Daily!$C$2:$C$9999=$C$3)*Raw_Data_Daily!$D$2:$D$9999*Raw_Data_Daily!$AN$2:$AN$9999)/SUMIFS(Raw_Data_Daily!$D:$D, Raw_Data_Daily!$B:$B, "Variant", Raw_Data_Daily!$A:$A, $A41, Raw_Data_Daily!$C:$C, $C$3),""))</f>
        <v/>
      </c>
      <c r="DK41" s="256"/>
      <c r="DL41" s="255"/>
      <c r="DM41" s="242" t="str">
        <f>IF($A41="","",IFERROR(SUMPRODUCT((Raw_Data_Daily!$B$2:$B$9999="Variant")*(Raw_Data_Daily!$A$2:$A$9999=$A41)*(Raw_Data_Daily!$C$2:$C$9999=$C$3)*Raw_Data_Daily!$D$2:$D$9999*Raw_Data_Daily!$AO$2:$AO$9999)/SUMIFS(Raw_Data_Daily!$D:$D, Raw_Data_Daily!$B:$B, "Variant", Raw_Data_Daily!$A:$A, $A41, Raw_Data_Daily!$C:$C, $C$3),""))</f>
        <v/>
      </c>
      <c r="DN41" s="256"/>
      <c r="DO41" s="255"/>
      <c r="DP41" s="242" t="str">
        <f>IF($A41="","",IFERROR(SUMPRODUCT((Raw_Data_Daily!$B$2:$B$9999="Variant")*(Raw_Data_Daily!$A$2:$A$9999=$A41)*(Raw_Data_Daily!$C$2:$C$9999=$C$3)*Raw_Data_Daily!$D$2:$D$9999*Raw_Data_Daily!$AP$2:$AP$9999)/SUMIFS(Raw_Data_Daily!$D:$D, Raw_Data_Daily!$B:$B, "Variant", Raw_Data_Daily!$A:$A, $A41, Raw_Data_Daily!$C:$C, $C$3),""))</f>
        <v/>
      </c>
      <c r="DQ41" s="256"/>
      <c r="DR41" s="248" t="str">
        <f>IF($A41="","",IFERROR(SUMPRODUCT((Raw_Data_Daily!$B$2:$B$9999="Control")*(Raw_Data_Daily!$A$2:$A$9999=$A41)*(Raw_Data_Daily!$C$2:$C$9999=$C$3)*Raw_Data_Daily!$D$2:$D$9999*Raw_Data_Daily!$AQ$2:$AQ$9999)/SUMIFS(Raw_Data_Daily!$D:$D, Raw_Data_Daily!$B:$B, "Control", Raw_Data_Daily!$A:$A, $A41, Raw_Data_Daily!$C:$C, $C$3),""))</f>
        <v/>
      </c>
      <c r="DS41" s="248" t="str">
        <f>IF($A41="","",IFERROR(SUMPRODUCT((Raw_Data_Daily!$B$2:$B$9999="Variant")*(Raw_Data_Daily!$A$2:$A$9999=$A41)*(Raw_Data_Daily!$C$2:$C$9999=$C$3)*Raw_Data_Daily!$D$2:$D$9999*Raw_Data_Daily!$AQ$2:$AQ$9999)/SUMIFS(Raw_Data_Daily!$D:$D, Raw_Data_Daily!$B:$B, "Variant", Raw_Data_Daily!$A:$A, $A41, Raw_Data_Daily!$C:$C, $C$3),""))</f>
        <v/>
      </c>
      <c r="DT41" s="257" t="str">
        <f t="shared" si="37"/>
        <v/>
      </c>
      <c r="DU41" s="248" t="str">
        <f>IF($A41="","",IFERROR(SUMPRODUCT((Raw_Data_Daily!$B$2:$B$9999="Control")*(Raw_Data_Daily!$A$2:$A$9999=$A41)*(Raw_Data_Daily!$C$2:$C$9999=$C$3)*Raw_Data_Daily!$D$2:$D$9999*Raw_Data_Daily!$AR$2:$AR$9999)/SUMIFS(Raw_Data_Daily!$D:$D, Raw_Data_Daily!$B:$B, "Control", Raw_Data_Daily!$A:$A, $A41, Raw_Data_Daily!$C:$C, $C$3),""))</f>
        <v/>
      </c>
      <c r="DV41" s="248" t="str">
        <f>IF($A41="","",IFERROR(SUMPRODUCT((Raw_Data_Daily!$B$2:$B$9999="Variant")*(Raw_Data_Daily!$A$2:$A$9999=$A41)*(Raw_Data_Daily!$C$2:$C$9999=$C$3)*Raw_Data_Daily!$D$2:$D$9999*Raw_Data_Daily!$AR$2:$AR$9999)/SUMIFS(Raw_Data_Daily!$D:$D, Raw_Data_Daily!$B:$B, "Variant", Raw_Data_Daily!$A:$A, $A41, Raw_Data_Daily!$C:$C, $C$3),""))</f>
        <v/>
      </c>
      <c r="DW41" s="257" t="str">
        <f t="shared" si="38"/>
        <v/>
      </c>
      <c r="DX41" s="248" t="str">
        <f>IF($A41="","",IFERROR(SUMPRODUCT((Raw_Data_Daily!$B$2:$B$9999="Control")*(Raw_Data_Daily!$A$2:$A$9999=$A41)*(Raw_Data_Daily!$C$2:$C$9999=$C$3)*Raw_Data_Daily!$D$2:$D$9999*Raw_Data_Daily!$AS$2:$AS$9999)/SUMIFS(Raw_Data_Daily!$D:$D, Raw_Data_Daily!$B:$B, "Control", Raw_Data_Daily!$A:$A, $A41, Raw_Data_Daily!$C:$C, $C$3),""))</f>
        <v/>
      </c>
      <c r="DY41" s="248" t="str">
        <f>IF($A41="","",IFERROR(SUMPRODUCT((Raw_Data_Daily!$B$2:$B$9999="Variant")*(Raw_Data_Daily!$A$2:$A$9999=$A41)*(Raw_Data_Daily!$C$2:$C$9999=$C$3)*Raw_Data_Daily!$D$2:$D$9999*Raw_Data_Daily!$AS$2:$AS$9999)/SUMIFS(Raw_Data_Daily!$D:$D, Raw_Data_Daily!$B:$B, "Variant", Raw_Data_Daily!$A:$A, $A41, Raw_Data_Daily!$C:$C, $C$3),""))</f>
        <v/>
      </c>
      <c r="DZ41" s="257" t="str">
        <f t="shared" si="39"/>
        <v/>
      </c>
      <c r="EA41" s="248" t="str">
        <f>IF($A41="","",IFERROR(SUMPRODUCT((Raw_Data_Daily!$B$2:$B$9999="Control")*(Raw_Data_Daily!$A$2:$A$9999=$A41)*(Raw_Data_Daily!$C$2:$C$9999=$C$3)*Raw_Data_Daily!$D$2:$D$9999*Raw_Data_Daily!$AT$2:$AT$9999)/SUMIFS(Raw_Data_Daily!$D:$D, Raw_Data_Daily!$B:$B, "Control", Raw_Data_Daily!$A:$A, $A41, Raw_Data_Daily!$C:$C, $C$3),""))</f>
        <v/>
      </c>
      <c r="EB41" s="248" t="str">
        <f>IF($A41="","",IFERROR(SUMPRODUCT((Raw_Data_Daily!$B$2:$B$9999="Variant")*(Raw_Data_Daily!$A$2:$A$9999=$A41)*(Raw_Data_Daily!$C$2:$C$9999=$C$3)*Raw_Data_Daily!$D$2:$D$9999*Raw_Data_Daily!$AT$2:$AT$9999)/SUMIFS(Raw_Data_Daily!$D:$D, Raw_Data_Daily!$B:$B, "Variant", Raw_Data_Daily!$A:$A, $A41, Raw_Data_Daily!$C:$C, $C$3),""))</f>
        <v/>
      </c>
      <c r="EC41" s="257" t="str">
        <f t="shared" si="40"/>
        <v/>
      </c>
      <c r="ED41" s="248" t="str">
        <f>IF($A41="","",IFERROR(SUMPRODUCT((Raw_Data_Daily!$B$2:$B$9999="Control")*(Raw_Data_Daily!$A$2:$A$9999=$A41)*(Raw_Data_Daily!$C$2:$C$9999=$C$3)*Raw_Data_Daily!$D$2:$D$9999*(Raw_Data_Daily!$AQ$2:$AQ$9999-Raw_Data_Daily!$AT$2:$AT$9999))/SUMIFS(Raw_Data_Daily!$D:$D, Raw_Data_Daily!$B:$B, "Control", Raw_Data_Daily!$A:$A, $A41, Raw_Data_Daily!$C:$C, $C$3),""))</f>
        <v/>
      </c>
      <c r="EE41" s="248" t="str">
        <f>IF($A41="","",IFERROR(SUMPRODUCT((Raw_Data_Daily!$B$2:$B$9999="Variant")*(Raw_Data_Daily!$A$2:$A$9999=$A41)*(Raw_Data_Daily!$C$2:$C$9999=$C$3)*Raw_Data_Daily!$D$2:$D$9999*(Raw_Data_Daily!$AQ$2:$AQ$9999-Raw_Data_Daily!$AT$2:$AT$9999))/SUMIFS(Raw_Data_Daily!$D:$D, Raw_Data_Daily!$B:$B, "Variant", Raw_Data_Daily!$A:$A, $A41, Raw_Data_Daily!$C:$C, $C$3),""))</f>
        <v/>
      </c>
      <c r="EF41" s="257" t="str">
        <f t="shared" si="41"/>
        <v/>
      </c>
      <c r="EG41" s="248" t="str">
        <f>IF($A41="","",IFERROR(SUMPRODUCT((Raw_Data_Daily!$B$2:$B$9999="Control")*(Raw_Data_Daily!$A$2:$A$9999=$A41)*(Raw_Data_Daily!$C$2:$C$9999=$C$3)*Raw_Data_Daily!$D$2:$D$9999*Raw_Data_Daily!$AU$2:$AU$9999)/SUMIFS(Raw_Data_Daily!$D:$D, Raw_Data_Daily!$B:$B, "Control", Raw_Data_Daily!$A:$A, $A41, Raw_Data_Daily!$C:$C, $C$3),""))</f>
        <v/>
      </c>
      <c r="EH41" s="248" t="str">
        <f>IF($A41="","",IFERROR(SUMPRODUCT((Raw_Data_Daily!$B$2:$B$9999="Variant")*(Raw_Data_Daily!$A$2:$A$9999=$A41)*(Raw_Data_Daily!$C$2:$C$9999=$C$3)*Raw_Data_Daily!$D$2:$D$9999*Raw_Data_Daily!$AU$2:$AU$9999)/SUMIFS(Raw_Data_Daily!$D:$D, Raw_Data_Daily!$B:$B, "Variant", Raw_Data_Daily!$A:$A, $A41, Raw_Data_Daily!$C:$C, $C$3),""))</f>
        <v/>
      </c>
      <c r="EI41" s="257" t="str">
        <f t="shared" si="42"/>
        <v/>
      </c>
    </row>
    <row r="42" ht="15.75" customHeight="1">
      <c r="A42" s="126"/>
      <c r="B42" s="128"/>
      <c r="C42" s="128"/>
      <c r="D42" s="129"/>
      <c r="E42" s="130"/>
      <c r="F42" s="130"/>
      <c r="G42" s="129"/>
      <c r="H42" s="131"/>
      <c r="I42" s="131"/>
      <c r="J42" s="132"/>
      <c r="K42" s="134"/>
      <c r="L42" s="134"/>
      <c r="M42" s="132"/>
      <c r="N42" s="130"/>
      <c r="O42" s="130"/>
      <c r="P42" s="132"/>
      <c r="Q42" s="134"/>
      <c r="R42" s="134"/>
      <c r="S42" s="132"/>
      <c r="T42" s="137"/>
      <c r="U42" s="137"/>
      <c r="V42" s="132"/>
      <c r="W42" s="137"/>
      <c r="X42" s="137"/>
      <c r="Y42" s="132"/>
      <c r="Z42" s="137"/>
      <c r="AA42" s="137"/>
      <c r="AB42" s="132"/>
      <c r="AC42" s="139"/>
      <c r="AD42" s="139"/>
      <c r="AE42" s="140"/>
      <c r="AF42" s="139"/>
      <c r="AG42" s="139"/>
      <c r="AH42" s="140"/>
      <c r="AI42" s="139"/>
      <c r="AJ42" s="139"/>
      <c r="AK42" s="132"/>
      <c r="AL42" s="137"/>
      <c r="AM42" s="137"/>
      <c r="AN42" s="132"/>
      <c r="AO42" s="137"/>
      <c r="AP42" s="137"/>
      <c r="AQ42" s="129"/>
      <c r="AR42" s="137"/>
      <c r="AS42" s="137"/>
      <c r="AT42" s="129"/>
      <c r="AU42" s="137"/>
      <c r="AV42" s="137"/>
      <c r="AW42" s="129"/>
      <c r="AX42" s="137"/>
      <c r="AY42" s="137"/>
      <c r="AZ42" s="132"/>
      <c r="BA42" s="137"/>
      <c r="BB42" s="137"/>
      <c r="BC42" s="129"/>
      <c r="BD42" s="137"/>
      <c r="BE42" s="137"/>
      <c r="BF42" s="148"/>
      <c r="BG42" s="149"/>
      <c r="BH42" s="137"/>
      <c r="BI42" s="155"/>
      <c r="BJ42" s="156"/>
      <c r="BK42" s="137"/>
      <c r="BL42" s="129"/>
      <c r="BM42" s="139"/>
      <c r="BN42" s="139"/>
      <c r="BO42" s="132"/>
      <c r="BP42" s="128"/>
      <c r="BQ42" s="128"/>
      <c r="BR42" s="129"/>
      <c r="BS42" s="128"/>
      <c r="BT42" s="128"/>
      <c r="BU42" s="129"/>
      <c r="BV42" s="128"/>
      <c r="BW42" s="128"/>
      <c r="BX42" s="129"/>
      <c r="BY42" s="137"/>
      <c r="BZ42" s="137"/>
      <c r="CA42" s="132"/>
      <c r="CB42" s="137"/>
      <c r="CC42" s="137"/>
      <c r="CD42" s="132"/>
      <c r="CE42" s="137"/>
      <c r="CF42" s="137"/>
      <c r="CG42" s="132"/>
      <c r="CH42" s="137"/>
      <c r="CI42" s="137"/>
      <c r="CJ42" s="132"/>
      <c r="CK42" s="137"/>
      <c r="CL42" s="137"/>
      <c r="CM42" s="132"/>
      <c r="CN42" s="137"/>
      <c r="CO42" s="137"/>
      <c r="CP42" s="132"/>
      <c r="CQ42" s="137"/>
      <c r="CR42" s="137"/>
      <c r="CS42" s="132"/>
      <c r="CT42" s="130"/>
      <c r="CU42" s="130"/>
      <c r="CV42" s="140"/>
      <c r="CW42" s="130"/>
      <c r="CX42" s="130"/>
      <c r="CY42" s="140"/>
      <c r="CZ42" s="130"/>
      <c r="DA42" s="130"/>
      <c r="DB42" s="132"/>
      <c r="DC42" s="139"/>
      <c r="DD42" s="139"/>
      <c r="DE42" s="140"/>
      <c r="DF42" s="165"/>
      <c r="DG42" s="130"/>
      <c r="DH42" s="166"/>
      <c r="DI42" s="165"/>
      <c r="DJ42" s="130"/>
      <c r="DK42" s="166"/>
      <c r="DL42" s="165"/>
      <c r="DM42" s="130"/>
      <c r="DN42" s="166"/>
      <c r="DO42" s="165"/>
      <c r="DP42" s="130"/>
      <c r="DQ42" s="166"/>
      <c r="DR42" s="139"/>
      <c r="DS42" s="139"/>
      <c r="DT42" s="167"/>
      <c r="DU42" s="139"/>
      <c r="DV42" s="139"/>
      <c r="DW42" s="167"/>
      <c r="DX42" s="139"/>
      <c r="DY42" s="139"/>
      <c r="DZ42" s="168"/>
      <c r="EA42" s="139"/>
      <c r="EB42" s="139"/>
      <c r="EC42" s="167"/>
      <c r="ED42" s="139"/>
      <c r="EE42" s="139"/>
      <c r="EF42" s="168"/>
      <c r="EG42" s="139"/>
      <c r="EH42" s="139"/>
      <c r="EI42" s="167"/>
    </row>
    <row r="43" ht="15.75" customHeight="1">
      <c r="A43" s="126"/>
      <c r="B43" s="128"/>
      <c r="C43" s="128"/>
      <c r="D43" s="129"/>
      <c r="E43" s="130"/>
      <c r="F43" s="130"/>
      <c r="G43" s="129"/>
      <c r="H43" s="131"/>
      <c r="I43" s="131"/>
      <c r="J43" s="132"/>
      <c r="K43" s="134"/>
      <c r="L43" s="134"/>
      <c r="M43" s="132"/>
      <c r="N43" s="130"/>
      <c r="O43" s="130"/>
      <c r="P43" s="132"/>
      <c r="Q43" s="134"/>
      <c r="R43" s="134"/>
      <c r="S43" s="132"/>
      <c r="T43" s="137"/>
      <c r="U43" s="137"/>
      <c r="V43" s="132"/>
      <c r="W43" s="137"/>
      <c r="X43" s="137"/>
      <c r="Y43" s="132"/>
      <c r="Z43" s="137"/>
      <c r="AA43" s="137"/>
      <c r="AB43" s="132"/>
      <c r="AC43" s="139"/>
      <c r="AD43" s="139"/>
      <c r="AE43" s="140"/>
      <c r="AF43" s="139"/>
      <c r="AG43" s="139"/>
      <c r="AH43" s="140"/>
      <c r="AI43" s="139"/>
      <c r="AJ43" s="139"/>
      <c r="AK43" s="132"/>
      <c r="AL43" s="137"/>
      <c r="AM43" s="137"/>
      <c r="AN43" s="132"/>
      <c r="AO43" s="137"/>
      <c r="AP43" s="137"/>
      <c r="AQ43" s="129"/>
      <c r="AR43" s="137"/>
      <c r="AS43" s="137"/>
      <c r="AT43" s="129"/>
      <c r="AU43" s="137"/>
      <c r="AV43" s="137"/>
      <c r="AW43" s="129"/>
      <c r="AX43" s="137"/>
      <c r="AY43" s="137"/>
      <c r="AZ43" s="132"/>
      <c r="BA43" s="137"/>
      <c r="BB43" s="137"/>
      <c r="BC43" s="129"/>
      <c r="BD43" s="137"/>
      <c r="BE43" s="137"/>
      <c r="BF43" s="148"/>
      <c r="BG43" s="149"/>
      <c r="BH43" s="137"/>
      <c r="BI43" s="155"/>
      <c r="BJ43" s="156"/>
      <c r="BK43" s="137"/>
      <c r="BL43" s="129"/>
      <c r="BM43" s="139"/>
      <c r="BN43" s="139"/>
      <c r="BO43" s="132"/>
      <c r="BP43" s="128"/>
      <c r="BQ43" s="128"/>
      <c r="BR43" s="129"/>
      <c r="BS43" s="128"/>
      <c r="BT43" s="128"/>
      <c r="BU43" s="129"/>
      <c r="BV43" s="128"/>
      <c r="BW43" s="128"/>
      <c r="BX43" s="129"/>
      <c r="BY43" s="137"/>
      <c r="BZ43" s="137"/>
      <c r="CA43" s="132"/>
      <c r="CB43" s="137"/>
      <c r="CC43" s="137"/>
      <c r="CD43" s="132"/>
      <c r="CE43" s="137"/>
      <c r="CF43" s="137"/>
      <c r="CG43" s="132"/>
      <c r="CH43" s="137"/>
      <c r="CI43" s="137"/>
      <c r="CJ43" s="132"/>
      <c r="CK43" s="137"/>
      <c r="CL43" s="137"/>
      <c r="CM43" s="132"/>
      <c r="CN43" s="137"/>
      <c r="CO43" s="137"/>
      <c r="CP43" s="132"/>
      <c r="CQ43" s="137"/>
      <c r="CR43" s="137"/>
      <c r="CS43" s="132"/>
      <c r="CT43" s="130"/>
      <c r="CU43" s="130"/>
      <c r="CV43" s="140"/>
      <c r="CW43" s="130"/>
      <c r="CX43" s="130"/>
      <c r="CY43" s="140"/>
      <c r="CZ43" s="130"/>
      <c r="DA43" s="130"/>
      <c r="DB43" s="132"/>
      <c r="DC43" s="139"/>
      <c r="DD43" s="139"/>
      <c r="DE43" s="140"/>
      <c r="DF43" s="165"/>
      <c r="DG43" s="130"/>
      <c r="DH43" s="166"/>
      <c r="DI43" s="165"/>
      <c r="DJ43" s="130"/>
      <c r="DK43" s="166"/>
      <c r="DL43" s="165"/>
      <c r="DM43" s="130"/>
      <c r="DN43" s="166"/>
      <c r="DO43" s="165"/>
      <c r="DP43" s="130"/>
      <c r="DQ43" s="166"/>
      <c r="DR43" s="139"/>
      <c r="DS43" s="139"/>
      <c r="DT43" s="167"/>
      <c r="DU43" s="139"/>
      <c r="DV43" s="139"/>
      <c r="DW43" s="167"/>
      <c r="DX43" s="139"/>
      <c r="DY43" s="139"/>
      <c r="DZ43" s="168"/>
      <c r="EA43" s="139"/>
      <c r="EB43" s="139"/>
      <c r="EC43" s="167"/>
      <c r="ED43" s="139"/>
      <c r="EE43" s="139"/>
      <c r="EF43" s="168"/>
      <c r="EG43" s="139"/>
      <c r="EH43" s="139"/>
      <c r="EI43" s="167"/>
    </row>
    <row r="44" ht="15.75" customHeight="1">
      <c r="A44" s="126"/>
      <c r="B44" s="128"/>
      <c r="C44" s="128"/>
      <c r="D44" s="129"/>
      <c r="E44" s="130"/>
      <c r="F44" s="130"/>
      <c r="G44" s="129"/>
      <c r="H44" s="131"/>
      <c r="I44" s="131"/>
      <c r="J44" s="132"/>
      <c r="K44" s="134"/>
      <c r="L44" s="134"/>
      <c r="M44" s="132"/>
      <c r="N44" s="130"/>
      <c r="O44" s="130"/>
      <c r="P44" s="132"/>
      <c r="Q44" s="134"/>
      <c r="R44" s="134"/>
      <c r="S44" s="132"/>
      <c r="T44" s="137"/>
      <c r="U44" s="137"/>
      <c r="V44" s="132"/>
      <c r="W44" s="137"/>
      <c r="X44" s="137"/>
      <c r="Y44" s="132"/>
      <c r="Z44" s="137"/>
      <c r="AA44" s="137"/>
      <c r="AB44" s="132"/>
      <c r="AC44" s="139"/>
      <c r="AD44" s="139"/>
      <c r="AE44" s="140"/>
      <c r="AF44" s="139"/>
      <c r="AG44" s="139"/>
      <c r="AH44" s="140"/>
      <c r="AI44" s="139"/>
      <c r="AJ44" s="139"/>
      <c r="AK44" s="132"/>
      <c r="AL44" s="137"/>
      <c r="AM44" s="137"/>
      <c r="AN44" s="132"/>
      <c r="AO44" s="137"/>
      <c r="AP44" s="137"/>
      <c r="AQ44" s="129"/>
      <c r="AR44" s="137"/>
      <c r="AS44" s="137"/>
      <c r="AT44" s="129"/>
      <c r="AU44" s="137"/>
      <c r="AV44" s="137"/>
      <c r="AW44" s="129"/>
      <c r="AX44" s="137"/>
      <c r="AY44" s="137"/>
      <c r="AZ44" s="132"/>
      <c r="BA44" s="137"/>
      <c r="BB44" s="137"/>
      <c r="BC44" s="129"/>
      <c r="BD44" s="137"/>
      <c r="BE44" s="137"/>
      <c r="BF44" s="148"/>
      <c r="BG44" s="149"/>
      <c r="BH44" s="137"/>
      <c r="BI44" s="155"/>
      <c r="BJ44" s="156"/>
      <c r="BK44" s="137"/>
      <c r="BL44" s="129"/>
      <c r="BM44" s="139"/>
      <c r="BN44" s="139"/>
      <c r="BO44" s="132"/>
      <c r="BP44" s="128"/>
      <c r="BQ44" s="128"/>
      <c r="BR44" s="129"/>
      <c r="BS44" s="128"/>
      <c r="BT44" s="128"/>
      <c r="BU44" s="129"/>
      <c r="BV44" s="128"/>
      <c r="BW44" s="128"/>
      <c r="BX44" s="129"/>
      <c r="BY44" s="137"/>
      <c r="BZ44" s="137"/>
      <c r="CA44" s="132"/>
      <c r="CB44" s="137"/>
      <c r="CC44" s="137"/>
      <c r="CD44" s="132"/>
      <c r="CE44" s="137"/>
      <c r="CF44" s="137"/>
      <c r="CG44" s="132"/>
      <c r="CH44" s="137"/>
      <c r="CI44" s="137"/>
      <c r="CJ44" s="132"/>
      <c r="CK44" s="137"/>
      <c r="CL44" s="137"/>
      <c r="CM44" s="132"/>
      <c r="CN44" s="137"/>
      <c r="CO44" s="137"/>
      <c r="CP44" s="132"/>
      <c r="CQ44" s="137"/>
      <c r="CR44" s="137"/>
      <c r="CS44" s="132"/>
      <c r="CT44" s="130"/>
      <c r="CU44" s="130"/>
      <c r="CV44" s="140"/>
      <c r="CW44" s="130"/>
      <c r="CX44" s="130"/>
      <c r="CY44" s="140"/>
      <c r="CZ44" s="130"/>
      <c r="DA44" s="130"/>
      <c r="DB44" s="132"/>
      <c r="DC44" s="139"/>
      <c r="DD44" s="139"/>
      <c r="DE44" s="140"/>
      <c r="DF44" s="165"/>
      <c r="DG44" s="130"/>
      <c r="DH44" s="166"/>
      <c r="DI44" s="165"/>
      <c r="DJ44" s="130"/>
      <c r="DK44" s="166"/>
      <c r="DL44" s="165"/>
      <c r="DM44" s="130"/>
      <c r="DN44" s="166"/>
      <c r="DO44" s="165"/>
      <c r="DP44" s="130"/>
      <c r="DQ44" s="166"/>
      <c r="DR44" s="139"/>
      <c r="DS44" s="139"/>
      <c r="DT44" s="167"/>
      <c r="DU44" s="139"/>
      <c r="DV44" s="139"/>
      <c r="DW44" s="167"/>
      <c r="DX44" s="139"/>
      <c r="DY44" s="139"/>
      <c r="DZ44" s="168"/>
      <c r="EA44" s="139"/>
      <c r="EB44" s="139"/>
      <c r="EC44" s="167"/>
      <c r="ED44" s="139"/>
      <c r="EE44" s="139"/>
      <c r="EF44" s="168"/>
      <c r="EG44" s="139"/>
      <c r="EH44" s="139"/>
      <c r="EI44" s="167"/>
    </row>
    <row r="45" ht="15.75" customHeight="1">
      <c r="A45" s="126"/>
      <c r="B45" s="128"/>
      <c r="C45" s="128"/>
      <c r="D45" s="129"/>
      <c r="E45" s="130"/>
      <c r="F45" s="130"/>
      <c r="G45" s="129"/>
      <c r="H45" s="131"/>
      <c r="I45" s="131"/>
      <c r="J45" s="132"/>
      <c r="K45" s="134"/>
      <c r="L45" s="134"/>
      <c r="M45" s="132"/>
      <c r="N45" s="130"/>
      <c r="O45" s="130"/>
      <c r="P45" s="132"/>
      <c r="Q45" s="134"/>
      <c r="R45" s="134"/>
      <c r="S45" s="132"/>
      <c r="T45" s="137"/>
      <c r="U45" s="137"/>
      <c r="V45" s="132"/>
      <c r="W45" s="137"/>
      <c r="X45" s="137"/>
      <c r="Y45" s="132"/>
      <c r="Z45" s="137"/>
      <c r="AA45" s="137"/>
      <c r="AB45" s="132"/>
      <c r="AC45" s="139"/>
      <c r="AD45" s="139"/>
      <c r="AE45" s="140"/>
      <c r="AF45" s="139"/>
      <c r="AG45" s="139"/>
      <c r="AH45" s="140"/>
      <c r="AI45" s="139"/>
      <c r="AJ45" s="139"/>
      <c r="AK45" s="132"/>
      <c r="AL45" s="137"/>
      <c r="AM45" s="137"/>
      <c r="AN45" s="132"/>
      <c r="AO45" s="137"/>
      <c r="AP45" s="137"/>
      <c r="AQ45" s="129"/>
      <c r="AR45" s="137"/>
      <c r="AS45" s="137"/>
      <c r="AT45" s="129"/>
      <c r="AU45" s="137"/>
      <c r="AV45" s="137"/>
      <c r="AW45" s="129"/>
      <c r="AX45" s="137"/>
      <c r="AY45" s="137"/>
      <c r="AZ45" s="132"/>
      <c r="BA45" s="137"/>
      <c r="BB45" s="137"/>
      <c r="BC45" s="129"/>
      <c r="BD45" s="137"/>
      <c r="BE45" s="137"/>
      <c r="BF45" s="148"/>
      <c r="BG45" s="149"/>
      <c r="BH45" s="137"/>
      <c r="BI45" s="155"/>
      <c r="BJ45" s="156"/>
      <c r="BK45" s="137"/>
      <c r="BL45" s="129"/>
      <c r="BM45" s="139"/>
      <c r="BN45" s="139"/>
      <c r="BO45" s="132"/>
      <c r="BP45" s="128"/>
      <c r="BQ45" s="128"/>
      <c r="BR45" s="129"/>
      <c r="BS45" s="128"/>
      <c r="BT45" s="128"/>
      <c r="BU45" s="129"/>
      <c r="BV45" s="128"/>
      <c r="BW45" s="128"/>
      <c r="BX45" s="129"/>
      <c r="BY45" s="137"/>
      <c r="BZ45" s="137"/>
      <c r="CA45" s="132"/>
      <c r="CB45" s="137"/>
      <c r="CC45" s="137"/>
      <c r="CD45" s="132"/>
      <c r="CE45" s="137"/>
      <c r="CF45" s="137"/>
      <c r="CG45" s="132"/>
      <c r="CH45" s="137"/>
      <c r="CI45" s="137"/>
      <c r="CJ45" s="132"/>
      <c r="CK45" s="137"/>
      <c r="CL45" s="137"/>
      <c r="CM45" s="132"/>
      <c r="CN45" s="137"/>
      <c r="CO45" s="137"/>
      <c r="CP45" s="132"/>
      <c r="CQ45" s="137"/>
      <c r="CR45" s="137"/>
      <c r="CS45" s="132"/>
      <c r="CT45" s="130"/>
      <c r="CU45" s="130"/>
      <c r="CV45" s="140"/>
      <c r="CW45" s="130"/>
      <c r="CX45" s="130"/>
      <c r="CY45" s="140"/>
      <c r="CZ45" s="130"/>
      <c r="DA45" s="130"/>
      <c r="DB45" s="132"/>
      <c r="DC45" s="139"/>
      <c r="DD45" s="139"/>
      <c r="DE45" s="140"/>
      <c r="DF45" s="165"/>
      <c r="DG45" s="130"/>
      <c r="DH45" s="166"/>
      <c r="DI45" s="165"/>
      <c r="DJ45" s="130"/>
      <c r="DK45" s="166"/>
      <c r="DL45" s="165"/>
      <c r="DM45" s="130"/>
      <c r="DN45" s="166"/>
      <c r="DO45" s="165"/>
      <c r="DP45" s="130"/>
      <c r="DQ45" s="166"/>
      <c r="DR45" s="139"/>
      <c r="DS45" s="139"/>
      <c r="DT45" s="167"/>
      <c r="DU45" s="139"/>
      <c r="DV45" s="139"/>
      <c r="DW45" s="167"/>
      <c r="DX45" s="139"/>
      <c r="DY45" s="139"/>
      <c r="DZ45" s="168"/>
      <c r="EA45" s="139"/>
      <c r="EB45" s="139"/>
      <c r="EC45" s="167"/>
      <c r="ED45" s="139"/>
      <c r="EE45" s="139"/>
      <c r="EF45" s="168"/>
      <c r="EG45" s="139"/>
      <c r="EH45" s="139"/>
      <c r="EI45" s="167"/>
    </row>
    <row r="4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9"/>
      <c r="BH46" s="78"/>
      <c r="BI46" s="80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  <c r="CV46" s="78"/>
      <c r="CW46" s="78"/>
      <c r="CX46" s="78"/>
      <c r="CY46" s="78"/>
      <c r="CZ46" s="78"/>
      <c r="DA46" s="78"/>
      <c r="DB46" s="78"/>
      <c r="DC46" s="78"/>
      <c r="DD46" s="78"/>
      <c r="DE46" s="78"/>
      <c r="DF46" s="78"/>
      <c r="DG46" s="78"/>
      <c r="DH46" s="78"/>
      <c r="DI46" s="78"/>
      <c r="DJ46" s="78"/>
      <c r="DK46" s="78"/>
      <c r="DL46" s="78"/>
      <c r="DM46" s="78"/>
      <c r="DN46" s="78"/>
      <c r="DO46" s="78"/>
      <c r="DP46" s="78"/>
      <c r="DQ46" s="78"/>
      <c r="DR46" s="78"/>
      <c r="DS46" s="78"/>
      <c r="DT46" s="78"/>
      <c r="DU46" s="78"/>
      <c r="DV46" s="78"/>
      <c r="DW46" s="78"/>
      <c r="DX46" s="78"/>
      <c r="DY46" s="78"/>
      <c r="DZ46" s="78"/>
      <c r="EA46" s="78"/>
      <c r="EB46" s="78"/>
      <c r="EC46" s="78"/>
      <c r="ED46" s="78"/>
      <c r="EE46" s="78"/>
      <c r="EF46" s="78"/>
      <c r="EG46" s="78"/>
      <c r="EH46" s="78"/>
      <c r="EI46" s="78"/>
    </row>
    <row r="47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9"/>
      <c r="BH47" s="78"/>
      <c r="BI47" s="80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78"/>
      <c r="CH47" s="78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  <c r="CV47" s="78"/>
      <c r="CW47" s="78"/>
      <c r="CX47" s="78"/>
      <c r="CY47" s="78"/>
      <c r="CZ47" s="78"/>
      <c r="DA47" s="78"/>
      <c r="DB47" s="78"/>
      <c r="DC47" s="78"/>
      <c r="DD47" s="78"/>
      <c r="DE47" s="78"/>
      <c r="DF47" s="78"/>
      <c r="DG47" s="78"/>
      <c r="DH47" s="78"/>
      <c r="DI47" s="78"/>
      <c r="DJ47" s="78"/>
      <c r="DK47" s="78"/>
      <c r="DL47" s="78"/>
      <c r="DM47" s="78"/>
      <c r="DN47" s="78"/>
      <c r="DO47" s="78"/>
      <c r="DP47" s="78"/>
      <c r="DQ47" s="78"/>
      <c r="DR47" s="78"/>
      <c r="DS47" s="78"/>
      <c r="DT47" s="78"/>
      <c r="DU47" s="78"/>
      <c r="DV47" s="78"/>
      <c r="DW47" s="78"/>
      <c r="DX47" s="78"/>
      <c r="DY47" s="78"/>
      <c r="DZ47" s="78"/>
      <c r="EA47" s="78"/>
      <c r="EB47" s="78"/>
      <c r="EC47" s="78"/>
      <c r="ED47" s="78"/>
      <c r="EE47" s="78"/>
      <c r="EF47" s="78"/>
      <c r="EG47" s="78"/>
      <c r="EH47" s="78"/>
      <c r="EI47" s="78"/>
    </row>
    <row r="48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9"/>
      <c r="BH48" s="78"/>
      <c r="BI48" s="80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  <c r="CV48" s="78"/>
      <c r="CW48" s="78"/>
      <c r="CX48" s="78"/>
      <c r="CY48" s="78"/>
      <c r="CZ48" s="78"/>
      <c r="DA48" s="78"/>
      <c r="DB48" s="78"/>
      <c r="DC48" s="78"/>
      <c r="DD48" s="78"/>
      <c r="DE48" s="78"/>
      <c r="DF48" s="78"/>
      <c r="DG48" s="78"/>
      <c r="DH48" s="78"/>
      <c r="DI48" s="78"/>
      <c r="DJ48" s="78"/>
      <c r="DK48" s="78"/>
      <c r="DL48" s="78"/>
      <c r="DM48" s="78"/>
      <c r="DN48" s="78"/>
      <c r="DO48" s="78"/>
      <c r="DP48" s="78"/>
      <c r="DQ48" s="78"/>
      <c r="DR48" s="78"/>
      <c r="DS48" s="78"/>
      <c r="DT48" s="78"/>
      <c r="DU48" s="78"/>
      <c r="DV48" s="78"/>
      <c r="DW48" s="78"/>
      <c r="DX48" s="78"/>
      <c r="DY48" s="78"/>
      <c r="DZ48" s="78"/>
      <c r="EA48" s="78"/>
      <c r="EB48" s="78"/>
      <c r="EC48" s="78"/>
      <c r="ED48" s="78"/>
      <c r="EE48" s="78"/>
      <c r="EF48" s="78"/>
      <c r="EG48" s="78"/>
      <c r="EH48" s="78"/>
      <c r="EI48" s="78"/>
    </row>
    <row r="49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9"/>
      <c r="BH49" s="78"/>
      <c r="BI49" s="80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78"/>
      <c r="CH49" s="7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  <c r="CV49" s="78"/>
      <c r="CW49" s="78"/>
      <c r="CX49" s="78"/>
      <c r="CY49" s="78"/>
      <c r="CZ49" s="78"/>
      <c r="DA49" s="78"/>
      <c r="DB49" s="78"/>
      <c r="DC49" s="78"/>
      <c r="DD49" s="78"/>
      <c r="DE49" s="78"/>
      <c r="DF49" s="78"/>
      <c r="DG49" s="78"/>
      <c r="DH49" s="78"/>
      <c r="DI49" s="78"/>
      <c r="DJ49" s="78"/>
      <c r="DK49" s="78"/>
      <c r="DL49" s="78"/>
      <c r="DM49" s="78"/>
      <c r="DN49" s="78"/>
      <c r="DO49" s="78"/>
      <c r="DP49" s="78"/>
      <c r="DQ49" s="78"/>
      <c r="DR49" s="78"/>
      <c r="DS49" s="78"/>
      <c r="DT49" s="78"/>
      <c r="DU49" s="78"/>
      <c r="DV49" s="78"/>
      <c r="DW49" s="78"/>
      <c r="DX49" s="78"/>
      <c r="DY49" s="78"/>
      <c r="DZ49" s="78"/>
      <c r="EA49" s="78"/>
      <c r="EB49" s="78"/>
      <c r="EC49" s="78"/>
      <c r="ED49" s="78"/>
      <c r="EE49" s="78"/>
      <c r="EF49" s="78"/>
      <c r="EG49" s="78"/>
      <c r="EH49" s="78"/>
      <c r="EI49" s="78"/>
    </row>
    <row r="50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9"/>
      <c r="BH50" s="78"/>
      <c r="BI50" s="80"/>
      <c r="BJ50" s="78"/>
      <c r="BK50" s="78"/>
      <c r="BL50" s="78"/>
      <c r="BM50" s="78"/>
      <c r="BN50" s="78"/>
      <c r="BO50" s="78"/>
      <c r="BP50" s="78"/>
      <c r="BQ50" s="78"/>
      <c r="BR50" s="78"/>
      <c r="BS50" s="78"/>
      <c r="BT50" s="78"/>
      <c r="BU50" s="78"/>
      <c r="BV50" s="78"/>
      <c r="BW50" s="78"/>
      <c r="BX50" s="78"/>
      <c r="BY50" s="78"/>
      <c r="BZ50" s="78"/>
      <c r="CA50" s="78"/>
      <c r="CB50" s="78"/>
      <c r="CC50" s="78"/>
      <c r="CD50" s="78"/>
      <c r="CE50" s="78"/>
      <c r="CF50" s="78"/>
      <c r="CG50" s="78"/>
      <c r="CH50" s="78"/>
      <c r="CI50" s="78"/>
      <c r="CJ50" s="78"/>
      <c r="CK50" s="78"/>
      <c r="CL50" s="78"/>
      <c r="CM50" s="78"/>
      <c r="CN50" s="78"/>
      <c r="CO50" s="78"/>
      <c r="CP50" s="78"/>
      <c r="CQ50" s="78"/>
      <c r="CR50" s="78"/>
      <c r="CS50" s="78"/>
      <c r="CT50" s="78"/>
      <c r="CU50" s="78"/>
      <c r="CV50" s="78"/>
      <c r="CW50" s="78"/>
      <c r="CX50" s="78"/>
      <c r="CY50" s="78"/>
      <c r="CZ50" s="78"/>
      <c r="DA50" s="78"/>
      <c r="DB50" s="78"/>
      <c r="DC50" s="78"/>
      <c r="DD50" s="78"/>
      <c r="DE50" s="78"/>
      <c r="DF50" s="78"/>
      <c r="DG50" s="78"/>
      <c r="DH50" s="78"/>
      <c r="DI50" s="78"/>
      <c r="DJ50" s="78"/>
      <c r="DK50" s="78"/>
      <c r="DL50" s="78"/>
      <c r="DM50" s="78"/>
      <c r="DN50" s="78"/>
      <c r="DO50" s="78"/>
      <c r="DP50" s="78"/>
      <c r="DQ50" s="78"/>
      <c r="DR50" s="78"/>
      <c r="DS50" s="78"/>
      <c r="DT50" s="78"/>
      <c r="DU50" s="78"/>
      <c r="DV50" s="78"/>
      <c r="DW50" s="78"/>
      <c r="DX50" s="78"/>
      <c r="DY50" s="78"/>
      <c r="DZ50" s="78"/>
      <c r="EA50" s="78"/>
      <c r="EB50" s="78"/>
      <c r="EC50" s="78"/>
      <c r="ED50" s="78"/>
      <c r="EE50" s="78"/>
      <c r="EF50" s="78"/>
      <c r="EG50" s="78"/>
      <c r="EH50" s="78"/>
      <c r="EI50" s="78"/>
    </row>
    <row r="51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9"/>
      <c r="BH51" s="78"/>
      <c r="BI51" s="80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78"/>
      <c r="CF51" s="78"/>
      <c r="CG51" s="78"/>
      <c r="CH51" s="78"/>
      <c r="CI51" s="78"/>
      <c r="CJ51" s="78"/>
      <c r="CK51" s="78"/>
      <c r="CL51" s="78"/>
      <c r="CM51" s="78"/>
      <c r="CN51" s="78"/>
      <c r="CO51" s="78"/>
      <c r="CP51" s="78"/>
      <c r="CQ51" s="78"/>
      <c r="CR51" s="78"/>
      <c r="CS51" s="78"/>
      <c r="CT51" s="78"/>
      <c r="CU51" s="78"/>
      <c r="CV51" s="78"/>
      <c r="CW51" s="78"/>
      <c r="CX51" s="78"/>
      <c r="CY51" s="78"/>
      <c r="CZ51" s="78"/>
      <c r="DA51" s="78"/>
      <c r="DB51" s="78"/>
      <c r="DC51" s="78"/>
      <c r="DD51" s="78"/>
      <c r="DE51" s="78"/>
      <c r="DF51" s="78"/>
      <c r="DG51" s="78"/>
      <c r="DH51" s="78"/>
      <c r="DI51" s="78"/>
      <c r="DJ51" s="78"/>
      <c r="DK51" s="78"/>
      <c r="DL51" s="78"/>
      <c r="DM51" s="78"/>
      <c r="DN51" s="78"/>
      <c r="DO51" s="78"/>
      <c r="DP51" s="78"/>
      <c r="DQ51" s="78"/>
      <c r="DR51" s="78"/>
      <c r="DS51" s="78"/>
      <c r="DT51" s="78"/>
      <c r="DU51" s="78"/>
      <c r="DV51" s="78"/>
      <c r="DW51" s="78"/>
      <c r="DX51" s="78"/>
      <c r="DY51" s="78"/>
      <c r="DZ51" s="78"/>
      <c r="EA51" s="78"/>
      <c r="EB51" s="78"/>
      <c r="EC51" s="78"/>
      <c r="ED51" s="78"/>
      <c r="EE51" s="78"/>
      <c r="EF51" s="78"/>
      <c r="EG51" s="78"/>
      <c r="EH51" s="78"/>
      <c r="EI51" s="78"/>
    </row>
    <row r="52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9"/>
      <c r="BH52" s="78"/>
      <c r="BI52" s="80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78"/>
      <c r="CF52" s="78"/>
      <c r="CG52" s="78"/>
      <c r="CH52" s="78"/>
      <c r="CI52" s="78"/>
      <c r="CJ52" s="78"/>
      <c r="CK52" s="78"/>
      <c r="CL52" s="78"/>
      <c r="CM52" s="78"/>
      <c r="CN52" s="78"/>
      <c r="CO52" s="78"/>
      <c r="CP52" s="78"/>
      <c r="CQ52" s="78"/>
      <c r="CR52" s="78"/>
      <c r="CS52" s="78"/>
      <c r="CT52" s="78"/>
      <c r="CU52" s="78"/>
      <c r="CV52" s="78"/>
      <c r="CW52" s="78"/>
      <c r="CX52" s="78"/>
      <c r="CY52" s="78"/>
      <c r="CZ52" s="78"/>
      <c r="DA52" s="78"/>
      <c r="DB52" s="78"/>
      <c r="DC52" s="78"/>
      <c r="DD52" s="78"/>
      <c r="DE52" s="78"/>
      <c r="DF52" s="78"/>
      <c r="DG52" s="78"/>
      <c r="DH52" s="78"/>
      <c r="DI52" s="78"/>
      <c r="DJ52" s="78"/>
      <c r="DK52" s="78"/>
      <c r="DL52" s="78"/>
      <c r="DM52" s="78"/>
      <c r="DN52" s="78"/>
      <c r="DO52" s="78"/>
      <c r="DP52" s="78"/>
      <c r="DQ52" s="78"/>
      <c r="DR52" s="78"/>
      <c r="DS52" s="78"/>
      <c r="DT52" s="78"/>
      <c r="DU52" s="78"/>
      <c r="DV52" s="78"/>
      <c r="DW52" s="78"/>
      <c r="DX52" s="78"/>
      <c r="DY52" s="78"/>
      <c r="DZ52" s="78"/>
      <c r="EA52" s="78"/>
      <c r="EB52" s="78"/>
      <c r="EC52" s="78"/>
      <c r="ED52" s="78"/>
      <c r="EE52" s="78"/>
      <c r="EF52" s="78"/>
      <c r="EG52" s="78"/>
      <c r="EH52" s="78"/>
      <c r="EI52" s="78"/>
    </row>
    <row r="53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9"/>
      <c r="BH53" s="78"/>
      <c r="BI53" s="80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  <c r="CE53" s="78"/>
      <c r="CF53" s="78"/>
      <c r="CG53" s="78"/>
      <c r="CH53" s="78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  <c r="CV53" s="78"/>
      <c r="CW53" s="78"/>
      <c r="CX53" s="78"/>
      <c r="CY53" s="78"/>
      <c r="CZ53" s="78"/>
      <c r="DA53" s="78"/>
      <c r="DB53" s="78"/>
      <c r="DC53" s="78"/>
      <c r="DD53" s="78"/>
      <c r="DE53" s="78"/>
      <c r="DF53" s="78"/>
      <c r="DG53" s="78"/>
      <c r="DH53" s="78"/>
      <c r="DI53" s="78"/>
      <c r="DJ53" s="78"/>
      <c r="DK53" s="78"/>
      <c r="DL53" s="78"/>
      <c r="DM53" s="78"/>
      <c r="DN53" s="78"/>
      <c r="DO53" s="78"/>
      <c r="DP53" s="78"/>
      <c r="DQ53" s="78"/>
      <c r="DR53" s="78"/>
      <c r="DS53" s="78"/>
      <c r="DT53" s="78"/>
      <c r="DU53" s="78"/>
      <c r="DV53" s="78"/>
      <c r="DW53" s="78"/>
      <c r="DX53" s="78"/>
      <c r="DY53" s="78"/>
      <c r="DZ53" s="78"/>
      <c r="EA53" s="78"/>
      <c r="EB53" s="78"/>
      <c r="EC53" s="78"/>
      <c r="ED53" s="78"/>
      <c r="EE53" s="78"/>
      <c r="EF53" s="78"/>
      <c r="EG53" s="78"/>
      <c r="EH53" s="78"/>
      <c r="EI53" s="78"/>
    </row>
    <row r="54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9"/>
      <c r="BH54" s="78"/>
      <c r="BI54" s="80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  <c r="CG54" s="78"/>
      <c r="CH54" s="78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  <c r="CV54" s="78"/>
      <c r="CW54" s="78"/>
      <c r="CX54" s="78"/>
      <c r="CY54" s="78"/>
      <c r="CZ54" s="78"/>
      <c r="DA54" s="78"/>
      <c r="DB54" s="78"/>
      <c r="DC54" s="78"/>
      <c r="DD54" s="78"/>
      <c r="DE54" s="78"/>
      <c r="DF54" s="78"/>
      <c r="DG54" s="78"/>
      <c r="DH54" s="78"/>
      <c r="DI54" s="78"/>
      <c r="DJ54" s="78"/>
      <c r="DK54" s="78"/>
      <c r="DL54" s="78"/>
      <c r="DM54" s="78"/>
      <c r="DN54" s="78"/>
      <c r="DO54" s="78"/>
      <c r="DP54" s="78"/>
      <c r="DQ54" s="78"/>
      <c r="DR54" s="78"/>
      <c r="DS54" s="78"/>
      <c r="DT54" s="78"/>
      <c r="DU54" s="78"/>
      <c r="DV54" s="78"/>
      <c r="DW54" s="78"/>
      <c r="DX54" s="78"/>
      <c r="DY54" s="78"/>
      <c r="DZ54" s="78"/>
      <c r="EA54" s="78"/>
      <c r="EB54" s="78"/>
      <c r="EC54" s="78"/>
      <c r="ED54" s="78"/>
      <c r="EE54" s="78"/>
      <c r="EF54" s="78"/>
      <c r="EG54" s="78"/>
      <c r="EH54" s="78"/>
      <c r="EI54" s="78"/>
    </row>
    <row r="55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9"/>
      <c r="BH55" s="78"/>
      <c r="BI55" s="80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  <c r="CA55" s="78"/>
      <c r="CB55" s="78"/>
      <c r="CC55" s="78"/>
      <c r="CD55" s="78"/>
      <c r="CE55" s="78"/>
      <c r="CF55" s="78"/>
      <c r="CG55" s="78"/>
      <c r="CH55" s="78"/>
      <c r="CI55" s="78"/>
      <c r="CJ55" s="78"/>
      <c r="CK55" s="78"/>
      <c r="CL55" s="78"/>
      <c r="CM55" s="78"/>
      <c r="CN55" s="78"/>
      <c r="CO55" s="78"/>
      <c r="CP55" s="78"/>
      <c r="CQ55" s="78"/>
      <c r="CR55" s="78"/>
      <c r="CS55" s="78"/>
      <c r="CT55" s="78"/>
      <c r="CU55" s="78"/>
      <c r="CV55" s="78"/>
      <c r="CW55" s="78"/>
      <c r="CX55" s="78"/>
      <c r="CY55" s="78"/>
      <c r="CZ55" s="78"/>
      <c r="DA55" s="78"/>
      <c r="DB55" s="78"/>
      <c r="DC55" s="78"/>
      <c r="DD55" s="78"/>
      <c r="DE55" s="78"/>
      <c r="DF55" s="78"/>
      <c r="DG55" s="78"/>
      <c r="DH55" s="78"/>
      <c r="DI55" s="78"/>
      <c r="DJ55" s="78"/>
      <c r="DK55" s="78"/>
      <c r="DL55" s="78"/>
      <c r="DM55" s="78"/>
      <c r="DN55" s="78"/>
      <c r="DO55" s="78"/>
      <c r="DP55" s="78"/>
      <c r="DQ55" s="78"/>
      <c r="DR55" s="78"/>
      <c r="DS55" s="78"/>
      <c r="DT55" s="78"/>
      <c r="DU55" s="78"/>
      <c r="DV55" s="78"/>
      <c r="DW55" s="78"/>
      <c r="DX55" s="78"/>
      <c r="DY55" s="78"/>
      <c r="DZ55" s="78"/>
      <c r="EA55" s="78"/>
      <c r="EB55" s="78"/>
      <c r="EC55" s="78"/>
      <c r="ED55" s="78"/>
      <c r="EE55" s="78"/>
      <c r="EF55" s="78"/>
      <c r="EG55" s="78"/>
      <c r="EH55" s="78"/>
      <c r="EI55" s="78"/>
    </row>
    <row r="5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9"/>
      <c r="BH56" s="78"/>
      <c r="BI56" s="80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  <c r="CE56" s="78"/>
      <c r="CF56" s="78"/>
      <c r="CG56" s="78"/>
      <c r="CH56" s="78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  <c r="CV56" s="78"/>
      <c r="CW56" s="78"/>
      <c r="CX56" s="78"/>
      <c r="CY56" s="78"/>
      <c r="CZ56" s="78"/>
      <c r="DA56" s="78"/>
      <c r="DB56" s="78"/>
      <c r="DC56" s="78"/>
      <c r="DD56" s="78"/>
      <c r="DE56" s="78"/>
      <c r="DF56" s="78"/>
      <c r="DG56" s="78"/>
      <c r="DH56" s="78"/>
      <c r="DI56" s="78"/>
      <c r="DJ56" s="78"/>
      <c r="DK56" s="78"/>
      <c r="DL56" s="78"/>
      <c r="DM56" s="78"/>
      <c r="DN56" s="78"/>
      <c r="DO56" s="78"/>
      <c r="DP56" s="78"/>
      <c r="DQ56" s="78"/>
      <c r="DR56" s="78"/>
      <c r="DS56" s="78"/>
      <c r="DT56" s="78"/>
      <c r="DU56" s="78"/>
      <c r="DV56" s="78"/>
      <c r="DW56" s="78"/>
      <c r="DX56" s="78"/>
      <c r="DY56" s="78"/>
      <c r="DZ56" s="78"/>
      <c r="EA56" s="78"/>
      <c r="EB56" s="78"/>
      <c r="EC56" s="78"/>
      <c r="ED56" s="78"/>
      <c r="EE56" s="78"/>
      <c r="EF56" s="78"/>
      <c r="EG56" s="78"/>
      <c r="EH56" s="78"/>
      <c r="EI56" s="78"/>
    </row>
    <row r="57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9"/>
      <c r="BH57" s="78"/>
      <c r="BI57" s="80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  <c r="CV57" s="78"/>
      <c r="CW57" s="78"/>
      <c r="CX57" s="78"/>
      <c r="CY57" s="78"/>
      <c r="CZ57" s="78"/>
      <c r="DA57" s="78"/>
      <c r="DB57" s="78"/>
      <c r="DC57" s="78"/>
      <c r="DD57" s="78"/>
      <c r="DE57" s="78"/>
      <c r="DF57" s="78"/>
      <c r="DG57" s="78"/>
      <c r="DH57" s="78"/>
      <c r="DI57" s="78"/>
      <c r="DJ57" s="78"/>
      <c r="DK57" s="78"/>
      <c r="DL57" s="78"/>
      <c r="DM57" s="78"/>
      <c r="DN57" s="78"/>
      <c r="DO57" s="78"/>
      <c r="DP57" s="78"/>
      <c r="DQ57" s="78"/>
      <c r="DR57" s="78"/>
      <c r="DS57" s="78"/>
      <c r="DT57" s="78"/>
      <c r="DU57" s="78"/>
      <c r="DV57" s="78"/>
      <c r="DW57" s="78"/>
      <c r="DX57" s="78"/>
      <c r="DY57" s="78"/>
      <c r="DZ57" s="78"/>
      <c r="EA57" s="78"/>
      <c r="EB57" s="78"/>
      <c r="EC57" s="78"/>
      <c r="ED57" s="78"/>
      <c r="EE57" s="78"/>
      <c r="EF57" s="78"/>
      <c r="EG57" s="78"/>
      <c r="EH57" s="78"/>
      <c r="EI57" s="78"/>
    </row>
    <row r="58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9"/>
      <c r="BH58" s="78"/>
      <c r="BI58" s="80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  <c r="CE58" s="78"/>
      <c r="CF58" s="78"/>
      <c r="CG58" s="78"/>
      <c r="CH58" s="78"/>
      <c r="CI58" s="78"/>
      <c r="CJ58" s="78"/>
      <c r="CK58" s="78"/>
      <c r="CL58" s="78"/>
      <c r="CM58" s="78"/>
      <c r="CN58" s="78"/>
      <c r="CO58" s="78"/>
      <c r="CP58" s="78"/>
      <c r="CQ58" s="78"/>
      <c r="CR58" s="78"/>
      <c r="CS58" s="78"/>
      <c r="CT58" s="78"/>
      <c r="CU58" s="78"/>
      <c r="CV58" s="78"/>
      <c r="CW58" s="78"/>
      <c r="CX58" s="78"/>
      <c r="CY58" s="78"/>
      <c r="CZ58" s="78"/>
      <c r="DA58" s="78"/>
      <c r="DB58" s="78"/>
      <c r="DC58" s="78"/>
      <c r="DD58" s="78"/>
      <c r="DE58" s="78"/>
      <c r="DF58" s="78"/>
      <c r="DG58" s="78"/>
      <c r="DH58" s="78"/>
      <c r="DI58" s="78"/>
      <c r="DJ58" s="78"/>
      <c r="DK58" s="78"/>
      <c r="DL58" s="78"/>
      <c r="DM58" s="78"/>
      <c r="DN58" s="78"/>
      <c r="DO58" s="78"/>
      <c r="DP58" s="78"/>
      <c r="DQ58" s="78"/>
      <c r="DR58" s="78"/>
      <c r="DS58" s="78"/>
      <c r="DT58" s="78"/>
      <c r="DU58" s="78"/>
      <c r="DV58" s="78"/>
      <c r="DW58" s="78"/>
      <c r="DX58" s="78"/>
      <c r="DY58" s="78"/>
      <c r="DZ58" s="78"/>
      <c r="EA58" s="78"/>
      <c r="EB58" s="78"/>
      <c r="EC58" s="78"/>
      <c r="ED58" s="78"/>
      <c r="EE58" s="78"/>
      <c r="EF58" s="78"/>
      <c r="EG58" s="78"/>
      <c r="EH58" s="78"/>
      <c r="EI58" s="78"/>
    </row>
    <row r="59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9"/>
      <c r="BH59" s="78"/>
      <c r="BI59" s="80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  <c r="CV59" s="78"/>
      <c r="CW59" s="78"/>
      <c r="CX59" s="78"/>
      <c r="CY59" s="78"/>
      <c r="CZ59" s="78"/>
      <c r="DA59" s="78"/>
      <c r="DB59" s="78"/>
      <c r="DC59" s="78"/>
      <c r="DD59" s="78"/>
      <c r="DE59" s="78"/>
      <c r="DF59" s="78"/>
      <c r="DG59" s="78"/>
      <c r="DH59" s="78"/>
      <c r="DI59" s="78"/>
      <c r="DJ59" s="78"/>
      <c r="DK59" s="78"/>
      <c r="DL59" s="78"/>
      <c r="DM59" s="78"/>
      <c r="DN59" s="78"/>
      <c r="DO59" s="78"/>
      <c r="DP59" s="78"/>
      <c r="DQ59" s="78"/>
      <c r="DR59" s="78"/>
      <c r="DS59" s="78"/>
      <c r="DT59" s="78"/>
      <c r="DU59" s="78"/>
      <c r="DV59" s="78"/>
      <c r="DW59" s="78"/>
      <c r="DX59" s="78"/>
      <c r="DY59" s="78"/>
      <c r="DZ59" s="78"/>
      <c r="EA59" s="78"/>
      <c r="EB59" s="78"/>
      <c r="EC59" s="78"/>
      <c r="ED59" s="78"/>
      <c r="EE59" s="78"/>
      <c r="EF59" s="78"/>
      <c r="EG59" s="78"/>
      <c r="EH59" s="78"/>
      <c r="EI59" s="78"/>
    </row>
    <row r="60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9"/>
      <c r="BH60" s="78"/>
      <c r="BI60" s="80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  <c r="CE60" s="78"/>
      <c r="CF60" s="78"/>
      <c r="CG60" s="78"/>
      <c r="CH60" s="78"/>
      <c r="CI60" s="78"/>
      <c r="CJ60" s="78"/>
      <c r="CK60" s="78"/>
      <c r="CL60" s="78"/>
      <c r="CM60" s="78"/>
      <c r="CN60" s="78"/>
      <c r="CO60" s="78"/>
      <c r="CP60" s="78"/>
      <c r="CQ60" s="78"/>
      <c r="CR60" s="78"/>
      <c r="CS60" s="78"/>
      <c r="CT60" s="78"/>
      <c r="CU60" s="78"/>
      <c r="CV60" s="78"/>
      <c r="CW60" s="78"/>
      <c r="CX60" s="78"/>
      <c r="CY60" s="78"/>
      <c r="CZ60" s="78"/>
      <c r="DA60" s="78"/>
      <c r="DB60" s="78"/>
      <c r="DC60" s="78"/>
      <c r="DD60" s="78"/>
      <c r="DE60" s="78"/>
      <c r="DF60" s="78"/>
      <c r="DG60" s="78"/>
      <c r="DH60" s="78"/>
      <c r="DI60" s="78"/>
      <c r="DJ60" s="78"/>
      <c r="DK60" s="78"/>
      <c r="DL60" s="78"/>
      <c r="DM60" s="78"/>
      <c r="DN60" s="78"/>
      <c r="DO60" s="78"/>
      <c r="DP60" s="78"/>
      <c r="DQ60" s="78"/>
      <c r="DR60" s="78"/>
      <c r="DS60" s="78"/>
      <c r="DT60" s="78"/>
      <c r="DU60" s="78"/>
      <c r="DV60" s="78"/>
      <c r="DW60" s="78"/>
      <c r="DX60" s="78"/>
      <c r="DY60" s="78"/>
      <c r="DZ60" s="78"/>
      <c r="EA60" s="78"/>
      <c r="EB60" s="78"/>
      <c r="EC60" s="78"/>
      <c r="ED60" s="78"/>
      <c r="EE60" s="78"/>
      <c r="EF60" s="78"/>
      <c r="EG60" s="78"/>
      <c r="EH60" s="78"/>
      <c r="EI60" s="78"/>
    </row>
    <row r="61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9"/>
      <c r="BH61" s="78"/>
      <c r="BI61" s="80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  <c r="CV61" s="78"/>
      <c r="CW61" s="78"/>
      <c r="CX61" s="78"/>
      <c r="CY61" s="78"/>
      <c r="CZ61" s="78"/>
      <c r="DA61" s="78"/>
      <c r="DB61" s="78"/>
      <c r="DC61" s="78"/>
      <c r="DD61" s="78"/>
      <c r="DE61" s="78"/>
      <c r="DF61" s="78"/>
      <c r="DG61" s="78"/>
      <c r="DH61" s="78"/>
      <c r="DI61" s="78"/>
      <c r="DJ61" s="78"/>
      <c r="DK61" s="78"/>
      <c r="DL61" s="78"/>
      <c r="DM61" s="78"/>
      <c r="DN61" s="78"/>
      <c r="DO61" s="78"/>
      <c r="DP61" s="78"/>
      <c r="DQ61" s="78"/>
      <c r="DR61" s="78"/>
      <c r="DS61" s="78"/>
      <c r="DT61" s="78"/>
      <c r="DU61" s="78"/>
      <c r="DV61" s="78"/>
      <c r="DW61" s="78"/>
      <c r="DX61" s="78"/>
      <c r="DY61" s="78"/>
      <c r="DZ61" s="78"/>
      <c r="EA61" s="78"/>
      <c r="EB61" s="78"/>
      <c r="EC61" s="78"/>
      <c r="ED61" s="78"/>
      <c r="EE61" s="78"/>
      <c r="EF61" s="78"/>
      <c r="EG61" s="78"/>
      <c r="EH61" s="78"/>
      <c r="EI61" s="78"/>
    </row>
    <row r="62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9"/>
      <c r="BH62" s="78"/>
      <c r="BI62" s="80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  <c r="CV62" s="78"/>
      <c r="CW62" s="78"/>
      <c r="CX62" s="78"/>
      <c r="CY62" s="78"/>
      <c r="CZ62" s="78"/>
      <c r="DA62" s="78"/>
      <c r="DB62" s="78"/>
      <c r="DC62" s="78"/>
      <c r="DD62" s="78"/>
      <c r="DE62" s="78"/>
      <c r="DF62" s="78"/>
      <c r="DG62" s="78"/>
      <c r="DH62" s="78"/>
      <c r="DI62" s="78"/>
      <c r="DJ62" s="78"/>
      <c r="DK62" s="78"/>
      <c r="DL62" s="78"/>
      <c r="DM62" s="78"/>
      <c r="DN62" s="78"/>
      <c r="DO62" s="78"/>
      <c r="DP62" s="78"/>
      <c r="DQ62" s="78"/>
      <c r="DR62" s="78"/>
      <c r="DS62" s="78"/>
      <c r="DT62" s="78"/>
      <c r="DU62" s="78"/>
      <c r="DV62" s="78"/>
      <c r="DW62" s="78"/>
      <c r="DX62" s="78"/>
      <c r="DY62" s="78"/>
      <c r="DZ62" s="78"/>
      <c r="EA62" s="78"/>
      <c r="EB62" s="78"/>
      <c r="EC62" s="78"/>
      <c r="ED62" s="78"/>
      <c r="EE62" s="78"/>
      <c r="EF62" s="78"/>
      <c r="EG62" s="78"/>
      <c r="EH62" s="78"/>
      <c r="EI62" s="78"/>
    </row>
    <row r="63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9"/>
      <c r="BH63" s="78"/>
      <c r="BI63" s="80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78"/>
      <c r="CT63" s="78"/>
      <c r="CU63" s="78"/>
      <c r="CV63" s="78"/>
      <c r="CW63" s="78"/>
      <c r="CX63" s="78"/>
      <c r="CY63" s="78"/>
      <c r="CZ63" s="78"/>
      <c r="DA63" s="78"/>
      <c r="DB63" s="78"/>
      <c r="DC63" s="78"/>
      <c r="DD63" s="78"/>
      <c r="DE63" s="78"/>
      <c r="DF63" s="78"/>
      <c r="DG63" s="78"/>
      <c r="DH63" s="78"/>
      <c r="DI63" s="78"/>
      <c r="DJ63" s="78"/>
      <c r="DK63" s="78"/>
      <c r="DL63" s="78"/>
      <c r="DM63" s="78"/>
      <c r="DN63" s="78"/>
      <c r="DO63" s="78"/>
      <c r="DP63" s="78"/>
      <c r="DQ63" s="78"/>
      <c r="DR63" s="78"/>
      <c r="DS63" s="78"/>
      <c r="DT63" s="78"/>
      <c r="DU63" s="78"/>
      <c r="DV63" s="78"/>
      <c r="DW63" s="78"/>
      <c r="DX63" s="78"/>
      <c r="DY63" s="78"/>
      <c r="DZ63" s="78"/>
      <c r="EA63" s="78"/>
      <c r="EB63" s="78"/>
      <c r="EC63" s="78"/>
      <c r="ED63" s="78"/>
      <c r="EE63" s="78"/>
      <c r="EF63" s="78"/>
      <c r="EG63" s="78"/>
      <c r="EH63" s="78"/>
      <c r="EI63" s="78"/>
    </row>
    <row r="64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9"/>
      <c r="BH64" s="78"/>
      <c r="BI64" s="80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  <c r="CE64" s="78"/>
      <c r="CF64" s="78"/>
      <c r="CG64" s="78"/>
      <c r="CH64" s="78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  <c r="CV64" s="78"/>
      <c r="CW64" s="78"/>
      <c r="CX64" s="78"/>
      <c r="CY64" s="78"/>
      <c r="CZ64" s="78"/>
      <c r="DA64" s="78"/>
      <c r="DB64" s="78"/>
      <c r="DC64" s="78"/>
      <c r="DD64" s="78"/>
      <c r="DE64" s="78"/>
      <c r="DF64" s="78"/>
      <c r="DG64" s="78"/>
      <c r="DH64" s="78"/>
      <c r="DI64" s="78"/>
      <c r="DJ64" s="78"/>
      <c r="DK64" s="78"/>
      <c r="DL64" s="78"/>
      <c r="DM64" s="78"/>
      <c r="DN64" s="78"/>
      <c r="DO64" s="78"/>
      <c r="DP64" s="78"/>
      <c r="DQ64" s="78"/>
      <c r="DR64" s="78"/>
      <c r="DS64" s="78"/>
      <c r="DT64" s="78"/>
      <c r="DU64" s="78"/>
      <c r="DV64" s="78"/>
      <c r="DW64" s="78"/>
      <c r="DX64" s="78"/>
      <c r="DY64" s="78"/>
      <c r="DZ64" s="78"/>
      <c r="EA64" s="78"/>
      <c r="EB64" s="78"/>
      <c r="EC64" s="78"/>
      <c r="ED64" s="78"/>
      <c r="EE64" s="78"/>
      <c r="EF64" s="78"/>
      <c r="EG64" s="78"/>
      <c r="EH64" s="78"/>
      <c r="EI64" s="78"/>
    </row>
    <row r="65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9"/>
      <c r="BH65" s="78"/>
      <c r="BI65" s="80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  <c r="CV65" s="78"/>
      <c r="CW65" s="78"/>
      <c r="CX65" s="78"/>
      <c r="CY65" s="78"/>
      <c r="CZ65" s="78"/>
      <c r="DA65" s="78"/>
      <c r="DB65" s="78"/>
      <c r="DC65" s="78"/>
      <c r="DD65" s="78"/>
      <c r="DE65" s="78"/>
      <c r="DF65" s="78"/>
      <c r="DG65" s="78"/>
      <c r="DH65" s="78"/>
      <c r="DI65" s="78"/>
      <c r="DJ65" s="78"/>
      <c r="DK65" s="78"/>
      <c r="DL65" s="78"/>
      <c r="DM65" s="78"/>
      <c r="DN65" s="78"/>
      <c r="DO65" s="78"/>
      <c r="DP65" s="78"/>
      <c r="DQ65" s="78"/>
      <c r="DR65" s="78"/>
      <c r="DS65" s="78"/>
      <c r="DT65" s="78"/>
      <c r="DU65" s="78"/>
      <c r="DV65" s="78"/>
      <c r="DW65" s="78"/>
      <c r="DX65" s="78"/>
      <c r="DY65" s="78"/>
      <c r="DZ65" s="78"/>
      <c r="EA65" s="78"/>
      <c r="EB65" s="78"/>
      <c r="EC65" s="78"/>
      <c r="ED65" s="78"/>
      <c r="EE65" s="78"/>
      <c r="EF65" s="78"/>
      <c r="EG65" s="78"/>
      <c r="EH65" s="78"/>
      <c r="EI65" s="78"/>
    </row>
    <row r="6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9"/>
      <c r="BH66" s="78"/>
      <c r="BI66" s="80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  <c r="CV66" s="78"/>
      <c r="CW66" s="78"/>
      <c r="CX66" s="78"/>
      <c r="CY66" s="78"/>
      <c r="CZ66" s="78"/>
      <c r="DA66" s="78"/>
      <c r="DB66" s="78"/>
      <c r="DC66" s="78"/>
      <c r="DD66" s="78"/>
      <c r="DE66" s="78"/>
      <c r="DF66" s="78"/>
      <c r="DG66" s="78"/>
      <c r="DH66" s="78"/>
      <c r="DI66" s="78"/>
      <c r="DJ66" s="78"/>
      <c r="DK66" s="78"/>
      <c r="DL66" s="78"/>
      <c r="DM66" s="78"/>
      <c r="DN66" s="78"/>
      <c r="DO66" s="78"/>
      <c r="DP66" s="78"/>
      <c r="DQ66" s="78"/>
      <c r="DR66" s="78"/>
      <c r="DS66" s="78"/>
      <c r="DT66" s="78"/>
      <c r="DU66" s="78"/>
      <c r="DV66" s="78"/>
      <c r="DW66" s="78"/>
      <c r="DX66" s="78"/>
      <c r="DY66" s="78"/>
      <c r="DZ66" s="78"/>
      <c r="EA66" s="78"/>
      <c r="EB66" s="78"/>
      <c r="EC66" s="78"/>
      <c r="ED66" s="78"/>
      <c r="EE66" s="78"/>
      <c r="EF66" s="78"/>
      <c r="EG66" s="78"/>
      <c r="EH66" s="78"/>
      <c r="EI66" s="78"/>
    </row>
    <row r="67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9"/>
      <c r="BH67" s="78"/>
      <c r="BI67" s="80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  <c r="CK67" s="78"/>
      <c r="CL67" s="78"/>
      <c r="CM67" s="78"/>
      <c r="CN67" s="78"/>
      <c r="CO67" s="78"/>
      <c r="CP67" s="78"/>
      <c r="CQ67" s="78"/>
      <c r="CR67" s="78"/>
      <c r="CS67" s="78"/>
      <c r="CT67" s="78"/>
      <c r="CU67" s="78"/>
      <c r="CV67" s="78"/>
      <c r="CW67" s="78"/>
      <c r="CX67" s="78"/>
      <c r="CY67" s="78"/>
      <c r="CZ67" s="78"/>
      <c r="DA67" s="78"/>
      <c r="DB67" s="78"/>
      <c r="DC67" s="78"/>
      <c r="DD67" s="78"/>
      <c r="DE67" s="78"/>
      <c r="DF67" s="78"/>
      <c r="DG67" s="78"/>
      <c r="DH67" s="78"/>
      <c r="DI67" s="78"/>
      <c r="DJ67" s="78"/>
      <c r="DK67" s="78"/>
      <c r="DL67" s="78"/>
      <c r="DM67" s="78"/>
      <c r="DN67" s="78"/>
      <c r="DO67" s="78"/>
      <c r="DP67" s="78"/>
      <c r="DQ67" s="78"/>
      <c r="DR67" s="78"/>
      <c r="DS67" s="78"/>
      <c r="DT67" s="78"/>
      <c r="DU67" s="78"/>
      <c r="DV67" s="78"/>
      <c r="DW67" s="78"/>
      <c r="DX67" s="78"/>
      <c r="DY67" s="78"/>
      <c r="DZ67" s="78"/>
      <c r="EA67" s="78"/>
      <c r="EB67" s="78"/>
      <c r="EC67" s="78"/>
      <c r="ED67" s="78"/>
      <c r="EE67" s="78"/>
      <c r="EF67" s="78"/>
      <c r="EG67" s="78"/>
      <c r="EH67" s="78"/>
      <c r="EI67" s="78"/>
    </row>
    <row r="68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9"/>
      <c r="BH68" s="78"/>
      <c r="BI68" s="80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  <c r="CE68" s="78"/>
      <c r="CF68" s="78"/>
      <c r="CG68" s="78"/>
      <c r="CH68" s="78"/>
      <c r="CI68" s="78"/>
      <c r="CJ68" s="78"/>
      <c r="CK68" s="78"/>
      <c r="CL68" s="78"/>
      <c r="CM68" s="78"/>
      <c r="CN68" s="78"/>
      <c r="CO68" s="78"/>
      <c r="CP68" s="78"/>
      <c r="CQ68" s="78"/>
      <c r="CR68" s="78"/>
      <c r="CS68" s="78"/>
      <c r="CT68" s="78"/>
      <c r="CU68" s="78"/>
      <c r="CV68" s="78"/>
      <c r="CW68" s="78"/>
      <c r="CX68" s="78"/>
      <c r="CY68" s="78"/>
      <c r="CZ68" s="78"/>
      <c r="DA68" s="78"/>
      <c r="DB68" s="78"/>
      <c r="DC68" s="78"/>
      <c r="DD68" s="78"/>
      <c r="DE68" s="78"/>
      <c r="DF68" s="78"/>
      <c r="DG68" s="78"/>
      <c r="DH68" s="78"/>
      <c r="DI68" s="78"/>
      <c r="DJ68" s="78"/>
      <c r="DK68" s="78"/>
      <c r="DL68" s="78"/>
      <c r="DM68" s="78"/>
      <c r="DN68" s="78"/>
      <c r="DO68" s="78"/>
      <c r="DP68" s="78"/>
      <c r="DQ68" s="78"/>
      <c r="DR68" s="78"/>
      <c r="DS68" s="78"/>
      <c r="DT68" s="78"/>
      <c r="DU68" s="78"/>
      <c r="DV68" s="78"/>
      <c r="DW68" s="78"/>
      <c r="DX68" s="78"/>
      <c r="DY68" s="78"/>
      <c r="DZ68" s="78"/>
      <c r="EA68" s="78"/>
      <c r="EB68" s="78"/>
      <c r="EC68" s="78"/>
      <c r="ED68" s="78"/>
      <c r="EE68" s="78"/>
      <c r="EF68" s="78"/>
      <c r="EG68" s="78"/>
      <c r="EH68" s="78"/>
      <c r="EI68" s="78"/>
    </row>
    <row r="69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9"/>
      <c r="BH69" s="78"/>
      <c r="BI69" s="80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  <c r="CE69" s="78"/>
      <c r="CF69" s="78"/>
      <c r="CG69" s="78"/>
      <c r="CH69" s="78"/>
      <c r="CI69" s="78"/>
      <c r="CJ69" s="78"/>
      <c r="CK69" s="78"/>
      <c r="CL69" s="78"/>
      <c r="CM69" s="78"/>
      <c r="CN69" s="78"/>
      <c r="CO69" s="78"/>
      <c r="CP69" s="78"/>
      <c r="CQ69" s="78"/>
      <c r="CR69" s="78"/>
      <c r="CS69" s="78"/>
      <c r="CT69" s="78"/>
      <c r="CU69" s="78"/>
      <c r="CV69" s="78"/>
      <c r="CW69" s="78"/>
      <c r="CX69" s="78"/>
      <c r="CY69" s="78"/>
      <c r="CZ69" s="78"/>
      <c r="DA69" s="78"/>
      <c r="DB69" s="78"/>
      <c r="DC69" s="78"/>
      <c r="DD69" s="78"/>
      <c r="DE69" s="78"/>
      <c r="DF69" s="78"/>
      <c r="DG69" s="78"/>
      <c r="DH69" s="78"/>
      <c r="DI69" s="78"/>
      <c r="DJ69" s="78"/>
      <c r="DK69" s="78"/>
      <c r="DL69" s="78"/>
      <c r="DM69" s="78"/>
      <c r="DN69" s="78"/>
      <c r="DO69" s="78"/>
      <c r="DP69" s="78"/>
      <c r="DQ69" s="78"/>
      <c r="DR69" s="78"/>
      <c r="DS69" s="78"/>
      <c r="DT69" s="78"/>
      <c r="DU69" s="78"/>
      <c r="DV69" s="78"/>
      <c r="DW69" s="78"/>
      <c r="DX69" s="78"/>
      <c r="DY69" s="78"/>
      <c r="DZ69" s="78"/>
      <c r="EA69" s="78"/>
      <c r="EB69" s="78"/>
      <c r="EC69" s="78"/>
      <c r="ED69" s="78"/>
      <c r="EE69" s="78"/>
      <c r="EF69" s="78"/>
      <c r="EG69" s="78"/>
      <c r="EH69" s="78"/>
      <c r="EI69" s="78"/>
    </row>
    <row r="70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9"/>
      <c r="BH70" s="78"/>
      <c r="BI70" s="80"/>
      <c r="BJ70" s="78"/>
      <c r="BK70" s="78"/>
      <c r="BL70" s="78"/>
      <c r="BM70" s="78"/>
      <c r="BN70" s="78"/>
      <c r="BO70" s="78"/>
      <c r="BP70" s="78"/>
      <c r="BQ70" s="78"/>
      <c r="BR70" s="78"/>
      <c r="BS70" s="78"/>
      <c r="BT70" s="78"/>
      <c r="BU70" s="78"/>
      <c r="BV70" s="78"/>
      <c r="BW70" s="78"/>
      <c r="BX70" s="78"/>
      <c r="BY70" s="78"/>
      <c r="BZ70" s="78"/>
      <c r="CA70" s="78"/>
      <c r="CB70" s="78"/>
      <c r="CC70" s="78"/>
      <c r="CD70" s="78"/>
      <c r="CE70" s="78"/>
      <c r="CF70" s="78"/>
      <c r="CG70" s="78"/>
      <c r="CH70" s="78"/>
      <c r="CI70" s="78"/>
      <c r="CJ70" s="78"/>
      <c r="CK70" s="78"/>
      <c r="CL70" s="78"/>
      <c r="CM70" s="78"/>
      <c r="CN70" s="78"/>
      <c r="CO70" s="78"/>
      <c r="CP70" s="78"/>
      <c r="CQ70" s="78"/>
      <c r="CR70" s="78"/>
      <c r="CS70" s="78"/>
      <c r="CT70" s="78"/>
      <c r="CU70" s="78"/>
      <c r="CV70" s="78"/>
      <c r="CW70" s="78"/>
      <c r="CX70" s="78"/>
      <c r="CY70" s="78"/>
      <c r="CZ70" s="78"/>
      <c r="DA70" s="78"/>
      <c r="DB70" s="78"/>
      <c r="DC70" s="78"/>
      <c r="DD70" s="78"/>
      <c r="DE70" s="78"/>
      <c r="DF70" s="78"/>
      <c r="DG70" s="78"/>
      <c r="DH70" s="78"/>
      <c r="DI70" s="78"/>
      <c r="DJ70" s="78"/>
      <c r="DK70" s="78"/>
      <c r="DL70" s="78"/>
      <c r="DM70" s="78"/>
      <c r="DN70" s="78"/>
      <c r="DO70" s="78"/>
      <c r="DP70" s="78"/>
      <c r="DQ70" s="78"/>
      <c r="DR70" s="78"/>
      <c r="DS70" s="78"/>
      <c r="DT70" s="78"/>
      <c r="DU70" s="78"/>
      <c r="DV70" s="78"/>
      <c r="DW70" s="78"/>
      <c r="DX70" s="78"/>
      <c r="DY70" s="78"/>
      <c r="DZ70" s="78"/>
      <c r="EA70" s="78"/>
      <c r="EB70" s="78"/>
      <c r="EC70" s="78"/>
      <c r="ED70" s="78"/>
      <c r="EE70" s="78"/>
      <c r="EF70" s="78"/>
      <c r="EG70" s="78"/>
      <c r="EH70" s="78"/>
      <c r="EI70" s="78"/>
    </row>
    <row r="71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9"/>
      <c r="BH71" s="78"/>
      <c r="BI71" s="80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  <c r="CE71" s="78"/>
      <c r="CF71" s="78"/>
      <c r="CG71" s="78"/>
      <c r="CH71" s="78"/>
      <c r="CI71" s="78"/>
      <c r="CJ71" s="78"/>
      <c r="CK71" s="78"/>
      <c r="CL71" s="78"/>
      <c r="CM71" s="78"/>
      <c r="CN71" s="78"/>
      <c r="CO71" s="78"/>
      <c r="CP71" s="78"/>
      <c r="CQ71" s="78"/>
      <c r="CR71" s="78"/>
      <c r="CS71" s="78"/>
      <c r="CT71" s="78"/>
      <c r="CU71" s="78"/>
      <c r="CV71" s="78"/>
      <c r="CW71" s="78"/>
      <c r="CX71" s="78"/>
      <c r="CY71" s="78"/>
      <c r="CZ71" s="78"/>
      <c r="DA71" s="78"/>
      <c r="DB71" s="78"/>
      <c r="DC71" s="78"/>
      <c r="DD71" s="78"/>
      <c r="DE71" s="78"/>
      <c r="DF71" s="78"/>
      <c r="DG71" s="78"/>
      <c r="DH71" s="78"/>
      <c r="DI71" s="78"/>
      <c r="DJ71" s="78"/>
      <c r="DK71" s="78"/>
      <c r="DL71" s="78"/>
      <c r="DM71" s="78"/>
      <c r="DN71" s="78"/>
      <c r="DO71" s="78"/>
      <c r="DP71" s="78"/>
      <c r="DQ71" s="78"/>
      <c r="DR71" s="78"/>
      <c r="DS71" s="78"/>
      <c r="DT71" s="78"/>
      <c r="DU71" s="78"/>
      <c r="DV71" s="78"/>
      <c r="DW71" s="78"/>
      <c r="DX71" s="78"/>
      <c r="DY71" s="78"/>
      <c r="DZ71" s="78"/>
      <c r="EA71" s="78"/>
      <c r="EB71" s="78"/>
      <c r="EC71" s="78"/>
      <c r="ED71" s="78"/>
      <c r="EE71" s="78"/>
      <c r="EF71" s="78"/>
      <c r="EG71" s="78"/>
      <c r="EH71" s="78"/>
      <c r="EI71" s="78"/>
    </row>
    <row r="72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9"/>
      <c r="BH72" s="78"/>
      <c r="BI72" s="80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  <c r="CE72" s="78"/>
      <c r="CF72" s="78"/>
      <c r="CG72" s="78"/>
      <c r="CH72" s="78"/>
      <c r="CI72" s="78"/>
      <c r="CJ72" s="78"/>
      <c r="CK72" s="78"/>
      <c r="CL72" s="78"/>
      <c r="CM72" s="78"/>
      <c r="CN72" s="78"/>
      <c r="CO72" s="78"/>
      <c r="CP72" s="78"/>
      <c r="CQ72" s="78"/>
      <c r="CR72" s="78"/>
      <c r="CS72" s="78"/>
      <c r="CT72" s="78"/>
      <c r="CU72" s="78"/>
      <c r="CV72" s="78"/>
      <c r="CW72" s="78"/>
      <c r="CX72" s="78"/>
      <c r="CY72" s="78"/>
      <c r="CZ72" s="78"/>
      <c r="DA72" s="78"/>
      <c r="DB72" s="78"/>
      <c r="DC72" s="78"/>
      <c r="DD72" s="78"/>
      <c r="DE72" s="78"/>
      <c r="DF72" s="78"/>
      <c r="DG72" s="78"/>
      <c r="DH72" s="78"/>
      <c r="DI72" s="78"/>
      <c r="DJ72" s="78"/>
      <c r="DK72" s="78"/>
      <c r="DL72" s="78"/>
      <c r="DM72" s="78"/>
      <c r="DN72" s="78"/>
      <c r="DO72" s="78"/>
      <c r="DP72" s="78"/>
      <c r="DQ72" s="78"/>
      <c r="DR72" s="78"/>
      <c r="DS72" s="78"/>
      <c r="DT72" s="78"/>
      <c r="DU72" s="78"/>
      <c r="DV72" s="78"/>
      <c r="DW72" s="78"/>
      <c r="DX72" s="78"/>
      <c r="DY72" s="78"/>
      <c r="DZ72" s="78"/>
      <c r="EA72" s="78"/>
      <c r="EB72" s="78"/>
      <c r="EC72" s="78"/>
      <c r="ED72" s="78"/>
      <c r="EE72" s="78"/>
      <c r="EF72" s="78"/>
      <c r="EG72" s="78"/>
      <c r="EH72" s="78"/>
      <c r="EI72" s="78"/>
    </row>
    <row r="73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9"/>
      <c r="BH73" s="78"/>
      <c r="BI73" s="80"/>
      <c r="BJ73" s="78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  <c r="CE73" s="78"/>
      <c r="CF73" s="78"/>
      <c r="CG73" s="78"/>
      <c r="CH73" s="78"/>
      <c r="CI73" s="78"/>
      <c r="CJ73" s="78"/>
      <c r="CK73" s="78"/>
      <c r="CL73" s="78"/>
      <c r="CM73" s="78"/>
      <c r="CN73" s="78"/>
      <c r="CO73" s="78"/>
      <c r="CP73" s="78"/>
      <c r="CQ73" s="78"/>
      <c r="CR73" s="78"/>
      <c r="CS73" s="78"/>
      <c r="CT73" s="78"/>
      <c r="CU73" s="78"/>
      <c r="CV73" s="78"/>
      <c r="CW73" s="78"/>
      <c r="CX73" s="78"/>
      <c r="CY73" s="78"/>
      <c r="CZ73" s="78"/>
      <c r="DA73" s="78"/>
      <c r="DB73" s="78"/>
      <c r="DC73" s="78"/>
      <c r="DD73" s="78"/>
      <c r="DE73" s="78"/>
      <c r="DF73" s="78"/>
      <c r="DG73" s="78"/>
      <c r="DH73" s="78"/>
      <c r="DI73" s="78"/>
      <c r="DJ73" s="78"/>
      <c r="DK73" s="78"/>
      <c r="DL73" s="78"/>
      <c r="DM73" s="78"/>
      <c r="DN73" s="78"/>
      <c r="DO73" s="78"/>
      <c r="DP73" s="78"/>
      <c r="DQ73" s="78"/>
      <c r="DR73" s="78"/>
      <c r="DS73" s="78"/>
      <c r="DT73" s="78"/>
      <c r="DU73" s="78"/>
      <c r="DV73" s="78"/>
      <c r="DW73" s="78"/>
      <c r="DX73" s="78"/>
      <c r="DY73" s="78"/>
      <c r="DZ73" s="78"/>
      <c r="EA73" s="78"/>
      <c r="EB73" s="78"/>
      <c r="EC73" s="78"/>
      <c r="ED73" s="78"/>
      <c r="EE73" s="78"/>
      <c r="EF73" s="78"/>
      <c r="EG73" s="78"/>
      <c r="EH73" s="78"/>
      <c r="EI73" s="78"/>
    </row>
    <row r="74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9"/>
      <c r="BH74" s="78"/>
      <c r="BI74" s="80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  <c r="CE74" s="78"/>
      <c r="CF74" s="78"/>
      <c r="CG74" s="78"/>
      <c r="CH74" s="78"/>
      <c r="CI74" s="78"/>
      <c r="CJ74" s="78"/>
      <c r="CK74" s="78"/>
      <c r="CL74" s="78"/>
      <c r="CM74" s="78"/>
      <c r="CN74" s="78"/>
      <c r="CO74" s="78"/>
      <c r="CP74" s="78"/>
      <c r="CQ74" s="78"/>
      <c r="CR74" s="78"/>
      <c r="CS74" s="78"/>
      <c r="CT74" s="78"/>
      <c r="CU74" s="78"/>
      <c r="CV74" s="78"/>
      <c r="CW74" s="78"/>
      <c r="CX74" s="78"/>
      <c r="CY74" s="78"/>
      <c r="CZ74" s="78"/>
      <c r="DA74" s="78"/>
      <c r="DB74" s="78"/>
      <c r="DC74" s="78"/>
      <c r="DD74" s="78"/>
      <c r="DE74" s="78"/>
      <c r="DF74" s="78"/>
      <c r="DG74" s="78"/>
      <c r="DH74" s="78"/>
      <c r="DI74" s="78"/>
      <c r="DJ74" s="78"/>
      <c r="DK74" s="78"/>
      <c r="DL74" s="78"/>
      <c r="DM74" s="78"/>
      <c r="DN74" s="78"/>
      <c r="DO74" s="78"/>
      <c r="DP74" s="78"/>
      <c r="DQ74" s="78"/>
      <c r="DR74" s="78"/>
      <c r="DS74" s="78"/>
      <c r="DT74" s="78"/>
      <c r="DU74" s="78"/>
      <c r="DV74" s="78"/>
      <c r="DW74" s="78"/>
      <c r="DX74" s="78"/>
      <c r="DY74" s="78"/>
      <c r="DZ74" s="78"/>
      <c r="EA74" s="78"/>
      <c r="EB74" s="78"/>
      <c r="EC74" s="78"/>
      <c r="ED74" s="78"/>
      <c r="EE74" s="78"/>
      <c r="EF74" s="78"/>
      <c r="EG74" s="78"/>
      <c r="EH74" s="78"/>
      <c r="EI74" s="78"/>
    </row>
    <row r="75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9"/>
      <c r="BH75" s="78"/>
      <c r="BI75" s="80"/>
      <c r="BJ75" s="78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78"/>
      <c r="BV75" s="78"/>
      <c r="BW75" s="78"/>
      <c r="BX75" s="78"/>
      <c r="BY75" s="78"/>
      <c r="BZ75" s="78"/>
      <c r="CA75" s="78"/>
      <c r="CB75" s="78"/>
      <c r="CC75" s="78"/>
      <c r="CD75" s="78"/>
      <c r="CE75" s="78"/>
      <c r="CF75" s="78"/>
      <c r="CG75" s="78"/>
      <c r="CH75" s="78"/>
      <c r="CI75" s="78"/>
      <c r="CJ75" s="78"/>
      <c r="CK75" s="78"/>
      <c r="CL75" s="78"/>
      <c r="CM75" s="78"/>
      <c r="CN75" s="78"/>
      <c r="CO75" s="78"/>
      <c r="CP75" s="78"/>
      <c r="CQ75" s="78"/>
      <c r="CR75" s="78"/>
      <c r="CS75" s="78"/>
      <c r="CT75" s="78"/>
      <c r="CU75" s="78"/>
      <c r="CV75" s="78"/>
      <c r="CW75" s="78"/>
      <c r="CX75" s="78"/>
      <c r="CY75" s="78"/>
      <c r="CZ75" s="78"/>
      <c r="DA75" s="78"/>
      <c r="DB75" s="78"/>
      <c r="DC75" s="78"/>
      <c r="DD75" s="78"/>
      <c r="DE75" s="78"/>
      <c r="DF75" s="78"/>
      <c r="DG75" s="78"/>
      <c r="DH75" s="78"/>
      <c r="DI75" s="78"/>
      <c r="DJ75" s="78"/>
      <c r="DK75" s="78"/>
      <c r="DL75" s="78"/>
      <c r="DM75" s="78"/>
      <c r="DN75" s="78"/>
      <c r="DO75" s="78"/>
      <c r="DP75" s="78"/>
      <c r="DQ75" s="78"/>
      <c r="DR75" s="78"/>
      <c r="DS75" s="78"/>
      <c r="DT75" s="78"/>
      <c r="DU75" s="78"/>
      <c r="DV75" s="78"/>
      <c r="DW75" s="78"/>
      <c r="DX75" s="78"/>
      <c r="DY75" s="78"/>
      <c r="DZ75" s="78"/>
      <c r="EA75" s="78"/>
      <c r="EB75" s="78"/>
      <c r="EC75" s="78"/>
      <c r="ED75" s="78"/>
      <c r="EE75" s="78"/>
      <c r="EF75" s="78"/>
      <c r="EG75" s="78"/>
      <c r="EH75" s="78"/>
      <c r="EI75" s="78"/>
    </row>
    <row r="7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9"/>
      <c r="BH76" s="78"/>
      <c r="BI76" s="80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  <c r="CE76" s="78"/>
      <c r="CF76" s="78"/>
      <c r="CG76" s="78"/>
      <c r="CH76" s="78"/>
      <c r="CI76" s="78"/>
      <c r="CJ76" s="78"/>
      <c r="CK76" s="78"/>
      <c r="CL76" s="78"/>
      <c r="CM76" s="78"/>
      <c r="CN76" s="78"/>
      <c r="CO76" s="78"/>
      <c r="CP76" s="78"/>
      <c r="CQ76" s="78"/>
      <c r="CR76" s="78"/>
      <c r="CS76" s="78"/>
      <c r="CT76" s="78"/>
      <c r="CU76" s="78"/>
      <c r="CV76" s="78"/>
      <c r="CW76" s="78"/>
      <c r="CX76" s="78"/>
      <c r="CY76" s="78"/>
      <c r="CZ76" s="78"/>
      <c r="DA76" s="78"/>
      <c r="DB76" s="78"/>
      <c r="DC76" s="78"/>
      <c r="DD76" s="78"/>
      <c r="DE76" s="78"/>
      <c r="DF76" s="78"/>
      <c r="DG76" s="78"/>
      <c r="DH76" s="78"/>
      <c r="DI76" s="78"/>
      <c r="DJ76" s="78"/>
      <c r="DK76" s="78"/>
      <c r="DL76" s="78"/>
      <c r="DM76" s="78"/>
      <c r="DN76" s="78"/>
      <c r="DO76" s="78"/>
      <c r="DP76" s="78"/>
      <c r="DQ76" s="78"/>
      <c r="DR76" s="78"/>
      <c r="DS76" s="78"/>
      <c r="DT76" s="78"/>
      <c r="DU76" s="78"/>
      <c r="DV76" s="78"/>
      <c r="DW76" s="78"/>
      <c r="DX76" s="78"/>
      <c r="DY76" s="78"/>
      <c r="DZ76" s="78"/>
      <c r="EA76" s="78"/>
      <c r="EB76" s="78"/>
      <c r="EC76" s="78"/>
      <c r="ED76" s="78"/>
      <c r="EE76" s="78"/>
      <c r="EF76" s="78"/>
      <c r="EG76" s="78"/>
      <c r="EH76" s="78"/>
      <c r="EI76" s="78"/>
    </row>
    <row r="77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9"/>
      <c r="BH77" s="78"/>
      <c r="BI77" s="80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  <c r="CE77" s="78"/>
      <c r="CF77" s="78"/>
      <c r="CG77" s="78"/>
      <c r="CH77" s="78"/>
      <c r="CI77" s="78"/>
      <c r="CJ77" s="78"/>
      <c r="CK77" s="78"/>
      <c r="CL77" s="78"/>
      <c r="CM77" s="78"/>
      <c r="CN77" s="78"/>
      <c r="CO77" s="78"/>
      <c r="CP77" s="78"/>
      <c r="CQ77" s="78"/>
      <c r="CR77" s="78"/>
      <c r="CS77" s="78"/>
      <c r="CT77" s="78"/>
      <c r="CU77" s="78"/>
      <c r="CV77" s="78"/>
      <c r="CW77" s="78"/>
      <c r="CX77" s="78"/>
      <c r="CY77" s="78"/>
      <c r="CZ77" s="78"/>
      <c r="DA77" s="78"/>
      <c r="DB77" s="78"/>
      <c r="DC77" s="78"/>
      <c r="DD77" s="78"/>
      <c r="DE77" s="78"/>
      <c r="DF77" s="78"/>
      <c r="DG77" s="78"/>
      <c r="DH77" s="78"/>
      <c r="DI77" s="78"/>
      <c r="DJ77" s="78"/>
      <c r="DK77" s="78"/>
      <c r="DL77" s="78"/>
      <c r="DM77" s="78"/>
      <c r="DN77" s="78"/>
      <c r="DO77" s="78"/>
      <c r="DP77" s="78"/>
      <c r="DQ77" s="78"/>
      <c r="DR77" s="78"/>
      <c r="DS77" s="78"/>
      <c r="DT77" s="78"/>
      <c r="DU77" s="78"/>
      <c r="DV77" s="78"/>
      <c r="DW77" s="78"/>
      <c r="DX77" s="78"/>
      <c r="DY77" s="78"/>
      <c r="DZ77" s="78"/>
      <c r="EA77" s="78"/>
      <c r="EB77" s="78"/>
      <c r="EC77" s="78"/>
      <c r="ED77" s="78"/>
      <c r="EE77" s="78"/>
      <c r="EF77" s="78"/>
      <c r="EG77" s="78"/>
      <c r="EH77" s="78"/>
      <c r="EI77" s="78"/>
    </row>
    <row r="78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9"/>
      <c r="BH78" s="78"/>
      <c r="BI78" s="80"/>
      <c r="BJ78" s="78"/>
      <c r="BK78" s="78"/>
      <c r="BL78" s="78"/>
      <c r="BM78" s="78"/>
      <c r="BN78" s="78"/>
      <c r="BO78" s="78"/>
      <c r="BP78" s="78"/>
      <c r="BQ78" s="78"/>
      <c r="BR78" s="78"/>
      <c r="BS78" s="78"/>
      <c r="BT78" s="78"/>
      <c r="BU78" s="78"/>
      <c r="BV78" s="78"/>
      <c r="BW78" s="78"/>
      <c r="BX78" s="78"/>
      <c r="BY78" s="78"/>
      <c r="BZ78" s="78"/>
      <c r="CA78" s="78"/>
      <c r="CB78" s="78"/>
      <c r="CC78" s="78"/>
      <c r="CD78" s="78"/>
      <c r="CE78" s="78"/>
      <c r="CF78" s="78"/>
      <c r="CG78" s="78"/>
      <c r="CH78" s="78"/>
      <c r="CI78" s="78"/>
      <c r="CJ78" s="78"/>
      <c r="CK78" s="78"/>
      <c r="CL78" s="78"/>
      <c r="CM78" s="78"/>
      <c r="CN78" s="78"/>
      <c r="CO78" s="78"/>
      <c r="CP78" s="78"/>
      <c r="CQ78" s="78"/>
      <c r="CR78" s="78"/>
      <c r="CS78" s="78"/>
      <c r="CT78" s="78"/>
      <c r="CU78" s="78"/>
      <c r="CV78" s="78"/>
      <c r="CW78" s="78"/>
      <c r="CX78" s="78"/>
      <c r="CY78" s="78"/>
      <c r="CZ78" s="78"/>
      <c r="DA78" s="78"/>
      <c r="DB78" s="78"/>
      <c r="DC78" s="78"/>
      <c r="DD78" s="78"/>
      <c r="DE78" s="78"/>
      <c r="DF78" s="78"/>
      <c r="DG78" s="78"/>
      <c r="DH78" s="78"/>
      <c r="DI78" s="78"/>
      <c r="DJ78" s="78"/>
      <c r="DK78" s="78"/>
      <c r="DL78" s="78"/>
      <c r="DM78" s="78"/>
      <c r="DN78" s="78"/>
      <c r="DO78" s="78"/>
      <c r="DP78" s="78"/>
      <c r="DQ78" s="78"/>
      <c r="DR78" s="78"/>
      <c r="DS78" s="78"/>
      <c r="DT78" s="78"/>
      <c r="DU78" s="78"/>
      <c r="DV78" s="78"/>
      <c r="DW78" s="78"/>
      <c r="DX78" s="78"/>
      <c r="DY78" s="78"/>
      <c r="DZ78" s="78"/>
      <c r="EA78" s="78"/>
      <c r="EB78" s="78"/>
      <c r="EC78" s="78"/>
      <c r="ED78" s="78"/>
      <c r="EE78" s="78"/>
      <c r="EF78" s="78"/>
      <c r="EG78" s="78"/>
      <c r="EH78" s="78"/>
      <c r="EI78" s="78"/>
    </row>
    <row r="79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9"/>
      <c r="BH79" s="78"/>
      <c r="BI79" s="80"/>
      <c r="BJ79" s="78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  <c r="CA79" s="78"/>
      <c r="CB79" s="78"/>
      <c r="CC79" s="78"/>
      <c r="CD79" s="78"/>
      <c r="CE79" s="78"/>
      <c r="CF79" s="78"/>
      <c r="CG79" s="78"/>
      <c r="CH79" s="78"/>
      <c r="CI79" s="78"/>
      <c r="CJ79" s="78"/>
      <c r="CK79" s="78"/>
      <c r="CL79" s="78"/>
      <c r="CM79" s="78"/>
      <c r="CN79" s="78"/>
      <c r="CO79" s="78"/>
      <c r="CP79" s="78"/>
      <c r="CQ79" s="78"/>
      <c r="CR79" s="78"/>
      <c r="CS79" s="78"/>
      <c r="CT79" s="78"/>
      <c r="CU79" s="78"/>
      <c r="CV79" s="78"/>
      <c r="CW79" s="78"/>
      <c r="CX79" s="78"/>
      <c r="CY79" s="78"/>
      <c r="CZ79" s="78"/>
      <c r="DA79" s="78"/>
      <c r="DB79" s="78"/>
      <c r="DC79" s="78"/>
      <c r="DD79" s="78"/>
      <c r="DE79" s="78"/>
      <c r="DF79" s="78"/>
      <c r="DG79" s="78"/>
      <c r="DH79" s="78"/>
      <c r="DI79" s="78"/>
      <c r="DJ79" s="78"/>
      <c r="DK79" s="78"/>
      <c r="DL79" s="78"/>
      <c r="DM79" s="78"/>
      <c r="DN79" s="78"/>
      <c r="DO79" s="78"/>
      <c r="DP79" s="78"/>
      <c r="DQ79" s="78"/>
      <c r="DR79" s="78"/>
      <c r="DS79" s="78"/>
      <c r="DT79" s="78"/>
      <c r="DU79" s="78"/>
      <c r="DV79" s="78"/>
      <c r="DW79" s="78"/>
      <c r="DX79" s="78"/>
      <c r="DY79" s="78"/>
      <c r="DZ79" s="78"/>
      <c r="EA79" s="78"/>
      <c r="EB79" s="78"/>
      <c r="EC79" s="78"/>
      <c r="ED79" s="78"/>
      <c r="EE79" s="78"/>
      <c r="EF79" s="78"/>
      <c r="EG79" s="78"/>
      <c r="EH79" s="78"/>
      <c r="EI79" s="78"/>
    </row>
    <row r="80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9"/>
      <c r="BH80" s="78"/>
      <c r="BI80" s="80"/>
      <c r="BJ80" s="78"/>
      <c r="BK80" s="78"/>
      <c r="BL80" s="78"/>
      <c r="BM80" s="78"/>
      <c r="BN80" s="78"/>
      <c r="BO80" s="78"/>
      <c r="BP80" s="78"/>
      <c r="BQ80" s="78"/>
      <c r="BR80" s="78"/>
      <c r="BS80" s="78"/>
      <c r="BT80" s="78"/>
      <c r="BU80" s="78"/>
      <c r="BV80" s="78"/>
      <c r="BW80" s="78"/>
      <c r="BX80" s="78"/>
      <c r="BY80" s="78"/>
      <c r="BZ80" s="78"/>
      <c r="CA80" s="78"/>
      <c r="CB80" s="78"/>
      <c r="CC80" s="78"/>
      <c r="CD80" s="78"/>
      <c r="CE80" s="78"/>
      <c r="CF80" s="78"/>
      <c r="CG80" s="78"/>
      <c r="CH80" s="78"/>
      <c r="CI80" s="78"/>
      <c r="CJ80" s="78"/>
      <c r="CK80" s="78"/>
      <c r="CL80" s="78"/>
      <c r="CM80" s="78"/>
      <c r="CN80" s="78"/>
      <c r="CO80" s="78"/>
      <c r="CP80" s="78"/>
      <c r="CQ80" s="78"/>
      <c r="CR80" s="78"/>
      <c r="CS80" s="78"/>
      <c r="CT80" s="78"/>
      <c r="CU80" s="78"/>
      <c r="CV80" s="78"/>
      <c r="CW80" s="78"/>
      <c r="CX80" s="78"/>
      <c r="CY80" s="78"/>
      <c r="CZ80" s="78"/>
      <c r="DA80" s="78"/>
      <c r="DB80" s="78"/>
      <c r="DC80" s="78"/>
      <c r="DD80" s="78"/>
      <c r="DE80" s="78"/>
      <c r="DF80" s="78"/>
      <c r="DG80" s="78"/>
      <c r="DH80" s="78"/>
      <c r="DI80" s="78"/>
      <c r="DJ80" s="78"/>
      <c r="DK80" s="78"/>
      <c r="DL80" s="78"/>
      <c r="DM80" s="78"/>
      <c r="DN80" s="78"/>
      <c r="DO80" s="78"/>
      <c r="DP80" s="78"/>
      <c r="DQ80" s="78"/>
      <c r="DR80" s="78"/>
      <c r="DS80" s="78"/>
      <c r="DT80" s="78"/>
      <c r="DU80" s="78"/>
      <c r="DV80" s="78"/>
      <c r="DW80" s="78"/>
      <c r="DX80" s="78"/>
      <c r="DY80" s="78"/>
      <c r="DZ80" s="78"/>
      <c r="EA80" s="78"/>
      <c r="EB80" s="78"/>
      <c r="EC80" s="78"/>
      <c r="ED80" s="78"/>
      <c r="EE80" s="78"/>
      <c r="EF80" s="78"/>
      <c r="EG80" s="78"/>
      <c r="EH80" s="78"/>
      <c r="EI80" s="78"/>
    </row>
    <row r="81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9"/>
      <c r="BH81" s="78"/>
      <c r="BI81" s="80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  <c r="CE81" s="78"/>
      <c r="CF81" s="78"/>
      <c r="CG81" s="78"/>
      <c r="CH81" s="78"/>
      <c r="CI81" s="78"/>
      <c r="CJ81" s="78"/>
      <c r="CK81" s="78"/>
      <c r="CL81" s="78"/>
      <c r="CM81" s="78"/>
      <c r="CN81" s="78"/>
      <c r="CO81" s="78"/>
      <c r="CP81" s="78"/>
      <c r="CQ81" s="78"/>
      <c r="CR81" s="78"/>
      <c r="CS81" s="78"/>
      <c r="CT81" s="78"/>
      <c r="CU81" s="78"/>
      <c r="CV81" s="78"/>
      <c r="CW81" s="78"/>
      <c r="CX81" s="78"/>
      <c r="CY81" s="78"/>
      <c r="CZ81" s="78"/>
      <c r="DA81" s="78"/>
      <c r="DB81" s="78"/>
      <c r="DC81" s="78"/>
      <c r="DD81" s="78"/>
      <c r="DE81" s="78"/>
      <c r="DF81" s="78"/>
      <c r="DG81" s="78"/>
      <c r="DH81" s="78"/>
      <c r="DI81" s="78"/>
      <c r="DJ81" s="78"/>
      <c r="DK81" s="78"/>
      <c r="DL81" s="78"/>
      <c r="DM81" s="78"/>
      <c r="DN81" s="78"/>
      <c r="DO81" s="78"/>
      <c r="DP81" s="78"/>
      <c r="DQ81" s="78"/>
      <c r="DR81" s="78"/>
      <c r="DS81" s="78"/>
      <c r="DT81" s="78"/>
      <c r="DU81" s="78"/>
      <c r="DV81" s="78"/>
      <c r="DW81" s="78"/>
      <c r="DX81" s="78"/>
      <c r="DY81" s="78"/>
      <c r="DZ81" s="78"/>
      <c r="EA81" s="78"/>
      <c r="EB81" s="78"/>
      <c r="EC81" s="78"/>
      <c r="ED81" s="78"/>
      <c r="EE81" s="78"/>
      <c r="EF81" s="78"/>
      <c r="EG81" s="78"/>
      <c r="EH81" s="78"/>
      <c r="EI81" s="78"/>
    </row>
    <row r="82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9"/>
      <c r="BH82" s="78"/>
      <c r="BI82" s="80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78"/>
      <c r="BY82" s="78"/>
      <c r="BZ82" s="78"/>
      <c r="CA82" s="78"/>
      <c r="CB82" s="78"/>
      <c r="CC82" s="78"/>
      <c r="CD82" s="78"/>
      <c r="CE82" s="78"/>
      <c r="CF82" s="78"/>
      <c r="CG82" s="78"/>
      <c r="CH82" s="78"/>
      <c r="CI82" s="78"/>
      <c r="CJ82" s="78"/>
      <c r="CK82" s="78"/>
      <c r="CL82" s="78"/>
      <c r="CM82" s="78"/>
      <c r="CN82" s="78"/>
      <c r="CO82" s="78"/>
      <c r="CP82" s="78"/>
      <c r="CQ82" s="78"/>
      <c r="CR82" s="78"/>
      <c r="CS82" s="78"/>
      <c r="CT82" s="78"/>
      <c r="CU82" s="78"/>
      <c r="CV82" s="78"/>
      <c r="CW82" s="78"/>
      <c r="CX82" s="78"/>
      <c r="CY82" s="78"/>
      <c r="CZ82" s="78"/>
      <c r="DA82" s="78"/>
      <c r="DB82" s="78"/>
      <c r="DC82" s="78"/>
      <c r="DD82" s="78"/>
      <c r="DE82" s="78"/>
      <c r="DF82" s="78"/>
      <c r="DG82" s="78"/>
      <c r="DH82" s="78"/>
      <c r="DI82" s="78"/>
      <c r="DJ82" s="78"/>
      <c r="DK82" s="78"/>
      <c r="DL82" s="78"/>
      <c r="DM82" s="78"/>
      <c r="DN82" s="78"/>
      <c r="DO82" s="78"/>
      <c r="DP82" s="78"/>
      <c r="DQ82" s="78"/>
      <c r="DR82" s="78"/>
      <c r="DS82" s="78"/>
      <c r="DT82" s="78"/>
      <c r="DU82" s="78"/>
      <c r="DV82" s="78"/>
      <c r="DW82" s="78"/>
      <c r="DX82" s="78"/>
      <c r="DY82" s="78"/>
      <c r="DZ82" s="78"/>
      <c r="EA82" s="78"/>
      <c r="EB82" s="78"/>
      <c r="EC82" s="78"/>
      <c r="ED82" s="78"/>
      <c r="EE82" s="78"/>
      <c r="EF82" s="78"/>
      <c r="EG82" s="78"/>
      <c r="EH82" s="78"/>
      <c r="EI82" s="78"/>
    </row>
    <row r="83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9"/>
      <c r="BH83" s="78"/>
      <c r="BI83" s="80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8"/>
      <c r="CA83" s="78"/>
      <c r="CB83" s="78"/>
      <c r="CC83" s="78"/>
      <c r="CD83" s="78"/>
      <c r="CE83" s="78"/>
      <c r="CF83" s="78"/>
      <c r="CG83" s="78"/>
      <c r="CH83" s="78"/>
      <c r="CI83" s="78"/>
      <c r="CJ83" s="78"/>
      <c r="CK83" s="78"/>
      <c r="CL83" s="78"/>
      <c r="CM83" s="78"/>
      <c r="CN83" s="78"/>
      <c r="CO83" s="78"/>
      <c r="CP83" s="78"/>
      <c r="CQ83" s="78"/>
      <c r="CR83" s="78"/>
      <c r="CS83" s="78"/>
      <c r="CT83" s="78"/>
      <c r="CU83" s="78"/>
      <c r="CV83" s="78"/>
      <c r="CW83" s="78"/>
      <c r="CX83" s="78"/>
      <c r="CY83" s="78"/>
      <c r="CZ83" s="78"/>
      <c r="DA83" s="78"/>
      <c r="DB83" s="78"/>
      <c r="DC83" s="78"/>
      <c r="DD83" s="78"/>
      <c r="DE83" s="78"/>
      <c r="DF83" s="78"/>
      <c r="DG83" s="78"/>
      <c r="DH83" s="78"/>
      <c r="DI83" s="78"/>
      <c r="DJ83" s="78"/>
      <c r="DK83" s="78"/>
      <c r="DL83" s="78"/>
      <c r="DM83" s="78"/>
      <c r="DN83" s="78"/>
      <c r="DO83" s="78"/>
      <c r="DP83" s="78"/>
      <c r="DQ83" s="78"/>
      <c r="DR83" s="78"/>
      <c r="DS83" s="78"/>
      <c r="DT83" s="78"/>
      <c r="DU83" s="78"/>
      <c r="DV83" s="78"/>
      <c r="DW83" s="78"/>
      <c r="DX83" s="78"/>
      <c r="DY83" s="78"/>
      <c r="DZ83" s="78"/>
      <c r="EA83" s="78"/>
      <c r="EB83" s="78"/>
      <c r="EC83" s="78"/>
      <c r="ED83" s="78"/>
      <c r="EE83" s="78"/>
      <c r="EF83" s="78"/>
      <c r="EG83" s="78"/>
      <c r="EH83" s="78"/>
      <c r="EI83" s="78"/>
    </row>
    <row r="84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9"/>
      <c r="BH84" s="78"/>
      <c r="BI84" s="80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78"/>
      <c r="CW84" s="78"/>
      <c r="CX84" s="78"/>
      <c r="CY84" s="78"/>
      <c r="CZ84" s="78"/>
      <c r="DA84" s="78"/>
      <c r="DB84" s="78"/>
      <c r="DC84" s="78"/>
      <c r="DD84" s="78"/>
      <c r="DE84" s="78"/>
      <c r="DF84" s="78"/>
      <c r="DG84" s="78"/>
      <c r="DH84" s="78"/>
      <c r="DI84" s="78"/>
      <c r="DJ84" s="78"/>
      <c r="DK84" s="78"/>
      <c r="DL84" s="78"/>
      <c r="DM84" s="78"/>
      <c r="DN84" s="78"/>
      <c r="DO84" s="78"/>
      <c r="DP84" s="78"/>
      <c r="DQ84" s="78"/>
      <c r="DR84" s="78"/>
      <c r="DS84" s="78"/>
      <c r="DT84" s="78"/>
      <c r="DU84" s="78"/>
      <c r="DV84" s="78"/>
      <c r="DW84" s="78"/>
      <c r="DX84" s="78"/>
      <c r="DY84" s="78"/>
      <c r="DZ84" s="78"/>
      <c r="EA84" s="78"/>
      <c r="EB84" s="78"/>
      <c r="EC84" s="78"/>
      <c r="ED84" s="78"/>
      <c r="EE84" s="78"/>
      <c r="EF84" s="78"/>
      <c r="EG84" s="78"/>
      <c r="EH84" s="78"/>
      <c r="EI84" s="78"/>
    </row>
    <row r="85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9"/>
      <c r="BH85" s="78"/>
      <c r="BI85" s="80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  <c r="CV85" s="78"/>
      <c r="CW85" s="78"/>
      <c r="CX85" s="78"/>
      <c r="CY85" s="78"/>
      <c r="CZ85" s="78"/>
      <c r="DA85" s="78"/>
      <c r="DB85" s="78"/>
      <c r="DC85" s="78"/>
      <c r="DD85" s="78"/>
      <c r="DE85" s="78"/>
      <c r="DF85" s="78"/>
      <c r="DG85" s="78"/>
      <c r="DH85" s="78"/>
      <c r="DI85" s="78"/>
      <c r="DJ85" s="78"/>
      <c r="DK85" s="78"/>
      <c r="DL85" s="78"/>
      <c r="DM85" s="78"/>
      <c r="DN85" s="78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78"/>
      <c r="EB85" s="78"/>
      <c r="EC85" s="78"/>
      <c r="ED85" s="78"/>
      <c r="EE85" s="78"/>
      <c r="EF85" s="78"/>
      <c r="EG85" s="78"/>
      <c r="EH85" s="78"/>
      <c r="EI85" s="78"/>
    </row>
    <row r="8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9"/>
      <c r="BH86" s="78"/>
      <c r="BI86" s="80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78"/>
      <c r="CH86" s="78"/>
      <c r="CI86" s="78"/>
      <c r="CJ86" s="78"/>
      <c r="CK86" s="78"/>
      <c r="CL86" s="78"/>
      <c r="CM86" s="78"/>
      <c r="CN86" s="78"/>
      <c r="CO86" s="78"/>
      <c r="CP86" s="78"/>
      <c r="CQ86" s="78"/>
      <c r="CR86" s="78"/>
      <c r="CS86" s="78"/>
      <c r="CT86" s="78"/>
      <c r="CU86" s="78"/>
      <c r="CV86" s="78"/>
      <c r="CW86" s="78"/>
      <c r="CX86" s="78"/>
      <c r="CY86" s="78"/>
      <c r="CZ86" s="78"/>
      <c r="DA86" s="78"/>
      <c r="DB86" s="78"/>
      <c r="DC86" s="78"/>
      <c r="DD86" s="78"/>
      <c r="DE86" s="78"/>
      <c r="DF86" s="78"/>
      <c r="DG86" s="78"/>
      <c r="DH86" s="78"/>
      <c r="DI86" s="78"/>
      <c r="DJ86" s="78"/>
      <c r="DK86" s="78"/>
      <c r="DL86" s="78"/>
      <c r="DM86" s="78"/>
      <c r="DN86" s="78"/>
      <c r="DO86" s="78"/>
      <c r="DP86" s="78"/>
      <c r="DQ86" s="78"/>
      <c r="DR86" s="78"/>
      <c r="DS86" s="78"/>
      <c r="DT86" s="78"/>
      <c r="DU86" s="78"/>
      <c r="DV86" s="78"/>
      <c r="DW86" s="78"/>
      <c r="DX86" s="78"/>
      <c r="DY86" s="78"/>
      <c r="DZ86" s="78"/>
      <c r="EA86" s="78"/>
      <c r="EB86" s="78"/>
      <c r="EC86" s="78"/>
      <c r="ED86" s="78"/>
      <c r="EE86" s="78"/>
      <c r="EF86" s="78"/>
      <c r="EG86" s="78"/>
      <c r="EH86" s="78"/>
      <c r="EI86" s="78"/>
    </row>
    <row r="87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9"/>
      <c r="BH87" s="78"/>
      <c r="BI87" s="80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  <c r="CE87" s="78"/>
      <c r="CF87" s="78"/>
      <c r="CG87" s="78"/>
      <c r="CH87" s="78"/>
      <c r="CI87" s="78"/>
      <c r="CJ87" s="78"/>
      <c r="CK87" s="78"/>
      <c r="CL87" s="78"/>
      <c r="CM87" s="78"/>
      <c r="CN87" s="78"/>
      <c r="CO87" s="78"/>
      <c r="CP87" s="78"/>
      <c r="CQ87" s="78"/>
      <c r="CR87" s="78"/>
      <c r="CS87" s="78"/>
      <c r="CT87" s="78"/>
      <c r="CU87" s="78"/>
      <c r="CV87" s="78"/>
      <c r="CW87" s="78"/>
      <c r="CX87" s="78"/>
      <c r="CY87" s="78"/>
      <c r="CZ87" s="78"/>
      <c r="DA87" s="78"/>
      <c r="DB87" s="78"/>
      <c r="DC87" s="78"/>
      <c r="DD87" s="78"/>
      <c r="DE87" s="78"/>
      <c r="DF87" s="78"/>
      <c r="DG87" s="78"/>
      <c r="DH87" s="78"/>
      <c r="DI87" s="78"/>
      <c r="DJ87" s="78"/>
      <c r="DK87" s="78"/>
      <c r="DL87" s="78"/>
      <c r="DM87" s="78"/>
      <c r="DN87" s="78"/>
      <c r="DO87" s="78"/>
      <c r="DP87" s="78"/>
      <c r="DQ87" s="78"/>
      <c r="DR87" s="78"/>
      <c r="DS87" s="78"/>
      <c r="DT87" s="78"/>
      <c r="DU87" s="78"/>
      <c r="DV87" s="78"/>
      <c r="DW87" s="78"/>
      <c r="DX87" s="78"/>
      <c r="DY87" s="78"/>
      <c r="DZ87" s="78"/>
      <c r="EA87" s="78"/>
      <c r="EB87" s="78"/>
      <c r="EC87" s="78"/>
      <c r="ED87" s="78"/>
      <c r="EE87" s="78"/>
      <c r="EF87" s="78"/>
      <c r="EG87" s="78"/>
      <c r="EH87" s="78"/>
      <c r="EI87" s="78"/>
    </row>
    <row r="88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9"/>
      <c r="BH88" s="78"/>
      <c r="BI88" s="80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  <c r="CA88" s="78"/>
      <c r="CB88" s="78"/>
      <c r="CC88" s="78"/>
      <c r="CD88" s="78"/>
      <c r="CE88" s="78"/>
      <c r="CF88" s="78"/>
      <c r="CG88" s="78"/>
      <c r="CH88" s="78"/>
      <c r="CI88" s="78"/>
      <c r="CJ88" s="78"/>
      <c r="CK88" s="78"/>
      <c r="CL88" s="78"/>
      <c r="CM88" s="78"/>
      <c r="CN88" s="78"/>
      <c r="CO88" s="78"/>
      <c r="CP88" s="78"/>
      <c r="CQ88" s="78"/>
      <c r="CR88" s="78"/>
      <c r="CS88" s="78"/>
      <c r="CT88" s="78"/>
      <c r="CU88" s="78"/>
      <c r="CV88" s="78"/>
      <c r="CW88" s="78"/>
      <c r="CX88" s="78"/>
      <c r="CY88" s="78"/>
      <c r="CZ88" s="78"/>
      <c r="DA88" s="78"/>
      <c r="DB88" s="78"/>
      <c r="DC88" s="78"/>
      <c r="DD88" s="78"/>
      <c r="DE88" s="78"/>
      <c r="DF88" s="78"/>
      <c r="DG88" s="78"/>
      <c r="DH88" s="78"/>
      <c r="DI88" s="78"/>
      <c r="DJ88" s="78"/>
      <c r="DK88" s="78"/>
      <c r="DL88" s="78"/>
      <c r="DM88" s="78"/>
      <c r="DN88" s="78"/>
      <c r="DO88" s="78"/>
      <c r="DP88" s="78"/>
      <c r="DQ88" s="78"/>
      <c r="DR88" s="78"/>
      <c r="DS88" s="78"/>
      <c r="DT88" s="78"/>
      <c r="DU88" s="78"/>
      <c r="DV88" s="78"/>
      <c r="DW88" s="78"/>
      <c r="DX88" s="78"/>
      <c r="DY88" s="78"/>
      <c r="DZ88" s="78"/>
      <c r="EA88" s="78"/>
      <c r="EB88" s="78"/>
      <c r="EC88" s="78"/>
      <c r="ED88" s="78"/>
      <c r="EE88" s="78"/>
      <c r="EF88" s="78"/>
      <c r="EG88" s="78"/>
      <c r="EH88" s="78"/>
      <c r="EI88" s="78"/>
    </row>
    <row r="89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9"/>
      <c r="BH89" s="78"/>
      <c r="BI89" s="80"/>
      <c r="BJ89" s="78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  <c r="CA89" s="78"/>
      <c r="CB89" s="78"/>
      <c r="CC89" s="78"/>
      <c r="CD89" s="78"/>
      <c r="CE89" s="78"/>
      <c r="CF89" s="78"/>
      <c r="CG89" s="78"/>
      <c r="CH89" s="78"/>
      <c r="CI89" s="78"/>
      <c r="CJ89" s="78"/>
      <c r="CK89" s="78"/>
      <c r="CL89" s="78"/>
      <c r="CM89" s="78"/>
      <c r="CN89" s="78"/>
      <c r="CO89" s="78"/>
      <c r="CP89" s="78"/>
      <c r="CQ89" s="78"/>
      <c r="CR89" s="78"/>
      <c r="CS89" s="78"/>
      <c r="CT89" s="78"/>
      <c r="CU89" s="78"/>
      <c r="CV89" s="78"/>
      <c r="CW89" s="78"/>
      <c r="CX89" s="78"/>
      <c r="CY89" s="78"/>
      <c r="CZ89" s="78"/>
      <c r="DA89" s="78"/>
      <c r="DB89" s="78"/>
      <c r="DC89" s="78"/>
      <c r="DD89" s="78"/>
      <c r="DE89" s="78"/>
      <c r="DF89" s="78"/>
      <c r="DG89" s="78"/>
      <c r="DH89" s="78"/>
      <c r="DI89" s="78"/>
      <c r="DJ89" s="78"/>
      <c r="DK89" s="78"/>
      <c r="DL89" s="78"/>
      <c r="DM89" s="78"/>
      <c r="DN89" s="78"/>
      <c r="DO89" s="78"/>
      <c r="DP89" s="78"/>
      <c r="DQ89" s="78"/>
      <c r="DR89" s="78"/>
      <c r="DS89" s="78"/>
      <c r="DT89" s="78"/>
      <c r="DU89" s="78"/>
      <c r="DV89" s="78"/>
      <c r="DW89" s="78"/>
      <c r="DX89" s="78"/>
      <c r="DY89" s="78"/>
      <c r="DZ89" s="78"/>
      <c r="EA89" s="78"/>
      <c r="EB89" s="78"/>
      <c r="EC89" s="78"/>
      <c r="ED89" s="78"/>
      <c r="EE89" s="78"/>
      <c r="EF89" s="78"/>
      <c r="EG89" s="78"/>
      <c r="EH89" s="78"/>
      <c r="EI89" s="78"/>
    </row>
    <row r="90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9"/>
      <c r="BH90" s="78"/>
      <c r="BI90" s="80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  <c r="CE90" s="78"/>
      <c r="CF90" s="78"/>
      <c r="CG90" s="78"/>
      <c r="CH90" s="78"/>
      <c r="CI90" s="78"/>
      <c r="CJ90" s="78"/>
      <c r="CK90" s="78"/>
      <c r="CL90" s="78"/>
      <c r="CM90" s="78"/>
      <c r="CN90" s="78"/>
      <c r="CO90" s="78"/>
      <c r="CP90" s="78"/>
      <c r="CQ90" s="78"/>
      <c r="CR90" s="78"/>
      <c r="CS90" s="78"/>
      <c r="CT90" s="78"/>
      <c r="CU90" s="78"/>
      <c r="CV90" s="78"/>
      <c r="CW90" s="78"/>
      <c r="CX90" s="78"/>
      <c r="CY90" s="78"/>
      <c r="CZ90" s="78"/>
      <c r="DA90" s="78"/>
      <c r="DB90" s="78"/>
      <c r="DC90" s="78"/>
      <c r="DD90" s="78"/>
      <c r="DE90" s="78"/>
      <c r="DF90" s="78"/>
      <c r="DG90" s="78"/>
      <c r="DH90" s="78"/>
      <c r="DI90" s="78"/>
      <c r="DJ90" s="78"/>
      <c r="DK90" s="78"/>
      <c r="DL90" s="78"/>
      <c r="DM90" s="78"/>
      <c r="DN90" s="78"/>
      <c r="DO90" s="78"/>
      <c r="DP90" s="78"/>
      <c r="DQ90" s="78"/>
      <c r="DR90" s="78"/>
      <c r="DS90" s="78"/>
      <c r="DT90" s="78"/>
      <c r="DU90" s="78"/>
      <c r="DV90" s="78"/>
      <c r="DW90" s="78"/>
      <c r="DX90" s="78"/>
      <c r="DY90" s="78"/>
      <c r="DZ90" s="78"/>
      <c r="EA90" s="78"/>
      <c r="EB90" s="78"/>
      <c r="EC90" s="78"/>
      <c r="ED90" s="78"/>
      <c r="EE90" s="78"/>
      <c r="EF90" s="78"/>
      <c r="EG90" s="78"/>
      <c r="EH90" s="78"/>
      <c r="EI90" s="78"/>
    </row>
    <row r="91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9"/>
      <c r="BH91" s="78"/>
      <c r="BI91" s="80"/>
      <c r="BJ91" s="78"/>
      <c r="BK91" s="78"/>
      <c r="BL91" s="78"/>
      <c r="BM91" s="78"/>
      <c r="BN91" s="78"/>
      <c r="BO91" s="78"/>
      <c r="BP91" s="78"/>
      <c r="BQ91" s="78"/>
      <c r="BR91" s="78"/>
      <c r="BS91" s="78"/>
      <c r="BT91" s="78"/>
      <c r="BU91" s="78"/>
      <c r="BV91" s="78"/>
      <c r="BW91" s="78"/>
      <c r="BX91" s="78"/>
      <c r="BY91" s="78"/>
      <c r="BZ91" s="78"/>
      <c r="CA91" s="78"/>
      <c r="CB91" s="78"/>
      <c r="CC91" s="78"/>
      <c r="CD91" s="78"/>
      <c r="CE91" s="78"/>
      <c r="CF91" s="78"/>
      <c r="CG91" s="78"/>
      <c r="CH91" s="78"/>
      <c r="CI91" s="78"/>
      <c r="CJ91" s="78"/>
      <c r="CK91" s="78"/>
      <c r="CL91" s="78"/>
      <c r="CM91" s="78"/>
      <c r="CN91" s="78"/>
      <c r="CO91" s="78"/>
      <c r="CP91" s="78"/>
      <c r="CQ91" s="78"/>
      <c r="CR91" s="78"/>
      <c r="CS91" s="78"/>
      <c r="CT91" s="78"/>
      <c r="CU91" s="78"/>
      <c r="CV91" s="78"/>
      <c r="CW91" s="78"/>
      <c r="CX91" s="78"/>
      <c r="CY91" s="78"/>
      <c r="CZ91" s="78"/>
      <c r="DA91" s="78"/>
      <c r="DB91" s="78"/>
      <c r="DC91" s="78"/>
      <c r="DD91" s="78"/>
      <c r="DE91" s="78"/>
      <c r="DF91" s="78"/>
      <c r="DG91" s="78"/>
      <c r="DH91" s="78"/>
      <c r="DI91" s="78"/>
      <c r="DJ91" s="78"/>
      <c r="DK91" s="78"/>
      <c r="DL91" s="78"/>
      <c r="DM91" s="78"/>
      <c r="DN91" s="78"/>
      <c r="DO91" s="78"/>
      <c r="DP91" s="78"/>
      <c r="DQ91" s="78"/>
      <c r="DR91" s="78"/>
      <c r="DS91" s="78"/>
      <c r="DT91" s="78"/>
      <c r="DU91" s="78"/>
      <c r="DV91" s="78"/>
      <c r="DW91" s="78"/>
      <c r="DX91" s="78"/>
      <c r="DY91" s="78"/>
      <c r="DZ91" s="78"/>
      <c r="EA91" s="78"/>
      <c r="EB91" s="78"/>
      <c r="EC91" s="78"/>
      <c r="ED91" s="78"/>
      <c r="EE91" s="78"/>
      <c r="EF91" s="78"/>
      <c r="EG91" s="78"/>
      <c r="EH91" s="78"/>
      <c r="EI91" s="78"/>
    </row>
    <row r="92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9"/>
      <c r="BH92" s="78"/>
      <c r="BI92" s="80"/>
      <c r="BJ92" s="78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  <c r="CA92" s="78"/>
      <c r="CB92" s="78"/>
      <c r="CC92" s="78"/>
      <c r="CD92" s="78"/>
      <c r="CE92" s="78"/>
      <c r="CF92" s="78"/>
      <c r="CG92" s="78"/>
      <c r="CH92" s="78"/>
      <c r="CI92" s="78"/>
      <c r="CJ92" s="78"/>
      <c r="CK92" s="78"/>
      <c r="CL92" s="78"/>
      <c r="CM92" s="78"/>
      <c r="CN92" s="78"/>
      <c r="CO92" s="78"/>
      <c r="CP92" s="78"/>
      <c r="CQ92" s="78"/>
      <c r="CR92" s="78"/>
      <c r="CS92" s="78"/>
      <c r="CT92" s="78"/>
      <c r="CU92" s="78"/>
      <c r="CV92" s="78"/>
      <c r="CW92" s="78"/>
      <c r="CX92" s="78"/>
      <c r="CY92" s="78"/>
      <c r="CZ92" s="78"/>
      <c r="DA92" s="78"/>
      <c r="DB92" s="78"/>
      <c r="DC92" s="78"/>
      <c r="DD92" s="78"/>
      <c r="DE92" s="78"/>
      <c r="DF92" s="78"/>
      <c r="DG92" s="78"/>
      <c r="DH92" s="78"/>
      <c r="DI92" s="78"/>
      <c r="DJ92" s="78"/>
      <c r="DK92" s="78"/>
      <c r="DL92" s="78"/>
      <c r="DM92" s="78"/>
      <c r="DN92" s="78"/>
      <c r="DO92" s="78"/>
      <c r="DP92" s="78"/>
      <c r="DQ92" s="78"/>
      <c r="DR92" s="78"/>
      <c r="DS92" s="78"/>
      <c r="DT92" s="78"/>
      <c r="DU92" s="78"/>
      <c r="DV92" s="78"/>
      <c r="DW92" s="78"/>
      <c r="DX92" s="78"/>
      <c r="DY92" s="78"/>
      <c r="DZ92" s="78"/>
      <c r="EA92" s="78"/>
      <c r="EB92" s="78"/>
      <c r="EC92" s="78"/>
      <c r="ED92" s="78"/>
      <c r="EE92" s="78"/>
      <c r="EF92" s="78"/>
      <c r="EG92" s="78"/>
      <c r="EH92" s="78"/>
      <c r="EI92" s="78"/>
    </row>
    <row r="93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9"/>
      <c r="BH93" s="78"/>
      <c r="BI93" s="80"/>
      <c r="BJ93" s="78"/>
      <c r="BK93" s="78"/>
      <c r="BL93" s="78"/>
      <c r="BM93" s="78"/>
      <c r="BN93" s="78"/>
      <c r="BO93" s="78"/>
      <c r="BP93" s="78"/>
      <c r="BQ93" s="78"/>
      <c r="BR93" s="78"/>
      <c r="BS93" s="78"/>
      <c r="BT93" s="78"/>
      <c r="BU93" s="78"/>
      <c r="BV93" s="78"/>
      <c r="BW93" s="78"/>
      <c r="BX93" s="78"/>
      <c r="BY93" s="78"/>
      <c r="BZ93" s="78"/>
      <c r="CA93" s="78"/>
      <c r="CB93" s="78"/>
      <c r="CC93" s="78"/>
      <c r="CD93" s="78"/>
      <c r="CE93" s="78"/>
      <c r="CF93" s="78"/>
      <c r="CG93" s="78"/>
      <c r="CH93" s="78"/>
      <c r="CI93" s="78"/>
      <c r="CJ93" s="78"/>
      <c r="CK93" s="78"/>
      <c r="CL93" s="78"/>
      <c r="CM93" s="78"/>
      <c r="CN93" s="78"/>
      <c r="CO93" s="78"/>
      <c r="CP93" s="78"/>
      <c r="CQ93" s="78"/>
      <c r="CR93" s="78"/>
      <c r="CS93" s="78"/>
      <c r="CT93" s="78"/>
      <c r="CU93" s="78"/>
      <c r="CV93" s="78"/>
      <c r="CW93" s="78"/>
      <c r="CX93" s="78"/>
      <c r="CY93" s="78"/>
      <c r="CZ93" s="78"/>
      <c r="DA93" s="78"/>
      <c r="DB93" s="78"/>
      <c r="DC93" s="78"/>
      <c r="DD93" s="78"/>
      <c r="DE93" s="78"/>
      <c r="DF93" s="78"/>
      <c r="DG93" s="78"/>
      <c r="DH93" s="78"/>
      <c r="DI93" s="78"/>
      <c r="DJ93" s="78"/>
      <c r="DK93" s="78"/>
      <c r="DL93" s="78"/>
      <c r="DM93" s="78"/>
      <c r="DN93" s="78"/>
      <c r="DO93" s="78"/>
      <c r="DP93" s="78"/>
      <c r="DQ93" s="78"/>
      <c r="DR93" s="78"/>
      <c r="DS93" s="78"/>
      <c r="DT93" s="78"/>
      <c r="DU93" s="78"/>
      <c r="DV93" s="78"/>
      <c r="DW93" s="78"/>
      <c r="DX93" s="78"/>
      <c r="DY93" s="78"/>
      <c r="DZ93" s="78"/>
      <c r="EA93" s="78"/>
      <c r="EB93" s="78"/>
      <c r="EC93" s="78"/>
      <c r="ED93" s="78"/>
      <c r="EE93" s="78"/>
      <c r="EF93" s="78"/>
      <c r="EG93" s="78"/>
      <c r="EH93" s="78"/>
      <c r="EI93" s="78"/>
    </row>
    <row r="94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9"/>
      <c r="BH94" s="78"/>
      <c r="BI94" s="80"/>
      <c r="BJ94" s="78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  <c r="CA94" s="78"/>
      <c r="CB94" s="78"/>
      <c r="CC94" s="78"/>
      <c r="CD94" s="78"/>
      <c r="CE94" s="78"/>
      <c r="CF94" s="78"/>
      <c r="CG94" s="78"/>
      <c r="CH94" s="78"/>
      <c r="CI94" s="78"/>
      <c r="CJ94" s="78"/>
      <c r="CK94" s="78"/>
      <c r="CL94" s="78"/>
      <c r="CM94" s="78"/>
      <c r="CN94" s="78"/>
      <c r="CO94" s="78"/>
      <c r="CP94" s="78"/>
      <c r="CQ94" s="78"/>
      <c r="CR94" s="78"/>
      <c r="CS94" s="78"/>
      <c r="CT94" s="78"/>
      <c r="CU94" s="78"/>
      <c r="CV94" s="78"/>
      <c r="CW94" s="78"/>
      <c r="CX94" s="78"/>
      <c r="CY94" s="78"/>
      <c r="CZ94" s="78"/>
      <c r="DA94" s="78"/>
      <c r="DB94" s="78"/>
      <c r="DC94" s="78"/>
      <c r="DD94" s="78"/>
      <c r="DE94" s="78"/>
      <c r="DF94" s="78"/>
      <c r="DG94" s="78"/>
      <c r="DH94" s="78"/>
      <c r="DI94" s="78"/>
      <c r="DJ94" s="78"/>
      <c r="DK94" s="78"/>
      <c r="DL94" s="78"/>
      <c r="DM94" s="78"/>
      <c r="DN94" s="78"/>
      <c r="DO94" s="78"/>
      <c r="DP94" s="78"/>
      <c r="DQ94" s="78"/>
      <c r="DR94" s="78"/>
      <c r="DS94" s="78"/>
      <c r="DT94" s="78"/>
      <c r="DU94" s="78"/>
      <c r="DV94" s="78"/>
      <c r="DW94" s="78"/>
      <c r="DX94" s="78"/>
      <c r="DY94" s="78"/>
      <c r="DZ94" s="78"/>
      <c r="EA94" s="78"/>
      <c r="EB94" s="78"/>
      <c r="EC94" s="78"/>
      <c r="ED94" s="78"/>
      <c r="EE94" s="78"/>
      <c r="EF94" s="78"/>
      <c r="EG94" s="78"/>
      <c r="EH94" s="78"/>
      <c r="EI94" s="78"/>
    </row>
    <row r="95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9"/>
      <c r="BH95" s="78"/>
      <c r="BI95" s="80"/>
      <c r="BJ95" s="78"/>
      <c r="BK95" s="78"/>
      <c r="BL95" s="78"/>
      <c r="BM95" s="78"/>
      <c r="BN95" s="78"/>
      <c r="BO95" s="78"/>
      <c r="BP95" s="78"/>
      <c r="BQ95" s="78"/>
      <c r="BR95" s="78"/>
      <c r="BS95" s="78"/>
      <c r="BT95" s="78"/>
      <c r="BU95" s="78"/>
      <c r="BV95" s="78"/>
      <c r="BW95" s="78"/>
      <c r="BX95" s="78"/>
      <c r="BY95" s="78"/>
      <c r="BZ95" s="78"/>
      <c r="CA95" s="78"/>
      <c r="CB95" s="78"/>
      <c r="CC95" s="78"/>
      <c r="CD95" s="78"/>
      <c r="CE95" s="78"/>
      <c r="CF95" s="78"/>
      <c r="CG95" s="78"/>
      <c r="CH95" s="78"/>
      <c r="CI95" s="78"/>
      <c r="CJ95" s="78"/>
      <c r="CK95" s="78"/>
      <c r="CL95" s="78"/>
      <c r="CM95" s="78"/>
      <c r="CN95" s="78"/>
      <c r="CO95" s="78"/>
      <c r="CP95" s="78"/>
      <c r="CQ95" s="78"/>
      <c r="CR95" s="78"/>
      <c r="CS95" s="78"/>
      <c r="CT95" s="78"/>
      <c r="CU95" s="78"/>
      <c r="CV95" s="78"/>
      <c r="CW95" s="78"/>
      <c r="CX95" s="78"/>
      <c r="CY95" s="78"/>
      <c r="CZ95" s="78"/>
      <c r="DA95" s="78"/>
      <c r="DB95" s="78"/>
      <c r="DC95" s="78"/>
      <c r="DD95" s="78"/>
      <c r="DE95" s="78"/>
      <c r="DF95" s="78"/>
      <c r="DG95" s="78"/>
      <c r="DH95" s="78"/>
      <c r="DI95" s="78"/>
      <c r="DJ95" s="78"/>
      <c r="DK95" s="78"/>
      <c r="DL95" s="78"/>
      <c r="DM95" s="78"/>
      <c r="DN95" s="78"/>
      <c r="DO95" s="78"/>
      <c r="DP95" s="78"/>
      <c r="DQ95" s="78"/>
      <c r="DR95" s="78"/>
      <c r="DS95" s="78"/>
      <c r="DT95" s="78"/>
      <c r="DU95" s="78"/>
      <c r="DV95" s="78"/>
      <c r="DW95" s="78"/>
      <c r="DX95" s="78"/>
      <c r="DY95" s="78"/>
      <c r="DZ95" s="78"/>
      <c r="EA95" s="78"/>
      <c r="EB95" s="78"/>
      <c r="EC95" s="78"/>
      <c r="ED95" s="78"/>
      <c r="EE95" s="78"/>
      <c r="EF95" s="78"/>
      <c r="EG95" s="78"/>
      <c r="EH95" s="78"/>
      <c r="EI95" s="78"/>
    </row>
    <row r="9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9"/>
      <c r="BH96" s="78"/>
      <c r="BI96" s="80"/>
      <c r="BJ96" s="78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8"/>
      <c r="CE96" s="78"/>
      <c r="CF96" s="78"/>
      <c r="CG96" s="78"/>
      <c r="CH96" s="78"/>
      <c r="CI96" s="78"/>
      <c r="CJ96" s="78"/>
      <c r="CK96" s="78"/>
      <c r="CL96" s="78"/>
      <c r="CM96" s="78"/>
      <c r="CN96" s="78"/>
      <c r="CO96" s="78"/>
      <c r="CP96" s="78"/>
      <c r="CQ96" s="78"/>
      <c r="CR96" s="78"/>
      <c r="CS96" s="78"/>
      <c r="CT96" s="78"/>
      <c r="CU96" s="78"/>
      <c r="CV96" s="78"/>
      <c r="CW96" s="78"/>
      <c r="CX96" s="78"/>
      <c r="CY96" s="78"/>
      <c r="CZ96" s="78"/>
      <c r="DA96" s="78"/>
      <c r="DB96" s="78"/>
      <c r="DC96" s="78"/>
      <c r="DD96" s="78"/>
      <c r="DE96" s="78"/>
      <c r="DF96" s="78"/>
      <c r="DG96" s="78"/>
      <c r="DH96" s="78"/>
      <c r="DI96" s="78"/>
      <c r="DJ96" s="78"/>
      <c r="DK96" s="78"/>
      <c r="DL96" s="78"/>
      <c r="DM96" s="78"/>
      <c r="DN96" s="78"/>
      <c r="DO96" s="78"/>
      <c r="DP96" s="78"/>
      <c r="DQ96" s="78"/>
      <c r="DR96" s="78"/>
      <c r="DS96" s="78"/>
      <c r="DT96" s="78"/>
      <c r="DU96" s="78"/>
      <c r="DV96" s="78"/>
      <c r="DW96" s="78"/>
      <c r="DX96" s="78"/>
      <c r="DY96" s="78"/>
      <c r="DZ96" s="78"/>
      <c r="EA96" s="78"/>
      <c r="EB96" s="78"/>
      <c r="EC96" s="78"/>
      <c r="ED96" s="78"/>
      <c r="EE96" s="78"/>
      <c r="EF96" s="78"/>
      <c r="EG96" s="78"/>
      <c r="EH96" s="78"/>
      <c r="EI96" s="78"/>
    </row>
    <row r="97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9"/>
      <c r="BH97" s="78"/>
      <c r="BI97" s="80"/>
      <c r="BJ97" s="78"/>
      <c r="BK97" s="78"/>
      <c r="BL97" s="78"/>
      <c r="BM97" s="78"/>
      <c r="BN97" s="78"/>
      <c r="BO97" s="78"/>
      <c r="BP97" s="78"/>
      <c r="BQ97" s="78"/>
      <c r="BR97" s="78"/>
      <c r="BS97" s="78"/>
      <c r="BT97" s="78"/>
      <c r="BU97" s="78"/>
      <c r="BV97" s="78"/>
      <c r="BW97" s="78"/>
      <c r="BX97" s="78"/>
      <c r="BY97" s="78"/>
      <c r="BZ97" s="78"/>
      <c r="CA97" s="78"/>
      <c r="CB97" s="78"/>
      <c r="CC97" s="78"/>
      <c r="CD97" s="78"/>
      <c r="CE97" s="78"/>
      <c r="CF97" s="78"/>
      <c r="CG97" s="78"/>
      <c r="CH97" s="78"/>
      <c r="CI97" s="78"/>
      <c r="CJ97" s="78"/>
      <c r="CK97" s="78"/>
      <c r="CL97" s="78"/>
      <c r="CM97" s="78"/>
      <c r="CN97" s="78"/>
      <c r="CO97" s="78"/>
      <c r="CP97" s="78"/>
      <c r="CQ97" s="78"/>
      <c r="CR97" s="78"/>
      <c r="CS97" s="78"/>
      <c r="CT97" s="78"/>
      <c r="CU97" s="78"/>
      <c r="CV97" s="78"/>
      <c r="CW97" s="78"/>
      <c r="CX97" s="78"/>
      <c r="CY97" s="78"/>
      <c r="CZ97" s="78"/>
      <c r="DA97" s="78"/>
      <c r="DB97" s="78"/>
      <c r="DC97" s="78"/>
      <c r="DD97" s="78"/>
      <c r="DE97" s="78"/>
      <c r="DF97" s="78"/>
      <c r="DG97" s="78"/>
      <c r="DH97" s="78"/>
      <c r="DI97" s="78"/>
      <c r="DJ97" s="78"/>
      <c r="DK97" s="78"/>
      <c r="DL97" s="78"/>
      <c r="DM97" s="78"/>
      <c r="DN97" s="78"/>
      <c r="DO97" s="78"/>
      <c r="DP97" s="78"/>
      <c r="DQ97" s="78"/>
      <c r="DR97" s="78"/>
      <c r="DS97" s="78"/>
      <c r="DT97" s="78"/>
      <c r="DU97" s="78"/>
      <c r="DV97" s="78"/>
      <c r="DW97" s="78"/>
      <c r="DX97" s="78"/>
      <c r="DY97" s="78"/>
      <c r="DZ97" s="78"/>
      <c r="EA97" s="78"/>
      <c r="EB97" s="78"/>
      <c r="EC97" s="78"/>
      <c r="ED97" s="78"/>
      <c r="EE97" s="78"/>
      <c r="EF97" s="78"/>
      <c r="EG97" s="78"/>
      <c r="EH97" s="78"/>
      <c r="EI97" s="78"/>
    </row>
    <row r="98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9"/>
      <c r="BH98" s="78"/>
      <c r="BI98" s="80"/>
      <c r="BJ98" s="78"/>
      <c r="BK98" s="78"/>
      <c r="BL98" s="78"/>
      <c r="BM98" s="78"/>
      <c r="BN98" s="78"/>
      <c r="BO98" s="78"/>
      <c r="BP98" s="78"/>
      <c r="BQ98" s="78"/>
      <c r="BR98" s="78"/>
      <c r="BS98" s="78"/>
      <c r="BT98" s="78"/>
      <c r="BU98" s="78"/>
      <c r="BV98" s="78"/>
      <c r="BW98" s="78"/>
      <c r="BX98" s="78"/>
      <c r="BY98" s="78"/>
      <c r="BZ98" s="78"/>
      <c r="CA98" s="78"/>
      <c r="CB98" s="78"/>
      <c r="CC98" s="78"/>
      <c r="CD98" s="78"/>
      <c r="CE98" s="78"/>
      <c r="CF98" s="78"/>
      <c r="CG98" s="78"/>
      <c r="CH98" s="78"/>
      <c r="CI98" s="78"/>
      <c r="CJ98" s="78"/>
      <c r="CK98" s="78"/>
      <c r="CL98" s="78"/>
      <c r="CM98" s="78"/>
      <c r="CN98" s="78"/>
      <c r="CO98" s="78"/>
      <c r="CP98" s="78"/>
      <c r="CQ98" s="78"/>
      <c r="CR98" s="78"/>
      <c r="CS98" s="78"/>
      <c r="CT98" s="78"/>
      <c r="CU98" s="78"/>
      <c r="CV98" s="78"/>
      <c r="CW98" s="78"/>
      <c r="CX98" s="78"/>
      <c r="CY98" s="78"/>
      <c r="CZ98" s="78"/>
      <c r="DA98" s="78"/>
      <c r="DB98" s="78"/>
      <c r="DC98" s="78"/>
      <c r="DD98" s="78"/>
      <c r="DE98" s="78"/>
      <c r="DF98" s="78"/>
      <c r="DG98" s="78"/>
      <c r="DH98" s="78"/>
      <c r="DI98" s="78"/>
      <c r="DJ98" s="78"/>
      <c r="DK98" s="78"/>
      <c r="DL98" s="78"/>
      <c r="DM98" s="78"/>
      <c r="DN98" s="78"/>
      <c r="DO98" s="78"/>
      <c r="DP98" s="78"/>
      <c r="DQ98" s="78"/>
      <c r="DR98" s="78"/>
      <c r="DS98" s="78"/>
      <c r="DT98" s="78"/>
      <c r="DU98" s="78"/>
      <c r="DV98" s="78"/>
      <c r="DW98" s="78"/>
      <c r="DX98" s="78"/>
      <c r="DY98" s="78"/>
      <c r="DZ98" s="78"/>
      <c r="EA98" s="78"/>
      <c r="EB98" s="78"/>
      <c r="EC98" s="78"/>
      <c r="ED98" s="78"/>
      <c r="EE98" s="78"/>
      <c r="EF98" s="78"/>
      <c r="EG98" s="78"/>
      <c r="EH98" s="78"/>
      <c r="EI98" s="78"/>
    </row>
    <row r="99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9"/>
      <c r="BH99" s="78"/>
      <c r="BI99" s="80"/>
      <c r="BJ99" s="78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  <c r="CA99" s="78"/>
      <c r="CB99" s="78"/>
      <c r="CC99" s="78"/>
      <c r="CD99" s="78"/>
      <c r="CE99" s="78"/>
      <c r="CF99" s="78"/>
      <c r="CG99" s="78"/>
      <c r="CH99" s="78"/>
      <c r="CI99" s="78"/>
      <c r="CJ99" s="78"/>
      <c r="CK99" s="78"/>
      <c r="CL99" s="78"/>
      <c r="CM99" s="78"/>
      <c r="CN99" s="78"/>
      <c r="CO99" s="78"/>
      <c r="CP99" s="78"/>
      <c r="CQ99" s="78"/>
      <c r="CR99" s="78"/>
      <c r="CS99" s="78"/>
      <c r="CT99" s="78"/>
      <c r="CU99" s="78"/>
      <c r="CV99" s="78"/>
      <c r="CW99" s="78"/>
      <c r="CX99" s="78"/>
      <c r="CY99" s="78"/>
      <c r="CZ99" s="78"/>
      <c r="DA99" s="78"/>
      <c r="DB99" s="78"/>
      <c r="DC99" s="78"/>
      <c r="DD99" s="78"/>
      <c r="DE99" s="78"/>
      <c r="DF99" s="78"/>
      <c r="DG99" s="78"/>
      <c r="DH99" s="78"/>
      <c r="DI99" s="78"/>
      <c r="DJ99" s="78"/>
      <c r="DK99" s="78"/>
      <c r="DL99" s="78"/>
      <c r="DM99" s="78"/>
      <c r="DN99" s="78"/>
      <c r="DO99" s="78"/>
      <c r="DP99" s="78"/>
      <c r="DQ99" s="78"/>
      <c r="DR99" s="78"/>
      <c r="DS99" s="78"/>
      <c r="DT99" s="78"/>
      <c r="DU99" s="78"/>
      <c r="DV99" s="78"/>
      <c r="DW99" s="78"/>
      <c r="DX99" s="78"/>
      <c r="DY99" s="78"/>
      <c r="DZ99" s="78"/>
      <c r="EA99" s="78"/>
      <c r="EB99" s="78"/>
      <c r="EC99" s="78"/>
      <c r="ED99" s="78"/>
      <c r="EE99" s="78"/>
      <c r="EF99" s="78"/>
      <c r="EG99" s="78"/>
      <c r="EH99" s="78"/>
      <c r="EI99" s="78"/>
    </row>
    <row r="100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9"/>
      <c r="BH100" s="78"/>
      <c r="BI100" s="80"/>
      <c r="BJ100" s="78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  <c r="CA100" s="78"/>
      <c r="CB100" s="78"/>
      <c r="CC100" s="78"/>
      <c r="CD100" s="78"/>
      <c r="CE100" s="78"/>
      <c r="CF100" s="78"/>
      <c r="CG100" s="78"/>
      <c r="CH100" s="78"/>
      <c r="CI100" s="78"/>
      <c r="CJ100" s="78"/>
      <c r="CK100" s="78"/>
      <c r="CL100" s="78"/>
      <c r="CM100" s="78"/>
      <c r="CN100" s="78"/>
      <c r="CO100" s="78"/>
      <c r="CP100" s="78"/>
      <c r="CQ100" s="78"/>
      <c r="CR100" s="78"/>
      <c r="CS100" s="78"/>
      <c r="CT100" s="78"/>
      <c r="CU100" s="78"/>
      <c r="CV100" s="78"/>
      <c r="CW100" s="78"/>
      <c r="CX100" s="78"/>
      <c r="CY100" s="78"/>
      <c r="CZ100" s="78"/>
      <c r="DA100" s="78"/>
      <c r="DB100" s="78"/>
      <c r="DC100" s="78"/>
      <c r="DD100" s="78"/>
      <c r="DE100" s="78"/>
      <c r="DF100" s="78"/>
      <c r="DG100" s="78"/>
      <c r="DH100" s="78"/>
      <c r="DI100" s="78"/>
      <c r="DJ100" s="78"/>
      <c r="DK100" s="78"/>
      <c r="DL100" s="78"/>
      <c r="DM100" s="78"/>
      <c r="DN100" s="78"/>
      <c r="DO100" s="78"/>
      <c r="DP100" s="78"/>
      <c r="DQ100" s="78"/>
      <c r="DR100" s="78"/>
      <c r="DS100" s="78"/>
      <c r="DT100" s="78"/>
      <c r="DU100" s="78"/>
      <c r="DV100" s="78"/>
      <c r="DW100" s="78"/>
      <c r="DX100" s="78"/>
      <c r="DY100" s="78"/>
      <c r="DZ100" s="78"/>
      <c r="EA100" s="78"/>
      <c r="EB100" s="78"/>
      <c r="EC100" s="78"/>
      <c r="ED100" s="78"/>
      <c r="EE100" s="78"/>
      <c r="EF100" s="78"/>
      <c r="EG100" s="78"/>
      <c r="EH100" s="78"/>
      <c r="EI100" s="78"/>
    </row>
    <row r="101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9"/>
      <c r="BH101" s="78"/>
      <c r="BI101" s="80"/>
      <c r="BJ101" s="78"/>
      <c r="BK101" s="78"/>
      <c r="BL101" s="78"/>
      <c r="BM101" s="78"/>
      <c r="BN101" s="78"/>
      <c r="BO101" s="78"/>
      <c r="BP101" s="78"/>
      <c r="BQ101" s="78"/>
      <c r="BR101" s="78"/>
      <c r="BS101" s="78"/>
      <c r="BT101" s="78"/>
      <c r="BU101" s="78"/>
      <c r="BV101" s="78"/>
      <c r="BW101" s="78"/>
      <c r="BX101" s="78"/>
      <c r="BY101" s="78"/>
      <c r="BZ101" s="78"/>
      <c r="CA101" s="78"/>
      <c r="CB101" s="78"/>
      <c r="CC101" s="78"/>
      <c r="CD101" s="78"/>
      <c r="CE101" s="78"/>
      <c r="CF101" s="78"/>
      <c r="CG101" s="78"/>
      <c r="CH101" s="78"/>
      <c r="CI101" s="78"/>
      <c r="CJ101" s="78"/>
      <c r="CK101" s="78"/>
      <c r="CL101" s="78"/>
      <c r="CM101" s="78"/>
      <c r="CN101" s="78"/>
      <c r="CO101" s="78"/>
      <c r="CP101" s="78"/>
      <c r="CQ101" s="78"/>
      <c r="CR101" s="78"/>
      <c r="CS101" s="78"/>
      <c r="CT101" s="78"/>
      <c r="CU101" s="78"/>
      <c r="CV101" s="78"/>
      <c r="CW101" s="78"/>
      <c r="CX101" s="78"/>
      <c r="CY101" s="78"/>
      <c r="CZ101" s="78"/>
      <c r="DA101" s="78"/>
      <c r="DB101" s="78"/>
      <c r="DC101" s="78"/>
      <c r="DD101" s="78"/>
      <c r="DE101" s="78"/>
      <c r="DF101" s="78"/>
      <c r="DG101" s="78"/>
      <c r="DH101" s="78"/>
      <c r="DI101" s="78"/>
      <c r="DJ101" s="78"/>
      <c r="DK101" s="78"/>
      <c r="DL101" s="78"/>
      <c r="DM101" s="78"/>
      <c r="DN101" s="78"/>
      <c r="DO101" s="78"/>
      <c r="DP101" s="78"/>
      <c r="DQ101" s="78"/>
      <c r="DR101" s="78"/>
      <c r="DS101" s="78"/>
      <c r="DT101" s="78"/>
      <c r="DU101" s="78"/>
      <c r="DV101" s="78"/>
      <c r="DW101" s="78"/>
      <c r="DX101" s="78"/>
      <c r="DY101" s="78"/>
      <c r="DZ101" s="78"/>
      <c r="EA101" s="78"/>
      <c r="EB101" s="78"/>
      <c r="EC101" s="78"/>
      <c r="ED101" s="78"/>
      <c r="EE101" s="78"/>
      <c r="EF101" s="78"/>
      <c r="EG101" s="78"/>
      <c r="EH101" s="78"/>
      <c r="EI101" s="78"/>
    </row>
    <row r="102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9"/>
      <c r="BH102" s="78"/>
      <c r="BI102" s="80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  <c r="CA102" s="78"/>
      <c r="CB102" s="78"/>
      <c r="CC102" s="78"/>
      <c r="CD102" s="78"/>
      <c r="CE102" s="78"/>
      <c r="CF102" s="78"/>
      <c r="CG102" s="78"/>
      <c r="CH102" s="78"/>
      <c r="CI102" s="78"/>
      <c r="CJ102" s="78"/>
      <c r="CK102" s="78"/>
      <c r="CL102" s="78"/>
      <c r="CM102" s="78"/>
      <c r="CN102" s="78"/>
      <c r="CO102" s="78"/>
      <c r="CP102" s="78"/>
      <c r="CQ102" s="78"/>
      <c r="CR102" s="78"/>
      <c r="CS102" s="78"/>
      <c r="CT102" s="78"/>
      <c r="CU102" s="78"/>
      <c r="CV102" s="78"/>
      <c r="CW102" s="78"/>
      <c r="CX102" s="78"/>
      <c r="CY102" s="78"/>
      <c r="CZ102" s="78"/>
      <c r="DA102" s="78"/>
      <c r="DB102" s="78"/>
      <c r="DC102" s="78"/>
      <c r="DD102" s="78"/>
      <c r="DE102" s="78"/>
      <c r="DF102" s="78"/>
      <c r="DG102" s="78"/>
      <c r="DH102" s="78"/>
      <c r="DI102" s="78"/>
      <c r="DJ102" s="78"/>
      <c r="DK102" s="78"/>
      <c r="DL102" s="78"/>
      <c r="DM102" s="78"/>
      <c r="DN102" s="78"/>
      <c r="DO102" s="78"/>
      <c r="DP102" s="78"/>
      <c r="DQ102" s="78"/>
      <c r="DR102" s="78"/>
      <c r="DS102" s="78"/>
      <c r="DT102" s="78"/>
      <c r="DU102" s="78"/>
      <c r="DV102" s="78"/>
      <c r="DW102" s="78"/>
      <c r="DX102" s="78"/>
      <c r="DY102" s="78"/>
      <c r="DZ102" s="78"/>
      <c r="EA102" s="78"/>
      <c r="EB102" s="78"/>
      <c r="EC102" s="78"/>
      <c r="ED102" s="78"/>
      <c r="EE102" s="78"/>
      <c r="EF102" s="78"/>
      <c r="EG102" s="78"/>
      <c r="EH102" s="78"/>
      <c r="EI102" s="78"/>
    </row>
    <row r="103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9"/>
      <c r="BH103" s="78"/>
      <c r="BI103" s="80"/>
      <c r="BJ103" s="78"/>
      <c r="BK103" s="78"/>
      <c r="BL103" s="78"/>
      <c r="BM103" s="78"/>
      <c r="BN103" s="78"/>
      <c r="BO103" s="78"/>
      <c r="BP103" s="78"/>
      <c r="BQ103" s="78"/>
      <c r="BR103" s="78"/>
      <c r="BS103" s="78"/>
      <c r="BT103" s="78"/>
      <c r="BU103" s="78"/>
      <c r="BV103" s="78"/>
      <c r="BW103" s="78"/>
      <c r="BX103" s="78"/>
      <c r="BY103" s="78"/>
      <c r="BZ103" s="78"/>
      <c r="CA103" s="78"/>
      <c r="CB103" s="78"/>
      <c r="CC103" s="78"/>
      <c r="CD103" s="78"/>
      <c r="CE103" s="78"/>
      <c r="CF103" s="78"/>
      <c r="CG103" s="78"/>
      <c r="CH103" s="78"/>
      <c r="CI103" s="78"/>
      <c r="CJ103" s="78"/>
      <c r="CK103" s="78"/>
      <c r="CL103" s="78"/>
      <c r="CM103" s="78"/>
      <c r="CN103" s="78"/>
      <c r="CO103" s="78"/>
      <c r="CP103" s="78"/>
      <c r="CQ103" s="78"/>
      <c r="CR103" s="78"/>
      <c r="CS103" s="78"/>
      <c r="CT103" s="78"/>
      <c r="CU103" s="78"/>
      <c r="CV103" s="78"/>
      <c r="CW103" s="78"/>
      <c r="CX103" s="78"/>
      <c r="CY103" s="78"/>
      <c r="CZ103" s="78"/>
      <c r="DA103" s="78"/>
      <c r="DB103" s="78"/>
      <c r="DC103" s="78"/>
      <c r="DD103" s="78"/>
      <c r="DE103" s="78"/>
      <c r="DF103" s="78"/>
      <c r="DG103" s="78"/>
      <c r="DH103" s="78"/>
      <c r="DI103" s="78"/>
      <c r="DJ103" s="78"/>
      <c r="DK103" s="78"/>
      <c r="DL103" s="78"/>
      <c r="DM103" s="78"/>
      <c r="DN103" s="78"/>
      <c r="DO103" s="78"/>
      <c r="DP103" s="78"/>
      <c r="DQ103" s="78"/>
      <c r="DR103" s="78"/>
      <c r="DS103" s="78"/>
      <c r="DT103" s="78"/>
      <c r="DU103" s="78"/>
      <c r="DV103" s="78"/>
      <c r="DW103" s="78"/>
      <c r="DX103" s="78"/>
      <c r="DY103" s="78"/>
      <c r="DZ103" s="78"/>
      <c r="EA103" s="78"/>
      <c r="EB103" s="78"/>
      <c r="EC103" s="78"/>
      <c r="ED103" s="78"/>
      <c r="EE103" s="78"/>
      <c r="EF103" s="78"/>
      <c r="EG103" s="78"/>
      <c r="EH103" s="78"/>
      <c r="EI103" s="78"/>
    </row>
    <row r="104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9"/>
      <c r="BH104" s="78"/>
      <c r="BI104" s="80"/>
      <c r="BJ104" s="78"/>
      <c r="BK104" s="78"/>
      <c r="BL104" s="78"/>
      <c r="BM104" s="78"/>
      <c r="BN104" s="78"/>
      <c r="BO104" s="78"/>
      <c r="BP104" s="78"/>
      <c r="BQ104" s="78"/>
      <c r="BR104" s="78"/>
      <c r="BS104" s="78"/>
      <c r="BT104" s="78"/>
      <c r="BU104" s="78"/>
      <c r="BV104" s="78"/>
      <c r="BW104" s="78"/>
      <c r="BX104" s="78"/>
      <c r="BY104" s="78"/>
      <c r="BZ104" s="78"/>
      <c r="CA104" s="78"/>
      <c r="CB104" s="78"/>
      <c r="CC104" s="78"/>
      <c r="CD104" s="78"/>
      <c r="CE104" s="78"/>
      <c r="CF104" s="78"/>
      <c r="CG104" s="78"/>
      <c r="CH104" s="78"/>
      <c r="CI104" s="78"/>
      <c r="CJ104" s="78"/>
      <c r="CK104" s="78"/>
      <c r="CL104" s="78"/>
      <c r="CM104" s="78"/>
      <c r="CN104" s="78"/>
      <c r="CO104" s="78"/>
      <c r="CP104" s="78"/>
      <c r="CQ104" s="78"/>
      <c r="CR104" s="78"/>
      <c r="CS104" s="78"/>
      <c r="CT104" s="78"/>
      <c r="CU104" s="78"/>
      <c r="CV104" s="78"/>
      <c r="CW104" s="78"/>
      <c r="CX104" s="78"/>
      <c r="CY104" s="78"/>
      <c r="CZ104" s="78"/>
      <c r="DA104" s="78"/>
      <c r="DB104" s="78"/>
      <c r="DC104" s="78"/>
      <c r="DD104" s="78"/>
      <c r="DE104" s="78"/>
      <c r="DF104" s="78"/>
      <c r="DG104" s="78"/>
      <c r="DH104" s="78"/>
      <c r="DI104" s="78"/>
      <c r="DJ104" s="78"/>
      <c r="DK104" s="78"/>
      <c r="DL104" s="78"/>
      <c r="DM104" s="78"/>
      <c r="DN104" s="78"/>
      <c r="DO104" s="78"/>
      <c r="DP104" s="78"/>
      <c r="DQ104" s="78"/>
      <c r="DR104" s="78"/>
      <c r="DS104" s="78"/>
      <c r="DT104" s="78"/>
      <c r="DU104" s="78"/>
      <c r="DV104" s="78"/>
      <c r="DW104" s="78"/>
      <c r="DX104" s="78"/>
      <c r="DY104" s="78"/>
      <c r="DZ104" s="78"/>
      <c r="EA104" s="78"/>
      <c r="EB104" s="78"/>
      <c r="EC104" s="78"/>
      <c r="ED104" s="78"/>
      <c r="EE104" s="78"/>
      <c r="EF104" s="78"/>
      <c r="EG104" s="78"/>
      <c r="EH104" s="78"/>
      <c r="EI104" s="78"/>
    </row>
    <row r="105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9"/>
      <c r="BH105" s="78"/>
      <c r="BI105" s="80"/>
      <c r="BJ105" s="78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  <c r="CA105" s="78"/>
      <c r="CB105" s="78"/>
      <c r="CC105" s="78"/>
      <c r="CD105" s="78"/>
      <c r="CE105" s="78"/>
      <c r="CF105" s="78"/>
      <c r="CG105" s="78"/>
      <c r="CH105" s="78"/>
      <c r="CI105" s="78"/>
      <c r="CJ105" s="78"/>
      <c r="CK105" s="78"/>
      <c r="CL105" s="78"/>
      <c r="CM105" s="78"/>
      <c r="CN105" s="78"/>
      <c r="CO105" s="78"/>
      <c r="CP105" s="78"/>
      <c r="CQ105" s="78"/>
      <c r="CR105" s="78"/>
      <c r="CS105" s="78"/>
      <c r="CT105" s="78"/>
      <c r="CU105" s="78"/>
      <c r="CV105" s="78"/>
      <c r="CW105" s="78"/>
      <c r="CX105" s="78"/>
      <c r="CY105" s="78"/>
      <c r="CZ105" s="78"/>
      <c r="DA105" s="78"/>
      <c r="DB105" s="78"/>
      <c r="DC105" s="78"/>
      <c r="DD105" s="78"/>
      <c r="DE105" s="78"/>
      <c r="DF105" s="78"/>
      <c r="DG105" s="78"/>
      <c r="DH105" s="78"/>
      <c r="DI105" s="78"/>
      <c r="DJ105" s="78"/>
      <c r="DK105" s="78"/>
      <c r="DL105" s="78"/>
      <c r="DM105" s="78"/>
      <c r="DN105" s="78"/>
      <c r="DO105" s="78"/>
      <c r="DP105" s="78"/>
      <c r="DQ105" s="78"/>
      <c r="DR105" s="78"/>
      <c r="DS105" s="78"/>
      <c r="DT105" s="78"/>
      <c r="DU105" s="78"/>
      <c r="DV105" s="78"/>
      <c r="DW105" s="78"/>
      <c r="DX105" s="78"/>
      <c r="DY105" s="78"/>
      <c r="DZ105" s="78"/>
      <c r="EA105" s="78"/>
      <c r="EB105" s="78"/>
      <c r="EC105" s="78"/>
      <c r="ED105" s="78"/>
      <c r="EE105" s="78"/>
      <c r="EF105" s="78"/>
      <c r="EG105" s="78"/>
      <c r="EH105" s="78"/>
      <c r="EI105" s="78"/>
    </row>
    <row r="10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9"/>
      <c r="BH106" s="78"/>
      <c r="BI106" s="80"/>
      <c r="BJ106" s="78"/>
      <c r="BK106" s="78"/>
      <c r="BL106" s="78"/>
      <c r="BM106" s="78"/>
      <c r="BN106" s="78"/>
      <c r="BO106" s="78"/>
      <c r="BP106" s="78"/>
      <c r="BQ106" s="78"/>
      <c r="BR106" s="78"/>
      <c r="BS106" s="78"/>
      <c r="BT106" s="78"/>
      <c r="BU106" s="78"/>
      <c r="BV106" s="78"/>
      <c r="BW106" s="78"/>
      <c r="BX106" s="78"/>
      <c r="BY106" s="78"/>
      <c r="BZ106" s="78"/>
      <c r="CA106" s="78"/>
      <c r="CB106" s="78"/>
      <c r="CC106" s="78"/>
      <c r="CD106" s="78"/>
      <c r="CE106" s="78"/>
      <c r="CF106" s="78"/>
      <c r="CG106" s="78"/>
      <c r="CH106" s="78"/>
      <c r="CI106" s="78"/>
      <c r="CJ106" s="78"/>
      <c r="CK106" s="78"/>
      <c r="CL106" s="78"/>
      <c r="CM106" s="78"/>
      <c r="CN106" s="78"/>
      <c r="CO106" s="78"/>
      <c r="CP106" s="78"/>
      <c r="CQ106" s="78"/>
      <c r="CR106" s="78"/>
      <c r="CS106" s="78"/>
      <c r="CT106" s="78"/>
      <c r="CU106" s="78"/>
      <c r="CV106" s="78"/>
      <c r="CW106" s="78"/>
      <c r="CX106" s="78"/>
      <c r="CY106" s="78"/>
      <c r="CZ106" s="78"/>
      <c r="DA106" s="78"/>
      <c r="DB106" s="78"/>
      <c r="DC106" s="78"/>
      <c r="DD106" s="78"/>
      <c r="DE106" s="78"/>
      <c r="DF106" s="78"/>
      <c r="DG106" s="78"/>
      <c r="DH106" s="78"/>
      <c r="DI106" s="78"/>
      <c r="DJ106" s="78"/>
      <c r="DK106" s="78"/>
      <c r="DL106" s="78"/>
      <c r="DM106" s="78"/>
      <c r="DN106" s="78"/>
      <c r="DO106" s="78"/>
      <c r="DP106" s="78"/>
      <c r="DQ106" s="78"/>
      <c r="DR106" s="78"/>
      <c r="DS106" s="78"/>
      <c r="DT106" s="78"/>
      <c r="DU106" s="78"/>
      <c r="DV106" s="78"/>
      <c r="DW106" s="78"/>
      <c r="DX106" s="78"/>
      <c r="DY106" s="78"/>
      <c r="DZ106" s="78"/>
      <c r="EA106" s="78"/>
      <c r="EB106" s="78"/>
      <c r="EC106" s="78"/>
      <c r="ED106" s="78"/>
      <c r="EE106" s="78"/>
      <c r="EF106" s="78"/>
      <c r="EG106" s="78"/>
      <c r="EH106" s="78"/>
      <c r="EI106" s="78"/>
    </row>
    <row r="107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9"/>
      <c r="BH107" s="78"/>
      <c r="BI107" s="80"/>
      <c r="BJ107" s="78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  <c r="CA107" s="78"/>
      <c r="CB107" s="78"/>
      <c r="CC107" s="78"/>
      <c r="CD107" s="78"/>
      <c r="CE107" s="78"/>
      <c r="CF107" s="78"/>
      <c r="CG107" s="78"/>
      <c r="CH107" s="78"/>
      <c r="CI107" s="78"/>
      <c r="CJ107" s="78"/>
      <c r="CK107" s="78"/>
      <c r="CL107" s="78"/>
      <c r="CM107" s="78"/>
      <c r="CN107" s="78"/>
      <c r="CO107" s="78"/>
      <c r="CP107" s="78"/>
      <c r="CQ107" s="78"/>
      <c r="CR107" s="78"/>
      <c r="CS107" s="78"/>
      <c r="CT107" s="78"/>
      <c r="CU107" s="78"/>
      <c r="CV107" s="78"/>
      <c r="CW107" s="78"/>
      <c r="CX107" s="78"/>
      <c r="CY107" s="78"/>
      <c r="CZ107" s="78"/>
      <c r="DA107" s="78"/>
      <c r="DB107" s="78"/>
      <c r="DC107" s="78"/>
      <c r="DD107" s="78"/>
      <c r="DE107" s="78"/>
      <c r="DF107" s="78"/>
      <c r="DG107" s="78"/>
      <c r="DH107" s="78"/>
      <c r="DI107" s="78"/>
      <c r="DJ107" s="78"/>
      <c r="DK107" s="78"/>
      <c r="DL107" s="78"/>
      <c r="DM107" s="78"/>
      <c r="DN107" s="78"/>
      <c r="DO107" s="78"/>
      <c r="DP107" s="78"/>
      <c r="DQ107" s="78"/>
      <c r="DR107" s="78"/>
      <c r="DS107" s="78"/>
      <c r="DT107" s="78"/>
      <c r="DU107" s="78"/>
      <c r="DV107" s="78"/>
      <c r="DW107" s="78"/>
      <c r="DX107" s="78"/>
      <c r="DY107" s="78"/>
      <c r="DZ107" s="78"/>
      <c r="EA107" s="78"/>
      <c r="EB107" s="78"/>
      <c r="EC107" s="78"/>
      <c r="ED107" s="78"/>
      <c r="EE107" s="78"/>
      <c r="EF107" s="78"/>
      <c r="EG107" s="78"/>
      <c r="EH107" s="78"/>
      <c r="EI107" s="78"/>
    </row>
    <row r="108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9"/>
      <c r="BH108" s="78"/>
      <c r="BI108" s="80"/>
      <c r="BJ108" s="78"/>
      <c r="BK108" s="78"/>
      <c r="BL108" s="78"/>
      <c r="BM108" s="78"/>
      <c r="BN108" s="78"/>
      <c r="BO108" s="78"/>
      <c r="BP108" s="78"/>
      <c r="BQ108" s="78"/>
      <c r="BR108" s="78"/>
      <c r="BS108" s="78"/>
      <c r="BT108" s="78"/>
      <c r="BU108" s="78"/>
      <c r="BV108" s="78"/>
      <c r="BW108" s="78"/>
      <c r="BX108" s="78"/>
      <c r="BY108" s="78"/>
      <c r="BZ108" s="78"/>
      <c r="CA108" s="78"/>
      <c r="CB108" s="78"/>
      <c r="CC108" s="78"/>
      <c r="CD108" s="78"/>
      <c r="CE108" s="78"/>
      <c r="CF108" s="78"/>
      <c r="CG108" s="78"/>
      <c r="CH108" s="78"/>
      <c r="CI108" s="78"/>
      <c r="CJ108" s="78"/>
      <c r="CK108" s="78"/>
      <c r="CL108" s="78"/>
      <c r="CM108" s="78"/>
      <c r="CN108" s="78"/>
      <c r="CO108" s="78"/>
      <c r="CP108" s="78"/>
      <c r="CQ108" s="78"/>
      <c r="CR108" s="78"/>
      <c r="CS108" s="78"/>
      <c r="CT108" s="78"/>
      <c r="CU108" s="78"/>
      <c r="CV108" s="78"/>
      <c r="CW108" s="78"/>
      <c r="CX108" s="78"/>
      <c r="CY108" s="78"/>
      <c r="CZ108" s="78"/>
      <c r="DA108" s="78"/>
      <c r="DB108" s="78"/>
      <c r="DC108" s="78"/>
      <c r="DD108" s="78"/>
      <c r="DE108" s="78"/>
      <c r="DF108" s="78"/>
      <c r="DG108" s="78"/>
      <c r="DH108" s="78"/>
      <c r="DI108" s="78"/>
      <c r="DJ108" s="78"/>
      <c r="DK108" s="78"/>
      <c r="DL108" s="78"/>
      <c r="DM108" s="78"/>
      <c r="DN108" s="78"/>
      <c r="DO108" s="78"/>
      <c r="DP108" s="78"/>
      <c r="DQ108" s="78"/>
      <c r="DR108" s="78"/>
      <c r="DS108" s="78"/>
      <c r="DT108" s="78"/>
      <c r="DU108" s="78"/>
      <c r="DV108" s="78"/>
      <c r="DW108" s="78"/>
      <c r="DX108" s="78"/>
      <c r="DY108" s="78"/>
      <c r="DZ108" s="78"/>
      <c r="EA108" s="78"/>
      <c r="EB108" s="78"/>
      <c r="EC108" s="78"/>
      <c r="ED108" s="78"/>
      <c r="EE108" s="78"/>
      <c r="EF108" s="78"/>
      <c r="EG108" s="78"/>
      <c r="EH108" s="78"/>
      <c r="EI108" s="78"/>
    </row>
    <row r="109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9"/>
      <c r="BH109" s="78"/>
      <c r="BI109" s="80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  <c r="CE109" s="78"/>
      <c r="CF109" s="78"/>
      <c r="CG109" s="78"/>
      <c r="CH109" s="78"/>
      <c r="CI109" s="78"/>
      <c r="CJ109" s="78"/>
      <c r="CK109" s="78"/>
      <c r="CL109" s="78"/>
      <c r="CM109" s="78"/>
      <c r="CN109" s="78"/>
      <c r="CO109" s="78"/>
      <c r="CP109" s="78"/>
      <c r="CQ109" s="78"/>
      <c r="CR109" s="78"/>
      <c r="CS109" s="78"/>
      <c r="CT109" s="78"/>
      <c r="CU109" s="78"/>
      <c r="CV109" s="78"/>
      <c r="CW109" s="78"/>
      <c r="CX109" s="78"/>
      <c r="CY109" s="78"/>
      <c r="CZ109" s="78"/>
      <c r="DA109" s="78"/>
      <c r="DB109" s="78"/>
      <c r="DC109" s="78"/>
      <c r="DD109" s="78"/>
      <c r="DE109" s="78"/>
      <c r="DF109" s="78"/>
      <c r="DG109" s="78"/>
      <c r="DH109" s="78"/>
      <c r="DI109" s="78"/>
      <c r="DJ109" s="78"/>
      <c r="DK109" s="78"/>
      <c r="DL109" s="78"/>
      <c r="DM109" s="78"/>
      <c r="DN109" s="78"/>
      <c r="DO109" s="78"/>
      <c r="DP109" s="78"/>
      <c r="DQ109" s="78"/>
      <c r="DR109" s="78"/>
      <c r="DS109" s="78"/>
      <c r="DT109" s="78"/>
      <c r="DU109" s="78"/>
      <c r="DV109" s="78"/>
      <c r="DW109" s="78"/>
      <c r="DX109" s="78"/>
      <c r="DY109" s="78"/>
      <c r="DZ109" s="78"/>
      <c r="EA109" s="78"/>
      <c r="EB109" s="78"/>
      <c r="EC109" s="78"/>
      <c r="ED109" s="78"/>
      <c r="EE109" s="78"/>
      <c r="EF109" s="78"/>
      <c r="EG109" s="78"/>
      <c r="EH109" s="78"/>
      <c r="EI109" s="78"/>
    </row>
    <row r="110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9"/>
      <c r="BH110" s="78"/>
      <c r="BI110" s="80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  <c r="CA110" s="78"/>
      <c r="CB110" s="78"/>
      <c r="CC110" s="78"/>
      <c r="CD110" s="78"/>
      <c r="CE110" s="78"/>
      <c r="CF110" s="78"/>
      <c r="CG110" s="78"/>
      <c r="CH110" s="78"/>
      <c r="CI110" s="78"/>
      <c r="CJ110" s="78"/>
      <c r="CK110" s="78"/>
      <c r="CL110" s="78"/>
      <c r="CM110" s="78"/>
      <c r="CN110" s="78"/>
      <c r="CO110" s="78"/>
      <c r="CP110" s="78"/>
      <c r="CQ110" s="78"/>
      <c r="CR110" s="78"/>
      <c r="CS110" s="78"/>
      <c r="CT110" s="78"/>
      <c r="CU110" s="78"/>
      <c r="CV110" s="78"/>
      <c r="CW110" s="78"/>
      <c r="CX110" s="78"/>
      <c r="CY110" s="78"/>
      <c r="CZ110" s="78"/>
      <c r="DA110" s="78"/>
      <c r="DB110" s="78"/>
      <c r="DC110" s="78"/>
      <c r="DD110" s="78"/>
      <c r="DE110" s="78"/>
      <c r="DF110" s="78"/>
      <c r="DG110" s="78"/>
      <c r="DH110" s="78"/>
      <c r="DI110" s="78"/>
      <c r="DJ110" s="78"/>
      <c r="DK110" s="78"/>
      <c r="DL110" s="78"/>
      <c r="DM110" s="78"/>
      <c r="DN110" s="78"/>
      <c r="DO110" s="78"/>
      <c r="DP110" s="78"/>
      <c r="DQ110" s="78"/>
      <c r="DR110" s="78"/>
      <c r="DS110" s="78"/>
      <c r="DT110" s="78"/>
      <c r="DU110" s="78"/>
      <c r="DV110" s="78"/>
      <c r="DW110" s="78"/>
      <c r="DX110" s="78"/>
      <c r="DY110" s="78"/>
      <c r="DZ110" s="78"/>
      <c r="EA110" s="78"/>
      <c r="EB110" s="78"/>
      <c r="EC110" s="78"/>
      <c r="ED110" s="78"/>
      <c r="EE110" s="78"/>
      <c r="EF110" s="78"/>
      <c r="EG110" s="78"/>
      <c r="EH110" s="78"/>
      <c r="EI110" s="78"/>
    </row>
    <row r="111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9"/>
      <c r="BH111" s="78"/>
      <c r="BI111" s="80"/>
      <c r="BJ111" s="78"/>
      <c r="BK111" s="78"/>
      <c r="BL111" s="78"/>
      <c r="BM111" s="78"/>
      <c r="BN111" s="78"/>
      <c r="BO111" s="78"/>
      <c r="BP111" s="78"/>
      <c r="BQ111" s="78"/>
      <c r="BR111" s="78"/>
      <c r="BS111" s="78"/>
      <c r="BT111" s="78"/>
      <c r="BU111" s="78"/>
      <c r="BV111" s="78"/>
      <c r="BW111" s="78"/>
      <c r="BX111" s="78"/>
      <c r="BY111" s="78"/>
      <c r="BZ111" s="78"/>
      <c r="CA111" s="78"/>
      <c r="CB111" s="78"/>
      <c r="CC111" s="78"/>
      <c r="CD111" s="78"/>
      <c r="CE111" s="78"/>
      <c r="CF111" s="78"/>
      <c r="CG111" s="78"/>
      <c r="CH111" s="78"/>
      <c r="CI111" s="78"/>
      <c r="CJ111" s="78"/>
      <c r="CK111" s="78"/>
      <c r="CL111" s="78"/>
      <c r="CM111" s="78"/>
      <c r="CN111" s="78"/>
      <c r="CO111" s="78"/>
      <c r="CP111" s="78"/>
      <c r="CQ111" s="78"/>
      <c r="CR111" s="78"/>
      <c r="CS111" s="78"/>
      <c r="CT111" s="78"/>
      <c r="CU111" s="78"/>
      <c r="CV111" s="78"/>
      <c r="CW111" s="78"/>
      <c r="CX111" s="78"/>
      <c r="CY111" s="78"/>
      <c r="CZ111" s="78"/>
      <c r="DA111" s="78"/>
      <c r="DB111" s="78"/>
      <c r="DC111" s="78"/>
      <c r="DD111" s="78"/>
      <c r="DE111" s="78"/>
      <c r="DF111" s="78"/>
      <c r="DG111" s="78"/>
      <c r="DH111" s="78"/>
      <c r="DI111" s="78"/>
      <c r="DJ111" s="78"/>
      <c r="DK111" s="78"/>
      <c r="DL111" s="78"/>
      <c r="DM111" s="78"/>
      <c r="DN111" s="78"/>
      <c r="DO111" s="78"/>
      <c r="DP111" s="78"/>
      <c r="DQ111" s="78"/>
      <c r="DR111" s="78"/>
      <c r="DS111" s="78"/>
      <c r="DT111" s="78"/>
      <c r="DU111" s="78"/>
      <c r="DV111" s="78"/>
      <c r="DW111" s="78"/>
      <c r="DX111" s="78"/>
      <c r="DY111" s="78"/>
      <c r="DZ111" s="78"/>
      <c r="EA111" s="78"/>
      <c r="EB111" s="78"/>
      <c r="EC111" s="78"/>
      <c r="ED111" s="78"/>
      <c r="EE111" s="78"/>
      <c r="EF111" s="78"/>
      <c r="EG111" s="78"/>
      <c r="EH111" s="78"/>
      <c r="EI111" s="78"/>
    </row>
    <row r="112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9"/>
      <c r="BH112" s="78"/>
      <c r="BI112" s="80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  <c r="CA112" s="78"/>
      <c r="CB112" s="78"/>
      <c r="CC112" s="78"/>
      <c r="CD112" s="78"/>
      <c r="CE112" s="78"/>
      <c r="CF112" s="78"/>
      <c r="CG112" s="78"/>
      <c r="CH112" s="78"/>
      <c r="CI112" s="78"/>
      <c r="CJ112" s="78"/>
      <c r="CK112" s="78"/>
      <c r="CL112" s="78"/>
      <c r="CM112" s="78"/>
      <c r="CN112" s="78"/>
      <c r="CO112" s="78"/>
      <c r="CP112" s="78"/>
      <c r="CQ112" s="78"/>
      <c r="CR112" s="78"/>
      <c r="CS112" s="78"/>
      <c r="CT112" s="78"/>
      <c r="CU112" s="78"/>
      <c r="CV112" s="78"/>
      <c r="CW112" s="78"/>
      <c r="CX112" s="78"/>
      <c r="CY112" s="78"/>
      <c r="CZ112" s="78"/>
      <c r="DA112" s="78"/>
      <c r="DB112" s="78"/>
      <c r="DC112" s="78"/>
      <c r="DD112" s="78"/>
      <c r="DE112" s="78"/>
      <c r="DF112" s="78"/>
      <c r="DG112" s="78"/>
      <c r="DH112" s="78"/>
      <c r="DI112" s="78"/>
      <c r="DJ112" s="78"/>
      <c r="DK112" s="78"/>
      <c r="DL112" s="78"/>
      <c r="DM112" s="78"/>
      <c r="DN112" s="78"/>
      <c r="DO112" s="78"/>
      <c r="DP112" s="78"/>
      <c r="DQ112" s="78"/>
      <c r="DR112" s="78"/>
      <c r="DS112" s="78"/>
      <c r="DT112" s="78"/>
      <c r="DU112" s="78"/>
      <c r="DV112" s="78"/>
      <c r="DW112" s="78"/>
      <c r="DX112" s="78"/>
      <c r="DY112" s="78"/>
      <c r="DZ112" s="78"/>
      <c r="EA112" s="78"/>
      <c r="EB112" s="78"/>
      <c r="EC112" s="78"/>
      <c r="ED112" s="78"/>
      <c r="EE112" s="78"/>
      <c r="EF112" s="78"/>
      <c r="EG112" s="78"/>
      <c r="EH112" s="78"/>
      <c r="EI112" s="78"/>
    </row>
    <row r="113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9"/>
      <c r="BH113" s="78"/>
      <c r="BI113" s="80"/>
      <c r="BJ113" s="78"/>
      <c r="BK113" s="78"/>
      <c r="BL113" s="78"/>
      <c r="BM113" s="78"/>
      <c r="BN113" s="78"/>
      <c r="BO113" s="78"/>
      <c r="BP113" s="78"/>
      <c r="BQ113" s="78"/>
      <c r="BR113" s="78"/>
      <c r="BS113" s="78"/>
      <c r="BT113" s="78"/>
      <c r="BU113" s="78"/>
      <c r="BV113" s="78"/>
      <c r="BW113" s="78"/>
      <c r="BX113" s="78"/>
      <c r="BY113" s="78"/>
      <c r="BZ113" s="78"/>
      <c r="CA113" s="78"/>
      <c r="CB113" s="78"/>
      <c r="CC113" s="78"/>
      <c r="CD113" s="78"/>
      <c r="CE113" s="78"/>
      <c r="CF113" s="78"/>
      <c r="CG113" s="78"/>
      <c r="CH113" s="78"/>
      <c r="CI113" s="78"/>
      <c r="CJ113" s="78"/>
      <c r="CK113" s="78"/>
      <c r="CL113" s="78"/>
      <c r="CM113" s="78"/>
      <c r="CN113" s="78"/>
      <c r="CO113" s="78"/>
      <c r="CP113" s="78"/>
      <c r="CQ113" s="78"/>
      <c r="CR113" s="78"/>
      <c r="CS113" s="78"/>
      <c r="CT113" s="78"/>
      <c r="CU113" s="78"/>
      <c r="CV113" s="78"/>
      <c r="CW113" s="78"/>
      <c r="CX113" s="78"/>
      <c r="CY113" s="78"/>
      <c r="CZ113" s="78"/>
      <c r="DA113" s="78"/>
      <c r="DB113" s="78"/>
      <c r="DC113" s="78"/>
      <c r="DD113" s="78"/>
      <c r="DE113" s="78"/>
      <c r="DF113" s="78"/>
      <c r="DG113" s="78"/>
      <c r="DH113" s="78"/>
      <c r="DI113" s="78"/>
      <c r="DJ113" s="78"/>
      <c r="DK113" s="78"/>
      <c r="DL113" s="78"/>
      <c r="DM113" s="78"/>
      <c r="DN113" s="78"/>
      <c r="DO113" s="78"/>
      <c r="DP113" s="78"/>
      <c r="DQ113" s="78"/>
      <c r="DR113" s="78"/>
      <c r="DS113" s="78"/>
      <c r="DT113" s="78"/>
      <c r="DU113" s="78"/>
      <c r="DV113" s="78"/>
      <c r="DW113" s="78"/>
      <c r="DX113" s="78"/>
      <c r="DY113" s="78"/>
      <c r="DZ113" s="78"/>
      <c r="EA113" s="78"/>
      <c r="EB113" s="78"/>
      <c r="EC113" s="78"/>
      <c r="ED113" s="78"/>
      <c r="EE113" s="78"/>
      <c r="EF113" s="78"/>
      <c r="EG113" s="78"/>
      <c r="EH113" s="78"/>
      <c r="EI113" s="78"/>
    </row>
    <row r="114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9"/>
      <c r="BH114" s="78"/>
      <c r="BI114" s="80"/>
      <c r="BJ114" s="78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/>
      <c r="BU114" s="78"/>
      <c r="BV114" s="78"/>
      <c r="BW114" s="78"/>
      <c r="BX114" s="78"/>
      <c r="BY114" s="78"/>
      <c r="BZ114" s="78"/>
      <c r="CA114" s="78"/>
      <c r="CB114" s="78"/>
      <c r="CC114" s="78"/>
      <c r="CD114" s="78"/>
      <c r="CE114" s="78"/>
      <c r="CF114" s="78"/>
      <c r="CG114" s="78"/>
      <c r="CH114" s="78"/>
      <c r="CI114" s="78"/>
      <c r="CJ114" s="78"/>
      <c r="CK114" s="78"/>
      <c r="CL114" s="78"/>
      <c r="CM114" s="78"/>
      <c r="CN114" s="78"/>
      <c r="CO114" s="78"/>
      <c r="CP114" s="78"/>
      <c r="CQ114" s="78"/>
      <c r="CR114" s="78"/>
      <c r="CS114" s="78"/>
      <c r="CT114" s="78"/>
      <c r="CU114" s="78"/>
      <c r="CV114" s="78"/>
      <c r="CW114" s="78"/>
      <c r="CX114" s="78"/>
      <c r="CY114" s="78"/>
      <c r="CZ114" s="78"/>
      <c r="DA114" s="78"/>
      <c r="DB114" s="78"/>
      <c r="DC114" s="78"/>
      <c r="DD114" s="78"/>
      <c r="DE114" s="78"/>
      <c r="DF114" s="78"/>
      <c r="DG114" s="78"/>
      <c r="DH114" s="78"/>
      <c r="DI114" s="78"/>
      <c r="DJ114" s="78"/>
      <c r="DK114" s="78"/>
      <c r="DL114" s="78"/>
      <c r="DM114" s="78"/>
      <c r="DN114" s="78"/>
      <c r="DO114" s="78"/>
      <c r="DP114" s="78"/>
      <c r="DQ114" s="78"/>
      <c r="DR114" s="78"/>
      <c r="DS114" s="78"/>
      <c r="DT114" s="78"/>
      <c r="DU114" s="78"/>
      <c r="DV114" s="78"/>
      <c r="DW114" s="78"/>
      <c r="DX114" s="78"/>
      <c r="DY114" s="78"/>
      <c r="DZ114" s="78"/>
      <c r="EA114" s="78"/>
      <c r="EB114" s="78"/>
      <c r="EC114" s="78"/>
      <c r="ED114" s="78"/>
      <c r="EE114" s="78"/>
      <c r="EF114" s="78"/>
      <c r="EG114" s="78"/>
      <c r="EH114" s="78"/>
      <c r="EI114" s="78"/>
    </row>
    <row r="115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9"/>
      <c r="BH115" s="78"/>
      <c r="BI115" s="80"/>
      <c r="BJ115" s="78"/>
      <c r="BK115" s="78"/>
      <c r="BL115" s="78"/>
      <c r="BM115" s="78"/>
      <c r="BN115" s="78"/>
      <c r="BO115" s="78"/>
      <c r="BP115" s="78"/>
      <c r="BQ115" s="78"/>
      <c r="BR115" s="78"/>
      <c r="BS115" s="78"/>
      <c r="BT115" s="78"/>
      <c r="BU115" s="78"/>
      <c r="BV115" s="78"/>
      <c r="BW115" s="78"/>
      <c r="BX115" s="78"/>
      <c r="BY115" s="78"/>
      <c r="BZ115" s="78"/>
      <c r="CA115" s="78"/>
      <c r="CB115" s="78"/>
      <c r="CC115" s="78"/>
      <c r="CD115" s="78"/>
      <c r="CE115" s="78"/>
      <c r="CF115" s="78"/>
      <c r="CG115" s="78"/>
      <c r="CH115" s="78"/>
      <c r="CI115" s="78"/>
      <c r="CJ115" s="78"/>
      <c r="CK115" s="78"/>
      <c r="CL115" s="78"/>
      <c r="CM115" s="78"/>
      <c r="CN115" s="78"/>
      <c r="CO115" s="78"/>
      <c r="CP115" s="78"/>
      <c r="CQ115" s="78"/>
      <c r="CR115" s="78"/>
      <c r="CS115" s="78"/>
      <c r="CT115" s="78"/>
      <c r="CU115" s="78"/>
      <c r="CV115" s="78"/>
      <c r="CW115" s="78"/>
      <c r="CX115" s="78"/>
      <c r="CY115" s="78"/>
      <c r="CZ115" s="78"/>
      <c r="DA115" s="78"/>
      <c r="DB115" s="78"/>
      <c r="DC115" s="78"/>
      <c r="DD115" s="78"/>
      <c r="DE115" s="78"/>
      <c r="DF115" s="78"/>
      <c r="DG115" s="78"/>
      <c r="DH115" s="78"/>
      <c r="DI115" s="78"/>
      <c r="DJ115" s="78"/>
      <c r="DK115" s="78"/>
      <c r="DL115" s="78"/>
      <c r="DM115" s="78"/>
      <c r="DN115" s="78"/>
      <c r="DO115" s="78"/>
      <c r="DP115" s="78"/>
      <c r="DQ115" s="78"/>
      <c r="DR115" s="78"/>
      <c r="DS115" s="78"/>
      <c r="DT115" s="78"/>
      <c r="DU115" s="78"/>
      <c r="DV115" s="78"/>
      <c r="DW115" s="78"/>
      <c r="DX115" s="78"/>
      <c r="DY115" s="78"/>
      <c r="DZ115" s="78"/>
      <c r="EA115" s="78"/>
      <c r="EB115" s="78"/>
      <c r="EC115" s="78"/>
      <c r="ED115" s="78"/>
      <c r="EE115" s="78"/>
      <c r="EF115" s="78"/>
      <c r="EG115" s="78"/>
      <c r="EH115" s="78"/>
      <c r="EI115" s="78"/>
    </row>
    <row r="11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9"/>
      <c r="BH116" s="78"/>
      <c r="BI116" s="80"/>
      <c r="BJ116" s="78"/>
      <c r="BK116" s="78"/>
      <c r="BL116" s="78"/>
      <c r="BM116" s="78"/>
      <c r="BN116" s="78"/>
      <c r="BO116" s="78"/>
      <c r="BP116" s="78"/>
      <c r="BQ116" s="78"/>
      <c r="BR116" s="78"/>
      <c r="BS116" s="78"/>
      <c r="BT116" s="78"/>
      <c r="BU116" s="78"/>
      <c r="BV116" s="78"/>
      <c r="BW116" s="78"/>
      <c r="BX116" s="78"/>
      <c r="BY116" s="78"/>
      <c r="BZ116" s="78"/>
      <c r="CA116" s="78"/>
      <c r="CB116" s="78"/>
      <c r="CC116" s="78"/>
      <c r="CD116" s="78"/>
      <c r="CE116" s="78"/>
      <c r="CF116" s="78"/>
      <c r="CG116" s="78"/>
      <c r="CH116" s="78"/>
      <c r="CI116" s="78"/>
      <c r="CJ116" s="78"/>
      <c r="CK116" s="78"/>
      <c r="CL116" s="78"/>
      <c r="CM116" s="78"/>
      <c r="CN116" s="78"/>
      <c r="CO116" s="78"/>
      <c r="CP116" s="78"/>
      <c r="CQ116" s="78"/>
      <c r="CR116" s="78"/>
      <c r="CS116" s="78"/>
      <c r="CT116" s="78"/>
      <c r="CU116" s="78"/>
      <c r="CV116" s="78"/>
      <c r="CW116" s="78"/>
      <c r="CX116" s="78"/>
      <c r="CY116" s="78"/>
      <c r="CZ116" s="78"/>
      <c r="DA116" s="78"/>
      <c r="DB116" s="78"/>
      <c r="DC116" s="78"/>
      <c r="DD116" s="78"/>
      <c r="DE116" s="78"/>
      <c r="DF116" s="78"/>
      <c r="DG116" s="78"/>
      <c r="DH116" s="78"/>
      <c r="DI116" s="78"/>
      <c r="DJ116" s="78"/>
      <c r="DK116" s="78"/>
      <c r="DL116" s="78"/>
      <c r="DM116" s="78"/>
      <c r="DN116" s="78"/>
      <c r="DO116" s="78"/>
      <c r="DP116" s="78"/>
      <c r="DQ116" s="78"/>
      <c r="DR116" s="78"/>
      <c r="DS116" s="78"/>
      <c r="DT116" s="78"/>
      <c r="DU116" s="78"/>
      <c r="DV116" s="78"/>
      <c r="DW116" s="78"/>
      <c r="DX116" s="78"/>
      <c r="DY116" s="78"/>
      <c r="DZ116" s="78"/>
      <c r="EA116" s="78"/>
      <c r="EB116" s="78"/>
      <c r="EC116" s="78"/>
      <c r="ED116" s="78"/>
      <c r="EE116" s="78"/>
      <c r="EF116" s="78"/>
      <c r="EG116" s="78"/>
      <c r="EH116" s="78"/>
      <c r="EI116" s="78"/>
    </row>
    <row r="117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9"/>
      <c r="BH117" s="78"/>
      <c r="BI117" s="80"/>
      <c r="BJ117" s="78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  <c r="CA117" s="78"/>
      <c r="CB117" s="78"/>
      <c r="CC117" s="78"/>
      <c r="CD117" s="78"/>
      <c r="CE117" s="78"/>
      <c r="CF117" s="78"/>
      <c r="CG117" s="78"/>
      <c r="CH117" s="78"/>
      <c r="CI117" s="78"/>
      <c r="CJ117" s="78"/>
      <c r="CK117" s="78"/>
      <c r="CL117" s="78"/>
      <c r="CM117" s="78"/>
      <c r="CN117" s="78"/>
      <c r="CO117" s="78"/>
      <c r="CP117" s="78"/>
      <c r="CQ117" s="78"/>
      <c r="CR117" s="78"/>
      <c r="CS117" s="78"/>
      <c r="CT117" s="78"/>
      <c r="CU117" s="78"/>
      <c r="CV117" s="78"/>
      <c r="CW117" s="78"/>
      <c r="CX117" s="78"/>
      <c r="CY117" s="78"/>
      <c r="CZ117" s="78"/>
      <c r="DA117" s="78"/>
      <c r="DB117" s="78"/>
      <c r="DC117" s="78"/>
      <c r="DD117" s="78"/>
      <c r="DE117" s="78"/>
      <c r="DF117" s="78"/>
      <c r="DG117" s="78"/>
      <c r="DH117" s="78"/>
      <c r="DI117" s="78"/>
      <c r="DJ117" s="78"/>
      <c r="DK117" s="78"/>
      <c r="DL117" s="78"/>
      <c r="DM117" s="78"/>
      <c r="DN117" s="78"/>
      <c r="DO117" s="78"/>
      <c r="DP117" s="78"/>
      <c r="DQ117" s="78"/>
      <c r="DR117" s="78"/>
      <c r="DS117" s="78"/>
      <c r="DT117" s="78"/>
      <c r="DU117" s="78"/>
      <c r="DV117" s="78"/>
      <c r="DW117" s="78"/>
      <c r="DX117" s="78"/>
      <c r="DY117" s="78"/>
      <c r="DZ117" s="78"/>
      <c r="EA117" s="78"/>
      <c r="EB117" s="78"/>
      <c r="EC117" s="78"/>
      <c r="ED117" s="78"/>
      <c r="EE117" s="78"/>
      <c r="EF117" s="78"/>
      <c r="EG117" s="78"/>
      <c r="EH117" s="78"/>
      <c r="EI117" s="78"/>
    </row>
    <row r="118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9"/>
      <c r="BH118" s="78"/>
      <c r="BI118" s="80"/>
      <c r="BJ118" s="78"/>
      <c r="BK118" s="78"/>
      <c r="BL118" s="78"/>
      <c r="BM118" s="78"/>
      <c r="BN118" s="78"/>
      <c r="BO118" s="78"/>
      <c r="BP118" s="78"/>
      <c r="BQ118" s="78"/>
      <c r="BR118" s="78"/>
      <c r="BS118" s="78"/>
      <c r="BT118" s="78"/>
      <c r="BU118" s="78"/>
      <c r="BV118" s="78"/>
      <c r="BW118" s="78"/>
      <c r="BX118" s="78"/>
      <c r="BY118" s="78"/>
      <c r="BZ118" s="78"/>
      <c r="CA118" s="78"/>
      <c r="CB118" s="78"/>
      <c r="CC118" s="78"/>
      <c r="CD118" s="78"/>
      <c r="CE118" s="78"/>
      <c r="CF118" s="78"/>
      <c r="CG118" s="78"/>
      <c r="CH118" s="78"/>
      <c r="CI118" s="78"/>
      <c r="CJ118" s="78"/>
      <c r="CK118" s="78"/>
      <c r="CL118" s="78"/>
      <c r="CM118" s="78"/>
      <c r="CN118" s="78"/>
      <c r="CO118" s="78"/>
      <c r="CP118" s="78"/>
      <c r="CQ118" s="78"/>
      <c r="CR118" s="78"/>
      <c r="CS118" s="78"/>
      <c r="CT118" s="78"/>
      <c r="CU118" s="78"/>
      <c r="CV118" s="78"/>
      <c r="CW118" s="78"/>
      <c r="CX118" s="78"/>
      <c r="CY118" s="78"/>
      <c r="CZ118" s="78"/>
      <c r="DA118" s="78"/>
      <c r="DB118" s="78"/>
      <c r="DC118" s="78"/>
      <c r="DD118" s="78"/>
      <c r="DE118" s="78"/>
      <c r="DF118" s="78"/>
      <c r="DG118" s="78"/>
      <c r="DH118" s="78"/>
      <c r="DI118" s="78"/>
      <c r="DJ118" s="78"/>
      <c r="DK118" s="78"/>
      <c r="DL118" s="78"/>
      <c r="DM118" s="78"/>
      <c r="DN118" s="78"/>
      <c r="DO118" s="78"/>
      <c r="DP118" s="78"/>
      <c r="DQ118" s="78"/>
      <c r="DR118" s="78"/>
      <c r="DS118" s="78"/>
      <c r="DT118" s="78"/>
      <c r="DU118" s="78"/>
      <c r="DV118" s="78"/>
      <c r="DW118" s="78"/>
      <c r="DX118" s="78"/>
      <c r="DY118" s="78"/>
      <c r="DZ118" s="78"/>
      <c r="EA118" s="78"/>
      <c r="EB118" s="78"/>
      <c r="EC118" s="78"/>
      <c r="ED118" s="78"/>
      <c r="EE118" s="78"/>
      <c r="EF118" s="78"/>
      <c r="EG118" s="78"/>
      <c r="EH118" s="78"/>
      <c r="EI118" s="78"/>
    </row>
    <row r="119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9"/>
      <c r="BH119" s="78"/>
      <c r="BI119" s="80"/>
      <c r="BJ119" s="78"/>
      <c r="BK119" s="78"/>
      <c r="BL119" s="78"/>
      <c r="BM119" s="78"/>
      <c r="BN119" s="78"/>
      <c r="BO119" s="78"/>
      <c r="BP119" s="78"/>
      <c r="BQ119" s="78"/>
      <c r="BR119" s="78"/>
      <c r="BS119" s="78"/>
      <c r="BT119" s="78"/>
      <c r="BU119" s="78"/>
      <c r="BV119" s="78"/>
      <c r="BW119" s="78"/>
      <c r="BX119" s="78"/>
      <c r="BY119" s="78"/>
      <c r="BZ119" s="78"/>
      <c r="CA119" s="78"/>
      <c r="CB119" s="78"/>
      <c r="CC119" s="78"/>
      <c r="CD119" s="78"/>
      <c r="CE119" s="78"/>
      <c r="CF119" s="78"/>
      <c r="CG119" s="78"/>
      <c r="CH119" s="78"/>
      <c r="CI119" s="78"/>
      <c r="CJ119" s="78"/>
      <c r="CK119" s="78"/>
      <c r="CL119" s="78"/>
      <c r="CM119" s="78"/>
      <c r="CN119" s="78"/>
      <c r="CO119" s="78"/>
      <c r="CP119" s="78"/>
      <c r="CQ119" s="78"/>
      <c r="CR119" s="78"/>
      <c r="CS119" s="78"/>
      <c r="CT119" s="78"/>
      <c r="CU119" s="78"/>
      <c r="CV119" s="78"/>
      <c r="CW119" s="78"/>
      <c r="CX119" s="78"/>
      <c r="CY119" s="78"/>
      <c r="CZ119" s="78"/>
      <c r="DA119" s="78"/>
      <c r="DB119" s="78"/>
      <c r="DC119" s="78"/>
      <c r="DD119" s="78"/>
      <c r="DE119" s="78"/>
      <c r="DF119" s="78"/>
      <c r="DG119" s="78"/>
      <c r="DH119" s="78"/>
      <c r="DI119" s="78"/>
      <c r="DJ119" s="78"/>
      <c r="DK119" s="78"/>
      <c r="DL119" s="78"/>
      <c r="DM119" s="78"/>
      <c r="DN119" s="78"/>
      <c r="DO119" s="78"/>
      <c r="DP119" s="78"/>
      <c r="DQ119" s="78"/>
      <c r="DR119" s="78"/>
      <c r="DS119" s="78"/>
      <c r="DT119" s="78"/>
      <c r="DU119" s="78"/>
      <c r="DV119" s="78"/>
      <c r="DW119" s="78"/>
      <c r="DX119" s="78"/>
      <c r="DY119" s="78"/>
      <c r="DZ119" s="78"/>
      <c r="EA119" s="78"/>
      <c r="EB119" s="78"/>
      <c r="EC119" s="78"/>
      <c r="ED119" s="78"/>
      <c r="EE119" s="78"/>
      <c r="EF119" s="78"/>
      <c r="EG119" s="78"/>
      <c r="EH119" s="78"/>
      <c r="EI119" s="78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9"/>
      <c r="BH120" s="78"/>
      <c r="BI120" s="80"/>
      <c r="BJ120" s="78"/>
      <c r="BK120" s="78"/>
      <c r="BL120" s="78"/>
      <c r="BM120" s="78"/>
      <c r="BN120" s="78"/>
      <c r="BO120" s="78"/>
      <c r="BP120" s="78"/>
      <c r="BQ120" s="78"/>
      <c r="BR120" s="78"/>
      <c r="BS120" s="78"/>
      <c r="BT120" s="78"/>
      <c r="BU120" s="78"/>
      <c r="BV120" s="78"/>
      <c r="BW120" s="78"/>
      <c r="BX120" s="78"/>
      <c r="BY120" s="78"/>
      <c r="BZ120" s="78"/>
      <c r="CA120" s="78"/>
      <c r="CB120" s="78"/>
      <c r="CC120" s="78"/>
      <c r="CD120" s="78"/>
      <c r="CE120" s="78"/>
      <c r="CF120" s="78"/>
      <c r="CG120" s="78"/>
      <c r="CH120" s="78"/>
      <c r="CI120" s="78"/>
      <c r="CJ120" s="78"/>
      <c r="CK120" s="78"/>
      <c r="CL120" s="78"/>
      <c r="CM120" s="78"/>
      <c r="CN120" s="78"/>
      <c r="CO120" s="78"/>
      <c r="CP120" s="78"/>
      <c r="CQ120" s="78"/>
      <c r="CR120" s="78"/>
      <c r="CS120" s="78"/>
      <c r="CT120" s="78"/>
      <c r="CU120" s="78"/>
      <c r="CV120" s="78"/>
      <c r="CW120" s="78"/>
      <c r="CX120" s="78"/>
      <c r="CY120" s="78"/>
      <c r="CZ120" s="78"/>
      <c r="DA120" s="78"/>
      <c r="DB120" s="78"/>
      <c r="DC120" s="78"/>
      <c r="DD120" s="78"/>
      <c r="DE120" s="78"/>
      <c r="DF120" s="78"/>
      <c r="DG120" s="78"/>
      <c r="DH120" s="78"/>
      <c r="DI120" s="78"/>
      <c r="DJ120" s="78"/>
      <c r="DK120" s="78"/>
      <c r="DL120" s="78"/>
      <c r="DM120" s="78"/>
      <c r="DN120" s="78"/>
      <c r="DO120" s="78"/>
      <c r="DP120" s="78"/>
      <c r="DQ120" s="78"/>
      <c r="DR120" s="78"/>
      <c r="DS120" s="78"/>
      <c r="DT120" s="78"/>
      <c r="DU120" s="78"/>
      <c r="DV120" s="78"/>
      <c r="DW120" s="78"/>
      <c r="DX120" s="78"/>
      <c r="DY120" s="78"/>
      <c r="DZ120" s="78"/>
      <c r="EA120" s="78"/>
      <c r="EB120" s="78"/>
      <c r="EC120" s="78"/>
      <c r="ED120" s="78"/>
      <c r="EE120" s="78"/>
      <c r="EF120" s="78"/>
      <c r="EG120" s="78"/>
      <c r="EH120" s="78"/>
      <c r="EI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9"/>
      <c r="BH121" s="78"/>
      <c r="BI121" s="80"/>
      <c r="BJ121" s="78"/>
      <c r="BK121" s="78"/>
      <c r="BL121" s="78"/>
      <c r="BM121" s="78"/>
      <c r="BN121" s="78"/>
      <c r="BO121" s="78"/>
      <c r="BP121" s="78"/>
      <c r="BQ121" s="78"/>
      <c r="BR121" s="78"/>
      <c r="BS121" s="78"/>
      <c r="BT121" s="78"/>
      <c r="BU121" s="78"/>
      <c r="BV121" s="78"/>
      <c r="BW121" s="78"/>
      <c r="BX121" s="78"/>
      <c r="BY121" s="78"/>
      <c r="BZ121" s="78"/>
      <c r="CA121" s="78"/>
      <c r="CB121" s="78"/>
      <c r="CC121" s="78"/>
      <c r="CD121" s="78"/>
      <c r="CE121" s="78"/>
      <c r="CF121" s="78"/>
      <c r="CG121" s="78"/>
      <c r="CH121" s="78"/>
      <c r="CI121" s="78"/>
      <c r="CJ121" s="78"/>
      <c r="CK121" s="78"/>
      <c r="CL121" s="78"/>
      <c r="CM121" s="78"/>
      <c r="CN121" s="78"/>
      <c r="CO121" s="78"/>
      <c r="CP121" s="78"/>
      <c r="CQ121" s="78"/>
      <c r="CR121" s="78"/>
      <c r="CS121" s="78"/>
      <c r="CT121" s="78"/>
      <c r="CU121" s="78"/>
      <c r="CV121" s="78"/>
      <c r="CW121" s="78"/>
      <c r="CX121" s="78"/>
      <c r="CY121" s="78"/>
      <c r="CZ121" s="78"/>
      <c r="DA121" s="78"/>
      <c r="DB121" s="78"/>
      <c r="DC121" s="78"/>
      <c r="DD121" s="78"/>
      <c r="DE121" s="78"/>
      <c r="DF121" s="78"/>
      <c r="DG121" s="78"/>
      <c r="DH121" s="78"/>
      <c r="DI121" s="78"/>
      <c r="DJ121" s="78"/>
      <c r="DK121" s="78"/>
      <c r="DL121" s="78"/>
      <c r="DM121" s="78"/>
      <c r="DN121" s="78"/>
      <c r="DO121" s="78"/>
      <c r="DP121" s="78"/>
      <c r="DQ121" s="78"/>
      <c r="DR121" s="78"/>
      <c r="DS121" s="78"/>
      <c r="DT121" s="78"/>
      <c r="DU121" s="78"/>
      <c r="DV121" s="78"/>
      <c r="DW121" s="78"/>
      <c r="DX121" s="78"/>
      <c r="DY121" s="78"/>
      <c r="DZ121" s="78"/>
      <c r="EA121" s="78"/>
      <c r="EB121" s="78"/>
      <c r="EC121" s="78"/>
      <c r="ED121" s="78"/>
      <c r="EE121" s="78"/>
      <c r="EF121" s="78"/>
      <c r="EG121" s="78"/>
      <c r="EH121" s="78"/>
      <c r="EI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9"/>
      <c r="BH122" s="78"/>
      <c r="BI122" s="80"/>
      <c r="BJ122" s="78"/>
      <c r="BK122" s="78"/>
      <c r="BL122" s="78"/>
      <c r="BM122" s="78"/>
      <c r="BN122" s="78"/>
      <c r="BO122" s="78"/>
      <c r="BP122" s="78"/>
      <c r="BQ122" s="78"/>
      <c r="BR122" s="78"/>
      <c r="BS122" s="78"/>
      <c r="BT122" s="78"/>
      <c r="BU122" s="78"/>
      <c r="BV122" s="78"/>
      <c r="BW122" s="78"/>
      <c r="BX122" s="78"/>
      <c r="BY122" s="78"/>
      <c r="BZ122" s="78"/>
      <c r="CA122" s="78"/>
      <c r="CB122" s="78"/>
      <c r="CC122" s="78"/>
      <c r="CD122" s="78"/>
      <c r="CE122" s="78"/>
      <c r="CF122" s="78"/>
      <c r="CG122" s="78"/>
      <c r="CH122" s="78"/>
      <c r="CI122" s="78"/>
      <c r="CJ122" s="78"/>
      <c r="CK122" s="78"/>
      <c r="CL122" s="78"/>
      <c r="CM122" s="78"/>
      <c r="CN122" s="78"/>
      <c r="CO122" s="78"/>
      <c r="CP122" s="78"/>
      <c r="CQ122" s="78"/>
      <c r="CR122" s="78"/>
      <c r="CS122" s="78"/>
      <c r="CT122" s="78"/>
      <c r="CU122" s="78"/>
      <c r="CV122" s="78"/>
      <c r="CW122" s="78"/>
      <c r="CX122" s="78"/>
      <c r="CY122" s="78"/>
      <c r="CZ122" s="78"/>
      <c r="DA122" s="78"/>
      <c r="DB122" s="78"/>
      <c r="DC122" s="78"/>
      <c r="DD122" s="78"/>
      <c r="DE122" s="78"/>
      <c r="DF122" s="78"/>
      <c r="DG122" s="78"/>
      <c r="DH122" s="78"/>
      <c r="DI122" s="78"/>
      <c r="DJ122" s="78"/>
      <c r="DK122" s="78"/>
      <c r="DL122" s="78"/>
      <c r="DM122" s="78"/>
      <c r="DN122" s="78"/>
      <c r="DO122" s="78"/>
      <c r="DP122" s="78"/>
      <c r="DQ122" s="78"/>
      <c r="DR122" s="78"/>
      <c r="DS122" s="78"/>
      <c r="DT122" s="78"/>
      <c r="DU122" s="78"/>
      <c r="DV122" s="78"/>
      <c r="DW122" s="78"/>
      <c r="DX122" s="78"/>
      <c r="DY122" s="78"/>
      <c r="DZ122" s="78"/>
      <c r="EA122" s="78"/>
      <c r="EB122" s="78"/>
      <c r="EC122" s="78"/>
      <c r="ED122" s="78"/>
      <c r="EE122" s="78"/>
      <c r="EF122" s="78"/>
      <c r="EG122" s="78"/>
      <c r="EH122" s="78"/>
      <c r="EI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9"/>
      <c r="BH123" s="78"/>
      <c r="BI123" s="80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78"/>
      <c r="BV123" s="78"/>
      <c r="BW123" s="78"/>
      <c r="BX123" s="78"/>
      <c r="BY123" s="78"/>
      <c r="BZ123" s="78"/>
      <c r="CA123" s="78"/>
      <c r="CB123" s="78"/>
      <c r="CC123" s="78"/>
      <c r="CD123" s="78"/>
      <c r="CE123" s="78"/>
      <c r="CF123" s="78"/>
      <c r="CG123" s="78"/>
      <c r="CH123" s="78"/>
      <c r="CI123" s="78"/>
      <c r="CJ123" s="78"/>
      <c r="CK123" s="78"/>
      <c r="CL123" s="78"/>
      <c r="CM123" s="78"/>
      <c r="CN123" s="78"/>
      <c r="CO123" s="78"/>
      <c r="CP123" s="78"/>
      <c r="CQ123" s="78"/>
      <c r="CR123" s="78"/>
      <c r="CS123" s="78"/>
      <c r="CT123" s="78"/>
      <c r="CU123" s="78"/>
      <c r="CV123" s="78"/>
      <c r="CW123" s="78"/>
      <c r="CX123" s="78"/>
      <c r="CY123" s="78"/>
      <c r="CZ123" s="78"/>
      <c r="DA123" s="78"/>
      <c r="DB123" s="78"/>
      <c r="DC123" s="78"/>
      <c r="DD123" s="78"/>
      <c r="DE123" s="78"/>
      <c r="DF123" s="78"/>
      <c r="DG123" s="78"/>
      <c r="DH123" s="78"/>
      <c r="DI123" s="78"/>
      <c r="DJ123" s="78"/>
      <c r="DK123" s="78"/>
      <c r="DL123" s="78"/>
      <c r="DM123" s="78"/>
      <c r="DN123" s="78"/>
      <c r="DO123" s="78"/>
      <c r="DP123" s="78"/>
      <c r="DQ123" s="78"/>
      <c r="DR123" s="78"/>
      <c r="DS123" s="78"/>
      <c r="DT123" s="78"/>
      <c r="DU123" s="78"/>
      <c r="DV123" s="78"/>
      <c r="DW123" s="78"/>
      <c r="DX123" s="78"/>
      <c r="DY123" s="78"/>
      <c r="DZ123" s="78"/>
      <c r="EA123" s="78"/>
      <c r="EB123" s="78"/>
      <c r="EC123" s="78"/>
      <c r="ED123" s="78"/>
      <c r="EE123" s="78"/>
      <c r="EF123" s="78"/>
      <c r="EG123" s="78"/>
      <c r="EH123" s="78"/>
      <c r="EI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9"/>
      <c r="BH124" s="78"/>
      <c r="BI124" s="80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78"/>
      <c r="BV124" s="78"/>
      <c r="BW124" s="78"/>
      <c r="BX124" s="78"/>
      <c r="BY124" s="78"/>
      <c r="BZ124" s="78"/>
      <c r="CA124" s="78"/>
      <c r="CB124" s="78"/>
      <c r="CC124" s="78"/>
      <c r="CD124" s="78"/>
      <c r="CE124" s="78"/>
      <c r="CF124" s="78"/>
      <c r="CG124" s="78"/>
      <c r="CH124" s="78"/>
      <c r="CI124" s="78"/>
      <c r="CJ124" s="78"/>
      <c r="CK124" s="78"/>
      <c r="CL124" s="78"/>
      <c r="CM124" s="78"/>
      <c r="CN124" s="78"/>
      <c r="CO124" s="78"/>
      <c r="CP124" s="78"/>
      <c r="CQ124" s="78"/>
      <c r="CR124" s="78"/>
      <c r="CS124" s="78"/>
      <c r="CT124" s="78"/>
      <c r="CU124" s="78"/>
      <c r="CV124" s="78"/>
      <c r="CW124" s="78"/>
      <c r="CX124" s="78"/>
      <c r="CY124" s="78"/>
      <c r="CZ124" s="78"/>
      <c r="DA124" s="78"/>
      <c r="DB124" s="78"/>
      <c r="DC124" s="78"/>
      <c r="DD124" s="78"/>
      <c r="DE124" s="78"/>
      <c r="DF124" s="78"/>
      <c r="DG124" s="78"/>
      <c r="DH124" s="78"/>
      <c r="DI124" s="78"/>
      <c r="DJ124" s="78"/>
      <c r="DK124" s="78"/>
      <c r="DL124" s="78"/>
      <c r="DM124" s="78"/>
      <c r="DN124" s="78"/>
      <c r="DO124" s="78"/>
      <c r="DP124" s="78"/>
      <c r="DQ124" s="78"/>
      <c r="DR124" s="78"/>
      <c r="DS124" s="78"/>
      <c r="DT124" s="78"/>
      <c r="DU124" s="78"/>
      <c r="DV124" s="78"/>
      <c r="DW124" s="78"/>
      <c r="DX124" s="78"/>
      <c r="DY124" s="78"/>
      <c r="DZ124" s="78"/>
      <c r="EA124" s="78"/>
      <c r="EB124" s="78"/>
      <c r="EC124" s="78"/>
      <c r="ED124" s="78"/>
      <c r="EE124" s="78"/>
      <c r="EF124" s="78"/>
      <c r="EG124" s="78"/>
      <c r="EH124" s="78"/>
      <c r="EI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9"/>
      <c r="BH125" s="78"/>
      <c r="BI125" s="80"/>
      <c r="BJ125" s="78"/>
      <c r="BK125" s="78"/>
      <c r="BL125" s="78"/>
      <c r="BM125" s="78"/>
      <c r="BN125" s="78"/>
      <c r="BO125" s="78"/>
      <c r="BP125" s="78"/>
      <c r="BQ125" s="78"/>
      <c r="BR125" s="78"/>
      <c r="BS125" s="78"/>
      <c r="BT125" s="78"/>
      <c r="BU125" s="78"/>
      <c r="BV125" s="78"/>
      <c r="BW125" s="78"/>
      <c r="BX125" s="78"/>
      <c r="BY125" s="78"/>
      <c r="BZ125" s="78"/>
      <c r="CA125" s="78"/>
      <c r="CB125" s="78"/>
      <c r="CC125" s="78"/>
      <c r="CD125" s="78"/>
      <c r="CE125" s="78"/>
      <c r="CF125" s="78"/>
      <c r="CG125" s="78"/>
      <c r="CH125" s="78"/>
      <c r="CI125" s="78"/>
      <c r="CJ125" s="78"/>
      <c r="CK125" s="78"/>
      <c r="CL125" s="78"/>
      <c r="CM125" s="78"/>
      <c r="CN125" s="78"/>
      <c r="CO125" s="78"/>
      <c r="CP125" s="78"/>
      <c r="CQ125" s="78"/>
      <c r="CR125" s="78"/>
      <c r="CS125" s="78"/>
      <c r="CT125" s="78"/>
      <c r="CU125" s="78"/>
      <c r="CV125" s="78"/>
      <c r="CW125" s="78"/>
      <c r="CX125" s="78"/>
      <c r="CY125" s="78"/>
      <c r="CZ125" s="78"/>
      <c r="DA125" s="78"/>
      <c r="DB125" s="78"/>
      <c r="DC125" s="78"/>
      <c r="DD125" s="78"/>
      <c r="DE125" s="78"/>
      <c r="DF125" s="78"/>
      <c r="DG125" s="78"/>
      <c r="DH125" s="78"/>
      <c r="DI125" s="78"/>
      <c r="DJ125" s="78"/>
      <c r="DK125" s="78"/>
      <c r="DL125" s="78"/>
      <c r="DM125" s="78"/>
      <c r="DN125" s="78"/>
      <c r="DO125" s="78"/>
      <c r="DP125" s="78"/>
      <c r="DQ125" s="78"/>
      <c r="DR125" s="78"/>
      <c r="DS125" s="78"/>
      <c r="DT125" s="78"/>
      <c r="DU125" s="78"/>
      <c r="DV125" s="78"/>
      <c r="DW125" s="78"/>
      <c r="DX125" s="78"/>
      <c r="DY125" s="78"/>
      <c r="DZ125" s="78"/>
      <c r="EA125" s="78"/>
      <c r="EB125" s="78"/>
      <c r="EC125" s="78"/>
      <c r="ED125" s="78"/>
      <c r="EE125" s="78"/>
      <c r="EF125" s="78"/>
      <c r="EG125" s="78"/>
      <c r="EH125" s="78"/>
      <c r="EI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9"/>
      <c r="BH126" s="78"/>
      <c r="BI126" s="80"/>
      <c r="BJ126" s="78"/>
      <c r="BK126" s="78"/>
      <c r="BL126" s="78"/>
      <c r="BM126" s="78"/>
      <c r="BN126" s="78"/>
      <c r="BO126" s="78"/>
      <c r="BP126" s="78"/>
      <c r="BQ126" s="78"/>
      <c r="BR126" s="78"/>
      <c r="BS126" s="78"/>
      <c r="BT126" s="78"/>
      <c r="BU126" s="78"/>
      <c r="BV126" s="78"/>
      <c r="BW126" s="78"/>
      <c r="BX126" s="78"/>
      <c r="BY126" s="78"/>
      <c r="BZ126" s="78"/>
      <c r="CA126" s="78"/>
      <c r="CB126" s="78"/>
      <c r="CC126" s="78"/>
      <c r="CD126" s="78"/>
      <c r="CE126" s="78"/>
      <c r="CF126" s="78"/>
      <c r="CG126" s="78"/>
      <c r="CH126" s="78"/>
      <c r="CI126" s="78"/>
      <c r="CJ126" s="78"/>
      <c r="CK126" s="78"/>
      <c r="CL126" s="78"/>
      <c r="CM126" s="78"/>
      <c r="CN126" s="78"/>
      <c r="CO126" s="78"/>
      <c r="CP126" s="78"/>
      <c r="CQ126" s="78"/>
      <c r="CR126" s="78"/>
      <c r="CS126" s="78"/>
      <c r="CT126" s="78"/>
      <c r="CU126" s="78"/>
      <c r="CV126" s="78"/>
      <c r="CW126" s="78"/>
      <c r="CX126" s="78"/>
      <c r="CY126" s="78"/>
      <c r="CZ126" s="78"/>
      <c r="DA126" s="78"/>
      <c r="DB126" s="78"/>
      <c r="DC126" s="78"/>
      <c r="DD126" s="78"/>
      <c r="DE126" s="78"/>
      <c r="DF126" s="78"/>
      <c r="DG126" s="78"/>
      <c r="DH126" s="78"/>
      <c r="DI126" s="78"/>
      <c r="DJ126" s="78"/>
      <c r="DK126" s="78"/>
      <c r="DL126" s="78"/>
      <c r="DM126" s="78"/>
      <c r="DN126" s="78"/>
      <c r="DO126" s="78"/>
      <c r="DP126" s="78"/>
      <c r="DQ126" s="78"/>
      <c r="DR126" s="78"/>
      <c r="DS126" s="78"/>
      <c r="DT126" s="78"/>
      <c r="DU126" s="78"/>
      <c r="DV126" s="78"/>
      <c r="DW126" s="78"/>
      <c r="DX126" s="78"/>
      <c r="DY126" s="78"/>
      <c r="DZ126" s="78"/>
      <c r="EA126" s="78"/>
      <c r="EB126" s="78"/>
      <c r="EC126" s="78"/>
      <c r="ED126" s="78"/>
      <c r="EE126" s="78"/>
      <c r="EF126" s="78"/>
      <c r="EG126" s="78"/>
      <c r="EH126" s="78"/>
      <c r="EI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9"/>
      <c r="BH127" s="78"/>
      <c r="BI127" s="80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78"/>
      <c r="BV127" s="78"/>
      <c r="BW127" s="78"/>
      <c r="BX127" s="78"/>
      <c r="BY127" s="78"/>
      <c r="BZ127" s="78"/>
      <c r="CA127" s="78"/>
      <c r="CB127" s="78"/>
      <c r="CC127" s="78"/>
      <c r="CD127" s="78"/>
      <c r="CE127" s="78"/>
      <c r="CF127" s="78"/>
      <c r="CG127" s="78"/>
      <c r="CH127" s="78"/>
      <c r="CI127" s="78"/>
      <c r="CJ127" s="78"/>
      <c r="CK127" s="78"/>
      <c r="CL127" s="78"/>
      <c r="CM127" s="78"/>
      <c r="CN127" s="78"/>
      <c r="CO127" s="78"/>
      <c r="CP127" s="78"/>
      <c r="CQ127" s="78"/>
      <c r="CR127" s="78"/>
      <c r="CS127" s="78"/>
      <c r="CT127" s="78"/>
      <c r="CU127" s="78"/>
      <c r="CV127" s="78"/>
      <c r="CW127" s="78"/>
      <c r="CX127" s="78"/>
      <c r="CY127" s="78"/>
      <c r="CZ127" s="78"/>
      <c r="DA127" s="78"/>
      <c r="DB127" s="78"/>
      <c r="DC127" s="78"/>
      <c r="DD127" s="78"/>
      <c r="DE127" s="78"/>
      <c r="DF127" s="78"/>
      <c r="DG127" s="78"/>
      <c r="DH127" s="78"/>
      <c r="DI127" s="78"/>
      <c r="DJ127" s="78"/>
      <c r="DK127" s="78"/>
      <c r="DL127" s="78"/>
      <c r="DM127" s="78"/>
      <c r="DN127" s="78"/>
      <c r="DO127" s="78"/>
      <c r="DP127" s="78"/>
      <c r="DQ127" s="78"/>
      <c r="DR127" s="78"/>
      <c r="DS127" s="78"/>
      <c r="DT127" s="78"/>
      <c r="DU127" s="78"/>
      <c r="DV127" s="78"/>
      <c r="DW127" s="78"/>
      <c r="DX127" s="78"/>
      <c r="DY127" s="78"/>
      <c r="DZ127" s="78"/>
      <c r="EA127" s="78"/>
      <c r="EB127" s="78"/>
      <c r="EC127" s="78"/>
      <c r="ED127" s="78"/>
      <c r="EE127" s="78"/>
      <c r="EF127" s="78"/>
      <c r="EG127" s="78"/>
      <c r="EH127" s="78"/>
      <c r="EI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9"/>
      <c r="BH128" s="78"/>
      <c r="BI128" s="80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78"/>
      <c r="BV128" s="78"/>
      <c r="BW128" s="78"/>
      <c r="BX128" s="78"/>
      <c r="BY128" s="78"/>
      <c r="BZ128" s="78"/>
      <c r="CA128" s="78"/>
      <c r="CB128" s="78"/>
      <c r="CC128" s="78"/>
      <c r="CD128" s="78"/>
      <c r="CE128" s="78"/>
      <c r="CF128" s="78"/>
      <c r="CG128" s="78"/>
      <c r="CH128" s="78"/>
      <c r="CI128" s="78"/>
      <c r="CJ128" s="78"/>
      <c r="CK128" s="78"/>
      <c r="CL128" s="78"/>
      <c r="CM128" s="78"/>
      <c r="CN128" s="78"/>
      <c r="CO128" s="78"/>
      <c r="CP128" s="78"/>
      <c r="CQ128" s="78"/>
      <c r="CR128" s="78"/>
      <c r="CS128" s="78"/>
      <c r="CT128" s="78"/>
      <c r="CU128" s="78"/>
      <c r="CV128" s="78"/>
      <c r="CW128" s="78"/>
      <c r="CX128" s="78"/>
      <c r="CY128" s="78"/>
      <c r="CZ128" s="78"/>
      <c r="DA128" s="78"/>
      <c r="DB128" s="78"/>
      <c r="DC128" s="78"/>
      <c r="DD128" s="78"/>
      <c r="DE128" s="78"/>
      <c r="DF128" s="78"/>
      <c r="DG128" s="78"/>
      <c r="DH128" s="78"/>
      <c r="DI128" s="78"/>
      <c r="DJ128" s="78"/>
      <c r="DK128" s="78"/>
      <c r="DL128" s="78"/>
      <c r="DM128" s="78"/>
      <c r="DN128" s="78"/>
      <c r="DO128" s="78"/>
      <c r="DP128" s="78"/>
      <c r="DQ128" s="78"/>
      <c r="DR128" s="78"/>
      <c r="DS128" s="78"/>
      <c r="DT128" s="78"/>
      <c r="DU128" s="78"/>
      <c r="DV128" s="78"/>
      <c r="DW128" s="78"/>
      <c r="DX128" s="78"/>
      <c r="DY128" s="78"/>
      <c r="DZ128" s="78"/>
      <c r="EA128" s="78"/>
      <c r="EB128" s="78"/>
      <c r="EC128" s="78"/>
      <c r="ED128" s="78"/>
      <c r="EE128" s="78"/>
      <c r="EF128" s="78"/>
      <c r="EG128" s="78"/>
      <c r="EH128" s="78"/>
      <c r="EI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  <c r="BE129" s="78"/>
      <c r="BF129" s="78"/>
      <c r="BG129" s="79"/>
      <c r="BH129" s="78"/>
      <c r="BI129" s="80"/>
      <c r="BJ129" s="78"/>
      <c r="BK129" s="78"/>
      <c r="BL129" s="78"/>
      <c r="BM129" s="78"/>
      <c r="BN129" s="78"/>
      <c r="BO129" s="78"/>
      <c r="BP129" s="78"/>
      <c r="BQ129" s="78"/>
      <c r="BR129" s="78"/>
      <c r="BS129" s="78"/>
      <c r="BT129" s="78"/>
      <c r="BU129" s="78"/>
      <c r="BV129" s="78"/>
      <c r="BW129" s="78"/>
      <c r="BX129" s="78"/>
      <c r="BY129" s="78"/>
      <c r="BZ129" s="78"/>
      <c r="CA129" s="78"/>
      <c r="CB129" s="78"/>
      <c r="CC129" s="78"/>
      <c r="CD129" s="78"/>
      <c r="CE129" s="78"/>
      <c r="CF129" s="78"/>
      <c r="CG129" s="78"/>
      <c r="CH129" s="78"/>
      <c r="CI129" s="78"/>
      <c r="CJ129" s="78"/>
      <c r="CK129" s="78"/>
      <c r="CL129" s="78"/>
      <c r="CM129" s="78"/>
      <c r="CN129" s="78"/>
      <c r="CO129" s="78"/>
      <c r="CP129" s="78"/>
      <c r="CQ129" s="78"/>
      <c r="CR129" s="78"/>
      <c r="CS129" s="78"/>
      <c r="CT129" s="78"/>
      <c r="CU129" s="78"/>
      <c r="CV129" s="78"/>
      <c r="CW129" s="78"/>
      <c r="CX129" s="78"/>
      <c r="CY129" s="78"/>
      <c r="CZ129" s="78"/>
      <c r="DA129" s="78"/>
      <c r="DB129" s="78"/>
      <c r="DC129" s="78"/>
      <c r="DD129" s="78"/>
      <c r="DE129" s="78"/>
      <c r="DF129" s="78"/>
      <c r="DG129" s="78"/>
      <c r="DH129" s="78"/>
      <c r="DI129" s="78"/>
      <c r="DJ129" s="78"/>
      <c r="DK129" s="78"/>
      <c r="DL129" s="78"/>
      <c r="DM129" s="78"/>
      <c r="DN129" s="78"/>
      <c r="DO129" s="78"/>
      <c r="DP129" s="78"/>
      <c r="DQ129" s="78"/>
      <c r="DR129" s="78"/>
      <c r="DS129" s="78"/>
      <c r="DT129" s="78"/>
      <c r="DU129" s="78"/>
      <c r="DV129" s="78"/>
      <c r="DW129" s="78"/>
      <c r="DX129" s="78"/>
      <c r="DY129" s="78"/>
      <c r="DZ129" s="78"/>
      <c r="EA129" s="78"/>
      <c r="EB129" s="78"/>
      <c r="EC129" s="78"/>
      <c r="ED129" s="78"/>
      <c r="EE129" s="78"/>
      <c r="EF129" s="78"/>
      <c r="EG129" s="78"/>
      <c r="EH129" s="78"/>
      <c r="EI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9"/>
      <c r="BH130" s="78"/>
      <c r="BI130" s="80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  <c r="BW130" s="78"/>
      <c r="BX130" s="78"/>
      <c r="BY130" s="78"/>
      <c r="BZ130" s="78"/>
      <c r="CA130" s="78"/>
      <c r="CB130" s="78"/>
      <c r="CC130" s="78"/>
      <c r="CD130" s="78"/>
      <c r="CE130" s="78"/>
      <c r="CF130" s="78"/>
      <c r="CG130" s="78"/>
      <c r="CH130" s="78"/>
      <c r="CI130" s="78"/>
      <c r="CJ130" s="78"/>
      <c r="CK130" s="78"/>
      <c r="CL130" s="78"/>
      <c r="CM130" s="78"/>
      <c r="CN130" s="78"/>
      <c r="CO130" s="78"/>
      <c r="CP130" s="78"/>
      <c r="CQ130" s="78"/>
      <c r="CR130" s="78"/>
      <c r="CS130" s="78"/>
      <c r="CT130" s="78"/>
      <c r="CU130" s="78"/>
      <c r="CV130" s="78"/>
      <c r="CW130" s="78"/>
      <c r="CX130" s="78"/>
      <c r="CY130" s="78"/>
      <c r="CZ130" s="78"/>
      <c r="DA130" s="78"/>
      <c r="DB130" s="78"/>
      <c r="DC130" s="78"/>
      <c r="DD130" s="78"/>
      <c r="DE130" s="78"/>
      <c r="DF130" s="78"/>
      <c r="DG130" s="78"/>
      <c r="DH130" s="78"/>
      <c r="DI130" s="78"/>
      <c r="DJ130" s="78"/>
      <c r="DK130" s="78"/>
      <c r="DL130" s="78"/>
      <c r="DM130" s="78"/>
      <c r="DN130" s="78"/>
      <c r="DO130" s="78"/>
      <c r="DP130" s="78"/>
      <c r="DQ130" s="78"/>
      <c r="DR130" s="78"/>
      <c r="DS130" s="78"/>
      <c r="DT130" s="78"/>
      <c r="DU130" s="78"/>
      <c r="DV130" s="78"/>
      <c r="DW130" s="78"/>
      <c r="DX130" s="78"/>
      <c r="DY130" s="78"/>
      <c r="DZ130" s="78"/>
      <c r="EA130" s="78"/>
      <c r="EB130" s="78"/>
      <c r="EC130" s="78"/>
      <c r="ED130" s="78"/>
      <c r="EE130" s="78"/>
      <c r="EF130" s="78"/>
      <c r="EG130" s="78"/>
      <c r="EH130" s="78"/>
      <c r="EI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  <c r="BE131" s="78"/>
      <c r="BF131" s="78"/>
      <c r="BG131" s="79"/>
      <c r="BH131" s="78"/>
      <c r="BI131" s="80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78"/>
      <c r="BV131" s="78"/>
      <c r="BW131" s="78"/>
      <c r="BX131" s="78"/>
      <c r="BY131" s="78"/>
      <c r="BZ131" s="78"/>
      <c r="CA131" s="78"/>
      <c r="CB131" s="78"/>
      <c r="CC131" s="78"/>
      <c r="CD131" s="78"/>
      <c r="CE131" s="78"/>
      <c r="CF131" s="78"/>
      <c r="CG131" s="78"/>
      <c r="CH131" s="78"/>
      <c r="CI131" s="78"/>
      <c r="CJ131" s="78"/>
      <c r="CK131" s="78"/>
      <c r="CL131" s="78"/>
      <c r="CM131" s="78"/>
      <c r="CN131" s="78"/>
      <c r="CO131" s="78"/>
      <c r="CP131" s="78"/>
      <c r="CQ131" s="78"/>
      <c r="CR131" s="78"/>
      <c r="CS131" s="78"/>
      <c r="CT131" s="78"/>
      <c r="CU131" s="78"/>
      <c r="CV131" s="78"/>
      <c r="CW131" s="78"/>
      <c r="CX131" s="78"/>
      <c r="CY131" s="78"/>
      <c r="CZ131" s="78"/>
      <c r="DA131" s="78"/>
      <c r="DB131" s="78"/>
      <c r="DC131" s="78"/>
      <c r="DD131" s="78"/>
      <c r="DE131" s="78"/>
      <c r="DF131" s="78"/>
      <c r="DG131" s="78"/>
      <c r="DH131" s="78"/>
      <c r="DI131" s="78"/>
      <c r="DJ131" s="78"/>
      <c r="DK131" s="78"/>
      <c r="DL131" s="78"/>
      <c r="DM131" s="78"/>
      <c r="DN131" s="78"/>
      <c r="DO131" s="78"/>
      <c r="DP131" s="78"/>
      <c r="DQ131" s="78"/>
      <c r="DR131" s="78"/>
      <c r="DS131" s="78"/>
      <c r="DT131" s="78"/>
      <c r="DU131" s="78"/>
      <c r="DV131" s="78"/>
      <c r="DW131" s="78"/>
      <c r="DX131" s="78"/>
      <c r="DY131" s="78"/>
      <c r="DZ131" s="78"/>
      <c r="EA131" s="78"/>
      <c r="EB131" s="78"/>
      <c r="EC131" s="78"/>
      <c r="ED131" s="78"/>
      <c r="EE131" s="78"/>
      <c r="EF131" s="78"/>
      <c r="EG131" s="78"/>
      <c r="EH131" s="78"/>
      <c r="EI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  <c r="BE132" s="78"/>
      <c r="BF132" s="78"/>
      <c r="BG132" s="79"/>
      <c r="BH132" s="78"/>
      <c r="BI132" s="80"/>
      <c r="BJ132" s="78"/>
      <c r="BK132" s="78"/>
      <c r="BL132" s="78"/>
      <c r="BM132" s="78"/>
      <c r="BN132" s="78"/>
      <c r="BO132" s="78"/>
      <c r="BP132" s="78"/>
      <c r="BQ132" s="78"/>
      <c r="BR132" s="78"/>
      <c r="BS132" s="78"/>
      <c r="BT132" s="78"/>
      <c r="BU132" s="78"/>
      <c r="BV132" s="78"/>
      <c r="BW132" s="78"/>
      <c r="BX132" s="78"/>
      <c r="BY132" s="78"/>
      <c r="BZ132" s="78"/>
      <c r="CA132" s="78"/>
      <c r="CB132" s="78"/>
      <c r="CC132" s="78"/>
      <c r="CD132" s="78"/>
      <c r="CE132" s="78"/>
      <c r="CF132" s="78"/>
      <c r="CG132" s="78"/>
      <c r="CH132" s="78"/>
      <c r="CI132" s="78"/>
      <c r="CJ132" s="78"/>
      <c r="CK132" s="78"/>
      <c r="CL132" s="78"/>
      <c r="CM132" s="78"/>
      <c r="CN132" s="78"/>
      <c r="CO132" s="78"/>
      <c r="CP132" s="78"/>
      <c r="CQ132" s="78"/>
      <c r="CR132" s="78"/>
      <c r="CS132" s="78"/>
      <c r="CT132" s="78"/>
      <c r="CU132" s="78"/>
      <c r="CV132" s="78"/>
      <c r="CW132" s="78"/>
      <c r="CX132" s="78"/>
      <c r="CY132" s="78"/>
      <c r="CZ132" s="78"/>
      <c r="DA132" s="78"/>
      <c r="DB132" s="78"/>
      <c r="DC132" s="78"/>
      <c r="DD132" s="78"/>
      <c r="DE132" s="78"/>
      <c r="DF132" s="78"/>
      <c r="DG132" s="78"/>
      <c r="DH132" s="78"/>
      <c r="DI132" s="78"/>
      <c r="DJ132" s="78"/>
      <c r="DK132" s="78"/>
      <c r="DL132" s="78"/>
      <c r="DM132" s="78"/>
      <c r="DN132" s="78"/>
      <c r="DO132" s="78"/>
      <c r="DP132" s="78"/>
      <c r="DQ132" s="78"/>
      <c r="DR132" s="78"/>
      <c r="DS132" s="78"/>
      <c r="DT132" s="78"/>
      <c r="DU132" s="78"/>
      <c r="DV132" s="78"/>
      <c r="DW132" s="78"/>
      <c r="DX132" s="78"/>
      <c r="DY132" s="78"/>
      <c r="DZ132" s="78"/>
      <c r="EA132" s="78"/>
      <c r="EB132" s="78"/>
      <c r="EC132" s="78"/>
      <c r="ED132" s="78"/>
      <c r="EE132" s="78"/>
      <c r="EF132" s="78"/>
      <c r="EG132" s="78"/>
      <c r="EH132" s="78"/>
      <c r="EI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9"/>
      <c r="BH133" s="78"/>
      <c r="BI133" s="80"/>
      <c r="BJ133" s="78"/>
      <c r="BK133" s="78"/>
      <c r="BL133" s="78"/>
      <c r="BM133" s="78"/>
      <c r="BN133" s="78"/>
      <c r="BO133" s="78"/>
      <c r="BP133" s="78"/>
      <c r="BQ133" s="78"/>
      <c r="BR133" s="78"/>
      <c r="BS133" s="78"/>
      <c r="BT133" s="78"/>
      <c r="BU133" s="78"/>
      <c r="BV133" s="78"/>
      <c r="BW133" s="78"/>
      <c r="BX133" s="78"/>
      <c r="BY133" s="78"/>
      <c r="BZ133" s="78"/>
      <c r="CA133" s="78"/>
      <c r="CB133" s="78"/>
      <c r="CC133" s="78"/>
      <c r="CD133" s="78"/>
      <c r="CE133" s="78"/>
      <c r="CF133" s="78"/>
      <c r="CG133" s="78"/>
      <c r="CH133" s="78"/>
      <c r="CI133" s="78"/>
      <c r="CJ133" s="78"/>
      <c r="CK133" s="78"/>
      <c r="CL133" s="78"/>
      <c r="CM133" s="78"/>
      <c r="CN133" s="78"/>
      <c r="CO133" s="78"/>
      <c r="CP133" s="78"/>
      <c r="CQ133" s="78"/>
      <c r="CR133" s="78"/>
      <c r="CS133" s="78"/>
      <c r="CT133" s="78"/>
      <c r="CU133" s="78"/>
      <c r="CV133" s="78"/>
      <c r="CW133" s="78"/>
      <c r="CX133" s="78"/>
      <c r="CY133" s="78"/>
      <c r="CZ133" s="78"/>
      <c r="DA133" s="78"/>
      <c r="DB133" s="78"/>
      <c r="DC133" s="78"/>
      <c r="DD133" s="78"/>
      <c r="DE133" s="78"/>
      <c r="DF133" s="78"/>
      <c r="DG133" s="78"/>
      <c r="DH133" s="78"/>
      <c r="DI133" s="78"/>
      <c r="DJ133" s="78"/>
      <c r="DK133" s="78"/>
      <c r="DL133" s="78"/>
      <c r="DM133" s="78"/>
      <c r="DN133" s="78"/>
      <c r="DO133" s="78"/>
      <c r="DP133" s="78"/>
      <c r="DQ133" s="78"/>
      <c r="DR133" s="78"/>
      <c r="DS133" s="78"/>
      <c r="DT133" s="78"/>
      <c r="DU133" s="78"/>
      <c r="DV133" s="78"/>
      <c r="DW133" s="78"/>
      <c r="DX133" s="78"/>
      <c r="DY133" s="78"/>
      <c r="DZ133" s="78"/>
      <c r="EA133" s="78"/>
      <c r="EB133" s="78"/>
      <c r="EC133" s="78"/>
      <c r="ED133" s="78"/>
      <c r="EE133" s="78"/>
      <c r="EF133" s="78"/>
      <c r="EG133" s="78"/>
      <c r="EH133" s="78"/>
      <c r="EI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  <c r="BE134" s="78"/>
      <c r="BF134" s="78"/>
      <c r="BG134" s="79"/>
      <c r="BH134" s="78"/>
      <c r="BI134" s="80"/>
      <c r="BJ134" s="78"/>
      <c r="BK134" s="78"/>
      <c r="BL134" s="78"/>
      <c r="BM134" s="78"/>
      <c r="BN134" s="78"/>
      <c r="BO134" s="78"/>
      <c r="BP134" s="78"/>
      <c r="BQ134" s="78"/>
      <c r="BR134" s="78"/>
      <c r="BS134" s="78"/>
      <c r="BT134" s="78"/>
      <c r="BU134" s="78"/>
      <c r="BV134" s="78"/>
      <c r="BW134" s="78"/>
      <c r="BX134" s="78"/>
      <c r="BY134" s="78"/>
      <c r="BZ134" s="78"/>
      <c r="CA134" s="78"/>
      <c r="CB134" s="78"/>
      <c r="CC134" s="78"/>
      <c r="CD134" s="78"/>
      <c r="CE134" s="78"/>
      <c r="CF134" s="78"/>
      <c r="CG134" s="78"/>
      <c r="CH134" s="78"/>
      <c r="CI134" s="78"/>
      <c r="CJ134" s="78"/>
      <c r="CK134" s="78"/>
      <c r="CL134" s="78"/>
      <c r="CM134" s="78"/>
      <c r="CN134" s="78"/>
      <c r="CO134" s="78"/>
      <c r="CP134" s="78"/>
      <c r="CQ134" s="78"/>
      <c r="CR134" s="78"/>
      <c r="CS134" s="78"/>
      <c r="CT134" s="78"/>
      <c r="CU134" s="78"/>
      <c r="CV134" s="78"/>
      <c r="CW134" s="78"/>
      <c r="CX134" s="78"/>
      <c r="CY134" s="78"/>
      <c r="CZ134" s="78"/>
      <c r="DA134" s="78"/>
      <c r="DB134" s="78"/>
      <c r="DC134" s="78"/>
      <c r="DD134" s="78"/>
      <c r="DE134" s="78"/>
      <c r="DF134" s="78"/>
      <c r="DG134" s="78"/>
      <c r="DH134" s="78"/>
      <c r="DI134" s="78"/>
      <c r="DJ134" s="78"/>
      <c r="DK134" s="78"/>
      <c r="DL134" s="78"/>
      <c r="DM134" s="78"/>
      <c r="DN134" s="78"/>
      <c r="DO134" s="78"/>
      <c r="DP134" s="78"/>
      <c r="DQ134" s="78"/>
      <c r="DR134" s="78"/>
      <c r="DS134" s="78"/>
      <c r="DT134" s="78"/>
      <c r="DU134" s="78"/>
      <c r="DV134" s="78"/>
      <c r="DW134" s="78"/>
      <c r="DX134" s="78"/>
      <c r="DY134" s="78"/>
      <c r="DZ134" s="78"/>
      <c r="EA134" s="78"/>
      <c r="EB134" s="78"/>
      <c r="EC134" s="78"/>
      <c r="ED134" s="78"/>
      <c r="EE134" s="78"/>
      <c r="EF134" s="78"/>
      <c r="EG134" s="78"/>
      <c r="EH134" s="78"/>
      <c r="EI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9"/>
      <c r="BH135" s="78"/>
      <c r="BI135" s="80"/>
      <c r="BJ135" s="78"/>
      <c r="BK135" s="78"/>
      <c r="BL135" s="78"/>
      <c r="BM135" s="78"/>
      <c r="BN135" s="78"/>
      <c r="BO135" s="78"/>
      <c r="BP135" s="78"/>
      <c r="BQ135" s="78"/>
      <c r="BR135" s="78"/>
      <c r="BS135" s="78"/>
      <c r="BT135" s="78"/>
      <c r="BU135" s="78"/>
      <c r="BV135" s="78"/>
      <c r="BW135" s="78"/>
      <c r="BX135" s="78"/>
      <c r="BY135" s="78"/>
      <c r="BZ135" s="78"/>
      <c r="CA135" s="78"/>
      <c r="CB135" s="78"/>
      <c r="CC135" s="78"/>
      <c r="CD135" s="78"/>
      <c r="CE135" s="78"/>
      <c r="CF135" s="78"/>
      <c r="CG135" s="78"/>
      <c r="CH135" s="78"/>
      <c r="CI135" s="78"/>
      <c r="CJ135" s="78"/>
      <c r="CK135" s="78"/>
      <c r="CL135" s="78"/>
      <c r="CM135" s="78"/>
      <c r="CN135" s="78"/>
      <c r="CO135" s="78"/>
      <c r="CP135" s="78"/>
      <c r="CQ135" s="78"/>
      <c r="CR135" s="78"/>
      <c r="CS135" s="78"/>
      <c r="CT135" s="78"/>
      <c r="CU135" s="78"/>
      <c r="CV135" s="78"/>
      <c r="CW135" s="78"/>
      <c r="CX135" s="78"/>
      <c r="CY135" s="78"/>
      <c r="CZ135" s="78"/>
      <c r="DA135" s="78"/>
      <c r="DB135" s="78"/>
      <c r="DC135" s="78"/>
      <c r="DD135" s="78"/>
      <c r="DE135" s="78"/>
      <c r="DF135" s="78"/>
      <c r="DG135" s="78"/>
      <c r="DH135" s="78"/>
      <c r="DI135" s="78"/>
      <c r="DJ135" s="78"/>
      <c r="DK135" s="78"/>
      <c r="DL135" s="78"/>
      <c r="DM135" s="78"/>
      <c r="DN135" s="78"/>
      <c r="DO135" s="78"/>
      <c r="DP135" s="78"/>
      <c r="DQ135" s="78"/>
      <c r="DR135" s="78"/>
      <c r="DS135" s="78"/>
      <c r="DT135" s="78"/>
      <c r="DU135" s="78"/>
      <c r="DV135" s="78"/>
      <c r="DW135" s="78"/>
      <c r="DX135" s="78"/>
      <c r="DY135" s="78"/>
      <c r="DZ135" s="78"/>
      <c r="EA135" s="78"/>
      <c r="EB135" s="78"/>
      <c r="EC135" s="78"/>
      <c r="ED135" s="78"/>
      <c r="EE135" s="78"/>
      <c r="EF135" s="78"/>
      <c r="EG135" s="78"/>
      <c r="EH135" s="78"/>
      <c r="EI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9"/>
      <c r="BH136" s="78"/>
      <c r="BI136" s="80"/>
      <c r="BJ136" s="78"/>
      <c r="BK136" s="78"/>
      <c r="BL136" s="78"/>
      <c r="BM136" s="78"/>
      <c r="BN136" s="78"/>
      <c r="BO136" s="78"/>
      <c r="BP136" s="78"/>
      <c r="BQ136" s="78"/>
      <c r="BR136" s="78"/>
      <c r="BS136" s="78"/>
      <c r="BT136" s="78"/>
      <c r="BU136" s="78"/>
      <c r="BV136" s="78"/>
      <c r="BW136" s="78"/>
      <c r="BX136" s="78"/>
      <c r="BY136" s="78"/>
      <c r="BZ136" s="78"/>
      <c r="CA136" s="78"/>
      <c r="CB136" s="78"/>
      <c r="CC136" s="78"/>
      <c r="CD136" s="78"/>
      <c r="CE136" s="78"/>
      <c r="CF136" s="78"/>
      <c r="CG136" s="78"/>
      <c r="CH136" s="78"/>
      <c r="CI136" s="78"/>
      <c r="CJ136" s="78"/>
      <c r="CK136" s="78"/>
      <c r="CL136" s="78"/>
      <c r="CM136" s="78"/>
      <c r="CN136" s="78"/>
      <c r="CO136" s="78"/>
      <c r="CP136" s="78"/>
      <c r="CQ136" s="78"/>
      <c r="CR136" s="78"/>
      <c r="CS136" s="78"/>
      <c r="CT136" s="78"/>
      <c r="CU136" s="78"/>
      <c r="CV136" s="78"/>
      <c r="CW136" s="78"/>
      <c r="CX136" s="78"/>
      <c r="CY136" s="78"/>
      <c r="CZ136" s="78"/>
      <c r="DA136" s="78"/>
      <c r="DB136" s="78"/>
      <c r="DC136" s="78"/>
      <c r="DD136" s="78"/>
      <c r="DE136" s="78"/>
      <c r="DF136" s="78"/>
      <c r="DG136" s="78"/>
      <c r="DH136" s="78"/>
      <c r="DI136" s="78"/>
      <c r="DJ136" s="78"/>
      <c r="DK136" s="78"/>
      <c r="DL136" s="78"/>
      <c r="DM136" s="78"/>
      <c r="DN136" s="78"/>
      <c r="DO136" s="78"/>
      <c r="DP136" s="78"/>
      <c r="DQ136" s="78"/>
      <c r="DR136" s="78"/>
      <c r="DS136" s="78"/>
      <c r="DT136" s="78"/>
      <c r="DU136" s="78"/>
      <c r="DV136" s="78"/>
      <c r="DW136" s="78"/>
      <c r="DX136" s="78"/>
      <c r="DY136" s="78"/>
      <c r="DZ136" s="78"/>
      <c r="EA136" s="78"/>
      <c r="EB136" s="78"/>
      <c r="EC136" s="78"/>
      <c r="ED136" s="78"/>
      <c r="EE136" s="78"/>
      <c r="EF136" s="78"/>
      <c r="EG136" s="78"/>
      <c r="EH136" s="78"/>
      <c r="EI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9"/>
      <c r="BH137" s="78"/>
      <c r="BI137" s="80"/>
      <c r="BJ137" s="78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  <c r="CA137" s="78"/>
      <c r="CB137" s="78"/>
      <c r="CC137" s="78"/>
      <c r="CD137" s="78"/>
      <c r="CE137" s="78"/>
      <c r="CF137" s="78"/>
      <c r="CG137" s="78"/>
      <c r="CH137" s="78"/>
      <c r="CI137" s="78"/>
      <c r="CJ137" s="78"/>
      <c r="CK137" s="78"/>
      <c r="CL137" s="78"/>
      <c r="CM137" s="78"/>
      <c r="CN137" s="78"/>
      <c r="CO137" s="78"/>
      <c r="CP137" s="78"/>
      <c r="CQ137" s="78"/>
      <c r="CR137" s="78"/>
      <c r="CS137" s="78"/>
      <c r="CT137" s="78"/>
      <c r="CU137" s="78"/>
      <c r="CV137" s="78"/>
      <c r="CW137" s="78"/>
      <c r="CX137" s="78"/>
      <c r="CY137" s="78"/>
      <c r="CZ137" s="78"/>
      <c r="DA137" s="78"/>
      <c r="DB137" s="78"/>
      <c r="DC137" s="78"/>
      <c r="DD137" s="78"/>
      <c r="DE137" s="78"/>
      <c r="DF137" s="78"/>
      <c r="DG137" s="78"/>
      <c r="DH137" s="78"/>
      <c r="DI137" s="78"/>
      <c r="DJ137" s="78"/>
      <c r="DK137" s="78"/>
      <c r="DL137" s="78"/>
      <c r="DM137" s="78"/>
      <c r="DN137" s="78"/>
      <c r="DO137" s="78"/>
      <c r="DP137" s="78"/>
      <c r="DQ137" s="78"/>
      <c r="DR137" s="78"/>
      <c r="DS137" s="78"/>
      <c r="DT137" s="78"/>
      <c r="DU137" s="78"/>
      <c r="DV137" s="78"/>
      <c r="DW137" s="78"/>
      <c r="DX137" s="78"/>
      <c r="DY137" s="78"/>
      <c r="DZ137" s="78"/>
      <c r="EA137" s="78"/>
      <c r="EB137" s="78"/>
      <c r="EC137" s="78"/>
      <c r="ED137" s="78"/>
      <c r="EE137" s="78"/>
      <c r="EF137" s="78"/>
      <c r="EG137" s="78"/>
      <c r="EH137" s="78"/>
      <c r="EI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9"/>
      <c r="BH138" s="78"/>
      <c r="BI138" s="80"/>
      <c r="BJ138" s="78"/>
      <c r="BK138" s="78"/>
      <c r="BL138" s="78"/>
      <c r="BM138" s="78"/>
      <c r="BN138" s="78"/>
      <c r="BO138" s="78"/>
      <c r="BP138" s="78"/>
      <c r="BQ138" s="78"/>
      <c r="BR138" s="78"/>
      <c r="BS138" s="78"/>
      <c r="BT138" s="78"/>
      <c r="BU138" s="78"/>
      <c r="BV138" s="78"/>
      <c r="BW138" s="78"/>
      <c r="BX138" s="78"/>
      <c r="BY138" s="78"/>
      <c r="BZ138" s="78"/>
      <c r="CA138" s="78"/>
      <c r="CB138" s="78"/>
      <c r="CC138" s="78"/>
      <c r="CD138" s="78"/>
      <c r="CE138" s="78"/>
      <c r="CF138" s="78"/>
      <c r="CG138" s="78"/>
      <c r="CH138" s="78"/>
      <c r="CI138" s="78"/>
      <c r="CJ138" s="78"/>
      <c r="CK138" s="78"/>
      <c r="CL138" s="78"/>
      <c r="CM138" s="78"/>
      <c r="CN138" s="78"/>
      <c r="CO138" s="78"/>
      <c r="CP138" s="78"/>
      <c r="CQ138" s="78"/>
      <c r="CR138" s="78"/>
      <c r="CS138" s="78"/>
      <c r="CT138" s="78"/>
      <c r="CU138" s="78"/>
      <c r="CV138" s="78"/>
      <c r="CW138" s="78"/>
      <c r="CX138" s="78"/>
      <c r="CY138" s="78"/>
      <c r="CZ138" s="78"/>
      <c r="DA138" s="78"/>
      <c r="DB138" s="78"/>
      <c r="DC138" s="78"/>
      <c r="DD138" s="78"/>
      <c r="DE138" s="78"/>
      <c r="DF138" s="78"/>
      <c r="DG138" s="78"/>
      <c r="DH138" s="78"/>
      <c r="DI138" s="78"/>
      <c r="DJ138" s="78"/>
      <c r="DK138" s="78"/>
      <c r="DL138" s="78"/>
      <c r="DM138" s="78"/>
      <c r="DN138" s="78"/>
      <c r="DO138" s="78"/>
      <c r="DP138" s="78"/>
      <c r="DQ138" s="78"/>
      <c r="DR138" s="78"/>
      <c r="DS138" s="78"/>
      <c r="DT138" s="78"/>
      <c r="DU138" s="78"/>
      <c r="DV138" s="78"/>
      <c r="DW138" s="78"/>
      <c r="DX138" s="78"/>
      <c r="DY138" s="78"/>
      <c r="DZ138" s="78"/>
      <c r="EA138" s="78"/>
      <c r="EB138" s="78"/>
      <c r="EC138" s="78"/>
      <c r="ED138" s="78"/>
      <c r="EE138" s="78"/>
      <c r="EF138" s="78"/>
      <c r="EG138" s="78"/>
      <c r="EH138" s="78"/>
      <c r="EI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9"/>
      <c r="BH139" s="78"/>
      <c r="BI139" s="80"/>
      <c r="BJ139" s="78"/>
      <c r="BK139" s="78"/>
      <c r="BL139" s="78"/>
      <c r="BM139" s="78"/>
      <c r="BN139" s="78"/>
      <c r="BO139" s="78"/>
      <c r="BP139" s="78"/>
      <c r="BQ139" s="78"/>
      <c r="BR139" s="78"/>
      <c r="BS139" s="78"/>
      <c r="BT139" s="78"/>
      <c r="BU139" s="78"/>
      <c r="BV139" s="78"/>
      <c r="BW139" s="78"/>
      <c r="BX139" s="78"/>
      <c r="BY139" s="78"/>
      <c r="BZ139" s="78"/>
      <c r="CA139" s="78"/>
      <c r="CB139" s="78"/>
      <c r="CC139" s="78"/>
      <c r="CD139" s="78"/>
      <c r="CE139" s="78"/>
      <c r="CF139" s="78"/>
      <c r="CG139" s="78"/>
      <c r="CH139" s="78"/>
      <c r="CI139" s="78"/>
      <c r="CJ139" s="78"/>
      <c r="CK139" s="78"/>
      <c r="CL139" s="78"/>
      <c r="CM139" s="78"/>
      <c r="CN139" s="78"/>
      <c r="CO139" s="78"/>
      <c r="CP139" s="78"/>
      <c r="CQ139" s="78"/>
      <c r="CR139" s="78"/>
      <c r="CS139" s="78"/>
      <c r="CT139" s="78"/>
      <c r="CU139" s="78"/>
      <c r="CV139" s="78"/>
      <c r="CW139" s="78"/>
      <c r="CX139" s="78"/>
      <c r="CY139" s="78"/>
      <c r="CZ139" s="78"/>
      <c r="DA139" s="78"/>
      <c r="DB139" s="78"/>
      <c r="DC139" s="78"/>
      <c r="DD139" s="78"/>
      <c r="DE139" s="78"/>
      <c r="DF139" s="78"/>
      <c r="DG139" s="78"/>
      <c r="DH139" s="78"/>
      <c r="DI139" s="78"/>
      <c r="DJ139" s="78"/>
      <c r="DK139" s="78"/>
      <c r="DL139" s="78"/>
      <c r="DM139" s="78"/>
      <c r="DN139" s="78"/>
      <c r="DO139" s="78"/>
      <c r="DP139" s="78"/>
      <c r="DQ139" s="78"/>
      <c r="DR139" s="78"/>
      <c r="DS139" s="78"/>
      <c r="DT139" s="78"/>
      <c r="DU139" s="78"/>
      <c r="DV139" s="78"/>
      <c r="DW139" s="78"/>
      <c r="DX139" s="78"/>
      <c r="DY139" s="78"/>
      <c r="DZ139" s="78"/>
      <c r="EA139" s="78"/>
      <c r="EB139" s="78"/>
      <c r="EC139" s="78"/>
      <c r="ED139" s="78"/>
      <c r="EE139" s="78"/>
      <c r="EF139" s="78"/>
      <c r="EG139" s="78"/>
      <c r="EH139" s="78"/>
      <c r="EI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9"/>
      <c r="BH140" s="78"/>
      <c r="BI140" s="80"/>
      <c r="BJ140" s="78"/>
      <c r="BK140" s="78"/>
      <c r="BL140" s="78"/>
      <c r="BM140" s="78"/>
      <c r="BN140" s="78"/>
      <c r="BO140" s="78"/>
      <c r="BP140" s="78"/>
      <c r="BQ140" s="78"/>
      <c r="BR140" s="78"/>
      <c r="BS140" s="78"/>
      <c r="BT140" s="78"/>
      <c r="BU140" s="78"/>
      <c r="BV140" s="78"/>
      <c r="BW140" s="78"/>
      <c r="BX140" s="78"/>
      <c r="BY140" s="78"/>
      <c r="BZ140" s="78"/>
      <c r="CA140" s="78"/>
      <c r="CB140" s="78"/>
      <c r="CC140" s="78"/>
      <c r="CD140" s="78"/>
      <c r="CE140" s="78"/>
      <c r="CF140" s="78"/>
      <c r="CG140" s="78"/>
      <c r="CH140" s="78"/>
      <c r="CI140" s="78"/>
      <c r="CJ140" s="78"/>
      <c r="CK140" s="78"/>
      <c r="CL140" s="78"/>
      <c r="CM140" s="78"/>
      <c r="CN140" s="78"/>
      <c r="CO140" s="78"/>
      <c r="CP140" s="78"/>
      <c r="CQ140" s="78"/>
      <c r="CR140" s="78"/>
      <c r="CS140" s="78"/>
      <c r="CT140" s="78"/>
      <c r="CU140" s="78"/>
      <c r="CV140" s="78"/>
      <c r="CW140" s="78"/>
      <c r="CX140" s="78"/>
      <c r="CY140" s="78"/>
      <c r="CZ140" s="78"/>
      <c r="DA140" s="78"/>
      <c r="DB140" s="78"/>
      <c r="DC140" s="78"/>
      <c r="DD140" s="78"/>
      <c r="DE140" s="78"/>
      <c r="DF140" s="78"/>
      <c r="DG140" s="78"/>
      <c r="DH140" s="78"/>
      <c r="DI140" s="78"/>
      <c r="DJ140" s="78"/>
      <c r="DK140" s="78"/>
      <c r="DL140" s="78"/>
      <c r="DM140" s="78"/>
      <c r="DN140" s="78"/>
      <c r="DO140" s="78"/>
      <c r="DP140" s="78"/>
      <c r="DQ140" s="78"/>
      <c r="DR140" s="78"/>
      <c r="DS140" s="78"/>
      <c r="DT140" s="78"/>
      <c r="DU140" s="78"/>
      <c r="DV140" s="78"/>
      <c r="DW140" s="78"/>
      <c r="DX140" s="78"/>
      <c r="DY140" s="78"/>
      <c r="DZ140" s="78"/>
      <c r="EA140" s="78"/>
      <c r="EB140" s="78"/>
      <c r="EC140" s="78"/>
      <c r="ED140" s="78"/>
      <c r="EE140" s="78"/>
      <c r="EF140" s="78"/>
      <c r="EG140" s="78"/>
      <c r="EH140" s="78"/>
      <c r="EI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9"/>
      <c r="BH141" s="78"/>
      <c r="BI141" s="80"/>
      <c r="BJ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  <c r="CA141" s="78"/>
      <c r="CB141" s="78"/>
      <c r="CC141" s="78"/>
      <c r="CD141" s="78"/>
      <c r="CE141" s="78"/>
      <c r="CF141" s="78"/>
      <c r="CG141" s="78"/>
      <c r="CH141" s="78"/>
      <c r="CI141" s="78"/>
      <c r="CJ141" s="78"/>
      <c r="CK141" s="78"/>
      <c r="CL141" s="78"/>
      <c r="CM141" s="78"/>
      <c r="CN141" s="78"/>
      <c r="CO141" s="78"/>
      <c r="CP141" s="78"/>
      <c r="CQ141" s="78"/>
      <c r="CR141" s="78"/>
      <c r="CS141" s="78"/>
      <c r="CT141" s="78"/>
      <c r="CU141" s="78"/>
      <c r="CV141" s="78"/>
      <c r="CW141" s="78"/>
      <c r="CX141" s="78"/>
      <c r="CY141" s="78"/>
      <c r="CZ141" s="78"/>
      <c r="DA141" s="78"/>
      <c r="DB141" s="78"/>
      <c r="DC141" s="78"/>
      <c r="DD141" s="78"/>
      <c r="DE141" s="78"/>
      <c r="DF141" s="78"/>
      <c r="DG141" s="78"/>
      <c r="DH141" s="78"/>
      <c r="DI141" s="78"/>
      <c r="DJ141" s="78"/>
      <c r="DK141" s="78"/>
      <c r="DL141" s="78"/>
      <c r="DM141" s="78"/>
      <c r="DN141" s="78"/>
      <c r="DO141" s="78"/>
      <c r="DP141" s="78"/>
      <c r="DQ141" s="78"/>
      <c r="DR141" s="78"/>
      <c r="DS141" s="78"/>
      <c r="DT141" s="78"/>
      <c r="DU141" s="78"/>
      <c r="DV141" s="78"/>
      <c r="DW141" s="78"/>
      <c r="DX141" s="78"/>
      <c r="DY141" s="78"/>
      <c r="DZ141" s="78"/>
      <c r="EA141" s="78"/>
      <c r="EB141" s="78"/>
      <c r="EC141" s="78"/>
      <c r="ED141" s="78"/>
      <c r="EE141" s="78"/>
      <c r="EF141" s="78"/>
      <c r="EG141" s="78"/>
      <c r="EH141" s="78"/>
      <c r="EI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9"/>
      <c r="BH142" s="78"/>
      <c r="BI142" s="80"/>
      <c r="BJ142" s="78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78"/>
      <c r="BV142" s="78"/>
      <c r="BW142" s="78"/>
      <c r="BX142" s="78"/>
      <c r="BY142" s="78"/>
      <c r="BZ142" s="78"/>
      <c r="CA142" s="78"/>
      <c r="CB142" s="78"/>
      <c r="CC142" s="78"/>
      <c r="CD142" s="78"/>
      <c r="CE142" s="78"/>
      <c r="CF142" s="78"/>
      <c r="CG142" s="78"/>
      <c r="CH142" s="78"/>
      <c r="CI142" s="78"/>
      <c r="CJ142" s="78"/>
      <c r="CK142" s="78"/>
      <c r="CL142" s="78"/>
      <c r="CM142" s="78"/>
      <c r="CN142" s="78"/>
      <c r="CO142" s="78"/>
      <c r="CP142" s="78"/>
      <c r="CQ142" s="78"/>
      <c r="CR142" s="78"/>
      <c r="CS142" s="78"/>
      <c r="CT142" s="78"/>
      <c r="CU142" s="78"/>
      <c r="CV142" s="78"/>
      <c r="CW142" s="78"/>
      <c r="CX142" s="78"/>
      <c r="CY142" s="78"/>
      <c r="CZ142" s="78"/>
      <c r="DA142" s="78"/>
      <c r="DB142" s="78"/>
      <c r="DC142" s="78"/>
      <c r="DD142" s="78"/>
      <c r="DE142" s="78"/>
      <c r="DF142" s="78"/>
      <c r="DG142" s="78"/>
      <c r="DH142" s="78"/>
      <c r="DI142" s="78"/>
      <c r="DJ142" s="78"/>
      <c r="DK142" s="78"/>
      <c r="DL142" s="78"/>
      <c r="DM142" s="78"/>
      <c r="DN142" s="78"/>
      <c r="DO142" s="78"/>
      <c r="DP142" s="78"/>
      <c r="DQ142" s="78"/>
      <c r="DR142" s="78"/>
      <c r="DS142" s="78"/>
      <c r="DT142" s="78"/>
      <c r="DU142" s="78"/>
      <c r="DV142" s="78"/>
      <c r="DW142" s="78"/>
      <c r="DX142" s="78"/>
      <c r="DY142" s="78"/>
      <c r="DZ142" s="78"/>
      <c r="EA142" s="78"/>
      <c r="EB142" s="78"/>
      <c r="EC142" s="78"/>
      <c r="ED142" s="78"/>
      <c r="EE142" s="78"/>
      <c r="EF142" s="78"/>
      <c r="EG142" s="78"/>
      <c r="EH142" s="78"/>
      <c r="EI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9"/>
      <c r="BH143" s="78"/>
      <c r="BI143" s="80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  <c r="CA143" s="78"/>
      <c r="CB143" s="78"/>
      <c r="CC143" s="78"/>
      <c r="CD143" s="78"/>
      <c r="CE143" s="78"/>
      <c r="CF143" s="78"/>
      <c r="CG143" s="78"/>
      <c r="CH143" s="78"/>
      <c r="CI143" s="78"/>
      <c r="CJ143" s="78"/>
      <c r="CK143" s="78"/>
      <c r="CL143" s="78"/>
      <c r="CM143" s="78"/>
      <c r="CN143" s="78"/>
      <c r="CO143" s="78"/>
      <c r="CP143" s="78"/>
      <c r="CQ143" s="78"/>
      <c r="CR143" s="78"/>
      <c r="CS143" s="78"/>
      <c r="CT143" s="78"/>
      <c r="CU143" s="78"/>
      <c r="CV143" s="78"/>
      <c r="CW143" s="78"/>
      <c r="CX143" s="78"/>
      <c r="CY143" s="78"/>
      <c r="CZ143" s="78"/>
      <c r="DA143" s="78"/>
      <c r="DB143" s="78"/>
      <c r="DC143" s="78"/>
      <c r="DD143" s="78"/>
      <c r="DE143" s="78"/>
      <c r="DF143" s="78"/>
      <c r="DG143" s="78"/>
      <c r="DH143" s="78"/>
      <c r="DI143" s="78"/>
      <c r="DJ143" s="78"/>
      <c r="DK143" s="78"/>
      <c r="DL143" s="78"/>
      <c r="DM143" s="78"/>
      <c r="DN143" s="78"/>
      <c r="DO143" s="78"/>
      <c r="DP143" s="78"/>
      <c r="DQ143" s="78"/>
      <c r="DR143" s="78"/>
      <c r="DS143" s="78"/>
      <c r="DT143" s="78"/>
      <c r="DU143" s="78"/>
      <c r="DV143" s="78"/>
      <c r="DW143" s="78"/>
      <c r="DX143" s="78"/>
      <c r="DY143" s="78"/>
      <c r="DZ143" s="78"/>
      <c r="EA143" s="78"/>
      <c r="EB143" s="78"/>
      <c r="EC143" s="78"/>
      <c r="ED143" s="78"/>
      <c r="EE143" s="78"/>
      <c r="EF143" s="78"/>
      <c r="EG143" s="78"/>
      <c r="EH143" s="78"/>
      <c r="EI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9"/>
      <c r="BH144" s="78"/>
      <c r="BI144" s="80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  <c r="CE144" s="78"/>
      <c r="CF144" s="78"/>
      <c r="CG144" s="78"/>
      <c r="CH144" s="78"/>
      <c r="CI144" s="78"/>
      <c r="CJ144" s="78"/>
      <c r="CK144" s="78"/>
      <c r="CL144" s="78"/>
      <c r="CM144" s="78"/>
      <c r="CN144" s="78"/>
      <c r="CO144" s="78"/>
      <c r="CP144" s="78"/>
      <c r="CQ144" s="78"/>
      <c r="CR144" s="78"/>
      <c r="CS144" s="78"/>
      <c r="CT144" s="78"/>
      <c r="CU144" s="78"/>
      <c r="CV144" s="78"/>
      <c r="CW144" s="78"/>
      <c r="CX144" s="78"/>
      <c r="CY144" s="78"/>
      <c r="CZ144" s="78"/>
      <c r="DA144" s="78"/>
      <c r="DB144" s="78"/>
      <c r="DC144" s="78"/>
      <c r="DD144" s="78"/>
      <c r="DE144" s="78"/>
      <c r="DF144" s="78"/>
      <c r="DG144" s="78"/>
      <c r="DH144" s="78"/>
      <c r="DI144" s="78"/>
      <c r="DJ144" s="78"/>
      <c r="DK144" s="78"/>
      <c r="DL144" s="78"/>
      <c r="DM144" s="78"/>
      <c r="DN144" s="78"/>
      <c r="DO144" s="78"/>
      <c r="DP144" s="78"/>
      <c r="DQ144" s="78"/>
      <c r="DR144" s="78"/>
      <c r="DS144" s="78"/>
      <c r="DT144" s="78"/>
      <c r="DU144" s="78"/>
      <c r="DV144" s="78"/>
      <c r="DW144" s="78"/>
      <c r="DX144" s="78"/>
      <c r="DY144" s="78"/>
      <c r="DZ144" s="78"/>
      <c r="EA144" s="78"/>
      <c r="EB144" s="78"/>
      <c r="EC144" s="78"/>
      <c r="ED144" s="78"/>
      <c r="EE144" s="78"/>
      <c r="EF144" s="78"/>
      <c r="EG144" s="78"/>
      <c r="EH144" s="78"/>
      <c r="EI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9"/>
      <c r="BH145" s="78"/>
      <c r="BI145" s="80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  <c r="CE145" s="78"/>
      <c r="CF145" s="78"/>
      <c r="CG145" s="78"/>
      <c r="CH145" s="78"/>
      <c r="CI145" s="78"/>
      <c r="CJ145" s="78"/>
      <c r="CK145" s="78"/>
      <c r="CL145" s="78"/>
      <c r="CM145" s="78"/>
      <c r="CN145" s="78"/>
      <c r="CO145" s="78"/>
      <c r="CP145" s="78"/>
      <c r="CQ145" s="78"/>
      <c r="CR145" s="78"/>
      <c r="CS145" s="78"/>
      <c r="CT145" s="78"/>
      <c r="CU145" s="78"/>
      <c r="CV145" s="78"/>
      <c r="CW145" s="78"/>
      <c r="CX145" s="78"/>
      <c r="CY145" s="78"/>
      <c r="CZ145" s="78"/>
      <c r="DA145" s="78"/>
      <c r="DB145" s="78"/>
      <c r="DC145" s="78"/>
      <c r="DD145" s="78"/>
      <c r="DE145" s="78"/>
      <c r="DF145" s="78"/>
      <c r="DG145" s="78"/>
      <c r="DH145" s="78"/>
      <c r="DI145" s="78"/>
      <c r="DJ145" s="78"/>
      <c r="DK145" s="78"/>
      <c r="DL145" s="78"/>
      <c r="DM145" s="78"/>
      <c r="DN145" s="78"/>
      <c r="DO145" s="78"/>
      <c r="DP145" s="78"/>
      <c r="DQ145" s="78"/>
      <c r="DR145" s="78"/>
      <c r="DS145" s="78"/>
      <c r="DT145" s="78"/>
      <c r="DU145" s="78"/>
      <c r="DV145" s="78"/>
      <c r="DW145" s="78"/>
      <c r="DX145" s="78"/>
      <c r="DY145" s="78"/>
      <c r="DZ145" s="78"/>
      <c r="EA145" s="78"/>
      <c r="EB145" s="78"/>
      <c r="EC145" s="78"/>
      <c r="ED145" s="78"/>
      <c r="EE145" s="78"/>
      <c r="EF145" s="78"/>
      <c r="EG145" s="78"/>
      <c r="EH145" s="78"/>
      <c r="EI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9"/>
      <c r="BH146" s="78"/>
      <c r="BI146" s="80"/>
      <c r="BJ146" s="78"/>
      <c r="BK146" s="78"/>
      <c r="BL146" s="78"/>
      <c r="BM146" s="78"/>
      <c r="BN146" s="78"/>
      <c r="BO146" s="78"/>
      <c r="BP146" s="78"/>
      <c r="BQ146" s="78"/>
      <c r="BR146" s="78"/>
      <c r="BS146" s="78"/>
      <c r="BT146" s="78"/>
      <c r="BU146" s="78"/>
      <c r="BV146" s="78"/>
      <c r="BW146" s="78"/>
      <c r="BX146" s="78"/>
      <c r="BY146" s="78"/>
      <c r="BZ146" s="78"/>
      <c r="CA146" s="78"/>
      <c r="CB146" s="78"/>
      <c r="CC146" s="78"/>
      <c r="CD146" s="78"/>
      <c r="CE146" s="78"/>
      <c r="CF146" s="78"/>
      <c r="CG146" s="78"/>
      <c r="CH146" s="78"/>
      <c r="CI146" s="78"/>
      <c r="CJ146" s="78"/>
      <c r="CK146" s="78"/>
      <c r="CL146" s="78"/>
      <c r="CM146" s="78"/>
      <c r="CN146" s="78"/>
      <c r="CO146" s="78"/>
      <c r="CP146" s="78"/>
      <c r="CQ146" s="78"/>
      <c r="CR146" s="78"/>
      <c r="CS146" s="78"/>
      <c r="CT146" s="78"/>
      <c r="CU146" s="78"/>
      <c r="CV146" s="78"/>
      <c r="CW146" s="78"/>
      <c r="CX146" s="78"/>
      <c r="CY146" s="78"/>
      <c r="CZ146" s="78"/>
      <c r="DA146" s="78"/>
      <c r="DB146" s="78"/>
      <c r="DC146" s="78"/>
      <c r="DD146" s="78"/>
      <c r="DE146" s="78"/>
      <c r="DF146" s="78"/>
      <c r="DG146" s="78"/>
      <c r="DH146" s="78"/>
      <c r="DI146" s="78"/>
      <c r="DJ146" s="78"/>
      <c r="DK146" s="78"/>
      <c r="DL146" s="78"/>
      <c r="DM146" s="78"/>
      <c r="DN146" s="78"/>
      <c r="DO146" s="78"/>
      <c r="DP146" s="78"/>
      <c r="DQ146" s="78"/>
      <c r="DR146" s="78"/>
      <c r="DS146" s="78"/>
      <c r="DT146" s="78"/>
      <c r="DU146" s="78"/>
      <c r="DV146" s="78"/>
      <c r="DW146" s="78"/>
      <c r="DX146" s="78"/>
      <c r="DY146" s="78"/>
      <c r="DZ146" s="78"/>
      <c r="EA146" s="78"/>
      <c r="EB146" s="78"/>
      <c r="EC146" s="78"/>
      <c r="ED146" s="78"/>
      <c r="EE146" s="78"/>
      <c r="EF146" s="78"/>
      <c r="EG146" s="78"/>
      <c r="EH146" s="78"/>
      <c r="EI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9"/>
      <c r="BH147" s="78"/>
      <c r="BI147" s="80"/>
      <c r="BJ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  <c r="CA147" s="78"/>
      <c r="CB147" s="78"/>
      <c r="CC147" s="78"/>
      <c r="CD147" s="78"/>
      <c r="CE147" s="78"/>
      <c r="CF147" s="78"/>
      <c r="CG147" s="78"/>
      <c r="CH147" s="78"/>
      <c r="CI147" s="78"/>
      <c r="CJ147" s="78"/>
      <c r="CK147" s="78"/>
      <c r="CL147" s="78"/>
      <c r="CM147" s="78"/>
      <c r="CN147" s="78"/>
      <c r="CO147" s="78"/>
      <c r="CP147" s="78"/>
      <c r="CQ147" s="78"/>
      <c r="CR147" s="78"/>
      <c r="CS147" s="78"/>
      <c r="CT147" s="78"/>
      <c r="CU147" s="78"/>
      <c r="CV147" s="78"/>
      <c r="CW147" s="78"/>
      <c r="CX147" s="78"/>
      <c r="CY147" s="78"/>
      <c r="CZ147" s="78"/>
      <c r="DA147" s="78"/>
      <c r="DB147" s="78"/>
      <c r="DC147" s="78"/>
      <c r="DD147" s="78"/>
      <c r="DE147" s="78"/>
      <c r="DF147" s="78"/>
      <c r="DG147" s="78"/>
      <c r="DH147" s="78"/>
      <c r="DI147" s="78"/>
      <c r="DJ147" s="78"/>
      <c r="DK147" s="78"/>
      <c r="DL147" s="78"/>
      <c r="DM147" s="78"/>
      <c r="DN147" s="78"/>
      <c r="DO147" s="78"/>
      <c r="DP147" s="78"/>
      <c r="DQ147" s="78"/>
      <c r="DR147" s="78"/>
      <c r="DS147" s="78"/>
      <c r="DT147" s="78"/>
      <c r="DU147" s="78"/>
      <c r="DV147" s="78"/>
      <c r="DW147" s="78"/>
      <c r="DX147" s="78"/>
      <c r="DY147" s="78"/>
      <c r="DZ147" s="78"/>
      <c r="EA147" s="78"/>
      <c r="EB147" s="78"/>
      <c r="EC147" s="78"/>
      <c r="ED147" s="78"/>
      <c r="EE147" s="78"/>
      <c r="EF147" s="78"/>
      <c r="EG147" s="78"/>
      <c r="EH147" s="78"/>
      <c r="EI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9"/>
      <c r="BH148" s="78"/>
      <c r="BI148" s="80"/>
      <c r="BJ148" s="78"/>
      <c r="BK148" s="78"/>
      <c r="BL148" s="78"/>
      <c r="BM148" s="78"/>
      <c r="BN148" s="78"/>
      <c r="BO148" s="78"/>
      <c r="BP148" s="78"/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  <c r="CA148" s="78"/>
      <c r="CB148" s="78"/>
      <c r="CC148" s="78"/>
      <c r="CD148" s="78"/>
      <c r="CE148" s="78"/>
      <c r="CF148" s="78"/>
      <c r="CG148" s="78"/>
      <c r="CH148" s="78"/>
      <c r="CI148" s="78"/>
      <c r="CJ148" s="78"/>
      <c r="CK148" s="78"/>
      <c r="CL148" s="78"/>
      <c r="CM148" s="78"/>
      <c r="CN148" s="78"/>
      <c r="CO148" s="78"/>
      <c r="CP148" s="78"/>
      <c r="CQ148" s="78"/>
      <c r="CR148" s="78"/>
      <c r="CS148" s="78"/>
      <c r="CT148" s="78"/>
      <c r="CU148" s="78"/>
      <c r="CV148" s="78"/>
      <c r="CW148" s="78"/>
      <c r="CX148" s="78"/>
      <c r="CY148" s="78"/>
      <c r="CZ148" s="78"/>
      <c r="DA148" s="78"/>
      <c r="DB148" s="78"/>
      <c r="DC148" s="78"/>
      <c r="DD148" s="78"/>
      <c r="DE148" s="78"/>
      <c r="DF148" s="78"/>
      <c r="DG148" s="78"/>
      <c r="DH148" s="78"/>
      <c r="DI148" s="78"/>
      <c r="DJ148" s="78"/>
      <c r="DK148" s="78"/>
      <c r="DL148" s="78"/>
      <c r="DM148" s="78"/>
      <c r="DN148" s="78"/>
      <c r="DO148" s="78"/>
      <c r="DP148" s="78"/>
      <c r="DQ148" s="78"/>
      <c r="DR148" s="78"/>
      <c r="DS148" s="78"/>
      <c r="DT148" s="78"/>
      <c r="DU148" s="78"/>
      <c r="DV148" s="78"/>
      <c r="DW148" s="78"/>
      <c r="DX148" s="78"/>
      <c r="DY148" s="78"/>
      <c r="DZ148" s="78"/>
      <c r="EA148" s="78"/>
      <c r="EB148" s="78"/>
      <c r="EC148" s="78"/>
      <c r="ED148" s="78"/>
      <c r="EE148" s="78"/>
      <c r="EF148" s="78"/>
      <c r="EG148" s="78"/>
      <c r="EH148" s="78"/>
      <c r="EI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9"/>
      <c r="BH149" s="78"/>
      <c r="BI149" s="80"/>
      <c r="BJ149" s="78"/>
      <c r="BK149" s="78"/>
      <c r="BL149" s="78"/>
      <c r="BM149" s="78"/>
      <c r="BN149" s="78"/>
      <c r="BO149" s="78"/>
      <c r="BP149" s="78"/>
      <c r="BQ149" s="78"/>
      <c r="BR149" s="78"/>
      <c r="BS149" s="78"/>
      <c r="BT149" s="78"/>
      <c r="BU149" s="78"/>
      <c r="BV149" s="78"/>
      <c r="BW149" s="78"/>
      <c r="BX149" s="78"/>
      <c r="BY149" s="78"/>
      <c r="BZ149" s="78"/>
      <c r="CA149" s="78"/>
      <c r="CB149" s="78"/>
      <c r="CC149" s="78"/>
      <c r="CD149" s="78"/>
      <c r="CE149" s="78"/>
      <c r="CF149" s="78"/>
      <c r="CG149" s="78"/>
      <c r="CH149" s="78"/>
      <c r="CI149" s="78"/>
      <c r="CJ149" s="78"/>
      <c r="CK149" s="78"/>
      <c r="CL149" s="78"/>
      <c r="CM149" s="78"/>
      <c r="CN149" s="78"/>
      <c r="CO149" s="78"/>
      <c r="CP149" s="78"/>
      <c r="CQ149" s="78"/>
      <c r="CR149" s="78"/>
      <c r="CS149" s="78"/>
      <c r="CT149" s="78"/>
      <c r="CU149" s="78"/>
      <c r="CV149" s="78"/>
      <c r="CW149" s="78"/>
      <c r="CX149" s="78"/>
      <c r="CY149" s="78"/>
      <c r="CZ149" s="78"/>
      <c r="DA149" s="78"/>
      <c r="DB149" s="78"/>
      <c r="DC149" s="78"/>
      <c r="DD149" s="78"/>
      <c r="DE149" s="78"/>
      <c r="DF149" s="78"/>
      <c r="DG149" s="78"/>
      <c r="DH149" s="78"/>
      <c r="DI149" s="78"/>
      <c r="DJ149" s="78"/>
      <c r="DK149" s="78"/>
      <c r="DL149" s="78"/>
      <c r="DM149" s="78"/>
      <c r="DN149" s="78"/>
      <c r="DO149" s="78"/>
      <c r="DP149" s="78"/>
      <c r="DQ149" s="78"/>
      <c r="DR149" s="78"/>
      <c r="DS149" s="78"/>
      <c r="DT149" s="78"/>
      <c r="DU149" s="78"/>
      <c r="DV149" s="78"/>
      <c r="DW149" s="78"/>
      <c r="DX149" s="78"/>
      <c r="DY149" s="78"/>
      <c r="DZ149" s="78"/>
      <c r="EA149" s="78"/>
      <c r="EB149" s="78"/>
      <c r="EC149" s="78"/>
      <c r="ED149" s="78"/>
      <c r="EE149" s="78"/>
      <c r="EF149" s="78"/>
      <c r="EG149" s="78"/>
      <c r="EH149" s="78"/>
      <c r="EI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9"/>
      <c r="BH150" s="78"/>
      <c r="BI150" s="80"/>
      <c r="BJ150" s="78"/>
      <c r="BK150" s="78"/>
      <c r="BL150" s="78"/>
      <c r="BM150" s="78"/>
      <c r="BN150" s="78"/>
      <c r="BO150" s="78"/>
      <c r="BP150" s="78"/>
      <c r="BQ150" s="78"/>
      <c r="BR150" s="78"/>
      <c r="BS150" s="78"/>
      <c r="BT150" s="78"/>
      <c r="BU150" s="78"/>
      <c r="BV150" s="78"/>
      <c r="BW150" s="78"/>
      <c r="BX150" s="78"/>
      <c r="BY150" s="78"/>
      <c r="BZ150" s="78"/>
      <c r="CA150" s="78"/>
      <c r="CB150" s="78"/>
      <c r="CC150" s="78"/>
      <c r="CD150" s="78"/>
      <c r="CE150" s="78"/>
      <c r="CF150" s="78"/>
      <c r="CG150" s="78"/>
      <c r="CH150" s="78"/>
      <c r="CI150" s="78"/>
      <c r="CJ150" s="78"/>
      <c r="CK150" s="78"/>
      <c r="CL150" s="78"/>
      <c r="CM150" s="78"/>
      <c r="CN150" s="78"/>
      <c r="CO150" s="78"/>
      <c r="CP150" s="78"/>
      <c r="CQ150" s="78"/>
      <c r="CR150" s="78"/>
      <c r="CS150" s="78"/>
      <c r="CT150" s="78"/>
      <c r="CU150" s="78"/>
      <c r="CV150" s="78"/>
      <c r="CW150" s="78"/>
      <c r="CX150" s="78"/>
      <c r="CY150" s="78"/>
      <c r="CZ150" s="78"/>
      <c r="DA150" s="78"/>
      <c r="DB150" s="78"/>
      <c r="DC150" s="78"/>
      <c r="DD150" s="78"/>
      <c r="DE150" s="78"/>
      <c r="DF150" s="78"/>
      <c r="DG150" s="78"/>
      <c r="DH150" s="78"/>
      <c r="DI150" s="78"/>
      <c r="DJ150" s="78"/>
      <c r="DK150" s="78"/>
      <c r="DL150" s="78"/>
      <c r="DM150" s="78"/>
      <c r="DN150" s="78"/>
      <c r="DO150" s="78"/>
      <c r="DP150" s="78"/>
      <c r="DQ150" s="78"/>
      <c r="DR150" s="78"/>
      <c r="DS150" s="78"/>
      <c r="DT150" s="78"/>
      <c r="DU150" s="78"/>
      <c r="DV150" s="78"/>
      <c r="DW150" s="78"/>
      <c r="DX150" s="78"/>
      <c r="DY150" s="78"/>
      <c r="DZ150" s="78"/>
      <c r="EA150" s="78"/>
      <c r="EB150" s="78"/>
      <c r="EC150" s="78"/>
      <c r="ED150" s="78"/>
      <c r="EE150" s="78"/>
      <c r="EF150" s="78"/>
      <c r="EG150" s="78"/>
      <c r="EH150" s="78"/>
      <c r="EI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9"/>
      <c r="BH151" s="78"/>
      <c r="BI151" s="80"/>
      <c r="BJ151" s="78"/>
      <c r="BK151" s="78"/>
      <c r="BL151" s="78"/>
      <c r="BM151" s="78"/>
      <c r="BN151" s="78"/>
      <c r="BO151" s="78"/>
      <c r="BP151" s="78"/>
      <c r="BQ151" s="78"/>
      <c r="BR151" s="78"/>
      <c r="BS151" s="78"/>
      <c r="BT151" s="78"/>
      <c r="BU151" s="78"/>
      <c r="BV151" s="78"/>
      <c r="BW151" s="78"/>
      <c r="BX151" s="78"/>
      <c r="BY151" s="78"/>
      <c r="BZ151" s="78"/>
      <c r="CA151" s="78"/>
      <c r="CB151" s="78"/>
      <c r="CC151" s="78"/>
      <c r="CD151" s="78"/>
      <c r="CE151" s="78"/>
      <c r="CF151" s="78"/>
      <c r="CG151" s="78"/>
      <c r="CH151" s="78"/>
      <c r="CI151" s="78"/>
      <c r="CJ151" s="78"/>
      <c r="CK151" s="78"/>
      <c r="CL151" s="78"/>
      <c r="CM151" s="78"/>
      <c r="CN151" s="78"/>
      <c r="CO151" s="78"/>
      <c r="CP151" s="78"/>
      <c r="CQ151" s="78"/>
      <c r="CR151" s="78"/>
      <c r="CS151" s="78"/>
      <c r="CT151" s="78"/>
      <c r="CU151" s="78"/>
      <c r="CV151" s="78"/>
      <c r="CW151" s="78"/>
      <c r="CX151" s="78"/>
      <c r="CY151" s="78"/>
      <c r="CZ151" s="78"/>
      <c r="DA151" s="78"/>
      <c r="DB151" s="78"/>
      <c r="DC151" s="78"/>
      <c r="DD151" s="78"/>
      <c r="DE151" s="78"/>
      <c r="DF151" s="78"/>
      <c r="DG151" s="78"/>
      <c r="DH151" s="78"/>
      <c r="DI151" s="78"/>
      <c r="DJ151" s="78"/>
      <c r="DK151" s="78"/>
      <c r="DL151" s="78"/>
      <c r="DM151" s="78"/>
      <c r="DN151" s="78"/>
      <c r="DO151" s="78"/>
      <c r="DP151" s="78"/>
      <c r="DQ151" s="78"/>
      <c r="DR151" s="78"/>
      <c r="DS151" s="78"/>
      <c r="DT151" s="78"/>
      <c r="DU151" s="78"/>
      <c r="DV151" s="78"/>
      <c r="DW151" s="78"/>
      <c r="DX151" s="78"/>
      <c r="DY151" s="78"/>
      <c r="DZ151" s="78"/>
      <c r="EA151" s="78"/>
      <c r="EB151" s="78"/>
      <c r="EC151" s="78"/>
      <c r="ED151" s="78"/>
      <c r="EE151" s="78"/>
      <c r="EF151" s="78"/>
      <c r="EG151" s="78"/>
      <c r="EH151" s="78"/>
      <c r="EI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9"/>
      <c r="BH152" s="78"/>
      <c r="BI152" s="80"/>
      <c r="BJ152" s="78"/>
      <c r="BK152" s="78"/>
      <c r="BL152" s="78"/>
      <c r="BM152" s="78"/>
      <c r="BN152" s="78"/>
      <c r="BO152" s="78"/>
      <c r="BP152" s="78"/>
      <c r="BQ152" s="78"/>
      <c r="BR152" s="78"/>
      <c r="BS152" s="78"/>
      <c r="BT152" s="78"/>
      <c r="BU152" s="78"/>
      <c r="BV152" s="78"/>
      <c r="BW152" s="78"/>
      <c r="BX152" s="78"/>
      <c r="BY152" s="78"/>
      <c r="BZ152" s="78"/>
      <c r="CA152" s="78"/>
      <c r="CB152" s="78"/>
      <c r="CC152" s="78"/>
      <c r="CD152" s="78"/>
      <c r="CE152" s="78"/>
      <c r="CF152" s="78"/>
      <c r="CG152" s="78"/>
      <c r="CH152" s="78"/>
      <c r="CI152" s="78"/>
      <c r="CJ152" s="78"/>
      <c r="CK152" s="78"/>
      <c r="CL152" s="78"/>
      <c r="CM152" s="78"/>
      <c r="CN152" s="78"/>
      <c r="CO152" s="78"/>
      <c r="CP152" s="78"/>
      <c r="CQ152" s="78"/>
      <c r="CR152" s="78"/>
      <c r="CS152" s="78"/>
      <c r="CT152" s="78"/>
      <c r="CU152" s="78"/>
      <c r="CV152" s="78"/>
      <c r="CW152" s="78"/>
      <c r="CX152" s="78"/>
      <c r="CY152" s="78"/>
      <c r="CZ152" s="78"/>
      <c r="DA152" s="78"/>
      <c r="DB152" s="78"/>
      <c r="DC152" s="78"/>
      <c r="DD152" s="78"/>
      <c r="DE152" s="78"/>
      <c r="DF152" s="78"/>
      <c r="DG152" s="78"/>
      <c r="DH152" s="78"/>
      <c r="DI152" s="78"/>
      <c r="DJ152" s="78"/>
      <c r="DK152" s="78"/>
      <c r="DL152" s="78"/>
      <c r="DM152" s="78"/>
      <c r="DN152" s="78"/>
      <c r="DO152" s="78"/>
      <c r="DP152" s="78"/>
      <c r="DQ152" s="78"/>
      <c r="DR152" s="78"/>
      <c r="DS152" s="78"/>
      <c r="DT152" s="78"/>
      <c r="DU152" s="78"/>
      <c r="DV152" s="78"/>
      <c r="DW152" s="78"/>
      <c r="DX152" s="78"/>
      <c r="DY152" s="78"/>
      <c r="DZ152" s="78"/>
      <c r="EA152" s="78"/>
      <c r="EB152" s="78"/>
      <c r="EC152" s="78"/>
      <c r="ED152" s="78"/>
      <c r="EE152" s="78"/>
      <c r="EF152" s="78"/>
      <c r="EG152" s="78"/>
      <c r="EH152" s="78"/>
      <c r="EI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9"/>
      <c r="BH153" s="78"/>
      <c r="BI153" s="80"/>
      <c r="BJ153" s="78"/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  <c r="CA153" s="78"/>
      <c r="CB153" s="78"/>
      <c r="CC153" s="78"/>
      <c r="CD153" s="78"/>
      <c r="CE153" s="78"/>
      <c r="CF153" s="78"/>
      <c r="CG153" s="78"/>
      <c r="CH153" s="78"/>
      <c r="CI153" s="78"/>
      <c r="CJ153" s="78"/>
      <c r="CK153" s="78"/>
      <c r="CL153" s="78"/>
      <c r="CM153" s="78"/>
      <c r="CN153" s="78"/>
      <c r="CO153" s="78"/>
      <c r="CP153" s="78"/>
      <c r="CQ153" s="78"/>
      <c r="CR153" s="78"/>
      <c r="CS153" s="78"/>
      <c r="CT153" s="78"/>
      <c r="CU153" s="78"/>
      <c r="CV153" s="78"/>
      <c r="CW153" s="78"/>
      <c r="CX153" s="78"/>
      <c r="CY153" s="78"/>
      <c r="CZ153" s="78"/>
      <c r="DA153" s="78"/>
      <c r="DB153" s="78"/>
      <c r="DC153" s="78"/>
      <c r="DD153" s="78"/>
      <c r="DE153" s="78"/>
      <c r="DF153" s="78"/>
      <c r="DG153" s="78"/>
      <c r="DH153" s="78"/>
      <c r="DI153" s="78"/>
      <c r="DJ153" s="78"/>
      <c r="DK153" s="78"/>
      <c r="DL153" s="78"/>
      <c r="DM153" s="78"/>
      <c r="DN153" s="78"/>
      <c r="DO153" s="78"/>
      <c r="DP153" s="78"/>
      <c r="DQ153" s="78"/>
      <c r="DR153" s="78"/>
      <c r="DS153" s="78"/>
      <c r="DT153" s="78"/>
      <c r="DU153" s="78"/>
      <c r="DV153" s="78"/>
      <c r="DW153" s="78"/>
      <c r="DX153" s="78"/>
      <c r="DY153" s="78"/>
      <c r="DZ153" s="78"/>
      <c r="EA153" s="78"/>
      <c r="EB153" s="78"/>
      <c r="EC153" s="78"/>
      <c r="ED153" s="78"/>
      <c r="EE153" s="78"/>
      <c r="EF153" s="78"/>
      <c r="EG153" s="78"/>
      <c r="EH153" s="78"/>
      <c r="EI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9"/>
      <c r="BH154" s="78"/>
      <c r="BI154" s="80"/>
      <c r="BJ154" s="78"/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8"/>
      <c r="BV154" s="78"/>
      <c r="BW154" s="78"/>
      <c r="BX154" s="78"/>
      <c r="BY154" s="78"/>
      <c r="BZ154" s="78"/>
      <c r="CA154" s="78"/>
      <c r="CB154" s="78"/>
      <c r="CC154" s="78"/>
      <c r="CD154" s="78"/>
      <c r="CE154" s="78"/>
      <c r="CF154" s="78"/>
      <c r="CG154" s="78"/>
      <c r="CH154" s="78"/>
      <c r="CI154" s="78"/>
      <c r="CJ154" s="78"/>
      <c r="CK154" s="78"/>
      <c r="CL154" s="78"/>
      <c r="CM154" s="78"/>
      <c r="CN154" s="78"/>
      <c r="CO154" s="78"/>
      <c r="CP154" s="78"/>
      <c r="CQ154" s="78"/>
      <c r="CR154" s="78"/>
      <c r="CS154" s="78"/>
      <c r="CT154" s="78"/>
      <c r="CU154" s="78"/>
      <c r="CV154" s="78"/>
      <c r="CW154" s="78"/>
      <c r="CX154" s="78"/>
      <c r="CY154" s="78"/>
      <c r="CZ154" s="78"/>
      <c r="DA154" s="78"/>
      <c r="DB154" s="78"/>
      <c r="DC154" s="78"/>
      <c r="DD154" s="78"/>
      <c r="DE154" s="78"/>
      <c r="DF154" s="78"/>
      <c r="DG154" s="78"/>
      <c r="DH154" s="78"/>
      <c r="DI154" s="78"/>
      <c r="DJ154" s="78"/>
      <c r="DK154" s="78"/>
      <c r="DL154" s="78"/>
      <c r="DM154" s="78"/>
      <c r="DN154" s="78"/>
      <c r="DO154" s="78"/>
      <c r="DP154" s="78"/>
      <c r="DQ154" s="78"/>
      <c r="DR154" s="78"/>
      <c r="DS154" s="78"/>
      <c r="DT154" s="78"/>
      <c r="DU154" s="78"/>
      <c r="DV154" s="78"/>
      <c r="DW154" s="78"/>
      <c r="DX154" s="78"/>
      <c r="DY154" s="78"/>
      <c r="DZ154" s="78"/>
      <c r="EA154" s="78"/>
      <c r="EB154" s="78"/>
      <c r="EC154" s="78"/>
      <c r="ED154" s="78"/>
      <c r="EE154" s="78"/>
      <c r="EF154" s="78"/>
      <c r="EG154" s="78"/>
      <c r="EH154" s="78"/>
      <c r="EI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9"/>
      <c r="BH155" s="78"/>
      <c r="BI155" s="80"/>
      <c r="BJ155" s="78"/>
      <c r="BK155" s="78"/>
      <c r="BL155" s="78"/>
      <c r="BM155" s="78"/>
      <c r="BN155" s="78"/>
      <c r="BO155" s="78"/>
      <c r="BP155" s="78"/>
      <c r="BQ155" s="78"/>
      <c r="BR155" s="78"/>
      <c r="BS155" s="78"/>
      <c r="BT155" s="78"/>
      <c r="BU155" s="78"/>
      <c r="BV155" s="78"/>
      <c r="BW155" s="78"/>
      <c r="BX155" s="78"/>
      <c r="BY155" s="78"/>
      <c r="BZ155" s="78"/>
      <c r="CA155" s="78"/>
      <c r="CB155" s="78"/>
      <c r="CC155" s="78"/>
      <c r="CD155" s="78"/>
      <c r="CE155" s="78"/>
      <c r="CF155" s="78"/>
      <c r="CG155" s="78"/>
      <c r="CH155" s="78"/>
      <c r="CI155" s="78"/>
      <c r="CJ155" s="78"/>
      <c r="CK155" s="78"/>
      <c r="CL155" s="78"/>
      <c r="CM155" s="78"/>
      <c r="CN155" s="78"/>
      <c r="CO155" s="78"/>
      <c r="CP155" s="78"/>
      <c r="CQ155" s="78"/>
      <c r="CR155" s="78"/>
      <c r="CS155" s="78"/>
      <c r="CT155" s="78"/>
      <c r="CU155" s="78"/>
      <c r="CV155" s="78"/>
      <c r="CW155" s="78"/>
      <c r="CX155" s="78"/>
      <c r="CY155" s="78"/>
      <c r="CZ155" s="78"/>
      <c r="DA155" s="78"/>
      <c r="DB155" s="78"/>
      <c r="DC155" s="78"/>
      <c r="DD155" s="78"/>
      <c r="DE155" s="78"/>
      <c r="DF155" s="78"/>
      <c r="DG155" s="78"/>
      <c r="DH155" s="78"/>
      <c r="DI155" s="78"/>
      <c r="DJ155" s="78"/>
      <c r="DK155" s="78"/>
      <c r="DL155" s="78"/>
      <c r="DM155" s="78"/>
      <c r="DN155" s="78"/>
      <c r="DO155" s="78"/>
      <c r="DP155" s="78"/>
      <c r="DQ155" s="78"/>
      <c r="DR155" s="78"/>
      <c r="DS155" s="78"/>
      <c r="DT155" s="78"/>
      <c r="DU155" s="78"/>
      <c r="DV155" s="78"/>
      <c r="DW155" s="78"/>
      <c r="DX155" s="78"/>
      <c r="DY155" s="78"/>
      <c r="DZ155" s="78"/>
      <c r="EA155" s="78"/>
      <c r="EB155" s="78"/>
      <c r="EC155" s="78"/>
      <c r="ED155" s="78"/>
      <c r="EE155" s="78"/>
      <c r="EF155" s="78"/>
      <c r="EG155" s="78"/>
      <c r="EH155" s="78"/>
      <c r="EI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9"/>
      <c r="BH156" s="78"/>
      <c r="BI156" s="80"/>
      <c r="BJ156" s="78"/>
      <c r="BK156" s="78"/>
      <c r="BL156" s="78"/>
      <c r="BM156" s="78"/>
      <c r="BN156" s="78"/>
      <c r="BO156" s="78"/>
      <c r="BP156" s="78"/>
      <c r="BQ156" s="78"/>
      <c r="BR156" s="78"/>
      <c r="BS156" s="78"/>
      <c r="BT156" s="78"/>
      <c r="BU156" s="78"/>
      <c r="BV156" s="78"/>
      <c r="BW156" s="78"/>
      <c r="BX156" s="78"/>
      <c r="BY156" s="78"/>
      <c r="BZ156" s="78"/>
      <c r="CA156" s="78"/>
      <c r="CB156" s="78"/>
      <c r="CC156" s="78"/>
      <c r="CD156" s="78"/>
      <c r="CE156" s="78"/>
      <c r="CF156" s="78"/>
      <c r="CG156" s="78"/>
      <c r="CH156" s="78"/>
      <c r="CI156" s="78"/>
      <c r="CJ156" s="78"/>
      <c r="CK156" s="78"/>
      <c r="CL156" s="78"/>
      <c r="CM156" s="78"/>
      <c r="CN156" s="78"/>
      <c r="CO156" s="78"/>
      <c r="CP156" s="78"/>
      <c r="CQ156" s="78"/>
      <c r="CR156" s="78"/>
      <c r="CS156" s="78"/>
      <c r="CT156" s="78"/>
      <c r="CU156" s="78"/>
      <c r="CV156" s="78"/>
      <c r="CW156" s="78"/>
      <c r="CX156" s="78"/>
      <c r="CY156" s="78"/>
      <c r="CZ156" s="78"/>
      <c r="DA156" s="78"/>
      <c r="DB156" s="78"/>
      <c r="DC156" s="78"/>
      <c r="DD156" s="78"/>
      <c r="DE156" s="78"/>
      <c r="DF156" s="78"/>
      <c r="DG156" s="78"/>
      <c r="DH156" s="78"/>
      <c r="DI156" s="78"/>
      <c r="DJ156" s="78"/>
      <c r="DK156" s="78"/>
      <c r="DL156" s="78"/>
      <c r="DM156" s="78"/>
      <c r="DN156" s="78"/>
      <c r="DO156" s="78"/>
      <c r="DP156" s="78"/>
      <c r="DQ156" s="78"/>
      <c r="DR156" s="78"/>
      <c r="DS156" s="78"/>
      <c r="DT156" s="78"/>
      <c r="DU156" s="78"/>
      <c r="DV156" s="78"/>
      <c r="DW156" s="78"/>
      <c r="DX156" s="78"/>
      <c r="DY156" s="78"/>
      <c r="DZ156" s="78"/>
      <c r="EA156" s="78"/>
      <c r="EB156" s="78"/>
      <c r="EC156" s="78"/>
      <c r="ED156" s="78"/>
      <c r="EE156" s="78"/>
      <c r="EF156" s="78"/>
      <c r="EG156" s="78"/>
      <c r="EH156" s="78"/>
      <c r="EI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9"/>
      <c r="BH157" s="78"/>
      <c r="BI157" s="80"/>
      <c r="BJ157" s="78"/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  <c r="CA157" s="78"/>
      <c r="CB157" s="78"/>
      <c r="CC157" s="78"/>
      <c r="CD157" s="78"/>
      <c r="CE157" s="78"/>
      <c r="CF157" s="78"/>
      <c r="CG157" s="78"/>
      <c r="CH157" s="78"/>
      <c r="CI157" s="78"/>
      <c r="CJ157" s="78"/>
      <c r="CK157" s="78"/>
      <c r="CL157" s="78"/>
      <c r="CM157" s="78"/>
      <c r="CN157" s="78"/>
      <c r="CO157" s="78"/>
      <c r="CP157" s="78"/>
      <c r="CQ157" s="78"/>
      <c r="CR157" s="78"/>
      <c r="CS157" s="78"/>
      <c r="CT157" s="78"/>
      <c r="CU157" s="78"/>
      <c r="CV157" s="78"/>
      <c r="CW157" s="78"/>
      <c r="CX157" s="78"/>
      <c r="CY157" s="78"/>
      <c r="CZ157" s="78"/>
      <c r="DA157" s="78"/>
      <c r="DB157" s="78"/>
      <c r="DC157" s="78"/>
      <c r="DD157" s="78"/>
      <c r="DE157" s="78"/>
      <c r="DF157" s="78"/>
      <c r="DG157" s="78"/>
      <c r="DH157" s="78"/>
      <c r="DI157" s="78"/>
      <c r="DJ157" s="78"/>
      <c r="DK157" s="78"/>
      <c r="DL157" s="78"/>
      <c r="DM157" s="78"/>
      <c r="DN157" s="78"/>
      <c r="DO157" s="78"/>
      <c r="DP157" s="78"/>
      <c r="DQ157" s="78"/>
      <c r="DR157" s="78"/>
      <c r="DS157" s="78"/>
      <c r="DT157" s="78"/>
      <c r="DU157" s="78"/>
      <c r="DV157" s="78"/>
      <c r="DW157" s="78"/>
      <c r="DX157" s="78"/>
      <c r="DY157" s="78"/>
      <c r="DZ157" s="78"/>
      <c r="EA157" s="78"/>
      <c r="EB157" s="78"/>
      <c r="EC157" s="78"/>
      <c r="ED157" s="78"/>
      <c r="EE157" s="78"/>
      <c r="EF157" s="78"/>
      <c r="EG157" s="78"/>
      <c r="EH157" s="78"/>
      <c r="EI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9"/>
      <c r="BH158" s="78"/>
      <c r="BI158" s="80"/>
      <c r="BJ158" s="78"/>
      <c r="BK158" s="78"/>
      <c r="BL158" s="78"/>
      <c r="BM158" s="78"/>
      <c r="BN158" s="78"/>
      <c r="BO158" s="78"/>
      <c r="BP158" s="78"/>
      <c r="BQ158" s="78"/>
      <c r="BR158" s="78"/>
      <c r="BS158" s="78"/>
      <c r="BT158" s="78"/>
      <c r="BU158" s="78"/>
      <c r="BV158" s="78"/>
      <c r="BW158" s="78"/>
      <c r="BX158" s="78"/>
      <c r="BY158" s="78"/>
      <c r="BZ158" s="78"/>
      <c r="CA158" s="78"/>
      <c r="CB158" s="78"/>
      <c r="CC158" s="78"/>
      <c r="CD158" s="78"/>
      <c r="CE158" s="78"/>
      <c r="CF158" s="78"/>
      <c r="CG158" s="78"/>
      <c r="CH158" s="78"/>
      <c r="CI158" s="78"/>
      <c r="CJ158" s="78"/>
      <c r="CK158" s="78"/>
      <c r="CL158" s="78"/>
      <c r="CM158" s="78"/>
      <c r="CN158" s="78"/>
      <c r="CO158" s="78"/>
      <c r="CP158" s="78"/>
      <c r="CQ158" s="78"/>
      <c r="CR158" s="78"/>
      <c r="CS158" s="78"/>
      <c r="CT158" s="78"/>
      <c r="CU158" s="78"/>
      <c r="CV158" s="78"/>
      <c r="CW158" s="78"/>
      <c r="CX158" s="78"/>
      <c r="CY158" s="78"/>
      <c r="CZ158" s="78"/>
      <c r="DA158" s="78"/>
      <c r="DB158" s="78"/>
      <c r="DC158" s="78"/>
      <c r="DD158" s="78"/>
      <c r="DE158" s="78"/>
      <c r="DF158" s="78"/>
      <c r="DG158" s="78"/>
      <c r="DH158" s="78"/>
      <c r="DI158" s="78"/>
      <c r="DJ158" s="78"/>
      <c r="DK158" s="78"/>
      <c r="DL158" s="78"/>
      <c r="DM158" s="78"/>
      <c r="DN158" s="78"/>
      <c r="DO158" s="78"/>
      <c r="DP158" s="78"/>
      <c r="DQ158" s="78"/>
      <c r="DR158" s="78"/>
      <c r="DS158" s="78"/>
      <c r="DT158" s="78"/>
      <c r="DU158" s="78"/>
      <c r="DV158" s="78"/>
      <c r="DW158" s="78"/>
      <c r="DX158" s="78"/>
      <c r="DY158" s="78"/>
      <c r="DZ158" s="78"/>
      <c r="EA158" s="78"/>
      <c r="EB158" s="78"/>
      <c r="EC158" s="78"/>
      <c r="ED158" s="78"/>
      <c r="EE158" s="78"/>
      <c r="EF158" s="78"/>
      <c r="EG158" s="78"/>
      <c r="EH158" s="78"/>
      <c r="EI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9"/>
      <c r="BH159" s="78"/>
      <c r="BI159" s="80"/>
      <c r="BJ159" s="78"/>
      <c r="BK159" s="78"/>
      <c r="BL159" s="78"/>
      <c r="BM159" s="78"/>
      <c r="BN159" s="78"/>
      <c r="BO159" s="78"/>
      <c r="BP159" s="78"/>
      <c r="BQ159" s="78"/>
      <c r="BR159" s="78"/>
      <c r="BS159" s="78"/>
      <c r="BT159" s="78"/>
      <c r="BU159" s="78"/>
      <c r="BV159" s="78"/>
      <c r="BW159" s="78"/>
      <c r="BX159" s="78"/>
      <c r="BY159" s="78"/>
      <c r="BZ159" s="78"/>
      <c r="CA159" s="78"/>
      <c r="CB159" s="78"/>
      <c r="CC159" s="78"/>
      <c r="CD159" s="78"/>
      <c r="CE159" s="78"/>
      <c r="CF159" s="78"/>
      <c r="CG159" s="78"/>
      <c r="CH159" s="78"/>
      <c r="CI159" s="78"/>
      <c r="CJ159" s="78"/>
      <c r="CK159" s="78"/>
      <c r="CL159" s="78"/>
      <c r="CM159" s="78"/>
      <c r="CN159" s="78"/>
      <c r="CO159" s="78"/>
      <c r="CP159" s="78"/>
      <c r="CQ159" s="78"/>
      <c r="CR159" s="78"/>
      <c r="CS159" s="78"/>
      <c r="CT159" s="78"/>
      <c r="CU159" s="78"/>
      <c r="CV159" s="78"/>
      <c r="CW159" s="78"/>
      <c r="CX159" s="78"/>
      <c r="CY159" s="78"/>
      <c r="CZ159" s="78"/>
      <c r="DA159" s="78"/>
      <c r="DB159" s="78"/>
      <c r="DC159" s="78"/>
      <c r="DD159" s="78"/>
      <c r="DE159" s="78"/>
      <c r="DF159" s="78"/>
      <c r="DG159" s="78"/>
      <c r="DH159" s="78"/>
      <c r="DI159" s="78"/>
      <c r="DJ159" s="78"/>
      <c r="DK159" s="78"/>
      <c r="DL159" s="78"/>
      <c r="DM159" s="78"/>
      <c r="DN159" s="78"/>
      <c r="DO159" s="78"/>
      <c r="DP159" s="78"/>
      <c r="DQ159" s="78"/>
      <c r="DR159" s="78"/>
      <c r="DS159" s="78"/>
      <c r="DT159" s="78"/>
      <c r="DU159" s="78"/>
      <c r="DV159" s="78"/>
      <c r="DW159" s="78"/>
      <c r="DX159" s="78"/>
      <c r="DY159" s="78"/>
      <c r="DZ159" s="78"/>
      <c r="EA159" s="78"/>
      <c r="EB159" s="78"/>
      <c r="EC159" s="78"/>
      <c r="ED159" s="78"/>
      <c r="EE159" s="78"/>
      <c r="EF159" s="78"/>
      <c r="EG159" s="78"/>
      <c r="EH159" s="78"/>
      <c r="EI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9"/>
      <c r="BH160" s="78"/>
      <c r="BI160" s="80"/>
      <c r="BJ160" s="78"/>
      <c r="BK160" s="78"/>
      <c r="BL160" s="78"/>
      <c r="BM160" s="78"/>
      <c r="BN160" s="78"/>
      <c r="BO160" s="78"/>
      <c r="BP160" s="78"/>
      <c r="BQ160" s="78"/>
      <c r="BR160" s="78"/>
      <c r="BS160" s="78"/>
      <c r="BT160" s="78"/>
      <c r="BU160" s="78"/>
      <c r="BV160" s="78"/>
      <c r="BW160" s="78"/>
      <c r="BX160" s="78"/>
      <c r="BY160" s="78"/>
      <c r="BZ160" s="78"/>
      <c r="CA160" s="78"/>
      <c r="CB160" s="78"/>
      <c r="CC160" s="78"/>
      <c r="CD160" s="78"/>
      <c r="CE160" s="78"/>
      <c r="CF160" s="78"/>
      <c r="CG160" s="78"/>
      <c r="CH160" s="78"/>
      <c r="CI160" s="78"/>
      <c r="CJ160" s="78"/>
      <c r="CK160" s="78"/>
      <c r="CL160" s="78"/>
      <c r="CM160" s="78"/>
      <c r="CN160" s="78"/>
      <c r="CO160" s="78"/>
      <c r="CP160" s="78"/>
      <c r="CQ160" s="78"/>
      <c r="CR160" s="78"/>
      <c r="CS160" s="78"/>
      <c r="CT160" s="78"/>
      <c r="CU160" s="78"/>
      <c r="CV160" s="78"/>
      <c r="CW160" s="78"/>
      <c r="CX160" s="78"/>
      <c r="CY160" s="78"/>
      <c r="CZ160" s="78"/>
      <c r="DA160" s="78"/>
      <c r="DB160" s="78"/>
      <c r="DC160" s="78"/>
      <c r="DD160" s="78"/>
      <c r="DE160" s="78"/>
      <c r="DF160" s="78"/>
      <c r="DG160" s="78"/>
      <c r="DH160" s="78"/>
      <c r="DI160" s="78"/>
      <c r="DJ160" s="78"/>
      <c r="DK160" s="78"/>
      <c r="DL160" s="78"/>
      <c r="DM160" s="78"/>
      <c r="DN160" s="78"/>
      <c r="DO160" s="78"/>
      <c r="DP160" s="78"/>
      <c r="DQ160" s="78"/>
      <c r="DR160" s="78"/>
      <c r="DS160" s="78"/>
      <c r="DT160" s="78"/>
      <c r="DU160" s="78"/>
      <c r="DV160" s="78"/>
      <c r="DW160" s="78"/>
      <c r="DX160" s="78"/>
      <c r="DY160" s="78"/>
      <c r="DZ160" s="78"/>
      <c r="EA160" s="78"/>
      <c r="EB160" s="78"/>
      <c r="EC160" s="78"/>
      <c r="ED160" s="78"/>
      <c r="EE160" s="78"/>
      <c r="EF160" s="78"/>
      <c r="EG160" s="78"/>
      <c r="EH160" s="78"/>
      <c r="EI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9"/>
      <c r="BH161" s="78"/>
      <c r="BI161" s="80"/>
      <c r="BJ161" s="78"/>
      <c r="BK161" s="78"/>
      <c r="BL161" s="78"/>
      <c r="BM161" s="78"/>
      <c r="BN161" s="78"/>
      <c r="BO161" s="78"/>
      <c r="BP161" s="78"/>
      <c r="BQ161" s="78"/>
      <c r="BR161" s="78"/>
      <c r="BS161" s="78"/>
      <c r="BT161" s="78"/>
      <c r="BU161" s="78"/>
      <c r="BV161" s="78"/>
      <c r="BW161" s="78"/>
      <c r="BX161" s="78"/>
      <c r="BY161" s="78"/>
      <c r="BZ161" s="78"/>
      <c r="CA161" s="78"/>
      <c r="CB161" s="78"/>
      <c r="CC161" s="78"/>
      <c r="CD161" s="78"/>
      <c r="CE161" s="78"/>
      <c r="CF161" s="78"/>
      <c r="CG161" s="78"/>
      <c r="CH161" s="78"/>
      <c r="CI161" s="78"/>
      <c r="CJ161" s="78"/>
      <c r="CK161" s="78"/>
      <c r="CL161" s="78"/>
      <c r="CM161" s="78"/>
      <c r="CN161" s="78"/>
      <c r="CO161" s="78"/>
      <c r="CP161" s="78"/>
      <c r="CQ161" s="78"/>
      <c r="CR161" s="78"/>
      <c r="CS161" s="78"/>
      <c r="CT161" s="78"/>
      <c r="CU161" s="78"/>
      <c r="CV161" s="78"/>
      <c r="CW161" s="78"/>
      <c r="CX161" s="78"/>
      <c r="CY161" s="78"/>
      <c r="CZ161" s="78"/>
      <c r="DA161" s="78"/>
      <c r="DB161" s="78"/>
      <c r="DC161" s="78"/>
      <c r="DD161" s="78"/>
      <c r="DE161" s="78"/>
      <c r="DF161" s="78"/>
      <c r="DG161" s="78"/>
      <c r="DH161" s="78"/>
      <c r="DI161" s="78"/>
      <c r="DJ161" s="78"/>
      <c r="DK161" s="78"/>
      <c r="DL161" s="78"/>
      <c r="DM161" s="78"/>
      <c r="DN161" s="78"/>
      <c r="DO161" s="78"/>
      <c r="DP161" s="78"/>
      <c r="DQ161" s="78"/>
      <c r="DR161" s="78"/>
      <c r="DS161" s="78"/>
      <c r="DT161" s="78"/>
      <c r="DU161" s="78"/>
      <c r="DV161" s="78"/>
      <c r="DW161" s="78"/>
      <c r="DX161" s="78"/>
      <c r="DY161" s="78"/>
      <c r="DZ161" s="78"/>
      <c r="EA161" s="78"/>
      <c r="EB161" s="78"/>
      <c r="EC161" s="78"/>
      <c r="ED161" s="78"/>
      <c r="EE161" s="78"/>
      <c r="EF161" s="78"/>
      <c r="EG161" s="78"/>
      <c r="EH161" s="78"/>
      <c r="EI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9"/>
      <c r="BH162" s="78"/>
      <c r="BI162" s="80"/>
      <c r="BJ162" s="78"/>
      <c r="BK162" s="78"/>
      <c r="BL162" s="78"/>
      <c r="BM162" s="78"/>
      <c r="BN162" s="78"/>
      <c r="BO162" s="78"/>
      <c r="BP162" s="78"/>
      <c r="BQ162" s="78"/>
      <c r="BR162" s="78"/>
      <c r="BS162" s="78"/>
      <c r="BT162" s="78"/>
      <c r="BU162" s="78"/>
      <c r="BV162" s="78"/>
      <c r="BW162" s="78"/>
      <c r="BX162" s="78"/>
      <c r="BY162" s="78"/>
      <c r="BZ162" s="78"/>
      <c r="CA162" s="78"/>
      <c r="CB162" s="78"/>
      <c r="CC162" s="78"/>
      <c r="CD162" s="78"/>
      <c r="CE162" s="78"/>
      <c r="CF162" s="78"/>
      <c r="CG162" s="78"/>
      <c r="CH162" s="78"/>
      <c r="CI162" s="78"/>
      <c r="CJ162" s="78"/>
      <c r="CK162" s="78"/>
      <c r="CL162" s="78"/>
      <c r="CM162" s="78"/>
      <c r="CN162" s="78"/>
      <c r="CO162" s="78"/>
      <c r="CP162" s="78"/>
      <c r="CQ162" s="78"/>
      <c r="CR162" s="78"/>
      <c r="CS162" s="78"/>
      <c r="CT162" s="78"/>
      <c r="CU162" s="78"/>
      <c r="CV162" s="78"/>
      <c r="CW162" s="78"/>
      <c r="CX162" s="78"/>
      <c r="CY162" s="78"/>
      <c r="CZ162" s="78"/>
      <c r="DA162" s="78"/>
      <c r="DB162" s="78"/>
      <c r="DC162" s="78"/>
      <c r="DD162" s="78"/>
      <c r="DE162" s="78"/>
      <c r="DF162" s="78"/>
      <c r="DG162" s="78"/>
      <c r="DH162" s="78"/>
      <c r="DI162" s="78"/>
      <c r="DJ162" s="78"/>
      <c r="DK162" s="78"/>
      <c r="DL162" s="78"/>
      <c r="DM162" s="78"/>
      <c r="DN162" s="78"/>
      <c r="DO162" s="78"/>
      <c r="DP162" s="78"/>
      <c r="DQ162" s="78"/>
      <c r="DR162" s="78"/>
      <c r="DS162" s="78"/>
      <c r="DT162" s="78"/>
      <c r="DU162" s="78"/>
      <c r="DV162" s="78"/>
      <c r="DW162" s="78"/>
      <c r="DX162" s="78"/>
      <c r="DY162" s="78"/>
      <c r="DZ162" s="78"/>
      <c r="EA162" s="78"/>
      <c r="EB162" s="78"/>
      <c r="EC162" s="78"/>
      <c r="ED162" s="78"/>
      <c r="EE162" s="78"/>
      <c r="EF162" s="78"/>
      <c r="EG162" s="78"/>
      <c r="EH162" s="78"/>
      <c r="EI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9"/>
      <c r="BH163" s="78"/>
      <c r="BI163" s="80"/>
      <c r="BJ163" s="78"/>
      <c r="BK163" s="78"/>
      <c r="BL163" s="78"/>
      <c r="BM163" s="78"/>
      <c r="BN163" s="78"/>
      <c r="BO163" s="78"/>
      <c r="BP163" s="78"/>
      <c r="BQ163" s="78"/>
      <c r="BR163" s="78"/>
      <c r="BS163" s="78"/>
      <c r="BT163" s="78"/>
      <c r="BU163" s="78"/>
      <c r="BV163" s="78"/>
      <c r="BW163" s="78"/>
      <c r="BX163" s="78"/>
      <c r="BY163" s="78"/>
      <c r="BZ163" s="78"/>
      <c r="CA163" s="78"/>
      <c r="CB163" s="78"/>
      <c r="CC163" s="78"/>
      <c r="CD163" s="78"/>
      <c r="CE163" s="78"/>
      <c r="CF163" s="78"/>
      <c r="CG163" s="78"/>
      <c r="CH163" s="78"/>
      <c r="CI163" s="78"/>
      <c r="CJ163" s="78"/>
      <c r="CK163" s="78"/>
      <c r="CL163" s="78"/>
      <c r="CM163" s="78"/>
      <c r="CN163" s="78"/>
      <c r="CO163" s="78"/>
      <c r="CP163" s="78"/>
      <c r="CQ163" s="78"/>
      <c r="CR163" s="78"/>
      <c r="CS163" s="78"/>
      <c r="CT163" s="78"/>
      <c r="CU163" s="78"/>
      <c r="CV163" s="78"/>
      <c r="CW163" s="78"/>
      <c r="CX163" s="78"/>
      <c r="CY163" s="78"/>
      <c r="CZ163" s="78"/>
      <c r="DA163" s="78"/>
      <c r="DB163" s="78"/>
      <c r="DC163" s="78"/>
      <c r="DD163" s="78"/>
      <c r="DE163" s="78"/>
      <c r="DF163" s="78"/>
      <c r="DG163" s="78"/>
      <c r="DH163" s="78"/>
      <c r="DI163" s="78"/>
      <c r="DJ163" s="78"/>
      <c r="DK163" s="78"/>
      <c r="DL163" s="78"/>
      <c r="DM163" s="78"/>
      <c r="DN163" s="78"/>
      <c r="DO163" s="78"/>
      <c r="DP163" s="78"/>
      <c r="DQ163" s="78"/>
      <c r="DR163" s="78"/>
      <c r="DS163" s="78"/>
      <c r="DT163" s="78"/>
      <c r="DU163" s="78"/>
      <c r="DV163" s="78"/>
      <c r="DW163" s="78"/>
      <c r="DX163" s="78"/>
      <c r="DY163" s="78"/>
      <c r="DZ163" s="78"/>
      <c r="EA163" s="78"/>
      <c r="EB163" s="78"/>
      <c r="EC163" s="78"/>
      <c r="ED163" s="78"/>
      <c r="EE163" s="78"/>
      <c r="EF163" s="78"/>
      <c r="EG163" s="78"/>
      <c r="EH163" s="78"/>
      <c r="EI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9"/>
      <c r="BH164" s="78"/>
      <c r="BI164" s="80"/>
      <c r="BJ164" s="78"/>
      <c r="BK164" s="78"/>
      <c r="BL164" s="78"/>
      <c r="BM164" s="78"/>
      <c r="BN164" s="78"/>
      <c r="BO164" s="78"/>
      <c r="BP164" s="78"/>
      <c r="BQ164" s="78"/>
      <c r="BR164" s="78"/>
      <c r="BS164" s="78"/>
      <c r="BT164" s="78"/>
      <c r="BU164" s="78"/>
      <c r="BV164" s="78"/>
      <c r="BW164" s="78"/>
      <c r="BX164" s="78"/>
      <c r="BY164" s="78"/>
      <c r="BZ164" s="78"/>
      <c r="CA164" s="78"/>
      <c r="CB164" s="78"/>
      <c r="CC164" s="78"/>
      <c r="CD164" s="78"/>
      <c r="CE164" s="78"/>
      <c r="CF164" s="78"/>
      <c r="CG164" s="78"/>
      <c r="CH164" s="78"/>
      <c r="CI164" s="78"/>
      <c r="CJ164" s="78"/>
      <c r="CK164" s="78"/>
      <c r="CL164" s="78"/>
      <c r="CM164" s="78"/>
      <c r="CN164" s="78"/>
      <c r="CO164" s="78"/>
      <c r="CP164" s="78"/>
      <c r="CQ164" s="78"/>
      <c r="CR164" s="78"/>
      <c r="CS164" s="78"/>
      <c r="CT164" s="78"/>
      <c r="CU164" s="78"/>
      <c r="CV164" s="78"/>
      <c r="CW164" s="78"/>
      <c r="CX164" s="78"/>
      <c r="CY164" s="78"/>
      <c r="CZ164" s="78"/>
      <c r="DA164" s="78"/>
      <c r="DB164" s="78"/>
      <c r="DC164" s="78"/>
      <c r="DD164" s="78"/>
      <c r="DE164" s="78"/>
      <c r="DF164" s="78"/>
      <c r="DG164" s="78"/>
      <c r="DH164" s="78"/>
      <c r="DI164" s="78"/>
      <c r="DJ164" s="78"/>
      <c r="DK164" s="78"/>
      <c r="DL164" s="78"/>
      <c r="DM164" s="78"/>
      <c r="DN164" s="78"/>
      <c r="DO164" s="78"/>
      <c r="DP164" s="78"/>
      <c r="DQ164" s="78"/>
      <c r="DR164" s="78"/>
      <c r="DS164" s="78"/>
      <c r="DT164" s="78"/>
      <c r="DU164" s="78"/>
      <c r="DV164" s="78"/>
      <c r="DW164" s="78"/>
      <c r="DX164" s="78"/>
      <c r="DY164" s="78"/>
      <c r="DZ164" s="78"/>
      <c r="EA164" s="78"/>
      <c r="EB164" s="78"/>
      <c r="EC164" s="78"/>
      <c r="ED164" s="78"/>
      <c r="EE164" s="78"/>
      <c r="EF164" s="78"/>
      <c r="EG164" s="78"/>
      <c r="EH164" s="78"/>
      <c r="EI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9"/>
      <c r="BH165" s="78"/>
      <c r="BI165" s="80"/>
      <c r="BJ165" s="78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  <c r="CA165" s="78"/>
      <c r="CB165" s="78"/>
      <c r="CC165" s="78"/>
      <c r="CD165" s="78"/>
      <c r="CE165" s="78"/>
      <c r="CF165" s="78"/>
      <c r="CG165" s="78"/>
      <c r="CH165" s="78"/>
      <c r="CI165" s="78"/>
      <c r="CJ165" s="78"/>
      <c r="CK165" s="78"/>
      <c r="CL165" s="78"/>
      <c r="CM165" s="78"/>
      <c r="CN165" s="78"/>
      <c r="CO165" s="78"/>
      <c r="CP165" s="78"/>
      <c r="CQ165" s="78"/>
      <c r="CR165" s="78"/>
      <c r="CS165" s="78"/>
      <c r="CT165" s="78"/>
      <c r="CU165" s="78"/>
      <c r="CV165" s="78"/>
      <c r="CW165" s="78"/>
      <c r="CX165" s="78"/>
      <c r="CY165" s="78"/>
      <c r="CZ165" s="78"/>
      <c r="DA165" s="78"/>
      <c r="DB165" s="78"/>
      <c r="DC165" s="78"/>
      <c r="DD165" s="78"/>
      <c r="DE165" s="78"/>
      <c r="DF165" s="78"/>
      <c r="DG165" s="78"/>
      <c r="DH165" s="78"/>
      <c r="DI165" s="78"/>
      <c r="DJ165" s="78"/>
      <c r="DK165" s="78"/>
      <c r="DL165" s="78"/>
      <c r="DM165" s="78"/>
      <c r="DN165" s="78"/>
      <c r="DO165" s="78"/>
      <c r="DP165" s="78"/>
      <c r="DQ165" s="78"/>
      <c r="DR165" s="78"/>
      <c r="DS165" s="78"/>
      <c r="DT165" s="78"/>
      <c r="DU165" s="78"/>
      <c r="DV165" s="78"/>
      <c r="DW165" s="78"/>
      <c r="DX165" s="78"/>
      <c r="DY165" s="78"/>
      <c r="DZ165" s="78"/>
      <c r="EA165" s="78"/>
      <c r="EB165" s="78"/>
      <c r="EC165" s="78"/>
      <c r="ED165" s="78"/>
      <c r="EE165" s="78"/>
      <c r="EF165" s="78"/>
      <c r="EG165" s="78"/>
      <c r="EH165" s="78"/>
      <c r="EI165" s="78"/>
    </row>
  </sheetData>
  <mergeCells count="47"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CQ5:CS5"/>
    <mergeCell ref="CT5:CV5"/>
    <mergeCell ref="CW5:CY5"/>
    <mergeCell ref="DU5:DW5"/>
    <mergeCell ref="DX5:DZ5"/>
    <mergeCell ref="EA5:EC5"/>
    <mergeCell ref="ED5:EF5"/>
    <mergeCell ref="EG5:EI5"/>
    <mergeCell ref="CZ5:DB5"/>
    <mergeCell ref="DC5:DE5"/>
    <mergeCell ref="DF5:DH5"/>
    <mergeCell ref="DI5:DK5"/>
    <mergeCell ref="DL5:DN5"/>
    <mergeCell ref="DO5:DQ5"/>
    <mergeCell ref="DR5:DT5"/>
  </mergeCells>
  <conditionalFormatting sqref="J7:J145">
    <cfRule type="cellIs" dxfId="0" priority="1" operator="greaterThan">
      <formula>0</formula>
    </cfRule>
  </conditionalFormatting>
  <conditionalFormatting sqref="J7:J145">
    <cfRule type="cellIs" dxfId="1" priority="2" operator="lessThan">
      <formula>0</formula>
    </cfRule>
  </conditionalFormatting>
  <conditionalFormatting sqref="M7:M145">
    <cfRule type="cellIs" dxfId="0" priority="3" operator="greaterThan">
      <formula>0</formula>
    </cfRule>
  </conditionalFormatting>
  <conditionalFormatting sqref="M7:M145">
    <cfRule type="cellIs" dxfId="1" priority="4" operator="lessThan">
      <formula>0</formula>
    </cfRule>
  </conditionalFormatting>
  <conditionalFormatting sqref="P7:P145">
    <cfRule type="cellIs" dxfId="0" priority="5" operator="greaterThan">
      <formula>0</formula>
    </cfRule>
  </conditionalFormatting>
  <conditionalFormatting sqref="P7:P145">
    <cfRule type="cellIs" dxfId="1" priority="6" operator="lessThan">
      <formula>0</formula>
    </cfRule>
  </conditionalFormatting>
  <conditionalFormatting sqref="S7:S145">
    <cfRule type="cellIs" dxfId="0" priority="7" operator="greaterThan">
      <formula>0</formula>
    </cfRule>
  </conditionalFormatting>
  <conditionalFormatting sqref="S7:S145">
    <cfRule type="cellIs" dxfId="1" priority="8" operator="lessThan">
      <formula>0</formula>
    </cfRule>
  </conditionalFormatting>
  <conditionalFormatting sqref="V7:V145">
    <cfRule type="cellIs" dxfId="0" priority="9" operator="greaterThan">
      <formula>0</formula>
    </cfRule>
  </conditionalFormatting>
  <conditionalFormatting sqref="V7:V145">
    <cfRule type="cellIs" dxfId="1" priority="10" operator="lessThan">
      <formula>0</formula>
    </cfRule>
  </conditionalFormatting>
  <conditionalFormatting sqref="Y7:Y145">
    <cfRule type="cellIs" dxfId="0" priority="11" operator="greaterThan">
      <formula>0</formula>
    </cfRule>
  </conditionalFormatting>
  <conditionalFormatting sqref="Y7:Y145">
    <cfRule type="cellIs" dxfId="1" priority="12" operator="lessThan">
      <formula>0</formula>
    </cfRule>
  </conditionalFormatting>
  <dataValidations>
    <dataValidation type="list" allowBlank="1" sqref="B3">
      <formula1>"1-9,10-19,20-39,40-99,100+"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8.86"/>
    <col customWidth="1" min="2" max="2" width="42.0"/>
    <col customWidth="1" min="3" max="7" width="34.29"/>
    <col customWidth="1" min="8" max="8" width="8.71"/>
    <col customWidth="1" min="9" max="9" width="4.0"/>
    <col customWidth="1" min="10" max="43" width="8.71"/>
  </cols>
  <sheetData>
    <row r="1">
      <c r="A1" s="81" t="s">
        <v>126</v>
      </c>
    </row>
    <row r="3">
      <c r="A3" s="82" t="s">
        <v>127</v>
      </c>
      <c r="B3" s="82" t="s">
        <v>3</v>
      </c>
      <c r="C3" s="83" t="s">
        <v>128</v>
      </c>
      <c r="D3" s="83" t="s">
        <v>129</v>
      </c>
      <c r="E3" s="83" t="s">
        <v>130</v>
      </c>
      <c r="F3" s="83" t="s">
        <v>131</v>
      </c>
      <c r="G3" s="83" t="s">
        <v>132</v>
      </c>
    </row>
    <row r="4">
      <c r="A4" s="84"/>
      <c r="B4" s="85"/>
      <c r="C4" s="86" t="s">
        <v>133</v>
      </c>
      <c r="D4" s="86" t="s">
        <v>134</v>
      </c>
      <c r="E4" s="86" t="s">
        <v>135</v>
      </c>
      <c r="F4" s="86" t="s">
        <v>136</v>
      </c>
      <c r="G4" s="86" t="s">
        <v>137</v>
      </c>
    </row>
    <row r="5">
      <c r="A5" s="6" t="s">
        <v>138</v>
      </c>
      <c r="B5" s="87"/>
      <c r="C5" s="87"/>
      <c r="D5" s="87"/>
      <c r="E5" s="87"/>
      <c r="F5" s="87"/>
      <c r="G5" s="87"/>
    </row>
    <row r="6">
      <c r="A6" s="89"/>
      <c r="B6" s="90" t="s">
        <v>140</v>
      </c>
      <c r="C6" s="92">
        <v>2.0</v>
      </c>
      <c r="D6" s="92">
        <v>6.0</v>
      </c>
      <c r="E6" s="92">
        <v>11.0</v>
      </c>
      <c r="F6" s="92">
        <v>28.0</v>
      </c>
      <c r="G6" s="92">
        <v>80.0</v>
      </c>
      <c r="I6" s="93"/>
    </row>
    <row r="7">
      <c r="A7" s="89"/>
      <c r="B7" s="90" t="s">
        <v>141</v>
      </c>
      <c r="C7" s="92">
        <v>5.0</v>
      </c>
      <c r="D7" s="92">
        <v>13.0</v>
      </c>
      <c r="E7" s="92">
        <v>26.0</v>
      </c>
      <c r="F7" s="92">
        <v>60.0</v>
      </c>
      <c r="G7" s="92">
        <v>175.0</v>
      </c>
    </row>
    <row r="8">
      <c r="A8" s="89"/>
      <c r="B8" s="90" t="s">
        <v>142</v>
      </c>
      <c r="C8" s="94">
        <v>10.0</v>
      </c>
      <c r="D8" s="94">
        <v>26.0</v>
      </c>
      <c r="E8" s="94">
        <v>42.0</v>
      </c>
      <c r="F8" s="94">
        <v>100.0</v>
      </c>
      <c r="G8" s="94">
        <v>280.0</v>
      </c>
    </row>
    <row r="9">
      <c r="A9" s="6" t="s">
        <v>143</v>
      </c>
      <c r="B9" s="87"/>
      <c r="C9" s="87"/>
      <c r="D9" s="87"/>
      <c r="E9" s="87"/>
      <c r="F9" s="87"/>
      <c r="G9" s="87"/>
    </row>
    <row r="10">
      <c r="A10" s="89"/>
      <c r="B10" s="90" t="s">
        <v>144</v>
      </c>
      <c r="C10" s="96">
        <v>0.0</v>
      </c>
      <c r="D10" s="97">
        <v>10.0</v>
      </c>
      <c r="E10" s="97">
        <v>15.0</v>
      </c>
      <c r="F10" s="97">
        <v>60.0</v>
      </c>
      <c r="G10" s="97">
        <v>125.0</v>
      </c>
      <c r="I10" s="93"/>
    </row>
    <row r="11">
      <c r="A11" s="89"/>
      <c r="B11" s="90" t="s">
        <v>145</v>
      </c>
      <c r="C11" s="98">
        <v>10.0</v>
      </c>
      <c r="D11" s="98">
        <v>35.0</v>
      </c>
      <c r="E11" s="98">
        <v>75.0</v>
      </c>
      <c r="F11" s="98">
        <v>160.0</v>
      </c>
      <c r="G11" s="98">
        <v>350.0</v>
      </c>
    </row>
    <row r="12">
      <c r="A12" s="89"/>
      <c r="B12" s="90" t="s">
        <v>146</v>
      </c>
      <c r="C12" s="99">
        <v>15.0</v>
      </c>
      <c r="D12" s="99">
        <v>70.0</v>
      </c>
      <c r="E12" s="99">
        <v>140.0</v>
      </c>
      <c r="F12" s="99">
        <v>300.0</v>
      </c>
      <c r="G12" s="99">
        <v>500.0</v>
      </c>
    </row>
    <row r="13">
      <c r="A13" s="89"/>
      <c r="B13" s="100" t="s">
        <v>147</v>
      </c>
      <c r="C13" s="96">
        <v>0.0</v>
      </c>
      <c r="D13" s="97">
        <v>10.0</v>
      </c>
      <c r="E13" s="97">
        <v>15.0</v>
      </c>
      <c r="F13" s="97">
        <v>60.0</v>
      </c>
      <c r="G13" s="97">
        <v>100.0</v>
      </c>
      <c r="J13" s="101"/>
    </row>
    <row r="14">
      <c r="A14" s="89"/>
      <c r="B14" s="100" t="s">
        <v>148</v>
      </c>
      <c r="C14" s="98">
        <v>10.0</v>
      </c>
      <c r="D14" s="98">
        <v>35.0</v>
      </c>
      <c r="E14" s="98">
        <v>60.0</v>
      </c>
      <c r="F14" s="98">
        <v>125.0</v>
      </c>
      <c r="G14" s="98">
        <v>300.0</v>
      </c>
      <c r="J14" s="101"/>
    </row>
    <row r="15">
      <c r="A15" s="89"/>
      <c r="B15" s="100" t="s">
        <v>149</v>
      </c>
      <c r="C15" s="99">
        <v>15.0</v>
      </c>
      <c r="D15" s="99">
        <v>70.0</v>
      </c>
      <c r="E15" s="99">
        <v>100.0</v>
      </c>
      <c r="F15" s="99">
        <v>250.0</v>
      </c>
      <c r="G15" s="99">
        <v>500.0</v>
      </c>
      <c r="J15" s="101"/>
    </row>
    <row r="16">
      <c r="A16" s="103"/>
      <c r="B16" s="104" t="s">
        <v>150</v>
      </c>
      <c r="C16" s="105">
        <f t="shared" ref="C16:G16" si="1">if(C13-C10&gt;0, "+"&amp;C13-C10, C13-C10)</f>
        <v>0</v>
      </c>
      <c r="D16" s="105">
        <f t="shared" si="1"/>
        <v>0</v>
      </c>
      <c r="E16" s="105">
        <f t="shared" si="1"/>
        <v>0</v>
      </c>
      <c r="F16" s="106">
        <f t="shared" si="1"/>
        <v>0</v>
      </c>
      <c r="G16" s="106">
        <f t="shared" si="1"/>
        <v>-25</v>
      </c>
    </row>
    <row r="17">
      <c r="A17" s="103"/>
      <c r="B17" s="104" t="s">
        <v>152</v>
      </c>
      <c r="C17" s="42">
        <f t="shared" ref="C17:G17" si="2">if(C14-C11&gt;0, "+"&amp;C14-C11, C14-C11)</f>
        <v>0</v>
      </c>
      <c r="D17" s="42">
        <f t="shared" si="2"/>
        <v>0</v>
      </c>
      <c r="E17" s="42">
        <f t="shared" si="2"/>
        <v>-15</v>
      </c>
      <c r="F17" s="42">
        <f t="shared" si="2"/>
        <v>-35</v>
      </c>
      <c r="G17" s="42">
        <f t="shared" si="2"/>
        <v>-50</v>
      </c>
    </row>
    <row r="18">
      <c r="A18" s="103"/>
      <c r="B18" s="104" t="s">
        <v>155</v>
      </c>
      <c r="C18" s="42">
        <f t="shared" ref="C18:G18" si="3">if(C15-C12&gt;0, "+"&amp;C15-C12, C15-C12)</f>
        <v>0</v>
      </c>
      <c r="D18" s="42">
        <f t="shared" si="3"/>
        <v>0</v>
      </c>
      <c r="E18" s="42">
        <f t="shared" si="3"/>
        <v>-40</v>
      </c>
      <c r="F18" s="42">
        <f t="shared" si="3"/>
        <v>-50</v>
      </c>
      <c r="G18" s="42">
        <f t="shared" si="3"/>
        <v>0</v>
      </c>
    </row>
    <row r="19">
      <c r="A19" s="72" t="s">
        <v>156</v>
      </c>
      <c r="B19" s="87"/>
      <c r="C19" s="87"/>
      <c r="D19" s="87"/>
      <c r="E19" s="87"/>
      <c r="F19" s="87"/>
      <c r="G19" s="87"/>
    </row>
    <row r="20">
      <c r="A20" s="89"/>
      <c r="B20" s="111" t="s">
        <v>157</v>
      </c>
      <c r="C20" s="112">
        <v>0.0</v>
      </c>
      <c r="D20" s="112">
        <v>0.0</v>
      </c>
      <c r="E20" s="112">
        <v>0.0</v>
      </c>
      <c r="F20" s="112">
        <v>0.0</v>
      </c>
      <c r="G20" s="112">
        <v>0.0</v>
      </c>
      <c r="I20" s="93"/>
    </row>
    <row r="21">
      <c r="A21" s="89"/>
      <c r="B21" s="111" t="s">
        <v>158</v>
      </c>
      <c r="C21" s="112">
        <v>0.0</v>
      </c>
      <c r="D21" s="112">
        <v>0.0</v>
      </c>
      <c r="E21" s="112">
        <v>0.0</v>
      </c>
      <c r="F21" s="112">
        <v>0.0</v>
      </c>
      <c r="G21" s="112">
        <v>0.0</v>
      </c>
    </row>
    <row r="22">
      <c r="A22" s="89"/>
      <c r="B22" s="111" t="s">
        <v>159</v>
      </c>
      <c r="C22" s="113">
        <v>0.0</v>
      </c>
      <c r="D22" s="113">
        <v>0.0</v>
      </c>
      <c r="E22" s="113">
        <v>0.0</v>
      </c>
      <c r="F22" s="113">
        <v>0.0</v>
      </c>
      <c r="G22" s="113">
        <v>0.0</v>
      </c>
    </row>
    <row r="23">
      <c r="A23" s="89"/>
      <c r="B23" s="111" t="s">
        <v>160</v>
      </c>
      <c r="C23" s="97">
        <v>1.0</v>
      </c>
      <c r="D23" s="97">
        <v>1.0</v>
      </c>
      <c r="E23" s="97">
        <v>1.0</v>
      </c>
      <c r="F23" s="97">
        <v>1.0</v>
      </c>
      <c r="G23" s="97">
        <v>1.0</v>
      </c>
    </row>
    <row r="24">
      <c r="A24" s="89"/>
      <c r="B24" s="111" t="s">
        <v>162</v>
      </c>
      <c r="C24" s="112">
        <v>0.0</v>
      </c>
      <c r="D24" s="112">
        <v>0.0</v>
      </c>
      <c r="E24" s="112">
        <v>0.0</v>
      </c>
      <c r="F24" s="112">
        <v>0.0</v>
      </c>
      <c r="G24" s="112">
        <v>0.0</v>
      </c>
    </row>
    <row r="25">
      <c r="A25" s="89"/>
      <c r="B25" s="111" t="s">
        <v>163</v>
      </c>
      <c r="C25" s="116">
        <v>0.0</v>
      </c>
      <c r="D25" s="116">
        <v>0.0</v>
      </c>
      <c r="E25" s="116">
        <v>0.0</v>
      </c>
      <c r="F25" s="116">
        <v>0.0</v>
      </c>
      <c r="G25" s="116">
        <v>0.0</v>
      </c>
    </row>
    <row r="26">
      <c r="A26" s="89"/>
      <c r="B26" s="111" t="s">
        <v>164</v>
      </c>
      <c r="C26" s="112">
        <v>0.0</v>
      </c>
      <c r="D26" s="112">
        <v>0.0</v>
      </c>
      <c r="E26" s="112">
        <v>0.0</v>
      </c>
      <c r="F26" s="112">
        <v>0.0</v>
      </c>
      <c r="G26" s="112">
        <v>0.0</v>
      </c>
    </row>
    <row r="27">
      <c r="A27" s="89"/>
      <c r="B27" s="111" t="s">
        <v>165</v>
      </c>
      <c r="C27" s="112">
        <v>1.0</v>
      </c>
      <c r="D27" s="112">
        <v>1.0</v>
      </c>
      <c r="E27" s="112">
        <v>1.0</v>
      </c>
      <c r="F27" s="112">
        <v>0.0</v>
      </c>
      <c r="G27" s="112">
        <v>0.0</v>
      </c>
    </row>
    <row r="28">
      <c r="A28" s="89"/>
      <c r="B28" s="111" t="s">
        <v>166</v>
      </c>
      <c r="C28" s="113">
        <v>0.0</v>
      </c>
      <c r="D28" s="113">
        <v>0.0</v>
      </c>
      <c r="E28" s="113">
        <v>0.0</v>
      </c>
      <c r="F28" s="113">
        <v>0.0</v>
      </c>
      <c r="G28" s="113">
        <v>0.0</v>
      </c>
    </row>
    <row r="29">
      <c r="A29" s="89"/>
      <c r="B29" s="100" t="s">
        <v>167</v>
      </c>
      <c r="C29" s="97">
        <v>0.0</v>
      </c>
      <c r="D29" s="97">
        <v>0.0</v>
      </c>
      <c r="E29" s="97">
        <v>0.0</v>
      </c>
      <c r="F29" s="97">
        <v>1.0</v>
      </c>
      <c r="G29" s="97">
        <v>1.0</v>
      </c>
    </row>
    <row r="30">
      <c r="A30" s="89"/>
      <c r="B30" s="100" t="s">
        <v>168</v>
      </c>
      <c r="C30" s="112">
        <v>0.0</v>
      </c>
      <c r="D30" s="112">
        <v>0.0</v>
      </c>
      <c r="E30" s="112">
        <v>0.0</v>
      </c>
      <c r="F30" s="112">
        <v>1.0</v>
      </c>
      <c r="G30" s="112">
        <v>1.0</v>
      </c>
    </row>
    <row r="31">
      <c r="A31" s="89"/>
      <c r="B31" s="100" t="s">
        <v>169</v>
      </c>
      <c r="C31" s="116">
        <v>0.0</v>
      </c>
      <c r="D31" s="116">
        <v>0.0</v>
      </c>
      <c r="E31" s="116">
        <v>0.0</v>
      </c>
      <c r="F31" s="116">
        <v>0.0</v>
      </c>
      <c r="G31" s="116">
        <v>0.0</v>
      </c>
    </row>
    <row r="32">
      <c r="A32" s="89"/>
      <c r="B32" s="100" t="s">
        <v>170</v>
      </c>
      <c r="C32" s="112">
        <v>1.0</v>
      </c>
      <c r="D32" s="112">
        <v>1.0</v>
      </c>
      <c r="E32" s="112">
        <v>1.0</v>
      </c>
      <c r="F32" s="112">
        <v>1.0</v>
      </c>
      <c r="G32" s="112">
        <v>1.0</v>
      </c>
    </row>
    <row r="33">
      <c r="A33" s="89"/>
      <c r="B33" s="100" t="s">
        <v>171</v>
      </c>
      <c r="C33" s="112">
        <v>0.0</v>
      </c>
      <c r="D33" s="112">
        <v>0.0</v>
      </c>
      <c r="E33" s="112">
        <v>0.0</v>
      </c>
      <c r="F33" s="112">
        <v>0.0</v>
      </c>
      <c r="G33" s="112">
        <v>0.0</v>
      </c>
    </row>
    <row r="34">
      <c r="A34" s="89"/>
      <c r="B34" s="100" t="s">
        <v>172</v>
      </c>
      <c r="C34" s="116">
        <v>0.0</v>
      </c>
      <c r="D34" s="116">
        <v>0.0</v>
      </c>
      <c r="E34" s="116">
        <v>0.0</v>
      </c>
      <c r="F34" s="116">
        <v>1.0</v>
      </c>
      <c r="G34" s="116">
        <v>1.0</v>
      </c>
    </row>
    <row r="35">
      <c r="A35" s="89"/>
      <c r="B35" s="100" t="s">
        <v>173</v>
      </c>
      <c r="C35" s="112">
        <v>0.0</v>
      </c>
      <c r="D35" s="112">
        <v>0.0</v>
      </c>
      <c r="E35" s="112">
        <v>0.0</v>
      </c>
      <c r="F35" s="112">
        <v>0.0</v>
      </c>
      <c r="G35" s="112">
        <v>0.0</v>
      </c>
    </row>
    <row r="36">
      <c r="A36" s="89"/>
      <c r="B36" s="100" t="s">
        <v>174</v>
      </c>
      <c r="C36" s="112">
        <v>0.0</v>
      </c>
      <c r="D36" s="112">
        <v>0.0</v>
      </c>
      <c r="E36" s="112">
        <v>0.0</v>
      </c>
      <c r="F36" s="112">
        <v>0.0</v>
      </c>
      <c r="G36" s="112">
        <v>0.0</v>
      </c>
    </row>
    <row r="37">
      <c r="A37" s="89"/>
      <c r="B37" s="100" t="s">
        <v>175</v>
      </c>
      <c r="C37" s="112">
        <v>1.0</v>
      </c>
      <c r="D37" s="112">
        <v>1.0</v>
      </c>
      <c r="E37" s="112">
        <v>1.0</v>
      </c>
      <c r="F37" s="112">
        <v>0.0</v>
      </c>
      <c r="G37" s="112">
        <v>0.0</v>
      </c>
    </row>
    <row r="38">
      <c r="A38" s="103"/>
      <c r="B38" s="104" t="s">
        <v>176</v>
      </c>
      <c r="C38" s="118">
        <f t="shared" ref="C38:G38" si="4">C29-C20</f>
        <v>0</v>
      </c>
      <c r="D38" s="118">
        <f t="shared" si="4"/>
        <v>0</v>
      </c>
      <c r="E38" s="118">
        <f t="shared" si="4"/>
        <v>0</v>
      </c>
      <c r="F38" s="118">
        <f t="shared" si="4"/>
        <v>1</v>
      </c>
      <c r="G38" s="118">
        <f t="shared" si="4"/>
        <v>1</v>
      </c>
    </row>
    <row r="39">
      <c r="A39" s="103"/>
      <c r="B39" s="104" t="s">
        <v>180</v>
      </c>
      <c r="C39" s="118">
        <f t="shared" ref="C39:G39" si="5">C30-C21</f>
        <v>0</v>
      </c>
      <c r="D39" s="118">
        <f t="shared" si="5"/>
        <v>0</v>
      </c>
      <c r="E39" s="118">
        <f t="shared" si="5"/>
        <v>0</v>
      </c>
      <c r="F39" s="118">
        <f t="shared" si="5"/>
        <v>1</v>
      </c>
      <c r="G39" s="118">
        <f t="shared" si="5"/>
        <v>1</v>
      </c>
    </row>
    <row r="40">
      <c r="A40" s="103"/>
      <c r="B40" s="104" t="s">
        <v>181</v>
      </c>
      <c r="C40" s="118">
        <f t="shared" ref="C40:G40" si="6">C31-C22</f>
        <v>0</v>
      </c>
      <c r="D40" s="118">
        <f t="shared" si="6"/>
        <v>0</v>
      </c>
      <c r="E40" s="118">
        <f t="shared" si="6"/>
        <v>0</v>
      </c>
      <c r="F40" s="118">
        <f t="shared" si="6"/>
        <v>0</v>
      </c>
      <c r="G40" s="118">
        <f t="shared" si="6"/>
        <v>0</v>
      </c>
    </row>
    <row r="41">
      <c r="A41" s="103"/>
      <c r="B41" s="104" t="s">
        <v>182</v>
      </c>
      <c r="C41" s="118">
        <f t="shared" ref="C41:G41" si="7">C32-C23</f>
        <v>0</v>
      </c>
      <c r="D41" s="118">
        <f t="shared" si="7"/>
        <v>0</v>
      </c>
      <c r="E41" s="118">
        <f t="shared" si="7"/>
        <v>0</v>
      </c>
      <c r="F41" s="118">
        <f t="shared" si="7"/>
        <v>0</v>
      </c>
      <c r="G41" s="118">
        <f t="shared" si="7"/>
        <v>0</v>
      </c>
    </row>
    <row r="42">
      <c r="A42" s="103"/>
      <c r="B42" s="104" t="s">
        <v>184</v>
      </c>
      <c r="C42" s="118">
        <f t="shared" ref="C42:G42" si="8">C33-C24</f>
        <v>0</v>
      </c>
      <c r="D42" s="118">
        <f t="shared" si="8"/>
        <v>0</v>
      </c>
      <c r="E42" s="118">
        <f t="shared" si="8"/>
        <v>0</v>
      </c>
      <c r="F42" s="118">
        <f t="shared" si="8"/>
        <v>0</v>
      </c>
      <c r="G42" s="118">
        <f t="shared" si="8"/>
        <v>0</v>
      </c>
    </row>
    <row r="43">
      <c r="A43" s="103"/>
      <c r="B43" s="104" t="s">
        <v>185</v>
      </c>
      <c r="C43" s="118">
        <f t="shared" ref="C43:G43" si="9">C34-C25</f>
        <v>0</v>
      </c>
      <c r="D43" s="118">
        <f t="shared" si="9"/>
        <v>0</v>
      </c>
      <c r="E43" s="118">
        <f t="shared" si="9"/>
        <v>0</v>
      </c>
      <c r="F43" s="118">
        <f t="shared" si="9"/>
        <v>1</v>
      </c>
      <c r="G43" s="118">
        <f t="shared" si="9"/>
        <v>1</v>
      </c>
    </row>
    <row r="44">
      <c r="A44" s="103"/>
      <c r="B44" s="104" t="s">
        <v>186</v>
      </c>
      <c r="C44" s="118">
        <f t="shared" ref="C44:G44" si="10">C35-C26</f>
        <v>0</v>
      </c>
      <c r="D44" s="118">
        <f t="shared" si="10"/>
        <v>0</v>
      </c>
      <c r="E44" s="118">
        <f t="shared" si="10"/>
        <v>0</v>
      </c>
      <c r="F44" s="118">
        <f t="shared" si="10"/>
        <v>0</v>
      </c>
      <c r="G44" s="118">
        <f t="shared" si="10"/>
        <v>0</v>
      </c>
    </row>
    <row r="45">
      <c r="A45" s="103"/>
      <c r="B45" s="104" t="s">
        <v>187</v>
      </c>
      <c r="C45" s="118">
        <f t="shared" ref="C45:G45" si="11">C36-C27</f>
        <v>-1</v>
      </c>
      <c r="D45" s="118">
        <f t="shared" si="11"/>
        <v>-1</v>
      </c>
      <c r="E45" s="118">
        <f t="shared" si="11"/>
        <v>-1</v>
      </c>
      <c r="F45" s="118">
        <f t="shared" si="11"/>
        <v>0</v>
      </c>
      <c r="G45" s="118">
        <f t="shared" si="11"/>
        <v>0</v>
      </c>
    </row>
    <row r="46">
      <c r="A46" s="103"/>
      <c r="B46" s="104" t="s">
        <v>188</v>
      </c>
      <c r="C46" s="118">
        <f t="shared" ref="C46:G46" si="12">C37-C28</f>
        <v>1</v>
      </c>
      <c r="D46" s="118">
        <f t="shared" si="12"/>
        <v>1</v>
      </c>
      <c r="E46" s="118">
        <f t="shared" si="12"/>
        <v>1</v>
      </c>
      <c r="F46" s="118">
        <f t="shared" si="12"/>
        <v>0</v>
      </c>
      <c r="G46" s="118">
        <f t="shared" si="12"/>
        <v>0</v>
      </c>
    </row>
    <row r="47">
      <c r="A47" s="72" t="s">
        <v>189</v>
      </c>
      <c r="B47" s="87"/>
      <c r="C47" s="127"/>
      <c r="D47" s="127"/>
      <c r="E47" s="127"/>
      <c r="F47" s="127"/>
      <c r="G47" s="127"/>
    </row>
    <row r="48">
      <c r="A48" s="10"/>
      <c r="B48" s="10" t="s">
        <v>190</v>
      </c>
      <c r="C48" s="42">
        <f>IFERROR(SUMPRODUCT((Raw_Data_Daily!$B$2:$B$9999="Variant")*(Raw_Data_Daily!$C$2:$C$9999=C$4)*Raw_Data_Daily!$D$2:$D$9999*Raw_Data_Daily!$AI$2:$AI$9999)/SUMIFS(Raw_Data_Daily!$D:$D, Raw_Data_Daily!$B:$B, "Variant", Raw_Data_Daily!$C:$C, C$4),"")</f>
        <v>58.29116798</v>
      </c>
      <c r="D48" s="42">
        <f>IFERROR(SUMPRODUCT((Raw_Data_Daily!$B$2:$B$9999="Variant")*(Raw_Data_Daily!$C$2:$C$9999=D$4)*Raw_Data_Daily!$D$2:$D$9999*Raw_Data_Daily!$AI$2:$AI$9999)/SUMIFS(Raw_Data_Daily!$D:$D, Raw_Data_Daily!$B:$B, "Variant", Raw_Data_Daily!$C:$C, D$4),"")</f>
        <v>55.21172823</v>
      </c>
      <c r="E48" s="42">
        <f>IFERROR(SUMPRODUCT((Raw_Data_Daily!$B$2:$B$9999="Variant")*(Raw_Data_Daily!$C$2:$C$9999=E$4)*Raw_Data_Daily!$D$2:$D$9999*Raw_Data_Daily!$AI$2:$AI$9999)/SUMIFS(Raw_Data_Daily!$D:$D, Raw_Data_Daily!$B:$B, "Variant", Raw_Data_Daily!$C:$C, E$4),"")</f>
        <v>47.58962526</v>
      </c>
      <c r="F48" s="42">
        <f>IFERROR(SUMPRODUCT((Raw_Data_Daily!$B$2:$B$9999="Variant")*(Raw_Data_Daily!$C$2:$C$9999=F$4)*Raw_Data_Daily!$D$2:$D$9999*Raw_Data_Daily!$AI$2:$AI$9999)/SUMIFS(Raw_Data_Daily!$D:$D, Raw_Data_Daily!$B:$B, "Variant", Raw_Data_Daily!$C:$C, F$4),"")</f>
        <v>33.554942</v>
      </c>
      <c r="G48" s="42">
        <f>IFERROR(SUMPRODUCT((Raw_Data_Daily!$B$2:$B$9999="Variant")*(Raw_Data_Daily!$C$2:$C$9999=G$4)*Raw_Data_Daily!$D$2:$D$9999*Raw_Data_Daily!$AI$2:$AI$9999)/SUMIFS(Raw_Data_Daily!$D:$D, Raw_Data_Daily!$B:$B, "Variant", Raw_Data_Daily!$C:$C, G$4),"")</f>
        <v>19.40241852</v>
      </c>
      <c r="I48" s="93"/>
    </row>
    <row r="49" ht="15.75" customHeight="1">
      <c r="A49" s="10"/>
      <c r="B49" s="10" t="s">
        <v>191</v>
      </c>
      <c r="C49" s="42">
        <f>IFERROR(SUMPRODUCT((Raw_Data_Daily!$B$2:$B$9999="Variant")*(Raw_Data_Daily!$C$2:$C$9999=C$4)*Raw_Data_Daily!$D$2:$D$9999*Raw_Data_Daily!$AJ$2:$AJ$9999)/SUMIFS(Raw_Data_Daily!$D:$D, Raw_Data_Daily!$B:$B, "Variant", Raw_Data_Daily!$C:$C, C$4),"")</f>
        <v>28.28420482</v>
      </c>
      <c r="D49" s="42">
        <f>IFERROR(SUMPRODUCT((Raw_Data_Daily!$B$2:$B$9999="Variant")*(Raw_Data_Daily!$C$2:$C$9999=D$4)*Raw_Data_Daily!$D$2:$D$9999*Raw_Data_Daily!$AJ$2:$AJ$9999)/SUMIFS(Raw_Data_Daily!$D:$D, Raw_Data_Daily!$B:$B, "Variant", Raw_Data_Daily!$C:$C, D$4),"")</f>
        <v>21.72766588</v>
      </c>
      <c r="E49" s="42">
        <f>IFERROR(SUMPRODUCT((Raw_Data_Daily!$B$2:$B$9999="Variant")*(Raw_Data_Daily!$C$2:$C$9999=E$4)*Raw_Data_Daily!$D$2:$D$9999*Raw_Data_Daily!$AJ$2:$AJ$9999)/SUMIFS(Raw_Data_Daily!$D:$D, Raw_Data_Daily!$B:$B, "Variant", Raw_Data_Daily!$C:$C, E$4),"")</f>
        <v>15.71793407</v>
      </c>
      <c r="F49" s="42">
        <f>IFERROR(SUMPRODUCT((Raw_Data_Daily!$B$2:$B$9999="Variant")*(Raw_Data_Daily!$C$2:$C$9999=F$4)*Raw_Data_Daily!$D$2:$D$9999*Raw_Data_Daily!$AJ$2:$AJ$9999)/SUMIFS(Raw_Data_Daily!$D:$D, Raw_Data_Daily!$B:$B, "Variant", Raw_Data_Daily!$C:$C, F$4),"")</f>
        <v>10.19060976</v>
      </c>
      <c r="G49" s="42">
        <f>IFERROR(SUMPRODUCT((Raw_Data_Daily!$B$2:$B$9999="Variant")*(Raw_Data_Daily!$C$2:$C$9999=G$4)*Raw_Data_Daily!$D$2:$D$9999*Raw_Data_Daily!$AJ$2:$AJ$9999)/SUMIFS(Raw_Data_Daily!$D:$D, Raw_Data_Daily!$B:$B, "Variant", Raw_Data_Daily!$C:$C, G$4),"")</f>
        <v>4.203789217</v>
      </c>
    </row>
    <row r="50" ht="15.75" customHeight="1">
      <c r="A50" s="10"/>
      <c r="B50" s="10" t="s">
        <v>192</v>
      </c>
      <c r="C50" s="42">
        <f>IFERROR(SUMPRODUCT((Raw_Data_Daily!$B$2:$B$9999="Variant")*(Raw_Data_Daily!$C$2:$C$9999=C$4)*Raw_Data_Daily!$D$2:$D$9999*Raw_Data_Daily!$AK$2:$AK$9999)/SUMIFS(Raw_Data_Daily!$D:$D, Raw_Data_Daily!$B:$B, "Variant", Raw_Data_Daily!$C:$C, C$4),"")</f>
        <v>8.265035605</v>
      </c>
      <c r="D50" s="42">
        <f>IFERROR(SUMPRODUCT((Raw_Data_Daily!$B$2:$B$9999="Variant")*(Raw_Data_Daily!$C$2:$C$9999=D$4)*Raw_Data_Daily!$D$2:$D$9999*Raw_Data_Daily!$AK$2:$AK$9999)/SUMIFS(Raw_Data_Daily!$D:$D, Raw_Data_Daily!$B:$B, "Variant", Raw_Data_Daily!$C:$C, D$4),"")</f>
        <v>4.36839625</v>
      </c>
      <c r="E50" s="42">
        <f>IFERROR(SUMPRODUCT((Raw_Data_Daily!$B$2:$B$9999="Variant")*(Raw_Data_Daily!$C$2:$C$9999=E$4)*Raw_Data_Daily!$D$2:$D$9999*Raw_Data_Daily!$AK$2:$AK$9999)/SUMIFS(Raw_Data_Daily!$D:$D, Raw_Data_Daily!$B:$B, "Variant", Raw_Data_Daily!$C:$C, E$4),"")</f>
        <v>4.304130241</v>
      </c>
      <c r="F50" s="42">
        <f>IFERROR(SUMPRODUCT((Raw_Data_Daily!$B$2:$B$9999="Variant")*(Raw_Data_Daily!$C$2:$C$9999=F$4)*Raw_Data_Daily!$D$2:$D$9999*Raw_Data_Daily!$AK$2:$AK$9999)/SUMIFS(Raw_Data_Daily!$D:$D, Raw_Data_Daily!$B:$B, "Variant", Raw_Data_Daily!$C:$C, F$4),"")</f>
        <v>2.199289122</v>
      </c>
      <c r="G50" s="42">
        <f>IFERROR(SUMPRODUCT((Raw_Data_Daily!$B$2:$B$9999="Variant")*(Raw_Data_Daily!$C$2:$C$9999=G$4)*Raw_Data_Daily!$D$2:$D$9999*Raw_Data_Daily!$AK$2:$AK$9999)/SUMIFS(Raw_Data_Daily!$D:$D, Raw_Data_Daily!$B:$B, "Variant", Raw_Data_Daily!$C:$C, G$4),"")</f>
        <v>0.6709381663</v>
      </c>
    </row>
    <row r="51" ht="15.75" customHeight="1">
      <c r="A51" s="10"/>
      <c r="B51" s="10" t="s">
        <v>193</v>
      </c>
      <c r="C51" s="42">
        <f>IFERROR(SUMPRODUCT((Raw_Data_Daily!$B$2:$B$9999="Variant")*(Raw_Data_Daily!$C$2:$C$9999=C$4)*Raw_Data_Daily!$D$2:$D$9999*Raw_Data_Daily!$AF$2:$AF$9999)/SUMIFS(Raw_Data_Daily!$D:$D, Raw_Data_Daily!$B:$B, "Variant", Raw_Data_Daily!$C:$C, C$4),"")</f>
        <v>4</v>
      </c>
      <c r="D51" s="42">
        <f>IFERROR(SUMPRODUCT((Raw_Data_Daily!$B$2:$B$9999="Variant")*(Raw_Data_Daily!$C$2:$C$9999=D$4)*Raw_Data_Daily!$D$2:$D$9999*Raw_Data_Daily!$AF$2:$AF$9999)/SUMIFS(Raw_Data_Daily!$D:$D, Raw_Data_Daily!$B:$B, "Variant", Raw_Data_Daily!$C:$C, D$4),"")</f>
        <v>7</v>
      </c>
      <c r="E51" s="42">
        <f>IFERROR(SUMPRODUCT((Raw_Data_Daily!$B$2:$B$9999="Variant")*(Raw_Data_Daily!$C$2:$C$9999=E$4)*Raw_Data_Daily!$D$2:$D$9999*Raw_Data_Daily!$AF$2:$AF$9999)/SUMIFS(Raw_Data_Daily!$D:$D, Raw_Data_Daily!$B:$B, "Variant", Raw_Data_Daily!$C:$C, E$4),"")</f>
        <v>11.0056697</v>
      </c>
      <c r="F51" s="42">
        <f>IFERROR(SUMPRODUCT((Raw_Data_Daily!$B$2:$B$9999="Variant")*(Raw_Data_Daily!$C$2:$C$9999=F$4)*Raw_Data_Daily!$D$2:$D$9999*Raw_Data_Daily!$AF$2:$AF$9999)/SUMIFS(Raw_Data_Daily!$D:$D, Raw_Data_Daily!$B:$B, "Variant", Raw_Data_Daily!$C:$C, F$4),"")</f>
        <v>18.32484132</v>
      </c>
      <c r="G51" s="42">
        <f>IFERROR(SUMPRODUCT((Raw_Data_Daily!$B$2:$B$9999="Variant")*(Raw_Data_Daily!$C$2:$C$9999=G$4)*Raw_Data_Daily!$D$2:$D$9999*Raw_Data_Daily!$AF$2:$AF$9999)/SUMIFS(Raw_Data_Daily!$D:$D, Raw_Data_Daily!$B:$B, "Variant", Raw_Data_Daily!$C:$C, G$4),"")</f>
        <v>31.26804752</v>
      </c>
    </row>
    <row r="52" ht="15.75" customHeight="1">
      <c r="A52" s="10"/>
      <c r="B52" s="10" t="s">
        <v>194</v>
      </c>
      <c r="C52" s="42">
        <f>IFERROR(SUMPRODUCT((Raw_Data_Daily!$B$2:$B$9999="Variant")*(Raw_Data_Daily!$C$2:$C$9999=C$4)*Raw_Data_Daily!$D$2:$D$9999*Raw_Data_Daily!$AG$2:$AG$9999)/SUMIFS(Raw_Data_Daily!$D:$D, Raw_Data_Daily!$B:$B, "Variant", Raw_Data_Daily!$C:$C, C$4),"")</f>
        <v>7.834428042</v>
      </c>
      <c r="D52" s="42">
        <f>IFERROR(SUMPRODUCT((Raw_Data_Daily!$B$2:$B$9999="Variant")*(Raw_Data_Daily!$C$2:$C$9999=D$4)*Raw_Data_Daily!$D$2:$D$9999*Raw_Data_Daily!$AG$2:$AG$9999)/SUMIFS(Raw_Data_Daily!$D:$D, Raw_Data_Daily!$B:$B, "Variant", Raw_Data_Daily!$C:$C, D$4),"")</f>
        <v>13</v>
      </c>
      <c r="E52" s="42">
        <f>IFERROR(SUMPRODUCT((Raw_Data_Daily!$B$2:$B$9999="Variant")*(Raw_Data_Daily!$C$2:$C$9999=E$4)*Raw_Data_Daily!$D$2:$D$9999*Raw_Data_Daily!$AG$2:$AG$9999)/SUMIFS(Raw_Data_Daily!$D:$D, Raw_Data_Daily!$B:$B, "Variant", Raw_Data_Daily!$C:$C, E$4),"")</f>
        <v>20.67199438</v>
      </c>
      <c r="F52" s="42">
        <f>IFERROR(SUMPRODUCT((Raw_Data_Daily!$B$2:$B$9999="Variant")*(Raw_Data_Daily!$C$2:$C$9999=F$4)*Raw_Data_Daily!$D$2:$D$9999*Raw_Data_Daily!$AG$2:$AG$9999)/SUMIFS(Raw_Data_Daily!$D:$D, Raw_Data_Daily!$B:$B, "Variant", Raw_Data_Daily!$C:$C, F$4),"")</f>
        <v>34.63663821</v>
      </c>
      <c r="G52" s="42">
        <f>IFERROR(SUMPRODUCT((Raw_Data_Daily!$B$2:$B$9999="Variant")*(Raw_Data_Daily!$C$2:$C$9999=G$4)*Raw_Data_Daily!$D$2:$D$9999*Raw_Data_Daily!$AG$2:$AG$9999)/SUMIFS(Raw_Data_Daily!$D:$D, Raw_Data_Daily!$B:$B, "Variant", Raw_Data_Daily!$C:$C, G$4),"")</f>
        <v>55.46999695</v>
      </c>
    </row>
    <row r="53" ht="15.75" customHeight="1">
      <c r="A53" s="10"/>
      <c r="B53" s="10" t="s">
        <v>195</v>
      </c>
      <c r="C53" s="42">
        <f>IFERROR(SUMPRODUCT((Raw_Data_Daily!$B$2:$B$9999="Variant")*(Raw_Data_Daily!$C$2:$C$9999=C$4)*Raw_Data_Daily!$D$2:$D$9999*Raw_Data_Daily!$AH$2:$AH$9999)/SUMIFS(Raw_Data_Daily!$D:$D, Raw_Data_Daily!$B:$B, "Variant", Raw_Data_Daily!$C:$C, C$4),"")</f>
        <v>14.17025428</v>
      </c>
      <c r="D53" s="42">
        <f>IFERROR(SUMPRODUCT((Raw_Data_Daily!$B$2:$B$9999="Variant")*(Raw_Data_Daily!$C$2:$C$9999=D$4)*Raw_Data_Daily!$D$2:$D$9999*Raw_Data_Daily!$AH$2:$AH$9999)/SUMIFS(Raw_Data_Daily!$D:$D, Raw_Data_Daily!$B:$B, "Variant", Raw_Data_Daily!$C:$C, D$4),"")</f>
        <v>22.15838699</v>
      </c>
      <c r="E53" s="42">
        <f>IFERROR(SUMPRODUCT((Raw_Data_Daily!$B$2:$B$9999="Variant")*(Raw_Data_Daily!$C$2:$C$9999=E$4)*Raw_Data_Daily!$D$2:$D$9999*Raw_Data_Daily!$AH$2:$AH$9999)/SUMIFS(Raw_Data_Daily!$D:$D, Raw_Data_Daily!$B:$B, "Variant", Raw_Data_Daily!$C:$C, E$4),"")</f>
        <v>35.50117444</v>
      </c>
      <c r="F53" s="42">
        <f>IFERROR(SUMPRODUCT((Raw_Data_Daily!$B$2:$B$9999="Variant")*(Raw_Data_Daily!$C$2:$C$9999=F$4)*Raw_Data_Daily!$D$2:$D$9999*Raw_Data_Daily!$AH$2:$AH$9999)/SUMIFS(Raw_Data_Daily!$D:$D, Raw_Data_Daily!$B:$B, "Variant", Raw_Data_Daily!$C:$C, F$4),"")</f>
        <v>58.10387393</v>
      </c>
      <c r="G53" s="42">
        <f>IFERROR(SUMPRODUCT((Raw_Data_Daily!$B$2:$B$9999="Variant")*(Raw_Data_Daily!$C$2:$C$9999=G$4)*Raw_Data_Daily!$D$2:$D$9999*Raw_Data_Daily!$AH$2:$AH$9999)/SUMIFS(Raw_Data_Daily!$D:$D, Raw_Data_Daily!$B:$B, "Variant", Raw_Data_Daily!$C:$C, G$4),"")</f>
        <v>99.8346025</v>
      </c>
    </row>
    <row r="54" ht="15.75" customHeight="1">
      <c r="A54" s="6" t="s">
        <v>196</v>
      </c>
      <c r="B54" s="87"/>
      <c r="C54" s="87"/>
      <c r="D54" s="87"/>
      <c r="E54" s="87"/>
      <c r="F54" s="87"/>
      <c r="G54" s="87"/>
    </row>
    <row r="55" ht="15.75" customHeight="1">
      <c r="A55" s="10"/>
      <c r="B55" s="69" t="s">
        <v>197</v>
      </c>
      <c r="C55" s="141">
        <f t="shared" ref="C55:G55" si="13">SUMPRODUCT(C48:C50/100,C10:C12)</f>
        <v>4.068175823</v>
      </c>
      <c r="D55" s="141">
        <f t="shared" si="13"/>
        <v>16.18373325</v>
      </c>
      <c r="E55" s="141">
        <f t="shared" si="13"/>
        <v>24.95267668</v>
      </c>
      <c r="F55" s="141">
        <f t="shared" si="13"/>
        <v>43.03580819</v>
      </c>
      <c r="G55" s="141">
        <f t="shared" si="13"/>
        <v>42.32097624</v>
      </c>
    </row>
    <row r="56" ht="15.75" customHeight="1">
      <c r="A56" s="10"/>
      <c r="B56" s="69" t="s">
        <v>198</v>
      </c>
      <c r="C56" s="141">
        <f t="shared" ref="C56:G56" si="14">SUMPRODUCT(C48:C50/100,C13:C15)</f>
        <v>4.068175823</v>
      </c>
      <c r="D56" s="141">
        <f t="shared" si="14"/>
        <v>16.18373325</v>
      </c>
      <c r="E56" s="141">
        <f t="shared" si="14"/>
        <v>20.87333447</v>
      </c>
      <c r="F56" s="141">
        <f t="shared" si="14"/>
        <v>38.36945021</v>
      </c>
      <c r="G56" s="141">
        <f t="shared" si="14"/>
        <v>35.368477</v>
      </c>
    </row>
    <row r="57" ht="15.75" customHeight="1">
      <c r="A57" s="10"/>
      <c r="B57" s="73" t="s">
        <v>199</v>
      </c>
      <c r="C57" s="142">
        <f t="shared" ref="C57:G57" si="15">if(C56-C55&gt;0, "+"&amp;mround(C56-C55, 0.01), C56-C55)</f>
        <v>0</v>
      </c>
      <c r="D57" s="142">
        <f t="shared" si="15"/>
        <v>0</v>
      </c>
      <c r="E57" s="142">
        <f t="shared" si="15"/>
        <v>-4.079342207</v>
      </c>
      <c r="F57" s="142">
        <f t="shared" si="15"/>
        <v>-4.666357978</v>
      </c>
      <c r="G57" s="142">
        <f t="shared" si="15"/>
        <v>-6.952499239</v>
      </c>
    </row>
    <row r="58" ht="15.75" customHeight="1">
      <c r="A58" s="10"/>
      <c r="B58" s="10" t="s">
        <v>200</v>
      </c>
      <c r="C58" s="143">
        <f t="shared" ref="C58:G58" si="16">IFERROR(C56/C55-1,"")</f>
        <v>0</v>
      </c>
      <c r="D58" s="143">
        <f t="shared" si="16"/>
        <v>0</v>
      </c>
      <c r="E58" s="143">
        <f t="shared" si="16"/>
        <v>-0.1634831509</v>
      </c>
      <c r="F58" s="143">
        <f t="shared" si="16"/>
        <v>-0.1084296583</v>
      </c>
      <c r="G58" s="143">
        <f t="shared" si="16"/>
        <v>-0.1642802188</v>
      </c>
    </row>
    <row r="59" ht="15.75" customHeight="1">
      <c r="A59" s="72" t="s">
        <v>201</v>
      </c>
      <c r="B59" s="87"/>
      <c r="C59" s="87"/>
      <c r="D59" s="87"/>
      <c r="E59" s="87"/>
      <c r="F59" s="87"/>
      <c r="G59" s="87"/>
    </row>
    <row r="60" ht="15.75" customHeight="1">
      <c r="A60" s="10"/>
      <c r="B60" s="69" t="s">
        <v>202</v>
      </c>
      <c r="C60" s="141">
        <f t="shared" ref="C60:G60" si="17">(C$48/100*C20)+(C$49/100*C23)+(C$50/100*C26)</f>
        <v>0.2828420482</v>
      </c>
      <c r="D60" s="141">
        <f t="shared" si="17"/>
        <v>0.2172766588</v>
      </c>
      <c r="E60" s="141">
        <f t="shared" si="17"/>
        <v>0.1571793407</v>
      </c>
      <c r="F60" s="141">
        <f t="shared" si="17"/>
        <v>0.1019060976</v>
      </c>
      <c r="G60" s="141">
        <f t="shared" si="17"/>
        <v>0.04203789217</v>
      </c>
    </row>
    <row r="61" ht="15.75" customHeight="1">
      <c r="A61" s="10"/>
      <c r="B61" s="69" t="s">
        <v>203</v>
      </c>
      <c r="C61" s="141">
        <f t="shared" ref="C61:G61" si="18">(C$48/100*C29)+(C$49/100*C32)+(C$50/100*C35)</f>
        <v>0.2828420482</v>
      </c>
      <c r="D61" s="141">
        <f t="shared" si="18"/>
        <v>0.2172766588</v>
      </c>
      <c r="E61" s="141">
        <f t="shared" si="18"/>
        <v>0.1571793407</v>
      </c>
      <c r="F61" s="141">
        <f t="shared" si="18"/>
        <v>0.4374555176</v>
      </c>
      <c r="G61" s="141">
        <f t="shared" si="18"/>
        <v>0.2360620774</v>
      </c>
    </row>
    <row r="62" ht="15.75" customHeight="1">
      <c r="A62" s="10"/>
      <c r="B62" s="73" t="s">
        <v>204</v>
      </c>
      <c r="C62" s="142">
        <f t="shared" ref="C62:G62" si="19">C61-C60</f>
        <v>0</v>
      </c>
      <c r="D62" s="142">
        <f t="shared" si="19"/>
        <v>0</v>
      </c>
      <c r="E62" s="142">
        <f t="shared" si="19"/>
        <v>0</v>
      </c>
      <c r="F62" s="142">
        <f t="shared" si="19"/>
        <v>0.33554942</v>
      </c>
      <c r="G62" s="142">
        <f t="shared" si="19"/>
        <v>0.1940241852</v>
      </c>
    </row>
    <row r="63" ht="15.75" customHeight="1">
      <c r="A63" s="10"/>
      <c r="B63" s="69" t="s">
        <v>205</v>
      </c>
      <c r="C63" s="143">
        <f t="shared" ref="C63:G63" si="20">IFERROR(C61/C60-1,"")</f>
        <v>0</v>
      </c>
      <c r="D63" s="143">
        <f t="shared" si="20"/>
        <v>0</v>
      </c>
      <c r="E63" s="143">
        <f t="shared" si="20"/>
        <v>0</v>
      </c>
      <c r="F63" s="143">
        <f t="shared" si="20"/>
        <v>3.292731523</v>
      </c>
      <c r="G63" s="143">
        <f t="shared" si="20"/>
        <v>4.615459415</v>
      </c>
    </row>
    <row r="64" ht="15.75" customHeight="1">
      <c r="A64" s="10"/>
      <c r="B64" s="144" t="s">
        <v>206</v>
      </c>
      <c r="C64" s="145">
        <f t="shared" ref="C64:G64" si="21">(C$48/100*C21)+(C$49/100*C24)+(C$50/100*C27)</f>
        <v>0.08265035605</v>
      </c>
      <c r="D64" s="145">
        <f t="shared" si="21"/>
        <v>0.0436839625</v>
      </c>
      <c r="E64" s="145">
        <f t="shared" si="21"/>
        <v>0.04304130241</v>
      </c>
      <c r="F64" s="145">
        <f t="shared" si="21"/>
        <v>0</v>
      </c>
      <c r="G64" s="145">
        <f t="shared" si="21"/>
        <v>0</v>
      </c>
    </row>
    <row r="65" ht="15.75" customHeight="1">
      <c r="A65" s="10"/>
      <c r="B65" s="69" t="s">
        <v>207</v>
      </c>
      <c r="C65" s="141">
        <f t="shared" ref="C65:G65" si="22">(C$48/100*C30)+(C$49/100*C33)+(C$50/100*C36)</f>
        <v>0</v>
      </c>
      <c r="D65" s="141">
        <f t="shared" si="22"/>
        <v>0</v>
      </c>
      <c r="E65" s="141">
        <f t="shared" si="22"/>
        <v>0</v>
      </c>
      <c r="F65" s="141">
        <f t="shared" si="22"/>
        <v>0.33554942</v>
      </c>
      <c r="G65" s="141">
        <f t="shared" si="22"/>
        <v>0.1940241852</v>
      </c>
    </row>
    <row r="66" ht="15.75" customHeight="1">
      <c r="A66" s="10"/>
      <c r="B66" s="73" t="s">
        <v>208</v>
      </c>
      <c r="C66" s="142">
        <f t="shared" ref="C66:G66" si="23">C65-C64</f>
        <v>-0.08265035605</v>
      </c>
      <c r="D66" s="142">
        <f t="shared" si="23"/>
        <v>-0.0436839625</v>
      </c>
      <c r="E66" s="142">
        <f t="shared" si="23"/>
        <v>-0.04304130241</v>
      </c>
      <c r="F66" s="142">
        <f t="shared" si="23"/>
        <v>0.33554942</v>
      </c>
      <c r="G66" s="142">
        <f t="shared" si="23"/>
        <v>0.1940241852</v>
      </c>
    </row>
    <row r="67" ht="15.75" customHeight="1">
      <c r="A67" s="10"/>
      <c r="B67" s="147" t="s">
        <v>210</v>
      </c>
      <c r="C67" s="143">
        <f t="shared" ref="C67:G67" si="24">IF(C64=0, IF(C65&gt;0, 1, 0), C65/C64-1)</f>
        <v>-1</v>
      </c>
      <c r="D67" s="143">
        <f t="shared" si="24"/>
        <v>-1</v>
      </c>
      <c r="E67" s="143">
        <f t="shared" si="24"/>
        <v>-1</v>
      </c>
      <c r="F67" s="143">
        <f t="shared" si="24"/>
        <v>1</v>
      </c>
      <c r="G67" s="143">
        <f t="shared" si="24"/>
        <v>1</v>
      </c>
    </row>
    <row r="68" ht="15.75" customHeight="1">
      <c r="A68" s="10"/>
      <c r="B68" s="144" t="s">
        <v>211</v>
      </c>
      <c r="C68" s="145">
        <f t="shared" ref="C68:G68" si="25">(C$48/100*C22)+(C$49/100*C25)+(C$50/100*C28)</f>
        <v>0</v>
      </c>
      <c r="D68" s="145">
        <f t="shared" si="25"/>
        <v>0</v>
      </c>
      <c r="E68" s="145">
        <f t="shared" si="25"/>
        <v>0</v>
      </c>
      <c r="F68" s="145">
        <f t="shared" si="25"/>
        <v>0</v>
      </c>
      <c r="G68" s="145">
        <f t="shared" si="25"/>
        <v>0</v>
      </c>
    </row>
    <row r="69" ht="15.75" customHeight="1">
      <c r="A69" s="10"/>
      <c r="B69" s="69" t="s">
        <v>212</v>
      </c>
      <c r="C69" s="141">
        <f t="shared" ref="C69:G69" si="26">(C$48/100*C31)+(C$49/100*C34)+(C$50/100*C37)</f>
        <v>0.08265035605</v>
      </c>
      <c r="D69" s="141">
        <f t="shared" si="26"/>
        <v>0.0436839625</v>
      </c>
      <c r="E69" s="141">
        <f t="shared" si="26"/>
        <v>0.04304130241</v>
      </c>
      <c r="F69" s="141">
        <f t="shared" si="26"/>
        <v>0.1019060976</v>
      </c>
      <c r="G69" s="141">
        <f t="shared" si="26"/>
        <v>0.04203789217</v>
      </c>
    </row>
    <row r="70" ht="15.75" customHeight="1">
      <c r="A70" s="10"/>
      <c r="B70" s="73" t="s">
        <v>213</v>
      </c>
      <c r="C70" s="142">
        <f t="shared" ref="C70:G70" si="27">C69-C68</f>
        <v>0.08265035605</v>
      </c>
      <c r="D70" s="142">
        <f t="shared" si="27"/>
        <v>0.0436839625</v>
      </c>
      <c r="E70" s="142">
        <f t="shared" si="27"/>
        <v>0.04304130241</v>
      </c>
      <c r="F70" s="142">
        <f t="shared" si="27"/>
        <v>0.1019060976</v>
      </c>
      <c r="G70" s="142">
        <f t="shared" si="27"/>
        <v>0.04203789217</v>
      </c>
    </row>
    <row r="71" ht="15.75" customHeight="1">
      <c r="A71" s="10"/>
      <c r="B71" s="69" t="s">
        <v>214</v>
      </c>
      <c r="C71" s="143">
        <f t="shared" ref="C71:G71" si="28">IF(C68=0, IF(C69&gt;0, 1, 0), C69/C68-1)</f>
        <v>1</v>
      </c>
      <c r="D71" s="143">
        <f t="shared" si="28"/>
        <v>1</v>
      </c>
      <c r="E71" s="143">
        <f t="shared" si="28"/>
        <v>1</v>
      </c>
      <c r="F71" s="143">
        <f t="shared" si="28"/>
        <v>1</v>
      </c>
      <c r="G71" s="143">
        <f t="shared" si="28"/>
        <v>1</v>
      </c>
    </row>
    <row r="72" ht="15.75" customHeight="1">
      <c r="A72" s="72" t="s">
        <v>215</v>
      </c>
      <c r="B72" s="87"/>
      <c r="C72" s="87"/>
      <c r="D72" s="87"/>
      <c r="E72" s="87"/>
      <c r="F72" s="87"/>
      <c r="G72" s="87"/>
    </row>
    <row r="73" ht="15.75" customHeight="1">
      <c r="A73" s="10"/>
      <c r="B73" s="10" t="s">
        <v>4</v>
      </c>
      <c r="C73" s="141">
        <f>LET(
  gain, Raw_Data_Daily!$Q$2:$Q$9999,
  players, Raw_Data_Daily!$D$2:$D$9999,
  group, Raw_Data_Daily!$B$2:$B$9999,
  segment, Raw_Data_Daily!$C$2:$C$9999,
  IFERROR(SUMPRODUCT(gain, players, --(group="Control"), --(segment=C$4)) / SUMPRODUCT(players, --(group="Control"), --(segment=C$4)), 0)
)</f>
        <v>57.36695326</v>
      </c>
      <c r="D73" s="141">
        <f>LET(
  gain, Raw_Data_Daily!$Q$2:$Q$9999,
  players, Raw_Data_Daily!$D$2:$D$9999,
  group, Raw_Data_Daily!$B$2:$B$9999,
  segment, Raw_Data_Daily!$C$2:$C$9999,
  IFERROR(SUMPRODUCT(gain, players, --(group="Control"), --(segment=D$4)) / SUMPRODUCT(players, --(group="Control"), --(segment=D$4)), 0)
)</f>
        <v>101.3250384</v>
      </c>
      <c r="E73" s="141">
        <f>LET(
  gain, Raw_Data_Daily!$Q$2:$Q$9999,
  players, Raw_Data_Daily!$D$2:$D$9999,
  group, Raw_Data_Daily!$B$2:$B$9999,
  segment, Raw_Data_Daily!$C$2:$C$9999,
  IFERROR(SUMPRODUCT(gain, players, --(group="Control"), --(segment=E$4)) / SUMPRODUCT(players, --(group="Control"), --(segment=E$4)), 0)
)</f>
        <v>160.0291589</v>
      </c>
      <c r="F73" s="141">
        <f>LET(
  gain, Raw_Data_Daily!$Q$2:$Q$9999,
  players, Raw_Data_Daily!$D$2:$D$9999,
  group, Raw_Data_Daily!$B$2:$B$9999,
  segment, Raw_Data_Daily!$C$2:$C$9999,
  IFERROR(SUMPRODUCT(gain, players, --(group="Control"), --(segment=F$4)) / SUMPRODUCT(players, --(group="Control"), --(segment=F$4)), 0)
)</f>
        <v>276.0834994</v>
      </c>
      <c r="G73" s="141">
        <f>LET(
  gain, Raw_Data_Daily!$Q$2:$Q$9999,
  players, Raw_Data_Daily!$D$2:$D$9999,
  group, Raw_Data_Daily!$B$2:$B$9999,
  segment, Raw_Data_Daily!$C$2:$C$9999,
  IFERROR(SUMPRODUCT(gain, players, --(group="Control"), --(segment=G$4)) / SUMPRODUCT(players, --(group="Control"), --(segment=G$4)), 0)
)</f>
        <v>458.5180327</v>
      </c>
    </row>
    <row r="74" ht="15.75" customHeight="1">
      <c r="A74" s="10"/>
      <c r="B74" s="10" t="s">
        <v>218</v>
      </c>
      <c r="C74" s="141">
        <f>LET(
  gain, Raw_Data_Daily!$Q$2:$Q$9999,
  players, Raw_Data_Daily!$D$2:$D$9999,
  group, Raw_Data_Daily!$B$2:$B$9999,
  segment, Raw_Data_Daily!$C$2:$C$9999,
  IFERROR(SUMPRODUCT(gain, players, --(group="Variant"), --(segment=C$4)) / SUMPRODUCT(players, --(group="Variant"), --(segment=C$4)), 0)
)</f>
        <v>55.78651574</v>
      </c>
      <c r="D74" s="141">
        <f>LET(
  gain, Raw_Data_Daily!$Q$2:$Q$9999,
  players, Raw_Data_Daily!$D$2:$D$9999,
  group, Raw_Data_Daily!$B$2:$B$9999,
  segment, Raw_Data_Daily!$C$2:$C$9999,
  IFERROR(SUMPRODUCT(gain, players, --(group="Variant"), --(segment=D$4)) / SUMPRODUCT(players, --(group="Variant"), --(segment=D$4)), 0)
)</f>
        <v>102.4265661</v>
      </c>
      <c r="E74" s="141">
        <f>LET(
  gain, Raw_Data_Daily!$Q$2:$Q$9999,
  players, Raw_Data_Daily!$D$2:$D$9999,
  group, Raw_Data_Daily!$B$2:$B$9999,
  segment, Raw_Data_Daily!$C$2:$C$9999,
  IFERROR(SUMPRODUCT(gain, players, --(group="Variant"), --(segment=E$4)) / SUMPRODUCT(players, --(group="Variant"), --(segment=E$4)), 0)
)</f>
        <v>180.9275483</v>
      </c>
      <c r="F74" s="141">
        <f>LET(
  gain, Raw_Data_Daily!$Q$2:$Q$9999,
  players, Raw_Data_Daily!$D$2:$D$9999,
  group, Raw_Data_Daily!$B$2:$B$9999,
  segment, Raw_Data_Daily!$C$2:$C$9999,
  IFERROR(SUMPRODUCT(gain, players, --(group="Variant"), --(segment=F$4)) / SUMPRODUCT(players, --(group="Variant"), --(segment=F$4)), 0)
)</f>
        <v>336.2677601</v>
      </c>
      <c r="G74" s="141">
        <f>LET(
  gain, Raw_Data_Daily!$Q$2:$Q$9999,
  players, Raw_Data_Daily!$D$2:$D$9999,
  group, Raw_Data_Daily!$B$2:$B$9999,
  segment, Raw_Data_Daily!$C$2:$C$9999,
  IFERROR(SUMPRODUCT(gain, players, --(group="Variant"), --(segment=G$4)) / SUMPRODUCT(players, --(group="Variant"), --(segment=G$4)), 0)
)</f>
        <v>594.8667103</v>
      </c>
    </row>
    <row r="75" ht="15.75" customHeight="1">
      <c r="A75" s="10"/>
      <c r="B75" s="58" t="s">
        <v>220</v>
      </c>
      <c r="C75" s="142">
        <f t="shared" ref="C75:G75" si="29">C74+C57</f>
        <v>55.78651574</v>
      </c>
      <c r="D75" s="142">
        <f t="shared" si="29"/>
        <v>102.4265661</v>
      </c>
      <c r="E75" s="142">
        <f t="shared" si="29"/>
        <v>176.8482061</v>
      </c>
      <c r="F75" s="142">
        <f t="shared" si="29"/>
        <v>331.6014021</v>
      </c>
      <c r="G75" s="142">
        <f t="shared" si="29"/>
        <v>587.9142111</v>
      </c>
    </row>
    <row r="76" ht="15.75" customHeight="1">
      <c r="A76" s="10"/>
      <c r="B76" s="69" t="s">
        <v>221</v>
      </c>
      <c r="C76" s="143">
        <f t="shared" ref="C76:G76" si="30">IFERROR(C74/C73-1,"")</f>
        <v>-0.02754961576</v>
      </c>
      <c r="D76" s="143">
        <f t="shared" si="30"/>
        <v>0.01087122944</v>
      </c>
      <c r="E76" s="143">
        <f t="shared" si="30"/>
        <v>0.1305911342</v>
      </c>
      <c r="F76" s="143">
        <f t="shared" si="30"/>
        <v>0.2179929654</v>
      </c>
      <c r="G76" s="143">
        <f t="shared" si="30"/>
        <v>0.2973681904</v>
      </c>
    </row>
    <row r="77" ht="15.75" customHeight="1">
      <c r="A77" s="157"/>
      <c r="B77" s="158" t="s">
        <v>222</v>
      </c>
      <c r="C77" s="159">
        <f t="shared" ref="C77:G77" si="31">IFERROR(C75/C73-1,"")</f>
        <v>-0.02754961576</v>
      </c>
      <c r="D77" s="159">
        <f t="shared" si="31"/>
        <v>0.01087122944</v>
      </c>
      <c r="E77" s="159">
        <f t="shared" si="31"/>
        <v>0.105099891</v>
      </c>
      <c r="F77" s="159">
        <f t="shared" si="31"/>
        <v>0.2010909847</v>
      </c>
      <c r="G77" s="159">
        <f t="shared" si="31"/>
        <v>0.2822052115</v>
      </c>
    </row>
    <row r="78" ht="15.75" customHeight="1">
      <c r="A78" s="160"/>
    </row>
    <row r="79" ht="15.75" customHeight="1">
      <c r="A79" s="161"/>
      <c r="B79" s="144" t="s">
        <v>4</v>
      </c>
      <c r="C79" s="145">
        <f>LET(
  gain, Raw_Data_Daily!$BO$2:$BO$9999,
  players, Raw_Data_Daily!$D$2:$D$9999,
  group, Raw_Data_Daily!$B$2:$B$9999,
  segment, Raw_Data_Daily!$C$2:$C$9999,
  IFERROR(SUMPRODUCT(gain, players, --(group="Control"), --(segment=C$4)) / SUMPRODUCT(players, --(group="Control"), --(segment=C$4)), 0)
)</f>
        <v>1.041002485</v>
      </c>
      <c r="D79" s="145">
        <f>LET(
  gain, Raw_Data_Daily!$BO$2:$BO$9999,
  players, Raw_Data_Daily!$D$2:$D$9999,
  group, Raw_Data_Daily!$B$2:$B$9999,
  segment, Raw_Data_Daily!$C$2:$C$9999,
  IFERROR(SUMPRODUCT(gain, players, --(group="Control"), --(segment=D$4)) / SUMPRODUCT(players, --(group="Control"), --(segment=D$4)), 0)
)</f>
        <v>1.545771115</v>
      </c>
      <c r="E79" s="145">
        <f>LET(
  gain, Raw_Data_Daily!$BO$2:$BO$9999,
  players, Raw_Data_Daily!$D$2:$D$9999,
  group, Raw_Data_Daily!$B$2:$B$9999,
  segment, Raw_Data_Daily!$C$2:$C$9999,
  IFERROR(SUMPRODUCT(gain, players, --(group="Control"), --(segment=E$4)) / SUMPRODUCT(players, --(group="Control"), --(segment=E$4)), 0)
)</f>
        <v>1.917481248</v>
      </c>
      <c r="F79" s="145">
        <f>LET(
  gain, Raw_Data_Daily!$BO$2:$BO$9999,
  players, Raw_Data_Daily!$D$2:$D$9999,
  group, Raw_Data_Daily!$B$2:$B$9999,
  segment, Raw_Data_Daily!$C$2:$C$9999,
  IFERROR(SUMPRODUCT(gain, players, --(group="Control"), --(segment=F$4)) / SUMPRODUCT(players, --(group="Control"), --(segment=F$4)), 0)
)</f>
        <v>2.475762269</v>
      </c>
      <c r="G79" s="145">
        <f>LET(
  gain, Raw_Data_Daily!$BO$2:$BO$9999,
  players, Raw_Data_Daily!$D$2:$D$9999,
  group, Raw_Data_Daily!$B$2:$B$9999,
  segment, Raw_Data_Daily!$C$2:$C$9999,
  IFERROR(SUMPRODUCT(gain, players, --(group="Control"), --(segment=G$4)) / SUMPRODUCT(players, --(group="Control"), --(segment=G$4)), 0)
)</f>
        <v>3.685479904</v>
      </c>
    </row>
    <row r="80" ht="15.75" customHeight="1">
      <c r="A80" s="10"/>
      <c r="B80" s="10" t="s">
        <v>218</v>
      </c>
      <c r="C80" s="141">
        <f>LET(
  gain, Raw_Data_Daily!$BO$2:$BO$9999,
  players, Raw_Data_Daily!$D$2:$D$9999,
  group, Raw_Data_Daily!$B$2:$B$9999,
  segment, Raw_Data_Daily!$C$2:$C$9999,
  IFERROR(SUMPRODUCT(gain, players, --(group="Variant"), --(segment=C$4)) / SUMPRODUCT(players, --(group="Variant"), --(segment=C$4)), 0)
)</f>
        <v>1.233675935</v>
      </c>
      <c r="D80" s="141">
        <f>LET(
  gain, Raw_Data_Daily!$BO$2:$BO$9999,
  players, Raw_Data_Daily!$D$2:$D$9999,
  group, Raw_Data_Daily!$B$2:$B$9999,
  segment, Raw_Data_Daily!$C$2:$C$9999,
  IFERROR(SUMPRODUCT(gain, players, --(group="Variant"), --(segment=D$4)) / SUMPRODUCT(players, --(group="Variant"), --(segment=D$4)), 0)
)</f>
        <v>1.666492353</v>
      </c>
      <c r="E80" s="141">
        <f>LET(
  gain, Raw_Data_Daily!$BO$2:$BO$9999,
  players, Raw_Data_Daily!$D$2:$D$9999,
  group, Raw_Data_Daily!$B$2:$B$9999,
  segment, Raw_Data_Daily!$C$2:$C$9999,
  IFERROR(SUMPRODUCT(gain, players, --(group="Variant"), --(segment=E$4)) / SUMPRODUCT(players, --(group="Variant"), --(segment=E$4)), 0)
)</f>
        <v>1.934239655</v>
      </c>
      <c r="F80" s="141">
        <f>LET(
  gain, Raw_Data_Daily!$BO$2:$BO$9999,
  players, Raw_Data_Daily!$D$2:$D$9999,
  group, Raw_Data_Daily!$B$2:$B$9999,
  segment, Raw_Data_Daily!$C$2:$C$9999,
  IFERROR(SUMPRODUCT(gain, players, --(group="Variant"), --(segment=F$4)) / SUMPRODUCT(players, --(group="Variant"), --(segment=F$4)), 0)
)</f>
        <v>2.239972926</v>
      </c>
      <c r="G80" s="141">
        <f>LET(
  gain, Raw_Data_Daily!$BO$2:$BO$9999,
  players, Raw_Data_Daily!$D$2:$D$9999,
  group, Raw_Data_Daily!$B$2:$B$9999,
  segment, Raw_Data_Daily!$C$2:$C$9999,
  IFERROR(SUMPRODUCT(gain, players, --(group="Variant"), --(segment=G$4)) / SUMPRODUCT(players, --(group="Variant"), --(segment=G$4)), 0)
)</f>
        <v>2.789832988</v>
      </c>
    </row>
    <row r="81" ht="15.75" customHeight="1">
      <c r="A81" s="10"/>
      <c r="B81" s="58" t="s">
        <v>220</v>
      </c>
      <c r="C81" s="142">
        <f t="shared" ref="C81:G81" si="32">C80+C62</f>
        <v>1.233675935</v>
      </c>
      <c r="D81" s="142">
        <f t="shared" si="32"/>
        <v>1.666492353</v>
      </c>
      <c r="E81" s="142">
        <f t="shared" si="32"/>
        <v>1.934239655</v>
      </c>
      <c r="F81" s="142">
        <f t="shared" si="32"/>
        <v>2.575522346</v>
      </c>
      <c r="G81" s="142">
        <f t="shared" si="32"/>
        <v>2.983857173</v>
      </c>
    </row>
    <row r="82" ht="15.75" customHeight="1">
      <c r="A82" s="10"/>
      <c r="B82" s="69" t="s">
        <v>224</v>
      </c>
      <c r="C82" s="162">
        <f t="shared" ref="C82:G82" si="33">IFERROR(C80/C79-1,"")</f>
        <v>0.185084524</v>
      </c>
      <c r="D82" s="162">
        <f t="shared" si="33"/>
        <v>0.07809774445</v>
      </c>
      <c r="E82" s="162">
        <f t="shared" si="33"/>
        <v>0.008739802645</v>
      </c>
      <c r="F82" s="162">
        <f t="shared" si="33"/>
        <v>-0.09523908898</v>
      </c>
      <c r="G82" s="162">
        <f t="shared" si="33"/>
        <v>-0.2430204314</v>
      </c>
    </row>
    <row r="83" ht="15.75" customHeight="1">
      <c r="A83" s="10"/>
      <c r="B83" s="73" t="s">
        <v>225</v>
      </c>
      <c r="C83" s="163">
        <f t="shared" ref="C83:G83" si="34">IFERROR(C81/C79-1,"")</f>
        <v>0.185084524</v>
      </c>
      <c r="D83" s="163">
        <f t="shared" si="34"/>
        <v>0.07809774445</v>
      </c>
      <c r="E83" s="163">
        <f t="shared" si="34"/>
        <v>0.008739802645</v>
      </c>
      <c r="F83" s="163">
        <f t="shared" si="34"/>
        <v>0.04029469153</v>
      </c>
      <c r="G83" s="163">
        <f t="shared" si="34"/>
        <v>-0.1903748627</v>
      </c>
    </row>
    <row r="84" ht="15.75" customHeight="1">
      <c r="A84" s="10"/>
      <c r="B84" s="144" t="s">
        <v>4</v>
      </c>
      <c r="C84" s="145">
        <f>LET(gain, Raw_Data_Daily!$BS$2:$BS$9999, players, Raw_Data_Daily!$D$2:$D$9999, group, Raw_Data_Daily!$B$2:$B$9999, segment, Raw_Data_Daily!$C$2:$C$9999, IFERROR(SUMPRODUCT(gain, players, --(group="Control"), --(segment=C$4)) / SUMPRODUCT(players, --(group="Control"), --(segment=C$4)), 0))</f>
        <v>0.9526226124</v>
      </c>
      <c r="D84" s="145">
        <f>LET(gain, Raw_Data_Daily!$BS$2:$BS$9999, players, Raw_Data_Daily!$D$2:$D$9999, group, Raw_Data_Daily!$B$2:$B$9999, segment, Raw_Data_Daily!$C$2:$C$9999, IFERROR(SUMPRODUCT(gain, players, --(group="Control"), --(segment=D$4)) / SUMPRODUCT(players, --(group="Control"), --(segment=D$4)), 0))</f>
        <v>1.353225878</v>
      </c>
      <c r="E84" s="145">
        <f>LET(gain, Raw_Data_Daily!$BS$2:$BS$9999, players, Raw_Data_Daily!$D$2:$D$9999, group, Raw_Data_Daily!$B$2:$B$9999, segment, Raw_Data_Daily!$C$2:$C$9999, IFERROR(SUMPRODUCT(gain, players, --(group="Control"), --(segment=E$4)) / SUMPRODUCT(players, --(group="Control"), --(segment=E$4)), 0))</f>
        <v>1.918769646</v>
      </c>
      <c r="F84" s="145">
        <f>LET(gain, Raw_Data_Daily!$BS$2:$BS$9999, players, Raw_Data_Daily!$D$2:$D$9999, group, Raw_Data_Daily!$B$2:$B$9999, segment, Raw_Data_Daily!$C$2:$C$9999, IFERROR(SUMPRODUCT(gain, players, --(group="Control"), --(segment=F$4)) / SUMPRODUCT(players, --(group="Control"), --(segment=F$4)), 0))</f>
        <v>2.550375264</v>
      </c>
      <c r="G84" s="145">
        <f>LET(gain, Raw_Data_Daily!$BS$2:$BS$9999, players, Raw_Data_Daily!$D$2:$D$9999, group, Raw_Data_Daily!$B$2:$B$9999, segment, Raw_Data_Daily!$C$2:$C$9999, IFERROR(SUMPRODUCT(gain, players, --(group="Control"), --(segment=G$4)) / SUMPRODUCT(players, --(group="Control"), --(segment=G$4)), 0))</f>
        <v>3.780998816</v>
      </c>
    </row>
    <row r="85" ht="15.75" customHeight="1">
      <c r="A85" s="10"/>
      <c r="B85" s="10" t="s">
        <v>218</v>
      </c>
      <c r="C85" s="141">
        <f>LET(gain, Raw_Data_Daily!$BS$2:$BS$9999, players, Raw_Data_Daily!$D$2:$D$9999, group, Raw_Data_Daily!$B$2:$B$9999, segment, Raw_Data_Daily!$C$2:$C$9999, IFERROR(SUMPRODUCT(gain, players, --(group="Variant"), --(segment=C$4)) / SUMPRODUCT(players, --(group="Variant"), --(segment=C$4)), 0))</f>
        <v>1.137841027</v>
      </c>
      <c r="D85" s="141">
        <f>LET(gain, Raw_Data_Daily!$BS$2:$BS$9999, players, Raw_Data_Daily!$D$2:$D$9999, group, Raw_Data_Daily!$B$2:$B$9999, segment, Raw_Data_Daily!$C$2:$C$9999, IFERROR(SUMPRODUCT(gain, players, --(group="Variant"), --(segment=D$4)) / SUMPRODUCT(players, --(group="Variant"), --(segment=D$4)), 0))</f>
        <v>1.512218715</v>
      </c>
      <c r="E85" s="141">
        <f>LET(gain, Raw_Data_Daily!$BS$2:$BS$9999, players, Raw_Data_Daily!$D$2:$D$9999, group, Raw_Data_Daily!$B$2:$B$9999, segment, Raw_Data_Daily!$C$2:$C$9999, IFERROR(SUMPRODUCT(gain, players, --(group="Variant"), --(segment=E$4)) / SUMPRODUCT(players, --(group="Variant"), --(segment=E$4)), 0))</f>
        <v>1.947323167</v>
      </c>
      <c r="F85" s="141">
        <f>LET(gain, Raw_Data_Daily!$BS$2:$BS$9999, players, Raw_Data_Daily!$D$2:$D$9999, group, Raw_Data_Daily!$B$2:$B$9999, segment, Raw_Data_Daily!$C$2:$C$9999, IFERROR(SUMPRODUCT(gain, players, --(group="Variant"), --(segment=F$4)) / SUMPRODUCT(players, --(group="Variant"), --(segment=F$4)), 0))</f>
        <v>2.242692865</v>
      </c>
      <c r="G85" s="141">
        <f>LET(gain, Raw_Data_Daily!$BS$2:$BS$9999, players, Raw_Data_Daily!$D$2:$D$9999, group, Raw_Data_Daily!$B$2:$B$9999, segment, Raw_Data_Daily!$C$2:$C$9999, IFERROR(SUMPRODUCT(gain, players, --(group="Variant"), --(segment=G$4)) / SUMPRODUCT(players, --(group="Variant"), --(segment=G$4)), 0))</f>
        <v>2.880902345</v>
      </c>
    </row>
    <row r="86" ht="15.75" customHeight="1">
      <c r="A86" s="10"/>
      <c r="B86" s="58" t="s">
        <v>220</v>
      </c>
      <c r="C86" s="142">
        <f t="shared" ref="C86:G86" si="35">C85+C66</f>
        <v>1.055190671</v>
      </c>
      <c r="D86" s="142">
        <f t="shared" si="35"/>
        <v>1.468534752</v>
      </c>
      <c r="E86" s="142">
        <f t="shared" si="35"/>
        <v>1.904281865</v>
      </c>
      <c r="F86" s="142">
        <f t="shared" si="35"/>
        <v>2.578242285</v>
      </c>
      <c r="G86" s="142">
        <f t="shared" si="35"/>
        <v>3.074926531</v>
      </c>
    </row>
    <row r="87" ht="15.75" customHeight="1">
      <c r="A87" s="10"/>
      <c r="B87" s="69" t="s">
        <v>228</v>
      </c>
      <c r="C87" s="162">
        <f t="shared" ref="C87:G87" si="36">IFERROR(C85/C84-1,"")</f>
        <v>0.1944300003</v>
      </c>
      <c r="D87" s="162">
        <f t="shared" si="36"/>
        <v>0.1174917206</v>
      </c>
      <c r="E87" s="162">
        <f t="shared" si="36"/>
        <v>0.01488116177</v>
      </c>
      <c r="F87" s="162">
        <f t="shared" si="36"/>
        <v>-0.1206420103</v>
      </c>
      <c r="G87" s="162">
        <f t="shared" si="36"/>
        <v>-0.2380578558</v>
      </c>
    </row>
    <row r="88" ht="15.75" customHeight="1">
      <c r="A88" s="10"/>
      <c r="B88" s="73" t="s">
        <v>229</v>
      </c>
      <c r="C88" s="163">
        <f t="shared" ref="C88:G88" si="37">IFERROR(C86/C84-1,"")</f>
        <v>0.1076691414</v>
      </c>
      <c r="D88" s="163">
        <f t="shared" si="37"/>
        <v>0.08521036744</v>
      </c>
      <c r="E88" s="163">
        <f t="shared" si="37"/>
        <v>-0.007550557695</v>
      </c>
      <c r="F88" s="163">
        <f t="shared" si="37"/>
        <v>0.01092663561</v>
      </c>
      <c r="G88" s="163">
        <f t="shared" si="37"/>
        <v>-0.1867422657</v>
      </c>
    </row>
    <row r="89" ht="15.75" customHeight="1">
      <c r="A89" s="10"/>
      <c r="B89" s="144" t="s">
        <v>4</v>
      </c>
      <c r="C89" s="145">
        <f>LET(gain, Raw_Data_Daily!$BW$2:$BW$9999, players, Raw_Data_Daily!$D$2:$D$9999, group, Raw_Data_Daily!$B$2:$B$9999, segment, Raw_Data_Daily!$C$2:$C$9999, IFERROR(SUMPRODUCT(gain, players, --(group="Control"), --(segment=C$4)) / SUMPRODUCT(players, --(group="Control"), --(segment=C$4)), 0))</f>
        <v>0.4789269104</v>
      </c>
      <c r="D89" s="145">
        <f>LET(gain, Raw_Data_Daily!$BW$2:$BW$9999, players, Raw_Data_Daily!$D$2:$D$9999, group, Raw_Data_Daily!$B$2:$B$9999, segment, Raw_Data_Daily!$C$2:$C$9999, IFERROR(SUMPRODUCT(gain, players, --(group="Control"), --(segment=D$4)) / SUMPRODUCT(players, --(group="Control"), --(segment=D$4)), 0))</f>
        <v>0.9079000023</v>
      </c>
      <c r="E89" s="145">
        <f>LET(gain, Raw_Data_Daily!$BW$2:$BW$9999, players, Raw_Data_Daily!$D$2:$D$9999, group, Raw_Data_Daily!$B$2:$B$9999, segment, Raw_Data_Daily!$C$2:$C$9999, IFERROR(SUMPRODUCT(gain, players, --(group="Control"), --(segment=E$4)) / SUMPRODUCT(players, --(group="Control"), --(segment=E$4)), 0))</f>
        <v>1.431875226</v>
      </c>
      <c r="F89" s="145">
        <f>LET(gain, Raw_Data_Daily!$BW$2:$BW$9999, players, Raw_Data_Daily!$D$2:$D$9999, group, Raw_Data_Daily!$B$2:$B$9999, segment, Raw_Data_Daily!$C$2:$C$9999, IFERROR(SUMPRODUCT(gain, players, --(group="Control"), --(segment=F$4)) / SUMPRODUCT(players, --(group="Control"), --(segment=F$4)), 0))</f>
        <v>2.233782213</v>
      </c>
      <c r="G89" s="145">
        <f>LET(gain, Raw_Data_Daily!$BW$2:$BW$9999, players, Raw_Data_Daily!$D$2:$D$9999, group, Raw_Data_Daily!$B$2:$B$9999, segment, Raw_Data_Daily!$C$2:$C$9999, IFERROR(SUMPRODUCT(gain, players, --(group="Control"), --(segment=G$4)) / SUMPRODUCT(players, --(group="Control"), --(segment=G$4)), 0))</f>
        <v>3.520012993</v>
      </c>
    </row>
    <row r="90" ht="15.75" customHeight="1">
      <c r="A90" s="10"/>
      <c r="B90" s="10" t="s">
        <v>218</v>
      </c>
      <c r="C90" s="141">
        <f>LET(gain, Raw_Data_Daily!$BW$2:$BW$9999, players, Raw_Data_Daily!$D$2:$D$9999, group, Raw_Data_Daily!$B$2:$B$9999, segment, Raw_Data_Daily!$C$2:$C$9999, IFERROR(SUMPRODUCT(gain, players, --(group="Variant"), --(segment=C$4)) / SUMPRODUCT(players, --(group="Variant"), --(segment=C$4)), 0))</f>
        <v>0.3724960818</v>
      </c>
      <c r="D90" s="141">
        <f>LET(gain, Raw_Data_Daily!$BW$2:$BW$9999, players, Raw_Data_Daily!$D$2:$D$9999, group, Raw_Data_Daily!$B$2:$B$9999, segment, Raw_Data_Daily!$C$2:$C$9999, IFERROR(SUMPRODUCT(gain, players, --(group="Variant"), --(segment=D$4)) / SUMPRODUCT(players, --(group="Variant"), --(segment=D$4)), 0))</f>
        <v>0.7743223427</v>
      </c>
      <c r="E90" s="141">
        <f>LET(gain, Raw_Data_Daily!$BW$2:$BW$9999, players, Raw_Data_Daily!$D$2:$D$9999, group, Raw_Data_Daily!$B$2:$B$9999, segment, Raw_Data_Daily!$C$2:$C$9999, IFERROR(SUMPRODUCT(gain, players, --(group="Variant"), --(segment=E$4)) / SUMPRODUCT(players, --(group="Variant"), --(segment=E$4)), 0))</f>
        <v>1.289762712</v>
      </c>
      <c r="F90" s="141">
        <f>LET(gain, Raw_Data_Daily!$BW$2:$BW$9999, players, Raw_Data_Daily!$D$2:$D$9999, group, Raw_Data_Daily!$B$2:$B$9999, segment, Raw_Data_Daily!$C$2:$C$9999, IFERROR(SUMPRODUCT(gain, players, --(group="Variant"), --(segment=F$4)) / SUMPRODUCT(players, --(group="Variant"), --(segment=F$4)), 0))</f>
        <v>1.939412878</v>
      </c>
      <c r="G90" s="141">
        <f>LET(gain, Raw_Data_Daily!$BW$2:$BW$9999, players, Raw_Data_Daily!$D$2:$D$9999, group, Raw_Data_Daily!$B$2:$B$9999, segment, Raw_Data_Daily!$C$2:$C$9999, IFERROR(SUMPRODUCT(gain, players, --(group="Variant"), --(segment=G$4)) / SUMPRODUCT(players, --(group="Variant"), --(segment=G$4)), 0))</f>
        <v>2.775820865</v>
      </c>
    </row>
    <row r="91" ht="15.75" customHeight="1">
      <c r="A91" s="10"/>
      <c r="B91" s="58" t="s">
        <v>220</v>
      </c>
      <c r="C91" s="142">
        <f t="shared" ref="C91:G91" si="38">C90+C70</f>
        <v>0.4551464379</v>
      </c>
      <c r="D91" s="142">
        <f t="shared" si="38"/>
        <v>0.8180063052</v>
      </c>
      <c r="E91" s="142">
        <f t="shared" si="38"/>
        <v>1.332804015</v>
      </c>
      <c r="F91" s="142">
        <f t="shared" si="38"/>
        <v>2.041318976</v>
      </c>
      <c r="G91" s="142">
        <f t="shared" si="38"/>
        <v>2.817858757</v>
      </c>
    </row>
    <row r="92" ht="15.75" customHeight="1">
      <c r="A92" s="10"/>
      <c r="B92" s="69" t="s">
        <v>231</v>
      </c>
      <c r="C92" s="162">
        <f t="shared" ref="C92:G92" si="39">IFERROR(C90/C89-1,"")</f>
        <v>-0.2222277059</v>
      </c>
      <c r="D92" s="162">
        <f t="shared" si="39"/>
        <v>-0.1471281631</v>
      </c>
      <c r="E92" s="162">
        <f t="shared" si="39"/>
        <v>-0.09924923036</v>
      </c>
      <c r="F92" s="162">
        <f t="shared" si="39"/>
        <v>-0.1317806782</v>
      </c>
      <c r="G92" s="162">
        <f t="shared" si="39"/>
        <v>-0.2114174378</v>
      </c>
    </row>
    <row r="93" ht="15.75" customHeight="1">
      <c r="A93" s="10"/>
      <c r="B93" s="73" t="s">
        <v>232</v>
      </c>
      <c r="C93" s="163">
        <f t="shared" ref="C93:G93" si="40">IFERROR(C91/C89-1,"")</f>
        <v>-0.04965365705</v>
      </c>
      <c r="D93" s="163">
        <f t="shared" si="40"/>
        <v>-0.0990127733</v>
      </c>
      <c r="E93" s="163">
        <f t="shared" si="40"/>
        <v>-0.06918983579</v>
      </c>
      <c r="F93" s="163">
        <f t="shared" si="40"/>
        <v>-0.0861602515</v>
      </c>
      <c r="G93" s="163">
        <f t="shared" si="40"/>
        <v>-0.1994748989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conditionalFormatting sqref="C63:G63 C67:G67 C71:G71 C76:G76 C82:G82 C87:G87 C92:G92">
    <cfRule type="cellIs" dxfId="2" priority="1" operator="greaterThan">
      <formula>0</formula>
    </cfRule>
  </conditionalFormatting>
  <conditionalFormatting sqref="C63:G63 C67:G67 C71:G71 C76:G76 C82:G82 C87:G87 C92:G92">
    <cfRule type="cellIs" dxfId="3" priority="2" operator="lessThan">
      <formula>0</formula>
    </cfRule>
  </conditionalFormatting>
  <conditionalFormatting sqref="C58:G58 C63:G63 C67:G67 C71:G71">
    <cfRule type="cellIs" dxfId="2" priority="3" operator="greaterThan">
      <formula>0</formula>
    </cfRule>
  </conditionalFormatting>
  <conditionalFormatting sqref="C20:G37">
    <cfRule type="cellIs" dxfId="4" priority="4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8.86"/>
    <col customWidth="1" min="2" max="2" width="42.0"/>
    <col customWidth="1" min="3" max="7" width="34.29"/>
    <col customWidth="1" min="8" max="8" width="8.71"/>
    <col customWidth="1" min="9" max="9" width="4.0"/>
    <col customWidth="1" min="10" max="43" width="8.71"/>
  </cols>
  <sheetData>
    <row r="1">
      <c r="A1" s="81" t="s">
        <v>126</v>
      </c>
    </row>
    <row r="3">
      <c r="A3" s="82" t="s">
        <v>127</v>
      </c>
      <c r="B3" s="82" t="s">
        <v>3</v>
      </c>
      <c r="C3" s="83" t="s">
        <v>128</v>
      </c>
      <c r="D3" s="83" t="s">
        <v>129</v>
      </c>
      <c r="E3" s="83" t="s">
        <v>130</v>
      </c>
      <c r="F3" s="83" t="s">
        <v>131</v>
      </c>
      <c r="G3" s="83" t="s">
        <v>132</v>
      </c>
    </row>
    <row r="4">
      <c r="A4" s="84"/>
      <c r="B4" s="85"/>
      <c r="C4" s="86" t="s">
        <v>133</v>
      </c>
      <c r="D4" s="86" t="s">
        <v>134</v>
      </c>
      <c r="E4" s="86" t="s">
        <v>135</v>
      </c>
      <c r="F4" s="86" t="s">
        <v>136</v>
      </c>
      <c r="G4" s="86" t="s">
        <v>137</v>
      </c>
    </row>
    <row r="5">
      <c r="A5" s="6" t="s">
        <v>138</v>
      </c>
      <c r="B5" s="87"/>
      <c r="C5" s="87"/>
      <c r="D5" s="87"/>
      <c r="E5" s="87"/>
      <c r="F5" s="87"/>
      <c r="G5" s="87"/>
    </row>
    <row r="6">
      <c r="A6" s="89"/>
      <c r="B6" s="90" t="s">
        <v>140</v>
      </c>
      <c r="C6" s="92">
        <v>2.0</v>
      </c>
      <c r="D6" s="92">
        <v>6.0</v>
      </c>
      <c r="E6" s="92">
        <v>11.0</v>
      </c>
      <c r="F6" s="92">
        <v>28.0</v>
      </c>
      <c r="G6" s="92">
        <v>80.0</v>
      </c>
      <c r="I6" s="93"/>
    </row>
    <row r="7">
      <c r="A7" s="89"/>
      <c r="B7" s="90" t="s">
        <v>141</v>
      </c>
      <c r="C7" s="92">
        <v>5.0</v>
      </c>
      <c r="D7" s="92">
        <v>13.0</v>
      </c>
      <c r="E7" s="92">
        <v>26.0</v>
      </c>
      <c r="F7" s="92">
        <v>60.0</v>
      </c>
      <c r="G7" s="92">
        <v>175.0</v>
      </c>
    </row>
    <row r="8">
      <c r="A8" s="89"/>
      <c r="B8" s="90" t="s">
        <v>142</v>
      </c>
      <c r="C8" s="94">
        <v>10.0</v>
      </c>
      <c r="D8" s="94">
        <v>26.0</v>
      </c>
      <c r="E8" s="94">
        <v>42.0</v>
      </c>
      <c r="F8" s="94">
        <v>100.0</v>
      </c>
      <c r="G8" s="94">
        <v>280.0</v>
      </c>
    </row>
    <row r="9">
      <c r="A9" s="6" t="s">
        <v>143</v>
      </c>
      <c r="B9" s="87"/>
      <c r="C9" s="87"/>
      <c r="D9" s="87"/>
      <c r="E9" s="87"/>
      <c r="F9" s="87"/>
      <c r="G9" s="87"/>
    </row>
    <row r="10">
      <c r="A10" s="89"/>
      <c r="B10" s="90" t="s">
        <v>144</v>
      </c>
      <c r="C10" s="96">
        <v>0.0</v>
      </c>
      <c r="D10" s="97">
        <v>10.0</v>
      </c>
      <c r="E10" s="97">
        <v>15.0</v>
      </c>
      <c r="F10" s="97">
        <v>60.0</v>
      </c>
      <c r="G10" s="97">
        <v>125.0</v>
      </c>
      <c r="I10" s="93"/>
    </row>
    <row r="11">
      <c r="A11" s="89"/>
      <c r="B11" s="90" t="s">
        <v>145</v>
      </c>
      <c r="C11" s="98">
        <v>10.0</v>
      </c>
      <c r="D11" s="98">
        <v>35.0</v>
      </c>
      <c r="E11" s="98">
        <v>60.0</v>
      </c>
      <c r="F11" s="98">
        <v>160.0</v>
      </c>
      <c r="G11" s="98">
        <v>350.0</v>
      </c>
    </row>
    <row r="12">
      <c r="A12" s="89"/>
      <c r="B12" s="90" t="s">
        <v>146</v>
      </c>
      <c r="C12" s="99">
        <v>15.0</v>
      </c>
      <c r="D12" s="99">
        <v>70.0</v>
      </c>
      <c r="E12" s="99">
        <v>100.0</v>
      </c>
      <c r="F12" s="99">
        <v>300.0</v>
      </c>
      <c r="G12" s="99">
        <v>500.0</v>
      </c>
    </row>
    <row r="13">
      <c r="A13" s="89"/>
      <c r="B13" s="100" t="s">
        <v>147</v>
      </c>
      <c r="C13" s="96">
        <v>0.0</v>
      </c>
      <c r="D13" s="97">
        <v>10.0</v>
      </c>
      <c r="E13" s="97">
        <v>15.0</v>
      </c>
      <c r="F13" s="97">
        <v>60.0</v>
      </c>
      <c r="G13" s="97">
        <v>100.0</v>
      </c>
    </row>
    <row r="14">
      <c r="A14" s="89"/>
      <c r="B14" s="100" t="s">
        <v>148</v>
      </c>
      <c r="C14" s="98">
        <v>10.0</v>
      </c>
      <c r="D14" s="98">
        <v>35.0</v>
      </c>
      <c r="E14" s="98">
        <v>75.0</v>
      </c>
      <c r="F14" s="98">
        <v>125.0</v>
      </c>
      <c r="G14" s="98">
        <v>300.0</v>
      </c>
    </row>
    <row r="15">
      <c r="A15" s="89"/>
      <c r="B15" s="100" t="s">
        <v>149</v>
      </c>
      <c r="C15" s="99">
        <v>15.0</v>
      </c>
      <c r="D15" s="99">
        <v>70.0</v>
      </c>
      <c r="E15" s="99">
        <v>140.0</v>
      </c>
      <c r="F15" s="99">
        <v>250.0</v>
      </c>
      <c r="G15" s="99">
        <v>500.0</v>
      </c>
    </row>
    <row r="16">
      <c r="A16" s="103"/>
      <c r="B16" s="104" t="s">
        <v>150</v>
      </c>
      <c r="C16" s="105">
        <f t="shared" ref="C16:G16" si="1">if(C13-C10&gt;0, "+"&amp;C13-C10, C13-C10)</f>
        <v>0</v>
      </c>
      <c r="D16" s="105">
        <f t="shared" si="1"/>
        <v>0</v>
      </c>
      <c r="E16" s="105">
        <f t="shared" si="1"/>
        <v>0</v>
      </c>
      <c r="F16" s="106">
        <f t="shared" si="1"/>
        <v>0</v>
      </c>
      <c r="G16" s="106">
        <f t="shared" si="1"/>
        <v>-25</v>
      </c>
    </row>
    <row r="17">
      <c r="A17" s="103"/>
      <c r="B17" s="104" t="s">
        <v>152</v>
      </c>
      <c r="C17" s="42">
        <f t="shared" ref="C17:G17" si="2">if(C14-C11&gt;0, "+"&amp;C14-C11, C14-C11)</f>
        <v>0</v>
      </c>
      <c r="D17" s="42">
        <f t="shared" si="2"/>
        <v>0</v>
      </c>
      <c r="E17" s="42" t="str">
        <f t="shared" si="2"/>
        <v>+15</v>
      </c>
      <c r="F17" s="42">
        <f t="shared" si="2"/>
        <v>-35</v>
      </c>
      <c r="G17" s="42">
        <f t="shared" si="2"/>
        <v>-50</v>
      </c>
    </row>
    <row r="18">
      <c r="A18" s="103"/>
      <c r="B18" s="104" t="s">
        <v>155</v>
      </c>
      <c r="C18" s="42">
        <f t="shared" ref="C18:G18" si="3">if(C15-C12&gt;0, "+"&amp;C15-C12, C15-C12)</f>
        <v>0</v>
      </c>
      <c r="D18" s="42">
        <f t="shared" si="3"/>
        <v>0</v>
      </c>
      <c r="E18" s="42" t="str">
        <f t="shared" si="3"/>
        <v>+40</v>
      </c>
      <c r="F18" s="42">
        <f t="shared" si="3"/>
        <v>-50</v>
      </c>
      <c r="G18" s="42">
        <f t="shared" si="3"/>
        <v>0</v>
      </c>
    </row>
    <row r="19">
      <c r="A19" s="72" t="s">
        <v>156</v>
      </c>
      <c r="B19" s="87"/>
      <c r="C19" s="87"/>
      <c r="D19" s="87"/>
      <c r="E19" s="87"/>
      <c r="F19" s="87"/>
      <c r="G19" s="87"/>
    </row>
    <row r="20">
      <c r="A20" s="89"/>
      <c r="B20" s="111" t="s">
        <v>157</v>
      </c>
      <c r="C20" s="112">
        <v>0.0</v>
      </c>
      <c r="D20" s="112">
        <v>0.0</v>
      </c>
      <c r="E20" s="112">
        <v>0.0</v>
      </c>
      <c r="F20" s="112">
        <v>0.0</v>
      </c>
      <c r="G20" s="112">
        <v>0.0</v>
      </c>
      <c r="I20" s="93"/>
    </row>
    <row r="21">
      <c r="A21" s="89"/>
      <c r="B21" s="111" t="s">
        <v>158</v>
      </c>
      <c r="C21" s="112">
        <v>0.0</v>
      </c>
      <c r="D21" s="112">
        <v>0.0</v>
      </c>
      <c r="E21" s="112">
        <v>0.0</v>
      </c>
      <c r="F21" s="112">
        <v>0.0</v>
      </c>
      <c r="G21" s="112">
        <v>0.0</v>
      </c>
    </row>
    <row r="22">
      <c r="A22" s="89"/>
      <c r="B22" s="111" t="s">
        <v>159</v>
      </c>
      <c r="C22" s="113">
        <v>0.0</v>
      </c>
      <c r="D22" s="113">
        <v>0.0</v>
      </c>
      <c r="E22" s="113">
        <v>0.0</v>
      </c>
      <c r="F22" s="113">
        <v>0.0</v>
      </c>
      <c r="G22" s="113">
        <v>0.0</v>
      </c>
    </row>
    <row r="23">
      <c r="A23" s="89"/>
      <c r="B23" s="111" t="s">
        <v>160</v>
      </c>
      <c r="C23" s="97">
        <v>1.0</v>
      </c>
      <c r="D23" s="97">
        <v>1.0</v>
      </c>
      <c r="E23" s="97">
        <v>1.0</v>
      </c>
      <c r="F23" s="97">
        <v>1.0</v>
      </c>
      <c r="G23" s="97">
        <v>1.0</v>
      </c>
    </row>
    <row r="24">
      <c r="A24" s="89"/>
      <c r="B24" s="111" t="s">
        <v>162</v>
      </c>
      <c r="C24" s="112">
        <v>0.0</v>
      </c>
      <c r="D24" s="112">
        <v>0.0</v>
      </c>
      <c r="E24" s="112">
        <v>0.0</v>
      </c>
      <c r="F24" s="112">
        <v>0.0</v>
      </c>
      <c r="G24" s="112">
        <v>0.0</v>
      </c>
    </row>
    <row r="25">
      <c r="A25" s="89"/>
      <c r="B25" s="111" t="s">
        <v>163</v>
      </c>
      <c r="C25" s="116">
        <v>0.0</v>
      </c>
      <c r="D25" s="116">
        <v>0.0</v>
      </c>
      <c r="E25" s="116">
        <v>0.0</v>
      </c>
      <c r="F25" s="116">
        <v>0.0</v>
      </c>
      <c r="G25" s="116">
        <v>0.0</v>
      </c>
    </row>
    <row r="26">
      <c r="A26" s="89"/>
      <c r="B26" s="111" t="s">
        <v>164</v>
      </c>
      <c r="C26" s="112">
        <v>0.0</v>
      </c>
      <c r="D26" s="112">
        <v>0.0</v>
      </c>
      <c r="E26" s="112">
        <v>0.0</v>
      </c>
      <c r="F26" s="112">
        <v>0.0</v>
      </c>
      <c r="G26" s="112">
        <v>0.0</v>
      </c>
    </row>
    <row r="27">
      <c r="A27" s="89"/>
      <c r="B27" s="111" t="s">
        <v>165</v>
      </c>
      <c r="C27" s="112">
        <v>1.0</v>
      </c>
      <c r="D27" s="112">
        <v>1.0</v>
      </c>
      <c r="E27" s="112">
        <v>1.0</v>
      </c>
      <c r="F27" s="112">
        <v>0.0</v>
      </c>
      <c r="G27" s="112">
        <v>0.0</v>
      </c>
    </row>
    <row r="28">
      <c r="A28" s="89"/>
      <c r="B28" s="111" t="s">
        <v>166</v>
      </c>
      <c r="C28" s="113">
        <v>0.0</v>
      </c>
      <c r="D28" s="113">
        <v>0.0</v>
      </c>
      <c r="E28" s="113">
        <v>0.0</v>
      </c>
      <c r="F28" s="113">
        <v>0.0</v>
      </c>
      <c r="G28" s="113">
        <v>0.0</v>
      </c>
    </row>
    <row r="29">
      <c r="A29" s="89"/>
      <c r="B29" s="100" t="s">
        <v>167</v>
      </c>
      <c r="C29" s="97">
        <v>0.0</v>
      </c>
      <c r="D29" s="97">
        <v>0.0</v>
      </c>
      <c r="E29" s="97">
        <v>0.0</v>
      </c>
      <c r="F29" s="97">
        <v>0.0</v>
      </c>
      <c r="G29" s="97">
        <v>0.0</v>
      </c>
    </row>
    <row r="30">
      <c r="A30" s="89"/>
      <c r="B30" s="100" t="s">
        <v>168</v>
      </c>
      <c r="C30" s="112">
        <v>0.0</v>
      </c>
      <c r="D30" s="112">
        <v>0.0</v>
      </c>
      <c r="E30" s="112">
        <v>0.0</v>
      </c>
      <c r="F30" s="112">
        <v>0.0</v>
      </c>
      <c r="G30" s="112">
        <v>0.0</v>
      </c>
    </row>
    <row r="31">
      <c r="A31" s="89"/>
      <c r="B31" s="100" t="s">
        <v>169</v>
      </c>
      <c r="C31" s="116">
        <v>0.0</v>
      </c>
      <c r="D31" s="116">
        <v>0.0</v>
      </c>
      <c r="E31" s="116">
        <v>0.0</v>
      </c>
      <c r="F31" s="116">
        <v>0.0</v>
      </c>
      <c r="G31" s="116">
        <v>0.0</v>
      </c>
    </row>
    <row r="32">
      <c r="A32" s="89"/>
      <c r="B32" s="100" t="s">
        <v>170</v>
      </c>
      <c r="C32" s="112">
        <v>1.0</v>
      </c>
      <c r="D32" s="112">
        <v>1.0</v>
      </c>
      <c r="E32" s="112">
        <v>1.0</v>
      </c>
      <c r="F32" s="112">
        <v>1.0</v>
      </c>
      <c r="G32" s="112">
        <v>1.0</v>
      </c>
    </row>
    <row r="33">
      <c r="A33" s="89"/>
      <c r="B33" s="100" t="s">
        <v>171</v>
      </c>
      <c r="C33" s="112">
        <v>0.0</v>
      </c>
      <c r="D33" s="112">
        <v>0.0</v>
      </c>
      <c r="E33" s="112">
        <v>0.0</v>
      </c>
      <c r="F33" s="112">
        <v>0.0</v>
      </c>
      <c r="G33" s="112">
        <v>0.0</v>
      </c>
    </row>
    <row r="34">
      <c r="A34" s="89"/>
      <c r="B34" s="100" t="s">
        <v>172</v>
      </c>
      <c r="C34" s="116">
        <v>0.0</v>
      </c>
      <c r="D34" s="116">
        <v>0.0</v>
      </c>
      <c r="E34" s="116">
        <v>0.0</v>
      </c>
      <c r="F34" s="116">
        <v>0.0</v>
      </c>
      <c r="G34" s="116">
        <v>0.0</v>
      </c>
    </row>
    <row r="35">
      <c r="A35" s="89"/>
      <c r="B35" s="100" t="s">
        <v>173</v>
      </c>
      <c r="C35" s="112">
        <v>0.0</v>
      </c>
      <c r="D35" s="112">
        <v>0.0</v>
      </c>
      <c r="E35" s="112">
        <v>0.0</v>
      </c>
      <c r="F35" s="112">
        <v>0.0</v>
      </c>
      <c r="G35" s="112">
        <v>0.0</v>
      </c>
    </row>
    <row r="36">
      <c r="A36" s="89"/>
      <c r="B36" s="100" t="s">
        <v>174</v>
      </c>
      <c r="C36" s="112">
        <v>1.0</v>
      </c>
      <c r="D36" s="112">
        <v>1.0</v>
      </c>
      <c r="E36" s="112">
        <v>1.0</v>
      </c>
      <c r="F36" s="112">
        <v>0.0</v>
      </c>
      <c r="G36" s="112">
        <v>0.0</v>
      </c>
    </row>
    <row r="37">
      <c r="A37" s="89"/>
      <c r="B37" s="100" t="s">
        <v>175</v>
      </c>
      <c r="C37" s="112">
        <v>0.0</v>
      </c>
      <c r="D37" s="112">
        <v>0.0</v>
      </c>
      <c r="E37" s="112">
        <v>0.0</v>
      </c>
      <c r="F37" s="112">
        <v>0.0</v>
      </c>
      <c r="G37" s="112">
        <v>0.0</v>
      </c>
    </row>
    <row r="38">
      <c r="A38" s="103"/>
      <c r="B38" s="104" t="s">
        <v>176</v>
      </c>
      <c r="C38" s="118">
        <f t="shared" ref="C38:G38" si="4">C29-C20</f>
        <v>0</v>
      </c>
      <c r="D38" s="118">
        <f t="shared" si="4"/>
        <v>0</v>
      </c>
      <c r="E38" s="118">
        <f t="shared" si="4"/>
        <v>0</v>
      </c>
      <c r="F38" s="118">
        <f t="shared" si="4"/>
        <v>0</v>
      </c>
      <c r="G38" s="118">
        <f t="shared" si="4"/>
        <v>0</v>
      </c>
    </row>
    <row r="39">
      <c r="A39" s="103"/>
      <c r="B39" s="104" t="s">
        <v>180</v>
      </c>
      <c r="C39" s="118">
        <f t="shared" ref="C39:G39" si="5">C30-C21</f>
        <v>0</v>
      </c>
      <c r="D39" s="118">
        <f t="shared" si="5"/>
        <v>0</v>
      </c>
      <c r="E39" s="118">
        <f t="shared" si="5"/>
        <v>0</v>
      </c>
      <c r="F39" s="118">
        <f t="shared" si="5"/>
        <v>0</v>
      </c>
      <c r="G39" s="118">
        <f t="shared" si="5"/>
        <v>0</v>
      </c>
    </row>
    <row r="40">
      <c r="A40" s="103"/>
      <c r="B40" s="104" t="s">
        <v>181</v>
      </c>
      <c r="C40" s="118">
        <f t="shared" ref="C40:G40" si="6">C31-C22</f>
        <v>0</v>
      </c>
      <c r="D40" s="118">
        <f t="shared" si="6"/>
        <v>0</v>
      </c>
      <c r="E40" s="118">
        <f t="shared" si="6"/>
        <v>0</v>
      </c>
      <c r="F40" s="118">
        <f t="shared" si="6"/>
        <v>0</v>
      </c>
      <c r="G40" s="118">
        <f t="shared" si="6"/>
        <v>0</v>
      </c>
    </row>
    <row r="41">
      <c r="A41" s="103"/>
      <c r="B41" s="104" t="s">
        <v>182</v>
      </c>
      <c r="C41" s="118">
        <f t="shared" ref="C41:G41" si="7">C32-C23</f>
        <v>0</v>
      </c>
      <c r="D41" s="118">
        <f t="shared" si="7"/>
        <v>0</v>
      </c>
      <c r="E41" s="118">
        <f t="shared" si="7"/>
        <v>0</v>
      </c>
      <c r="F41" s="118">
        <f t="shared" si="7"/>
        <v>0</v>
      </c>
      <c r="G41" s="118">
        <f t="shared" si="7"/>
        <v>0</v>
      </c>
    </row>
    <row r="42">
      <c r="A42" s="103"/>
      <c r="B42" s="104" t="s">
        <v>184</v>
      </c>
      <c r="C42" s="118">
        <f t="shared" ref="C42:G42" si="8">C33-C24</f>
        <v>0</v>
      </c>
      <c r="D42" s="118">
        <f t="shared" si="8"/>
        <v>0</v>
      </c>
      <c r="E42" s="118">
        <f t="shared" si="8"/>
        <v>0</v>
      </c>
      <c r="F42" s="118">
        <f t="shared" si="8"/>
        <v>0</v>
      </c>
      <c r="G42" s="118">
        <f t="shared" si="8"/>
        <v>0</v>
      </c>
    </row>
    <row r="43">
      <c r="A43" s="103"/>
      <c r="B43" s="104" t="s">
        <v>185</v>
      </c>
      <c r="C43" s="118">
        <f t="shared" ref="C43:G43" si="9">C34-C25</f>
        <v>0</v>
      </c>
      <c r="D43" s="118">
        <f t="shared" si="9"/>
        <v>0</v>
      </c>
      <c r="E43" s="118">
        <f t="shared" si="9"/>
        <v>0</v>
      </c>
      <c r="F43" s="118">
        <f t="shared" si="9"/>
        <v>0</v>
      </c>
      <c r="G43" s="118">
        <f t="shared" si="9"/>
        <v>0</v>
      </c>
    </row>
    <row r="44">
      <c r="A44" s="103"/>
      <c r="B44" s="104" t="s">
        <v>186</v>
      </c>
      <c r="C44" s="118">
        <f t="shared" ref="C44:G44" si="10">C35-C26</f>
        <v>0</v>
      </c>
      <c r="D44" s="118">
        <f t="shared" si="10"/>
        <v>0</v>
      </c>
      <c r="E44" s="118">
        <f t="shared" si="10"/>
        <v>0</v>
      </c>
      <c r="F44" s="118">
        <f t="shared" si="10"/>
        <v>0</v>
      </c>
      <c r="G44" s="118">
        <f t="shared" si="10"/>
        <v>0</v>
      </c>
    </row>
    <row r="45">
      <c r="A45" s="103"/>
      <c r="B45" s="104" t="s">
        <v>187</v>
      </c>
      <c r="C45" s="118">
        <f t="shared" ref="C45:G45" si="11">C36-C27</f>
        <v>0</v>
      </c>
      <c r="D45" s="118">
        <f t="shared" si="11"/>
        <v>0</v>
      </c>
      <c r="E45" s="118">
        <f t="shared" si="11"/>
        <v>0</v>
      </c>
      <c r="F45" s="118">
        <f t="shared" si="11"/>
        <v>0</v>
      </c>
      <c r="G45" s="118">
        <f t="shared" si="11"/>
        <v>0</v>
      </c>
    </row>
    <row r="46">
      <c r="A46" s="103"/>
      <c r="B46" s="104" t="s">
        <v>188</v>
      </c>
      <c r="C46" s="118">
        <f t="shared" ref="C46:G46" si="12">C37-C28</f>
        <v>0</v>
      </c>
      <c r="D46" s="118">
        <f t="shared" si="12"/>
        <v>0</v>
      </c>
      <c r="E46" s="118">
        <f t="shared" si="12"/>
        <v>0</v>
      </c>
      <c r="F46" s="118">
        <f t="shared" si="12"/>
        <v>0</v>
      </c>
      <c r="G46" s="118">
        <f t="shared" si="12"/>
        <v>0</v>
      </c>
    </row>
    <row r="47">
      <c r="A47" s="72" t="s">
        <v>189</v>
      </c>
      <c r="B47" s="87"/>
      <c r="C47" s="127"/>
      <c r="D47" s="127"/>
      <c r="E47" s="127"/>
      <c r="F47" s="127"/>
      <c r="G47" s="127"/>
    </row>
    <row r="48">
      <c r="A48" s="10"/>
      <c r="B48" s="10" t="s">
        <v>190</v>
      </c>
      <c r="C48" s="42">
        <f>IFERROR(SUMPRODUCT((Raw_Data_Daily!$B$2:$B$9999="Variant")*(Raw_Data_Daily!$C$2:$C$9999=C$4)*Raw_Data_Daily!$D$2:$D$9999*Raw_Data_Daily!$AI$2:$AI$9999)/SUMIFS(Raw_Data_Daily!$D:$D, Raw_Data_Daily!$B:$B, "Variant", Raw_Data_Daily!$C:$C, C$4),"")</f>
        <v>58.29116798</v>
      </c>
      <c r="D48" s="42">
        <f>IFERROR(SUMPRODUCT((Raw_Data_Daily!$B$2:$B$9999="Variant")*(Raw_Data_Daily!$C$2:$C$9999=D$4)*Raw_Data_Daily!$D$2:$D$9999*Raw_Data_Daily!$AI$2:$AI$9999)/SUMIFS(Raw_Data_Daily!$D:$D, Raw_Data_Daily!$B:$B, "Variant", Raw_Data_Daily!$C:$C, D$4),"")</f>
        <v>55.21172823</v>
      </c>
      <c r="E48" s="42">
        <f>IFERROR(SUMPRODUCT((Raw_Data_Daily!$B$2:$B$9999="Variant")*(Raw_Data_Daily!$C$2:$C$9999=E$4)*Raw_Data_Daily!$D$2:$D$9999*Raw_Data_Daily!$AI$2:$AI$9999)/SUMIFS(Raw_Data_Daily!$D:$D, Raw_Data_Daily!$B:$B, "Variant", Raw_Data_Daily!$C:$C, E$4),"")</f>
        <v>47.58962526</v>
      </c>
      <c r="F48" s="42">
        <f>IFERROR(SUMPRODUCT((Raw_Data_Daily!$B$2:$B$9999="Variant")*(Raw_Data_Daily!$C$2:$C$9999=F$4)*Raw_Data_Daily!$D$2:$D$9999*Raw_Data_Daily!$AI$2:$AI$9999)/SUMIFS(Raw_Data_Daily!$D:$D, Raw_Data_Daily!$B:$B, "Variant", Raw_Data_Daily!$C:$C, F$4),"")</f>
        <v>33.554942</v>
      </c>
      <c r="G48" s="42">
        <f>IFERROR(SUMPRODUCT((Raw_Data_Daily!$B$2:$B$9999="Variant")*(Raw_Data_Daily!$C$2:$C$9999=G$4)*Raw_Data_Daily!$D$2:$D$9999*Raw_Data_Daily!$AI$2:$AI$9999)/SUMIFS(Raw_Data_Daily!$D:$D, Raw_Data_Daily!$B:$B, "Variant", Raw_Data_Daily!$C:$C, G$4),"")</f>
        <v>19.40241852</v>
      </c>
      <c r="I48" s="93"/>
    </row>
    <row r="49" ht="15.75" customHeight="1">
      <c r="A49" s="10"/>
      <c r="B49" s="10" t="s">
        <v>191</v>
      </c>
      <c r="C49" s="42">
        <f>IFERROR(SUMPRODUCT((Raw_Data_Daily!$B$2:$B$9999="Variant")*(Raw_Data_Daily!$C$2:$C$9999=C$4)*Raw_Data_Daily!$D$2:$D$9999*Raw_Data_Daily!$AJ$2:$AJ$9999)/SUMIFS(Raw_Data_Daily!$D:$D, Raw_Data_Daily!$B:$B, "Variant", Raw_Data_Daily!$C:$C, C$4),"")</f>
        <v>28.28420482</v>
      </c>
      <c r="D49" s="42">
        <f>IFERROR(SUMPRODUCT((Raw_Data_Daily!$B$2:$B$9999="Variant")*(Raw_Data_Daily!$C$2:$C$9999=D$4)*Raw_Data_Daily!$D$2:$D$9999*Raw_Data_Daily!$AJ$2:$AJ$9999)/SUMIFS(Raw_Data_Daily!$D:$D, Raw_Data_Daily!$B:$B, "Variant", Raw_Data_Daily!$C:$C, D$4),"")</f>
        <v>21.72766588</v>
      </c>
      <c r="E49" s="42">
        <f>IFERROR(SUMPRODUCT((Raw_Data_Daily!$B$2:$B$9999="Variant")*(Raw_Data_Daily!$C$2:$C$9999=E$4)*Raw_Data_Daily!$D$2:$D$9999*Raw_Data_Daily!$AJ$2:$AJ$9999)/SUMIFS(Raw_Data_Daily!$D:$D, Raw_Data_Daily!$B:$B, "Variant", Raw_Data_Daily!$C:$C, E$4),"")</f>
        <v>15.71793407</v>
      </c>
      <c r="F49" s="42">
        <f>IFERROR(SUMPRODUCT((Raw_Data_Daily!$B$2:$B$9999="Variant")*(Raw_Data_Daily!$C$2:$C$9999=F$4)*Raw_Data_Daily!$D$2:$D$9999*Raw_Data_Daily!$AJ$2:$AJ$9999)/SUMIFS(Raw_Data_Daily!$D:$D, Raw_Data_Daily!$B:$B, "Variant", Raw_Data_Daily!$C:$C, F$4),"")</f>
        <v>10.19060976</v>
      </c>
      <c r="G49" s="42">
        <f>IFERROR(SUMPRODUCT((Raw_Data_Daily!$B$2:$B$9999="Variant")*(Raw_Data_Daily!$C$2:$C$9999=G$4)*Raw_Data_Daily!$D$2:$D$9999*Raw_Data_Daily!$AJ$2:$AJ$9999)/SUMIFS(Raw_Data_Daily!$D:$D, Raw_Data_Daily!$B:$B, "Variant", Raw_Data_Daily!$C:$C, G$4),"")</f>
        <v>4.203789217</v>
      </c>
    </row>
    <row r="50" ht="15.75" customHeight="1">
      <c r="A50" s="10"/>
      <c r="B50" s="10" t="s">
        <v>192</v>
      </c>
      <c r="C50" s="42">
        <f>IFERROR(SUMPRODUCT((Raw_Data_Daily!$B$2:$B$9999="Variant")*(Raw_Data_Daily!$C$2:$C$9999=C$4)*Raw_Data_Daily!$D$2:$D$9999*Raw_Data_Daily!$AK$2:$AK$9999)/SUMIFS(Raw_Data_Daily!$D:$D, Raw_Data_Daily!$B:$B, "Variant", Raw_Data_Daily!$C:$C, C$4),"")</f>
        <v>8.265035605</v>
      </c>
      <c r="D50" s="42">
        <f>IFERROR(SUMPRODUCT((Raw_Data_Daily!$B$2:$B$9999="Variant")*(Raw_Data_Daily!$C$2:$C$9999=D$4)*Raw_Data_Daily!$D$2:$D$9999*Raw_Data_Daily!$AK$2:$AK$9999)/SUMIFS(Raw_Data_Daily!$D:$D, Raw_Data_Daily!$B:$B, "Variant", Raw_Data_Daily!$C:$C, D$4),"")</f>
        <v>4.36839625</v>
      </c>
      <c r="E50" s="42">
        <f>IFERROR(SUMPRODUCT((Raw_Data_Daily!$B$2:$B$9999="Variant")*(Raw_Data_Daily!$C$2:$C$9999=E$4)*Raw_Data_Daily!$D$2:$D$9999*Raw_Data_Daily!$AK$2:$AK$9999)/SUMIFS(Raw_Data_Daily!$D:$D, Raw_Data_Daily!$B:$B, "Variant", Raw_Data_Daily!$C:$C, E$4),"")</f>
        <v>4.304130241</v>
      </c>
      <c r="F50" s="42">
        <f>IFERROR(SUMPRODUCT((Raw_Data_Daily!$B$2:$B$9999="Variant")*(Raw_Data_Daily!$C$2:$C$9999=F$4)*Raw_Data_Daily!$D$2:$D$9999*Raw_Data_Daily!$AK$2:$AK$9999)/SUMIFS(Raw_Data_Daily!$D:$D, Raw_Data_Daily!$B:$B, "Variant", Raw_Data_Daily!$C:$C, F$4),"")</f>
        <v>2.199289122</v>
      </c>
      <c r="G50" s="42">
        <f>IFERROR(SUMPRODUCT((Raw_Data_Daily!$B$2:$B$9999="Variant")*(Raw_Data_Daily!$C$2:$C$9999=G$4)*Raw_Data_Daily!$D$2:$D$9999*Raw_Data_Daily!$AK$2:$AK$9999)/SUMIFS(Raw_Data_Daily!$D:$D, Raw_Data_Daily!$B:$B, "Variant", Raw_Data_Daily!$C:$C, G$4),"")</f>
        <v>0.6709381663</v>
      </c>
    </row>
    <row r="51" ht="15.75" customHeight="1">
      <c r="A51" s="10"/>
      <c r="B51" s="10" t="s">
        <v>193</v>
      </c>
      <c r="C51" s="42">
        <f>IFERROR(SUMPRODUCT((Raw_Data_Daily!$B$2:$B$9999="Variant")*(Raw_Data_Daily!$C$2:$C$9999=C$4)*Raw_Data_Daily!$D$2:$D$9999*Raw_Data_Daily!$AF$2:$AF$9999)/SUMIFS(Raw_Data_Daily!$D:$D, Raw_Data_Daily!$B:$B, "Variant", Raw_Data_Daily!$C:$C, C$4),"")</f>
        <v>4</v>
      </c>
      <c r="D51" s="42">
        <f>IFERROR(SUMPRODUCT((Raw_Data_Daily!$B$2:$B$9999="Variant")*(Raw_Data_Daily!$C$2:$C$9999=D$4)*Raw_Data_Daily!$D$2:$D$9999*Raw_Data_Daily!$AF$2:$AF$9999)/SUMIFS(Raw_Data_Daily!$D:$D, Raw_Data_Daily!$B:$B, "Variant", Raw_Data_Daily!$C:$C, D$4),"")</f>
        <v>7</v>
      </c>
      <c r="E51" s="42">
        <f>IFERROR(SUMPRODUCT((Raw_Data_Daily!$B$2:$B$9999="Variant")*(Raw_Data_Daily!$C$2:$C$9999=E$4)*Raw_Data_Daily!$D$2:$D$9999*Raw_Data_Daily!$AF$2:$AF$9999)/SUMIFS(Raw_Data_Daily!$D:$D, Raw_Data_Daily!$B:$B, "Variant", Raw_Data_Daily!$C:$C, E$4),"")</f>
        <v>11.0056697</v>
      </c>
      <c r="F51" s="42">
        <f>IFERROR(SUMPRODUCT((Raw_Data_Daily!$B$2:$B$9999="Variant")*(Raw_Data_Daily!$C$2:$C$9999=F$4)*Raw_Data_Daily!$D$2:$D$9999*Raw_Data_Daily!$AF$2:$AF$9999)/SUMIFS(Raw_Data_Daily!$D:$D, Raw_Data_Daily!$B:$B, "Variant", Raw_Data_Daily!$C:$C, F$4),"")</f>
        <v>18.32484132</v>
      </c>
      <c r="G51" s="42">
        <f>IFERROR(SUMPRODUCT((Raw_Data_Daily!$B$2:$B$9999="Variant")*(Raw_Data_Daily!$C$2:$C$9999=G$4)*Raw_Data_Daily!$D$2:$D$9999*Raw_Data_Daily!$AF$2:$AF$9999)/SUMIFS(Raw_Data_Daily!$D:$D, Raw_Data_Daily!$B:$B, "Variant", Raw_Data_Daily!$C:$C, G$4),"")</f>
        <v>31.26804752</v>
      </c>
    </row>
    <row r="52" ht="15.75" customHeight="1">
      <c r="A52" s="10"/>
      <c r="B52" s="10" t="s">
        <v>194</v>
      </c>
      <c r="C52" s="42">
        <f>IFERROR(SUMPRODUCT((Raw_Data_Daily!$B$2:$B$9999="Variant")*(Raw_Data_Daily!$C$2:$C$9999=C$4)*Raw_Data_Daily!$D$2:$D$9999*Raw_Data_Daily!$AG$2:$AG$9999)/SUMIFS(Raw_Data_Daily!$D:$D, Raw_Data_Daily!$B:$B, "Variant", Raw_Data_Daily!$C:$C, C$4),"")</f>
        <v>7.834428042</v>
      </c>
      <c r="D52" s="42">
        <f>IFERROR(SUMPRODUCT((Raw_Data_Daily!$B$2:$B$9999="Variant")*(Raw_Data_Daily!$C$2:$C$9999=D$4)*Raw_Data_Daily!$D$2:$D$9999*Raw_Data_Daily!$AG$2:$AG$9999)/SUMIFS(Raw_Data_Daily!$D:$D, Raw_Data_Daily!$B:$B, "Variant", Raw_Data_Daily!$C:$C, D$4),"")</f>
        <v>13</v>
      </c>
      <c r="E52" s="42">
        <f>IFERROR(SUMPRODUCT((Raw_Data_Daily!$B$2:$B$9999="Variant")*(Raw_Data_Daily!$C$2:$C$9999=E$4)*Raw_Data_Daily!$D$2:$D$9999*Raw_Data_Daily!$AG$2:$AG$9999)/SUMIFS(Raw_Data_Daily!$D:$D, Raw_Data_Daily!$B:$B, "Variant", Raw_Data_Daily!$C:$C, E$4),"")</f>
        <v>20.67199438</v>
      </c>
      <c r="F52" s="42">
        <f>IFERROR(SUMPRODUCT((Raw_Data_Daily!$B$2:$B$9999="Variant")*(Raw_Data_Daily!$C$2:$C$9999=F$4)*Raw_Data_Daily!$D$2:$D$9999*Raw_Data_Daily!$AG$2:$AG$9999)/SUMIFS(Raw_Data_Daily!$D:$D, Raw_Data_Daily!$B:$B, "Variant", Raw_Data_Daily!$C:$C, F$4),"")</f>
        <v>34.63663821</v>
      </c>
      <c r="G52" s="42">
        <f>IFERROR(SUMPRODUCT((Raw_Data_Daily!$B$2:$B$9999="Variant")*(Raw_Data_Daily!$C$2:$C$9999=G$4)*Raw_Data_Daily!$D$2:$D$9999*Raw_Data_Daily!$AG$2:$AG$9999)/SUMIFS(Raw_Data_Daily!$D:$D, Raw_Data_Daily!$B:$B, "Variant", Raw_Data_Daily!$C:$C, G$4),"")</f>
        <v>55.46999695</v>
      </c>
    </row>
    <row r="53" ht="15.75" customHeight="1">
      <c r="A53" s="10"/>
      <c r="B53" s="10" t="s">
        <v>195</v>
      </c>
      <c r="C53" s="42">
        <f>IFERROR(SUMPRODUCT((Raw_Data_Daily!$B$2:$B$9999="Variant")*(Raw_Data_Daily!$C$2:$C$9999=C$4)*Raw_Data_Daily!$D$2:$D$9999*Raw_Data_Daily!$AH$2:$AH$9999)/SUMIFS(Raw_Data_Daily!$D:$D, Raw_Data_Daily!$B:$B, "Variant", Raw_Data_Daily!$C:$C, C$4),"")</f>
        <v>14.17025428</v>
      </c>
      <c r="D53" s="42">
        <f>IFERROR(SUMPRODUCT((Raw_Data_Daily!$B$2:$B$9999="Variant")*(Raw_Data_Daily!$C$2:$C$9999=D$4)*Raw_Data_Daily!$D$2:$D$9999*Raw_Data_Daily!$AH$2:$AH$9999)/SUMIFS(Raw_Data_Daily!$D:$D, Raw_Data_Daily!$B:$B, "Variant", Raw_Data_Daily!$C:$C, D$4),"")</f>
        <v>22.15838699</v>
      </c>
      <c r="E53" s="42">
        <f>IFERROR(SUMPRODUCT((Raw_Data_Daily!$B$2:$B$9999="Variant")*(Raw_Data_Daily!$C$2:$C$9999=E$4)*Raw_Data_Daily!$D$2:$D$9999*Raw_Data_Daily!$AH$2:$AH$9999)/SUMIFS(Raw_Data_Daily!$D:$D, Raw_Data_Daily!$B:$B, "Variant", Raw_Data_Daily!$C:$C, E$4),"")</f>
        <v>35.50117444</v>
      </c>
      <c r="F53" s="42">
        <f>IFERROR(SUMPRODUCT((Raw_Data_Daily!$B$2:$B$9999="Variant")*(Raw_Data_Daily!$C$2:$C$9999=F$4)*Raw_Data_Daily!$D$2:$D$9999*Raw_Data_Daily!$AH$2:$AH$9999)/SUMIFS(Raw_Data_Daily!$D:$D, Raw_Data_Daily!$B:$B, "Variant", Raw_Data_Daily!$C:$C, F$4),"")</f>
        <v>58.10387393</v>
      </c>
      <c r="G53" s="42">
        <f>IFERROR(SUMPRODUCT((Raw_Data_Daily!$B$2:$B$9999="Variant")*(Raw_Data_Daily!$C$2:$C$9999=G$4)*Raw_Data_Daily!$D$2:$D$9999*Raw_Data_Daily!$AH$2:$AH$9999)/SUMIFS(Raw_Data_Daily!$D:$D, Raw_Data_Daily!$B:$B, "Variant", Raw_Data_Daily!$C:$C, G$4),"")</f>
        <v>99.8346025</v>
      </c>
    </row>
    <row r="54" ht="15.75" customHeight="1">
      <c r="A54" s="6" t="s">
        <v>196</v>
      </c>
      <c r="B54" s="87"/>
      <c r="C54" s="87"/>
      <c r="D54" s="87"/>
      <c r="E54" s="87"/>
      <c r="F54" s="87"/>
      <c r="G54" s="87"/>
    </row>
    <row r="55" ht="15.75" customHeight="1">
      <c r="A55" s="10"/>
      <c r="B55" s="69" t="s">
        <v>197</v>
      </c>
      <c r="C55" s="141">
        <f t="shared" ref="C55:G55" si="13">SUMPRODUCT(C48:C50/100,C10:C12)</f>
        <v>4.068175823</v>
      </c>
      <c r="D55" s="141">
        <f t="shared" si="13"/>
        <v>16.18373325</v>
      </c>
      <c r="E55" s="141">
        <f t="shared" si="13"/>
        <v>20.87333447</v>
      </c>
      <c r="F55" s="141">
        <f t="shared" si="13"/>
        <v>43.03580819</v>
      </c>
      <c r="G55" s="141">
        <f t="shared" si="13"/>
        <v>42.32097624</v>
      </c>
    </row>
    <row r="56" ht="15.75" customHeight="1">
      <c r="A56" s="10"/>
      <c r="B56" s="69" t="s">
        <v>198</v>
      </c>
      <c r="C56" s="141">
        <f t="shared" ref="C56:G56" si="14">SUMPRODUCT(C48:C50/100,C13:C15)</f>
        <v>4.068175823</v>
      </c>
      <c r="D56" s="141">
        <f t="shared" si="14"/>
        <v>16.18373325</v>
      </c>
      <c r="E56" s="141">
        <f t="shared" si="14"/>
        <v>24.95267668</v>
      </c>
      <c r="F56" s="141">
        <f t="shared" si="14"/>
        <v>38.36945021</v>
      </c>
      <c r="G56" s="141">
        <f t="shared" si="14"/>
        <v>35.368477</v>
      </c>
    </row>
    <row r="57" ht="15.75" customHeight="1">
      <c r="A57" s="10"/>
      <c r="B57" s="73" t="s">
        <v>199</v>
      </c>
      <c r="C57" s="142">
        <f t="shared" ref="C57:G57" si="15">if(C56-C55&gt;0, "+"&amp;mround(C56-C55, 0.01), C56-C55)</f>
        <v>0</v>
      </c>
      <c r="D57" s="142">
        <f t="shared" si="15"/>
        <v>0</v>
      </c>
      <c r="E57" s="142" t="str">
        <f t="shared" si="15"/>
        <v>+4.08</v>
      </c>
      <c r="F57" s="142">
        <f t="shared" si="15"/>
        <v>-4.666357978</v>
      </c>
      <c r="G57" s="142">
        <f t="shared" si="15"/>
        <v>-6.952499239</v>
      </c>
    </row>
    <row r="58" ht="15.75" customHeight="1">
      <c r="A58" s="10"/>
      <c r="B58" s="10" t="s">
        <v>200</v>
      </c>
      <c r="C58" s="143">
        <f t="shared" ref="C58:G58" si="16">IFERROR(C56/C55-1,"")</f>
        <v>0</v>
      </c>
      <c r="D58" s="143">
        <f t="shared" si="16"/>
        <v>0</v>
      </c>
      <c r="E58" s="143">
        <f t="shared" si="16"/>
        <v>0.1954331835</v>
      </c>
      <c r="F58" s="143">
        <f t="shared" si="16"/>
        <v>-0.1084296583</v>
      </c>
      <c r="G58" s="143">
        <f t="shared" si="16"/>
        <v>-0.1642802188</v>
      </c>
    </row>
    <row r="59" ht="15.75" customHeight="1">
      <c r="A59" s="72" t="s">
        <v>201</v>
      </c>
      <c r="B59" s="87"/>
      <c r="C59" s="87"/>
      <c r="D59" s="87"/>
      <c r="E59" s="87"/>
      <c r="F59" s="87"/>
      <c r="G59" s="87"/>
    </row>
    <row r="60" ht="15.75" customHeight="1">
      <c r="A60" s="10"/>
      <c r="B60" s="69" t="s">
        <v>202</v>
      </c>
      <c r="C60" s="141">
        <f t="shared" ref="C60:G60" si="17">(C$48/100*C20)+(C$49/100*C23)+(C$50/100*C26)</f>
        <v>0.2828420482</v>
      </c>
      <c r="D60" s="141">
        <f t="shared" si="17"/>
        <v>0.2172766588</v>
      </c>
      <c r="E60" s="141">
        <f t="shared" si="17"/>
        <v>0.1571793407</v>
      </c>
      <c r="F60" s="141">
        <f t="shared" si="17"/>
        <v>0.1019060976</v>
      </c>
      <c r="G60" s="141">
        <f t="shared" si="17"/>
        <v>0.04203789217</v>
      </c>
    </row>
    <row r="61" ht="15.75" customHeight="1">
      <c r="A61" s="10"/>
      <c r="B61" s="69" t="s">
        <v>203</v>
      </c>
      <c r="C61" s="141">
        <f t="shared" ref="C61:G61" si="18">(C$48/100*C29)+(C$49/100*C32)+(C$50/100*C35)</f>
        <v>0.2828420482</v>
      </c>
      <c r="D61" s="141">
        <f t="shared" si="18"/>
        <v>0.2172766588</v>
      </c>
      <c r="E61" s="141">
        <f t="shared" si="18"/>
        <v>0.1571793407</v>
      </c>
      <c r="F61" s="141">
        <f t="shared" si="18"/>
        <v>0.1019060976</v>
      </c>
      <c r="G61" s="141">
        <f t="shared" si="18"/>
        <v>0.04203789217</v>
      </c>
    </row>
    <row r="62" ht="15.75" customHeight="1">
      <c r="A62" s="10"/>
      <c r="B62" s="73" t="s">
        <v>204</v>
      </c>
      <c r="C62" s="142">
        <f t="shared" ref="C62:G62" si="19">C61-C60</f>
        <v>0</v>
      </c>
      <c r="D62" s="142">
        <f t="shared" si="19"/>
        <v>0</v>
      </c>
      <c r="E62" s="142">
        <f t="shared" si="19"/>
        <v>0</v>
      </c>
      <c r="F62" s="142">
        <f t="shared" si="19"/>
        <v>0</v>
      </c>
      <c r="G62" s="142">
        <f t="shared" si="19"/>
        <v>0</v>
      </c>
    </row>
    <row r="63" ht="15.75" customHeight="1">
      <c r="A63" s="10"/>
      <c r="B63" s="69" t="s">
        <v>205</v>
      </c>
      <c r="C63" s="143">
        <f t="shared" ref="C63:G63" si="20">IFERROR(C61/C60-1,"")</f>
        <v>0</v>
      </c>
      <c r="D63" s="143">
        <f t="shared" si="20"/>
        <v>0</v>
      </c>
      <c r="E63" s="143">
        <f t="shared" si="20"/>
        <v>0</v>
      </c>
      <c r="F63" s="143">
        <f t="shared" si="20"/>
        <v>0</v>
      </c>
      <c r="G63" s="143">
        <f t="shared" si="20"/>
        <v>0</v>
      </c>
    </row>
    <row r="64" ht="15.75" customHeight="1">
      <c r="A64" s="10"/>
      <c r="B64" s="144" t="s">
        <v>206</v>
      </c>
      <c r="C64" s="145">
        <f t="shared" ref="C64:G64" si="21">(C$48/100*C21)+(C$49/100*C24)+(C$50/100*C27)</f>
        <v>0.08265035605</v>
      </c>
      <c r="D64" s="145">
        <f t="shared" si="21"/>
        <v>0.0436839625</v>
      </c>
      <c r="E64" s="145">
        <f t="shared" si="21"/>
        <v>0.04304130241</v>
      </c>
      <c r="F64" s="145">
        <f t="shared" si="21"/>
        <v>0</v>
      </c>
      <c r="G64" s="145">
        <f t="shared" si="21"/>
        <v>0</v>
      </c>
    </row>
    <row r="65" ht="15.75" customHeight="1">
      <c r="A65" s="10"/>
      <c r="B65" s="69" t="s">
        <v>207</v>
      </c>
      <c r="C65" s="141">
        <f t="shared" ref="C65:G65" si="22">(C$48/100*C30)+(C$49/100*C33)+(C$50/100*C36)</f>
        <v>0.08265035605</v>
      </c>
      <c r="D65" s="141">
        <f t="shared" si="22"/>
        <v>0.0436839625</v>
      </c>
      <c r="E65" s="141">
        <f t="shared" si="22"/>
        <v>0.04304130241</v>
      </c>
      <c r="F65" s="141">
        <f t="shared" si="22"/>
        <v>0</v>
      </c>
      <c r="G65" s="141">
        <f t="shared" si="22"/>
        <v>0</v>
      </c>
    </row>
    <row r="66" ht="15.75" customHeight="1">
      <c r="A66" s="10"/>
      <c r="B66" s="73" t="s">
        <v>208</v>
      </c>
      <c r="C66" s="142">
        <f t="shared" ref="C66:G66" si="23">C65-C64</f>
        <v>0</v>
      </c>
      <c r="D66" s="142">
        <f t="shared" si="23"/>
        <v>0</v>
      </c>
      <c r="E66" s="142">
        <f t="shared" si="23"/>
        <v>0</v>
      </c>
      <c r="F66" s="142">
        <f t="shared" si="23"/>
        <v>0</v>
      </c>
      <c r="G66" s="142">
        <f t="shared" si="23"/>
        <v>0</v>
      </c>
    </row>
    <row r="67" ht="15.75" customHeight="1">
      <c r="A67" s="10"/>
      <c r="B67" s="147" t="s">
        <v>210</v>
      </c>
      <c r="C67" s="143">
        <f t="shared" ref="C67:G67" si="24">IF(C64=0, IF(C65&gt;0, 1, 0), C65/C64-1)</f>
        <v>0</v>
      </c>
      <c r="D67" s="143">
        <f t="shared" si="24"/>
        <v>0</v>
      </c>
      <c r="E67" s="143">
        <f t="shared" si="24"/>
        <v>0</v>
      </c>
      <c r="F67" s="143">
        <f t="shared" si="24"/>
        <v>0</v>
      </c>
      <c r="G67" s="143">
        <f t="shared" si="24"/>
        <v>0</v>
      </c>
    </row>
    <row r="68" ht="15.75" customHeight="1">
      <c r="A68" s="10"/>
      <c r="B68" s="144" t="s">
        <v>211</v>
      </c>
      <c r="C68" s="145">
        <f t="shared" ref="C68:G68" si="25">(C$48/100*C22)+(C$49/100*C25)+(C$50/100*C28)</f>
        <v>0</v>
      </c>
      <c r="D68" s="145">
        <f t="shared" si="25"/>
        <v>0</v>
      </c>
      <c r="E68" s="145">
        <f t="shared" si="25"/>
        <v>0</v>
      </c>
      <c r="F68" s="145">
        <f t="shared" si="25"/>
        <v>0</v>
      </c>
      <c r="G68" s="145">
        <f t="shared" si="25"/>
        <v>0</v>
      </c>
    </row>
    <row r="69" ht="15.75" customHeight="1">
      <c r="A69" s="10"/>
      <c r="B69" s="69" t="s">
        <v>212</v>
      </c>
      <c r="C69" s="141">
        <f t="shared" ref="C69:G69" si="26">(C$48/100*C31)+(C$49/100*C34)+(C$50/100*C37)</f>
        <v>0</v>
      </c>
      <c r="D69" s="141">
        <f t="shared" si="26"/>
        <v>0</v>
      </c>
      <c r="E69" s="141">
        <f t="shared" si="26"/>
        <v>0</v>
      </c>
      <c r="F69" s="141">
        <f t="shared" si="26"/>
        <v>0</v>
      </c>
      <c r="G69" s="141">
        <f t="shared" si="26"/>
        <v>0</v>
      </c>
    </row>
    <row r="70" ht="15.75" customHeight="1">
      <c r="A70" s="10"/>
      <c r="B70" s="73" t="s">
        <v>213</v>
      </c>
      <c r="C70" s="142">
        <f t="shared" ref="C70:G70" si="27">C69-C68</f>
        <v>0</v>
      </c>
      <c r="D70" s="142">
        <f t="shared" si="27"/>
        <v>0</v>
      </c>
      <c r="E70" s="142">
        <f t="shared" si="27"/>
        <v>0</v>
      </c>
      <c r="F70" s="142">
        <f t="shared" si="27"/>
        <v>0</v>
      </c>
      <c r="G70" s="142">
        <f t="shared" si="27"/>
        <v>0</v>
      </c>
    </row>
    <row r="71" ht="15.75" customHeight="1">
      <c r="A71" s="10"/>
      <c r="B71" s="69" t="s">
        <v>214</v>
      </c>
      <c r="C71" s="143">
        <f t="shared" ref="C71:G71" si="28">IF(C68=0, IF(C69&gt;0, 1, 0), C69/C68-1)</f>
        <v>0</v>
      </c>
      <c r="D71" s="143">
        <f t="shared" si="28"/>
        <v>0</v>
      </c>
      <c r="E71" s="143">
        <f t="shared" si="28"/>
        <v>0</v>
      </c>
      <c r="F71" s="143">
        <f t="shared" si="28"/>
        <v>0</v>
      </c>
      <c r="G71" s="143">
        <f t="shared" si="28"/>
        <v>0</v>
      </c>
    </row>
    <row r="72" ht="15.75" customHeight="1">
      <c r="A72" s="72" t="s">
        <v>215</v>
      </c>
      <c r="B72" s="87"/>
      <c r="C72" s="87"/>
      <c r="D72" s="87"/>
      <c r="E72" s="87"/>
      <c r="F72" s="87"/>
      <c r="G72" s="87"/>
    </row>
    <row r="73" ht="15.75" customHeight="1">
      <c r="A73" s="10"/>
      <c r="B73" s="10" t="s">
        <v>4</v>
      </c>
      <c r="C73" s="141">
        <f>LET(
  gain, Raw_Data_Daily!$Q$2:$Q$9999,
  players, Raw_Data_Daily!$D$2:$D$9999,
  group, Raw_Data_Daily!$B$2:$B$9999,
  segment, Raw_Data_Daily!$C$2:$C$9999,
  IFERROR(SUMPRODUCT(gain, players, --(group="Control"), --(segment=C$4)) / SUMPRODUCT(players, --(group="Control"), --(segment=C$4)), 0)
)</f>
        <v>57.36695326</v>
      </c>
      <c r="D73" s="141">
        <f>LET(
  gain, Raw_Data_Daily!$Q$2:$Q$9999,
  players, Raw_Data_Daily!$D$2:$D$9999,
  group, Raw_Data_Daily!$B$2:$B$9999,
  segment, Raw_Data_Daily!$C$2:$C$9999,
  IFERROR(SUMPRODUCT(gain, players, --(group="Control"), --(segment=D$4)) / SUMPRODUCT(players, --(group="Control"), --(segment=D$4)), 0)
)</f>
        <v>101.3250384</v>
      </c>
      <c r="E73" s="141">
        <f>LET(
  gain, Raw_Data_Daily!$Q$2:$Q$9999,
  players, Raw_Data_Daily!$D$2:$D$9999,
  group, Raw_Data_Daily!$B$2:$B$9999,
  segment, Raw_Data_Daily!$C$2:$C$9999,
  IFERROR(SUMPRODUCT(gain, players, --(group="Control"), --(segment=E$4)) / SUMPRODUCT(players, --(group="Control"), --(segment=E$4)), 0)
)</f>
        <v>160.0291589</v>
      </c>
      <c r="F73" s="141">
        <f>LET(
  gain, Raw_Data_Daily!$Q$2:$Q$9999,
  players, Raw_Data_Daily!$D$2:$D$9999,
  group, Raw_Data_Daily!$B$2:$B$9999,
  segment, Raw_Data_Daily!$C$2:$C$9999,
  IFERROR(SUMPRODUCT(gain, players, --(group="Control"), --(segment=F$4)) / SUMPRODUCT(players, --(group="Control"), --(segment=F$4)), 0)
)</f>
        <v>276.0834994</v>
      </c>
      <c r="G73" s="141">
        <f>LET(
  gain, Raw_Data_Daily!$Q$2:$Q$9999,
  players, Raw_Data_Daily!$D$2:$D$9999,
  group, Raw_Data_Daily!$B$2:$B$9999,
  segment, Raw_Data_Daily!$C$2:$C$9999,
  IFERROR(SUMPRODUCT(gain, players, --(group="Control"), --(segment=G$4)) / SUMPRODUCT(players, --(group="Control"), --(segment=G$4)), 0)
)</f>
        <v>458.5180327</v>
      </c>
    </row>
    <row r="74" ht="15.75" customHeight="1">
      <c r="A74" s="10"/>
      <c r="B74" s="10" t="s">
        <v>218</v>
      </c>
      <c r="C74" s="141">
        <f>LET(
  gain, Raw_Data_Daily!$Q$2:$Q$9999,
  players, Raw_Data_Daily!$D$2:$D$9999,
  group, Raw_Data_Daily!$B$2:$B$9999,
  segment, Raw_Data_Daily!$C$2:$C$9999,
  IFERROR(SUMPRODUCT(gain, players, --(group="Variant"), --(segment=C$4)) / SUMPRODUCT(players, --(group="Variant"), --(segment=C$4)), 0)
)</f>
        <v>55.78651574</v>
      </c>
      <c r="D74" s="141">
        <f>LET(
  gain, Raw_Data_Daily!$Q$2:$Q$9999,
  players, Raw_Data_Daily!$D$2:$D$9999,
  group, Raw_Data_Daily!$B$2:$B$9999,
  segment, Raw_Data_Daily!$C$2:$C$9999,
  IFERROR(SUMPRODUCT(gain, players, --(group="Variant"), --(segment=D$4)) / SUMPRODUCT(players, --(group="Variant"), --(segment=D$4)), 0)
)</f>
        <v>102.4265661</v>
      </c>
      <c r="E74" s="141">
        <f>LET(
  gain, Raw_Data_Daily!$Q$2:$Q$9999,
  players, Raw_Data_Daily!$D$2:$D$9999,
  group, Raw_Data_Daily!$B$2:$B$9999,
  segment, Raw_Data_Daily!$C$2:$C$9999,
  IFERROR(SUMPRODUCT(gain, players, --(group="Variant"), --(segment=E$4)) / SUMPRODUCT(players, --(group="Variant"), --(segment=E$4)), 0)
)</f>
        <v>180.9275483</v>
      </c>
      <c r="F74" s="141">
        <f>LET(
  gain, Raw_Data_Daily!$Q$2:$Q$9999,
  players, Raw_Data_Daily!$D$2:$D$9999,
  group, Raw_Data_Daily!$B$2:$B$9999,
  segment, Raw_Data_Daily!$C$2:$C$9999,
  IFERROR(SUMPRODUCT(gain, players, --(group="Variant"), --(segment=F$4)) / SUMPRODUCT(players, --(group="Variant"), --(segment=F$4)), 0)
)</f>
        <v>336.2677601</v>
      </c>
      <c r="G74" s="141">
        <f>LET(
  gain, Raw_Data_Daily!$Q$2:$Q$9999,
  players, Raw_Data_Daily!$D$2:$D$9999,
  group, Raw_Data_Daily!$B$2:$B$9999,
  segment, Raw_Data_Daily!$C$2:$C$9999,
  IFERROR(SUMPRODUCT(gain, players, --(group="Variant"), --(segment=G$4)) / SUMPRODUCT(players, --(group="Variant"), --(segment=G$4)), 0)
)</f>
        <v>594.8667103</v>
      </c>
    </row>
    <row r="75" ht="15.75" customHeight="1">
      <c r="A75" s="10"/>
      <c r="B75" s="58" t="s">
        <v>220</v>
      </c>
      <c r="C75" s="142">
        <f t="shared" ref="C75:G75" si="29">C74+C57</f>
        <v>55.78651574</v>
      </c>
      <c r="D75" s="142">
        <f t="shared" si="29"/>
        <v>102.4265661</v>
      </c>
      <c r="E75" s="142">
        <f t="shared" si="29"/>
        <v>185.0075483</v>
      </c>
      <c r="F75" s="142">
        <f t="shared" si="29"/>
        <v>331.6014021</v>
      </c>
      <c r="G75" s="142">
        <f t="shared" si="29"/>
        <v>587.9142111</v>
      </c>
    </row>
    <row r="76" ht="15.75" customHeight="1">
      <c r="A76" s="10"/>
      <c r="B76" s="69" t="s">
        <v>221</v>
      </c>
      <c r="C76" s="143">
        <f t="shared" ref="C76:G76" si="30">IFERROR(C74/C73-1,"")</f>
        <v>-0.02754961576</v>
      </c>
      <c r="D76" s="143">
        <f t="shared" si="30"/>
        <v>0.01087122944</v>
      </c>
      <c r="E76" s="143">
        <f t="shared" si="30"/>
        <v>0.1305911342</v>
      </c>
      <c r="F76" s="143">
        <f t="shared" si="30"/>
        <v>0.2179929654</v>
      </c>
      <c r="G76" s="143">
        <f t="shared" si="30"/>
        <v>0.2973681904</v>
      </c>
    </row>
    <row r="77" ht="15.75" customHeight="1">
      <c r="A77" s="157"/>
      <c r="B77" s="158" t="s">
        <v>222</v>
      </c>
      <c r="C77" s="159">
        <f t="shared" ref="C77:G77" si="31">IFERROR(C75/C73-1,"")</f>
        <v>-0.02754961576</v>
      </c>
      <c r="D77" s="159">
        <f t="shared" si="31"/>
        <v>0.01087122944</v>
      </c>
      <c r="E77" s="159">
        <f t="shared" si="31"/>
        <v>0.1560864879</v>
      </c>
      <c r="F77" s="159">
        <f t="shared" si="31"/>
        <v>0.2010909847</v>
      </c>
      <c r="G77" s="159">
        <f t="shared" si="31"/>
        <v>0.2822052115</v>
      </c>
    </row>
    <row r="78" ht="15.75" customHeight="1">
      <c r="A78" s="160"/>
    </row>
    <row r="79" ht="15.75" customHeight="1">
      <c r="A79" s="161"/>
      <c r="B79" s="144" t="s">
        <v>4</v>
      </c>
      <c r="C79" s="145">
        <f>LET(
  gain, Raw_Data_Daily!$BO$2:$BO$9999,
  players, Raw_Data_Daily!$D$2:$D$9999,
  group, Raw_Data_Daily!$B$2:$B$9999,
  segment, Raw_Data_Daily!$C$2:$C$9999,
  IFERROR(SUMPRODUCT(gain, players, --(group="Control"), --(segment=C$4)) / SUMPRODUCT(players, --(group="Control"), --(segment=C$4)), 0)
)</f>
        <v>1.041002485</v>
      </c>
      <c r="D79" s="145">
        <f>LET(
  gain, Raw_Data_Daily!$BO$2:$BO$9999,
  players, Raw_Data_Daily!$D$2:$D$9999,
  group, Raw_Data_Daily!$B$2:$B$9999,
  segment, Raw_Data_Daily!$C$2:$C$9999,
  IFERROR(SUMPRODUCT(gain, players, --(group="Control"), --(segment=D$4)) / SUMPRODUCT(players, --(group="Control"), --(segment=D$4)), 0)
)</f>
        <v>1.545771115</v>
      </c>
      <c r="E79" s="145">
        <f>LET(
  gain, Raw_Data_Daily!$BO$2:$BO$9999,
  players, Raw_Data_Daily!$D$2:$D$9999,
  group, Raw_Data_Daily!$B$2:$B$9999,
  segment, Raw_Data_Daily!$C$2:$C$9999,
  IFERROR(SUMPRODUCT(gain, players, --(group="Control"), --(segment=E$4)) / SUMPRODUCT(players, --(group="Control"), --(segment=E$4)), 0)
)</f>
        <v>1.917481248</v>
      </c>
      <c r="F79" s="145">
        <f>LET(
  gain, Raw_Data_Daily!$BO$2:$BO$9999,
  players, Raw_Data_Daily!$D$2:$D$9999,
  group, Raw_Data_Daily!$B$2:$B$9999,
  segment, Raw_Data_Daily!$C$2:$C$9999,
  IFERROR(SUMPRODUCT(gain, players, --(group="Control"), --(segment=F$4)) / SUMPRODUCT(players, --(group="Control"), --(segment=F$4)), 0)
)</f>
        <v>2.475762269</v>
      </c>
      <c r="G79" s="145">
        <f>LET(
  gain, Raw_Data_Daily!$BO$2:$BO$9999,
  players, Raw_Data_Daily!$D$2:$D$9999,
  group, Raw_Data_Daily!$B$2:$B$9999,
  segment, Raw_Data_Daily!$C$2:$C$9999,
  IFERROR(SUMPRODUCT(gain, players, --(group="Control"), --(segment=G$4)) / SUMPRODUCT(players, --(group="Control"), --(segment=G$4)), 0)
)</f>
        <v>3.685479904</v>
      </c>
    </row>
    <row r="80" ht="15.75" customHeight="1">
      <c r="A80" s="10"/>
      <c r="B80" s="10" t="s">
        <v>218</v>
      </c>
      <c r="C80" s="141">
        <f>LET(
  gain, Raw_Data_Daily!$BO$2:$BO$9999,
  players, Raw_Data_Daily!$D$2:$D$9999,
  group, Raw_Data_Daily!$B$2:$B$9999,
  segment, Raw_Data_Daily!$C$2:$C$9999,
  IFERROR(SUMPRODUCT(gain, players, --(group="Variant"), --(segment=C$4)) / SUMPRODUCT(players, --(group="Variant"), --(segment=C$4)), 0)
)</f>
        <v>1.233675935</v>
      </c>
      <c r="D80" s="141">
        <f>LET(
  gain, Raw_Data_Daily!$BO$2:$BO$9999,
  players, Raw_Data_Daily!$D$2:$D$9999,
  group, Raw_Data_Daily!$B$2:$B$9999,
  segment, Raw_Data_Daily!$C$2:$C$9999,
  IFERROR(SUMPRODUCT(gain, players, --(group="Variant"), --(segment=D$4)) / SUMPRODUCT(players, --(group="Variant"), --(segment=D$4)), 0)
)</f>
        <v>1.666492353</v>
      </c>
      <c r="E80" s="141">
        <f>LET(
  gain, Raw_Data_Daily!$BO$2:$BO$9999,
  players, Raw_Data_Daily!$D$2:$D$9999,
  group, Raw_Data_Daily!$B$2:$B$9999,
  segment, Raw_Data_Daily!$C$2:$C$9999,
  IFERROR(SUMPRODUCT(gain, players, --(group="Variant"), --(segment=E$4)) / SUMPRODUCT(players, --(group="Variant"), --(segment=E$4)), 0)
)</f>
        <v>1.934239655</v>
      </c>
      <c r="F80" s="141">
        <f>LET(
  gain, Raw_Data_Daily!$BO$2:$BO$9999,
  players, Raw_Data_Daily!$D$2:$D$9999,
  group, Raw_Data_Daily!$B$2:$B$9999,
  segment, Raw_Data_Daily!$C$2:$C$9999,
  IFERROR(SUMPRODUCT(gain, players, --(group="Variant"), --(segment=F$4)) / SUMPRODUCT(players, --(group="Variant"), --(segment=F$4)), 0)
)</f>
        <v>2.239972926</v>
      </c>
      <c r="G80" s="141">
        <f>LET(
  gain, Raw_Data_Daily!$BO$2:$BO$9999,
  players, Raw_Data_Daily!$D$2:$D$9999,
  group, Raw_Data_Daily!$B$2:$B$9999,
  segment, Raw_Data_Daily!$C$2:$C$9999,
  IFERROR(SUMPRODUCT(gain, players, --(group="Variant"), --(segment=G$4)) / SUMPRODUCT(players, --(group="Variant"), --(segment=G$4)), 0)
)</f>
        <v>2.789832988</v>
      </c>
    </row>
    <row r="81" ht="15.75" customHeight="1">
      <c r="A81" s="10"/>
      <c r="B81" s="58" t="s">
        <v>220</v>
      </c>
      <c r="C81" s="142">
        <f t="shared" ref="C81:G81" si="32">C80+C62</f>
        <v>1.233675935</v>
      </c>
      <c r="D81" s="142">
        <f t="shared" si="32"/>
        <v>1.666492353</v>
      </c>
      <c r="E81" s="142">
        <f t="shared" si="32"/>
        <v>1.934239655</v>
      </c>
      <c r="F81" s="142">
        <f t="shared" si="32"/>
        <v>2.239972926</v>
      </c>
      <c r="G81" s="142">
        <f t="shared" si="32"/>
        <v>2.789832988</v>
      </c>
    </row>
    <row r="82" ht="15.75" customHeight="1">
      <c r="A82" s="10"/>
      <c r="B82" s="69" t="s">
        <v>224</v>
      </c>
      <c r="C82" s="162">
        <f t="shared" ref="C82:G82" si="33">IFERROR(C80/C79-1,"")</f>
        <v>0.185084524</v>
      </c>
      <c r="D82" s="162">
        <f t="shared" si="33"/>
        <v>0.07809774445</v>
      </c>
      <c r="E82" s="162">
        <f t="shared" si="33"/>
        <v>0.008739802645</v>
      </c>
      <c r="F82" s="162">
        <f t="shared" si="33"/>
        <v>-0.09523908898</v>
      </c>
      <c r="G82" s="162">
        <f t="shared" si="33"/>
        <v>-0.2430204314</v>
      </c>
    </row>
    <row r="83" ht="15.75" customHeight="1">
      <c r="A83" s="10"/>
      <c r="B83" s="73" t="s">
        <v>225</v>
      </c>
      <c r="C83" s="163">
        <f t="shared" ref="C83:G83" si="34">IFERROR(C81/C79-1,"")</f>
        <v>0.185084524</v>
      </c>
      <c r="D83" s="163">
        <f t="shared" si="34"/>
        <v>0.07809774445</v>
      </c>
      <c r="E83" s="163">
        <f t="shared" si="34"/>
        <v>0.008739802645</v>
      </c>
      <c r="F83" s="163">
        <f t="shared" si="34"/>
        <v>-0.09523908898</v>
      </c>
      <c r="G83" s="163">
        <f t="shared" si="34"/>
        <v>-0.2430204314</v>
      </c>
    </row>
    <row r="84" ht="15.75" customHeight="1">
      <c r="A84" s="10"/>
      <c r="B84" s="144" t="s">
        <v>4</v>
      </c>
      <c r="C84" s="145">
        <f>LET(gain, Raw_Data_Daily!$BS$2:$BS$9999, players, Raw_Data_Daily!$D$2:$D$9999, group, Raw_Data_Daily!$B$2:$B$9999, segment, Raw_Data_Daily!$C$2:$C$9999, IFERROR(SUMPRODUCT(gain, players, --(group="Control"), --(segment=C$4)) / SUMPRODUCT(players, --(group="Control"), --(segment=C$4)), 0))</f>
        <v>0.9526226124</v>
      </c>
      <c r="D84" s="145">
        <f>LET(gain, Raw_Data_Daily!$BS$2:$BS$9999, players, Raw_Data_Daily!$D$2:$D$9999, group, Raw_Data_Daily!$B$2:$B$9999, segment, Raw_Data_Daily!$C$2:$C$9999, IFERROR(SUMPRODUCT(gain, players, --(group="Control"), --(segment=D$4)) / SUMPRODUCT(players, --(group="Control"), --(segment=D$4)), 0))</f>
        <v>1.353225878</v>
      </c>
      <c r="E84" s="145">
        <f>LET(gain, Raw_Data_Daily!$BS$2:$BS$9999, players, Raw_Data_Daily!$D$2:$D$9999, group, Raw_Data_Daily!$B$2:$B$9999, segment, Raw_Data_Daily!$C$2:$C$9999, IFERROR(SUMPRODUCT(gain, players, --(group="Control"), --(segment=E$4)) / SUMPRODUCT(players, --(group="Control"), --(segment=E$4)), 0))</f>
        <v>1.918769646</v>
      </c>
      <c r="F84" s="145">
        <f>LET(gain, Raw_Data_Daily!$BS$2:$BS$9999, players, Raw_Data_Daily!$D$2:$D$9999, group, Raw_Data_Daily!$B$2:$B$9999, segment, Raw_Data_Daily!$C$2:$C$9999, IFERROR(SUMPRODUCT(gain, players, --(group="Control"), --(segment=F$4)) / SUMPRODUCT(players, --(group="Control"), --(segment=F$4)), 0))</f>
        <v>2.550375264</v>
      </c>
      <c r="G84" s="145">
        <f>LET(gain, Raw_Data_Daily!$BS$2:$BS$9999, players, Raw_Data_Daily!$D$2:$D$9999, group, Raw_Data_Daily!$B$2:$B$9999, segment, Raw_Data_Daily!$C$2:$C$9999, IFERROR(SUMPRODUCT(gain, players, --(group="Control"), --(segment=G$4)) / SUMPRODUCT(players, --(group="Control"), --(segment=G$4)), 0))</f>
        <v>3.780998816</v>
      </c>
    </row>
    <row r="85" ht="15.75" customHeight="1">
      <c r="A85" s="10"/>
      <c r="B85" s="10" t="s">
        <v>218</v>
      </c>
      <c r="C85" s="141">
        <f>LET(gain, Raw_Data_Daily!$BS$2:$BS$9999, players, Raw_Data_Daily!$D$2:$D$9999, group, Raw_Data_Daily!$B$2:$B$9999, segment, Raw_Data_Daily!$C$2:$C$9999, IFERROR(SUMPRODUCT(gain, players, --(group="Variant"), --(segment=C$4)) / SUMPRODUCT(players, --(group="Variant"), --(segment=C$4)), 0))</f>
        <v>1.137841027</v>
      </c>
      <c r="D85" s="141">
        <f>LET(gain, Raw_Data_Daily!$BS$2:$BS$9999, players, Raw_Data_Daily!$D$2:$D$9999, group, Raw_Data_Daily!$B$2:$B$9999, segment, Raw_Data_Daily!$C$2:$C$9999, IFERROR(SUMPRODUCT(gain, players, --(group="Variant"), --(segment=D$4)) / SUMPRODUCT(players, --(group="Variant"), --(segment=D$4)), 0))</f>
        <v>1.512218715</v>
      </c>
      <c r="E85" s="141">
        <f>LET(gain, Raw_Data_Daily!$BS$2:$BS$9999, players, Raw_Data_Daily!$D$2:$D$9999, group, Raw_Data_Daily!$B$2:$B$9999, segment, Raw_Data_Daily!$C$2:$C$9999, IFERROR(SUMPRODUCT(gain, players, --(group="Variant"), --(segment=E$4)) / SUMPRODUCT(players, --(group="Variant"), --(segment=E$4)), 0))</f>
        <v>1.947323167</v>
      </c>
      <c r="F85" s="141">
        <f>LET(gain, Raw_Data_Daily!$BS$2:$BS$9999, players, Raw_Data_Daily!$D$2:$D$9999, group, Raw_Data_Daily!$B$2:$B$9999, segment, Raw_Data_Daily!$C$2:$C$9999, IFERROR(SUMPRODUCT(gain, players, --(group="Variant"), --(segment=F$4)) / SUMPRODUCT(players, --(group="Variant"), --(segment=F$4)), 0))</f>
        <v>2.242692865</v>
      </c>
      <c r="G85" s="141">
        <f>LET(gain, Raw_Data_Daily!$BS$2:$BS$9999, players, Raw_Data_Daily!$D$2:$D$9999, group, Raw_Data_Daily!$B$2:$B$9999, segment, Raw_Data_Daily!$C$2:$C$9999, IFERROR(SUMPRODUCT(gain, players, --(group="Variant"), --(segment=G$4)) / SUMPRODUCT(players, --(group="Variant"), --(segment=G$4)), 0))</f>
        <v>2.880902345</v>
      </c>
    </row>
    <row r="86" ht="15.75" customHeight="1">
      <c r="A86" s="10"/>
      <c r="B86" s="58" t="s">
        <v>220</v>
      </c>
      <c r="C86" s="142">
        <f t="shared" ref="C86:G86" si="35">C85+C66</f>
        <v>1.137841027</v>
      </c>
      <c r="D86" s="142">
        <f t="shared" si="35"/>
        <v>1.512218715</v>
      </c>
      <c r="E86" s="142">
        <f t="shared" si="35"/>
        <v>1.947323167</v>
      </c>
      <c r="F86" s="142">
        <f t="shared" si="35"/>
        <v>2.242692865</v>
      </c>
      <c r="G86" s="142">
        <f t="shared" si="35"/>
        <v>2.880902345</v>
      </c>
    </row>
    <row r="87" ht="15.75" customHeight="1">
      <c r="A87" s="10"/>
      <c r="B87" s="69" t="s">
        <v>228</v>
      </c>
      <c r="C87" s="162">
        <f t="shared" ref="C87:G87" si="36">IFERROR(C85/C84-1,"")</f>
        <v>0.1944300003</v>
      </c>
      <c r="D87" s="162">
        <f t="shared" si="36"/>
        <v>0.1174917206</v>
      </c>
      <c r="E87" s="162">
        <f t="shared" si="36"/>
        <v>0.01488116177</v>
      </c>
      <c r="F87" s="162">
        <f t="shared" si="36"/>
        <v>-0.1206420103</v>
      </c>
      <c r="G87" s="162">
        <f t="shared" si="36"/>
        <v>-0.2380578558</v>
      </c>
    </row>
    <row r="88" ht="15.75" customHeight="1">
      <c r="A88" s="10"/>
      <c r="B88" s="73" t="s">
        <v>229</v>
      </c>
      <c r="C88" s="163">
        <f t="shared" ref="C88:G88" si="37">IFERROR(C86/C84-1,"")</f>
        <v>0.1944300003</v>
      </c>
      <c r="D88" s="163">
        <f t="shared" si="37"/>
        <v>0.1174917206</v>
      </c>
      <c r="E88" s="163">
        <f t="shared" si="37"/>
        <v>0.01488116177</v>
      </c>
      <c r="F88" s="163">
        <f t="shared" si="37"/>
        <v>-0.1206420103</v>
      </c>
      <c r="G88" s="163">
        <f t="shared" si="37"/>
        <v>-0.2380578558</v>
      </c>
    </row>
    <row r="89" ht="15.75" customHeight="1">
      <c r="A89" s="10"/>
      <c r="B89" s="144" t="s">
        <v>4</v>
      </c>
      <c r="C89" s="145">
        <f>LET(gain, Raw_Data_Daily!$BW$2:$BW$9999, players, Raw_Data_Daily!$D$2:$D$9999, group, Raw_Data_Daily!$B$2:$B$9999, segment, Raw_Data_Daily!$C$2:$C$9999, IFERROR(SUMPRODUCT(gain, players, --(group="Control"), --(segment=C$4)) / SUMPRODUCT(players, --(group="Control"), --(segment=C$4)), 0))</f>
        <v>0.4789269104</v>
      </c>
      <c r="D89" s="145">
        <f>LET(gain, Raw_Data_Daily!$BW$2:$BW$9999, players, Raw_Data_Daily!$D$2:$D$9999, group, Raw_Data_Daily!$B$2:$B$9999, segment, Raw_Data_Daily!$C$2:$C$9999, IFERROR(SUMPRODUCT(gain, players, --(group="Control"), --(segment=D$4)) / SUMPRODUCT(players, --(group="Control"), --(segment=D$4)), 0))</f>
        <v>0.9079000023</v>
      </c>
      <c r="E89" s="145">
        <f>LET(gain, Raw_Data_Daily!$BW$2:$BW$9999, players, Raw_Data_Daily!$D$2:$D$9999, group, Raw_Data_Daily!$B$2:$B$9999, segment, Raw_Data_Daily!$C$2:$C$9999, IFERROR(SUMPRODUCT(gain, players, --(group="Control"), --(segment=E$4)) / SUMPRODUCT(players, --(group="Control"), --(segment=E$4)), 0))</f>
        <v>1.431875226</v>
      </c>
      <c r="F89" s="145">
        <f>LET(gain, Raw_Data_Daily!$BW$2:$BW$9999, players, Raw_Data_Daily!$D$2:$D$9999, group, Raw_Data_Daily!$B$2:$B$9999, segment, Raw_Data_Daily!$C$2:$C$9999, IFERROR(SUMPRODUCT(gain, players, --(group="Control"), --(segment=F$4)) / SUMPRODUCT(players, --(group="Control"), --(segment=F$4)), 0))</f>
        <v>2.233782213</v>
      </c>
      <c r="G89" s="145">
        <f>LET(gain, Raw_Data_Daily!$BW$2:$BW$9999, players, Raw_Data_Daily!$D$2:$D$9999, group, Raw_Data_Daily!$B$2:$B$9999, segment, Raw_Data_Daily!$C$2:$C$9999, IFERROR(SUMPRODUCT(gain, players, --(group="Control"), --(segment=G$4)) / SUMPRODUCT(players, --(group="Control"), --(segment=G$4)), 0))</f>
        <v>3.520012993</v>
      </c>
    </row>
    <row r="90" ht="15.75" customHeight="1">
      <c r="A90" s="10"/>
      <c r="B90" s="10" t="s">
        <v>218</v>
      </c>
      <c r="C90" s="141">
        <f>LET(gain, Raw_Data_Daily!$BW$2:$BW$9999, players, Raw_Data_Daily!$D$2:$D$9999, group, Raw_Data_Daily!$B$2:$B$9999, segment, Raw_Data_Daily!$C$2:$C$9999, IFERROR(SUMPRODUCT(gain, players, --(group="Variant"), --(segment=C$4)) / SUMPRODUCT(players, --(group="Variant"), --(segment=C$4)), 0))</f>
        <v>0.3724960818</v>
      </c>
      <c r="D90" s="141">
        <f>LET(gain, Raw_Data_Daily!$BW$2:$BW$9999, players, Raw_Data_Daily!$D$2:$D$9999, group, Raw_Data_Daily!$B$2:$B$9999, segment, Raw_Data_Daily!$C$2:$C$9999, IFERROR(SUMPRODUCT(gain, players, --(group="Variant"), --(segment=D$4)) / SUMPRODUCT(players, --(group="Variant"), --(segment=D$4)), 0))</f>
        <v>0.7743223427</v>
      </c>
      <c r="E90" s="141">
        <f>LET(gain, Raw_Data_Daily!$BW$2:$BW$9999, players, Raw_Data_Daily!$D$2:$D$9999, group, Raw_Data_Daily!$B$2:$B$9999, segment, Raw_Data_Daily!$C$2:$C$9999, IFERROR(SUMPRODUCT(gain, players, --(group="Variant"), --(segment=E$4)) / SUMPRODUCT(players, --(group="Variant"), --(segment=E$4)), 0))</f>
        <v>1.289762712</v>
      </c>
      <c r="F90" s="141">
        <f>LET(gain, Raw_Data_Daily!$BW$2:$BW$9999, players, Raw_Data_Daily!$D$2:$D$9999, group, Raw_Data_Daily!$B$2:$B$9999, segment, Raw_Data_Daily!$C$2:$C$9999, IFERROR(SUMPRODUCT(gain, players, --(group="Variant"), --(segment=F$4)) / SUMPRODUCT(players, --(group="Variant"), --(segment=F$4)), 0))</f>
        <v>1.939412878</v>
      </c>
      <c r="G90" s="141">
        <f>LET(gain, Raw_Data_Daily!$BW$2:$BW$9999, players, Raw_Data_Daily!$D$2:$D$9999, group, Raw_Data_Daily!$B$2:$B$9999, segment, Raw_Data_Daily!$C$2:$C$9999, IFERROR(SUMPRODUCT(gain, players, --(group="Variant"), --(segment=G$4)) / SUMPRODUCT(players, --(group="Variant"), --(segment=G$4)), 0))</f>
        <v>2.775820865</v>
      </c>
    </row>
    <row r="91" ht="15.75" customHeight="1">
      <c r="A91" s="10"/>
      <c r="B91" s="58" t="s">
        <v>220</v>
      </c>
      <c r="C91" s="142">
        <f t="shared" ref="C91:G91" si="38">C90+C70</f>
        <v>0.3724960818</v>
      </c>
      <c r="D91" s="142">
        <f t="shared" si="38"/>
        <v>0.7743223427</v>
      </c>
      <c r="E91" s="142">
        <f t="shared" si="38"/>
        <v>1.289762712</v>
      </c>
      <c r="F91" s="142">
        <f t="shared" si="38"/>
        <v>1.939412878</v>
      </c>
      <c r="G91" s="142">
        <f t="shared" si="38"/>
        <v>2.775820865</v>
      </c>
    </row>
    <row r="92" ht="15.75" customHeight="1">
      <c r="A92" s="10"/>
      <c r="B92" s="69" t="s">
        <v>231</v>
      </c>
      <c r="C92" s="162">
        <f t="shared" ref="C92:G92" si="39">IFERROR(C90/C89-1,"")</f>
        <v>-0.2222277059</v>
      </c>
      <c r="D92" s="162">
        <f t="shared" si="39"/>
        <v>-0.1471281631</v>
      </c>
      <c r="E92" s="162">
        <f t="shared" si="39"/>
        <v>-0.09924923036</v>
      </c>
      <c r="F92" s="162">
        <f t="shared" si="39"/>
        <v>-0.1317806782</v>
      </c>
      <c r="G92" s="162">
        <f t="shared" si="39"/>
        <v>-0.2114174378</v>
      </c>
    </row>
    <row r="93" ht="15.75" customHeight="1">
      <c r="A93" s="10"/>
      <c r="B93" s="73" t="s">
        <v>232</v>
      </c>
      <c r="C93" s="163">
        <f t="shared" ref="C93:G93" si="40">IFERROR(C91/C89-1,"")</f>
        <v>-0.2222277059</v>
      </c>
      <c r="D93" s="163">
        <f t="shared" si="40"/>
        <v>-0.1471281631</v>
      </c>
      <c r="E93" s="163">
        <f t="shared" si="40"/>
        <v>-0.09924923036</v>
      </c>
      <c r="F93" s="163">
        <f t="shared" si="40"/>
        <v>-0.1317806782</v>
      </c>
      <c r="G93" s="163">
        <f t="shared" si="40"/>
        <v>-0.2114174378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conditionalFormatting sqref="C63:G63 C67:G67 C71:G71 C76:G76 C82:G82 C87:G87 C92:G92">
    <cfRule type="cellIs" dxfId="2" priority="1" operator="greaterThan">
      <formula>0</formula>
    </cfRule>
  </conditionalFormatting>
  <conditionalFormatting sqref="C63:G63 C67:G67 C71:G71 C76:G76 C82:G82 C87:G87 C92:G92">
    <cfRule type="cellIs" dxfId="3" priority="2" operator="lessThan">
      <formula>0</formula>
    </cfRule>
  </conditionalFormatting>
  <conditionalFormatting sqref="C58:G58 C63:G63 C67:G67 C71:G71">
    <cfRule type="cellIs" dxfId="2" priority="3" operator="greaterThan">
      <formula>0</formula>
    </cfRule>
  </conditionalFormatting>
  <conditionalFormatting sqref="C20:G37">
    <cfRule type="cellIs" dxfId="4" priority="4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7.43"/>
    <col customWidth="1" min="2" max="16" width="12.0"/>
    <col customWidth="1" min="17" max="55" width="8.71"/>
  </cols>
  <sheetData>
    <row r="1">
      <c r="A1" s="81" t="s">
        <v>233</v>
      </c>
    </row>
    <row r="3" ht="15.75" customHeight="1">
      <c r="A3" s="72" t="s">
        <v>234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</row>
    <row r="4" ht="15.75" customHeight="1">
      <c r="A4" s="169" t="s">
        <v>235</v>
      </c>
      <c r="B4" s="169"/>
      <c r="C4" s="170"/>
      <c r="D4" s="170"/>
      <c r="E4" s="170"/>
      <c r="F4" s="170"/>
      <c r="G4" s="170"/>
      <c r="H4" s="171"/>
      <c r="I4" s="171"/>
      <c r="J4" s="171"/>
      <c r="K4" s="171"/>
      <c r="L4" s="171"/>
      <c r="M4" s="171"/>
      <c r="N4" s="171"/>
      <c r="O4" s="171"/>
      <c r="P4" s="171"/>
    </row>
    <row r="5" ht="15.75" customHeight="1">
      <c r="A5" s="172" t="s">
        <v>236</v>
      </c>
      <c r="B5" s="172" t="s">
        <v>237</v>
      </c>
      <c r="C5" s="173" t="s">
        <v>238</v>
      </c>
      <c r="D5" s="173" t="s">
        <v>239</v>
      </c>
      <c r="E5" s="173" t="s">
        <v>115</v>
      </c>
      <c r="F5" s="173" t="s">
        <v>79</v>
      </c>
      <c r="G5" s="173" t="s">
        <v>85</v>
      </c>
      <c r="H5" s="174" t="s">
        <v>91</v>
      </c>
      <c r="I5" s="174" t="s">
        <v>97</v>
      </c>
      <c r="J5" s="174" t="s">
        <v>103</v>
      </c>
      <c r="K5" s="174" t="s">
        <v>240</v>
      </c>
      <c r="L5" s="174" t="s">
        <v>241</v>
      </c>
      <c r="M5" s="174" t="s">
        <v>242</v>
      </c>
      <c r="N5" s="174" t="s">
        <v>243</v>
      </c>
      <c r="O5" s="174" t="s">
        <v>244</v>
      </c>
      <c r="P5" s="174" t="s">
        <v>245</v>
      </c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  <c r="AU5" s="175"/>
      <c r="AV5" s="175"/>
      <c r="AW5" s="175"/>
      <c r="AX5" s="175"/>
      <c r="AY5" s="175"/>
      <c r="AZ5" s="175"/>
      <c r="BA5" s="175"/>
      <c r="BB5" s="175"/>
      <c r="BC5" s="175"/>
    </row>
    <row r="6" ht="15.75" customHeight="1">
      <c r="A6" s="176">
        <v>1.0</v>
      </c>
      <c r="B6" s="176">
        <v>10.0</v>
      </c>
      <c r="C6" s="176">
        <v>1.0</v>
      </c>
      <c r="D6" s="176">
        <v>10.0</v>
      </c>
      <c r="E6" s="176">
        <v>0.0</v>
      </c>
      <c r="F6" s="176">
        <v>0.0</v>
      </c>
      <c r="G6" s="176">
        <v>0.0</v>
      </c>
      <c r="H6" s="176">
        <v>0.0</v>
      </c>
      <c r="I6" s="176">
        <v>0.0</v>
      </c>
      <c r="J6" s="176">
        <v>0.0</v>
      </c>
      <c r="K6" s="176">
        <v>0.0</v>
      </c>
      <c r="L6" s="176">
        <v>15.0</v>
      </c>
      <c r="M6" s="176">
        <v>0.0</v>
      </c>
      <c r="N6" s="176">
        <v>0.0</v>
      </c>
      <c r="O6" s="176">
        <v>0.0</v>
      </c>
      <c r="P6" s="176">
        <v>62.55</v>
      </c>
    </row>
    <row r="7" ht="15.75" customHeight="1">
      <c r="A7" s="176">
        <v>2.0</v>
      </c>
      <c r="B7" s="176">
        <v>10.0</v>
      </c>
      <c r="C7" s="176">
        <v>1.0</v>
      </c>
      <c r="D7" s="176">
        <v>0.0</v>
      </c>
      <c r="E7" s="176">
        <v>0.0</v>
      </c>
      <c r="F7" s="176">
        <v>1.0</v>
      </c>
      <c r="G7" s="176">
        <v>0.0</v>
      </c>
      <c r="H7" s="176">
        <v>0.0</v>
      </c>
      <c r="I7" s="176">
        <v>0.0</v>
      </c>
      <c r="J7" s="176">
        <v>0.0</v>
      </c>
      <c r="K7" s="176">
        <v>0.0</v>
      </c>
      <c r="L7" s="176">
        <v>15.0</v>
      </c>
      <c r="M7" s="176">
        <v>0.0</v>
      </c>
      <c r="N7" s="176">
        <v>0.0</v>
      </c>
      <c r="O7" s="176">
        <v>0.0</v>
      </c>
      <c r="P7" s="176">
        <v>95.55</v>
      </c>
    </row>
    <row r="8" ht="15.75" customHeight="1">
      <c r="A8" s="176">
        <v>3.0</v>
      </c>
      <c r="B8" s="176">
        <v>10.0</v>
      </c>
      <c r="C8" s="176">
        <v>2.0</v>
      </c>
      <c r="D8" s="176">
        <v>10.0</v>
      </c>
      <c r="E8" s="176">
        <v>0.0</v>
      </c>
      <c r="F8" s="176">
        <v>0.0</v>
      </c>
      <c r="G8" s="176">
        <v>0.0</v>
      </c>
      <c r="H8" s="176">
        <v>0.0</v>
      </c>
      <c r="I8" s="176">
        <v>0.0</v>
      </c>
      <c r="J8" s="176">
        <v>0.0</v>
      </c>
      <c r="K8" s="176">
        <v>0.0</v>
      </c>
      <c r="L8" s="176">
        <v>15.0</v>
      </c>
      <c r="M8" s="176">
        <v>0.0</v>
      </c>
      <c r="N8" s="176">
        <v>0.0</v>
      </c>
      <c r="O8" s="176">
        <v>0.0</v>
      </c>
      <c r="P8" s="176">
        <v>62.55</v>
      </c>
    </row>
    <row r="9" ht="15.75" customHeight="1">
      <c r="A9" s="176">
        <v>4.0</v>
      </c>
      <c r="B9" s="176">
        <v>10.0</v>
      </c>
      <c r="C9" s="176">
        <v>2.0</v>
      </c>
      <c r="D9" s="176">
        <v>0.0</v>
      </c>
      <c r="E9" s="176">
        <v>0.0</v>
      </c>
      <c r="F9" s="176">
        <v>0.0</v>
      </c>
      <c r="G9" s="176">
        <v>0.0</v>
      </c>
      <c r="H9" s="176">
        <v>0.0</v>
      </c>
      <c r="I9" s="176">
        <v>1.0</v>
      </c>
      <c r="J9" s="176">
        <v>0.0</v>
      </c>
      <c r="K9" s="176">
        <v>0.0</v>
      </c>
      <c r="L9" s="176">
        <v>15.0</v>
      </c>
      <c r="M9" s="176">
        <v>0.0</v>
      </c>
      <c r="N9" s="176">
        <v>0.0</v>
      </c>
      <c r="O9" s="176">
        <v>0.0</v>
      </c>
      <c r="P9" s="176">
        <v>229.55</v>
      </c>
    </row>
    <row r="10" ht="15.75" customHeight="1">
      <c r="A10" s="176">
        <v>5.0</v>
      </c>
      <c r="B10" s="176">
        <v>10.0</v>
      </c>
      <c r="C10" s="176">
        <v>2.0</v>
      </c>
      <c r="D10" s="176">
        <v>0.0</v>
      </c>
      <c r="E10" s="176">
        <v>0.0</v>
      </c>
      <c r="F10" s="176">
        <v>0.0</v>
      </c>
      <c r="G10" s="176">
        <v>1.0</v>
      </c>
      <c r="H10" s="176">
        <v>0.0</v>
      </c>
      <c r="I10" s="176">
        <v>0.0</v>
      </c>
      <c r="J10" s="176">
        <v>0.0</v>
      </c>
      <c r="K10" s="176">
        <v>0.0</v>
      </c>
      <c r="L10" s="176">
        <v>15.0</v>
      </c>
      <c r="M10" s="176">
        <v>0.0</v>
      </c>
      <c r="N10" s="176">
        <v>0.0</v>
      </c>
      <c r="O10" s="176">
        <v>0.0</v>
      </c>
      <c r="P10" s="176">
        <v>112.55</v>
      </c>
    </row>
    <row r="11" ht="15.75" customHeight="1">
      <c r="A11" s="176">
        <v>6.0</v>
      </c>
      <c r="B11" s="176">
        <v>10.0</v>
      </c>
      <c r="C11" s="176">
        <v>3.0</v>
      </c>
      <c r="D11" s="176">
        <v>0.0</v>
      </c>
      <c r="E11" s="176">
        <v>0.0</v>
      </c>
      <c r="F11" s="176">
        <v>0.0</v>
      </c>
      <c r="G11" s="176">
        <v>0.0</v>
      </c>
      <c r="H11" s="176">
        <v>0.0</v>
      </c>
      <c r="I11" s="176">
        <v>0.0</v>
      </c>
      <c r="J11" s="176">
        <v>1.0</v>
      </c>
      <c r="K11" s="176">
        <v>0.0</v>
      </c>
      <c r="L11" s="176">
        <v>20.0</v>
      </c>
      <c r="M11" s="176">
        <v>0.0</v>
      </c>
      <c r="N11" s="176">
        <v>0.0</v>
      </c>
      <c r="O11" s="176">
        <v>0.0</v>
      </c>
      <c r="P11" s="176">
        <v>150.4</v>
      </c>
    </row>
    <row r="12" ht="15.75" customHeight="1">
      <c r="A12" s="176">
        <v>7.0</v>
      </c>
      <c r="B12" s="176">
        <v>10.0</v>
      </c>
      <c r="C12" s="176">
        <v>3.0</v>
      </c>
      <c r="D12" s="176">
        <v>10.0</v>
      </c>
      <c r="E12" s="176">
        <v>0.0</v>
      </c>
      <c r="F12" s="176">
        <v>0.0</v>
      </c>
      <c r="G12" s="176">
        <v>0.0</v>
      </c>
      <c r="H12" s="176">
        <v>0.0</v>
      </c>
      <c r="I12" s="176">
        <v>0.0</v>
      </c>
      <c r="J12" s="176">
        <v>0.0</v>
      </c>
      <c r="K12" s="176">
        <v>0.0</v>
      </c>
      <c r="L12" s="176">
        <v>20.0</v>
      </c>
      <c r="M12" s="176">
        <v>0.0</v>
      </c>
      <c r="N12" s="176">
        <v>0.0</v>
      </c>
      <c r="O12" s="176">
        <v>0.0</v>
      </c>
      <c r="P12" s="176">
        <v>83.4</v>
      </c>
    </row>
    <row r="13" ht="15.75" customHeight="1">
      <c r="A13" s="176">
        <v>8.0</v>
      </c>
      <c r="B13" s="176">
        <v>10.0</v>
      </c>
      <c r="C13" s="176">
        <v>3.0</v>
      </c>
      <c r="D13" s="176">
        <v>0.0</v>
      </c>
      <c r="E13" s="176">
        <v>0.0</v>
      </c>
      <c r="F13" s="176">
        <v>0.0</v>
      </c>
      <c r="G13" s="176">
        <v>0.0</v>
      </c>
      <c r="H13" s="176">
        <v>1.0</v>
      </c>
      <c r="I13" s="176">
        <v>0.0</v>
      </c>
      <c r="J13" s="176">
        <v>0.0</v>
      </c>
      <c r="K13" s="176">
        <v>0.0</v>
      </c>
      <c r="L13" s="176">
        <v>30.0</v>
      </c>
      <c r="M13" s="176">
        <v>0.0</v>
      </c>
      <c r="N13" s="176">
        <v>0.0</v>
      </c>
      <c r="O13" s="176">
        <v>0.0</v>
      </c>
      <c r="P13" s="176">
        <v>192.1</v>
      </c>
    </row>
    <row r="14" ht="15.75" customHeight="1">
      <c r="A14" s="176">
        <v>9.0</v>
      </c>
      <c r="B14" s="176">
        <v>10.0</v>
      </c>
      <c r="C14" s="176">
        <v>3.0</v>
      </c>
      <c r="D14" s="176">
        <v>10.0</v>
      </c>
      <c r="E14" s="176">
        <v>0.0</v>
      </c>
      <c r="F14" s="176">
        <v>0.0</v>
      </c>
      <c r="G14" s="176">
        <v>0.0</v>
      </c>
      <c r="H14" s="176">
        <v>0.0</v>
      </c>
      <c r="I14" s="176">
        <v>0.0</v>
      </c>
      <c r="J14" s="176">
        <v>0.0</v>
      </c>
      <c r="K14" s="176">
        <v>0.0</v>
      </c>
      <c r="L14" s="176">
        <v>60.0</v>
      </c>
      <c r="M14" s="176">
        <v>0.0</v>
      </c>
      <c r="N14" s="176">
        <v>0.0</v>
      </c>
      <c r="O14" s="176">
        <v>0.0</v>
      </c>
      <c r="P14" s="176">
        <v>250.2</v>
      </c>
    </row>
    <row r="15" ht="15.75" customHeight="1">
      <c r="A15" s="176">
        <v>10.0</v>
      </c>
      <c r="B15" s="176">
        <v>10.0</v>
      </c>
      <c r="C15" s="176">
        <v>4.0</v>
      </c>
      <c r="D15" s="176">
        <v>20.0</v>
      </c>
      <c r="E15" s="176">
        <v>0.0</v>
      </c>
      <c r="F15" s="176">
        <v>0.0</v>
      </c>
      <c r="G15" s="176">
        <v>0.0</v>
      </c>
      <c r="H15" s="176">
        <v>0.0</v>
      </c>
      <c r="I15" s="176">
        <v>0.0</v>
      </c>
      <c r="J15" s="176">
        <v>0.0</v>
      </c>
      <c r="K15" s="176">
        <v>0.0</v>
      </c>
      <c r="L15" s="176">
        <v>60.0</v>
      </c>
      <c r="M15" s="176">
        <v>0.0</v>
      </c>
      <c r="N15" s="176">
        <v>0.0</v>
      </c>
      <c r="O15" s="176">
        <v>0.0</v>
      </c>
      <c r="P15" s="176">
        <v>250.2</v>
      </c>
    </row>
    <row r="16" ht="15.75" customHeight="1">
      <c r="A16" s="153" t="s">
        <v>246</v>
      </c>
      <c r="B16" s="176">
        <v>100.0</v>
      </c>
      <c r="D16" s="176">
        <f t="shared" ref="D16:O16" si="1">sum(D6:D15)</f>
        <v>60</v>
      </c>
      <c r="E16" s="176">
        <f t="shared" si="1"/>
        <v>0</v>
      </c>
      <c r="F16" s="176">
        <f t="shared" si="1"/>
        <v>1</v>
      </c>
      <c r="G16" s="176">
        <f t="shared" si="1"/>
        <v>1</v>
      </c>
      <c r="H16" s="176">
        <f t="shared" si="1"/>
        <v>1</v>
      </c>
      <c r="I16" s="176">
        <f t="shared" si="1"/>
        <v>1</v>
      </c>
      <c r="J16" s="176">
        <f t="shared" si="1"/>
        <v>1</v>
      </c>
      <c r="K16" s="176">
        <f t="shared" si="1"/>
        <v>0</v>
      </c>
      <c r="L16" s="176">
        <f t="shared" si="1"/>
        <v>265</v>
      </c>
      <c r="M16" s="176">
        <f t="shared" si="1"/>
        <v>0</v>
      </c>
      <c r="N16" s="176">
        <f t="shared" si="1"/>
        <v>0</v>
      </c>
      <c r="O16" s="176">
        <f t="shared" si="1"/>
        <v>0</v>
      </c>
      <c r="P16" s="176">
        <v>1489.05</v>
      </c>
    </row>
    <row r="17" ht="15.75" customHeight="1">
      <c r="A17" s="177" t="s">
        <v>247</v>
      </c>
      <c r="B17" s="178"/>
      <c r="C17" s="178"/>
      <c r="D17" s="178">
        <f t="shared" ref="D17:O17" si="2">D16/$B16</f>
        <v>0.6</v>
      </c>
      <c r="E17" s="178">
        <f t="shared" si="2"/>
        <v>0</v>
      </c>
      <c r="F17" s="178">
        <f t="shared" si="2"/>
        <v>0.01</v>
      </c>
      <c r="G17" s="178">
        <f t="shared" si="2"/>
        <v>0.01</v>
      </c>
      <c r="H17" s="178">
        <f t="shared" si="2"/>
        <v>0.01</v>
      </c>
      <c r="I17" s="178">
        <f t="shared" si="2"/>
        <v>0.01</v>
      </c>
      <c r="J17" s="178">
        <f t="shared" si="2"/>
        <v>0.01</v>
      </c>
      <c r="K17" s="178">
        <f t="shared" si="2"/>
        <v>0</v>
      </c>
      <c r="L17" s="178">
        <f t="shared" si="2"/>
        <v>2.65</v>
      </c>
      <c r="M17" s="178">
        <f t="shared" si="2"/>
        <v>0</v>
      </c>
      <c r="N17" s="178">
        <f t="shared" si="2"/>
        <v>0</v>
      </c>
      <c r="O17" s="178">
        <f t="shared" si="2"/>
        <v>0</v>
      </c>
      <c r="P17" s="178">
        <v>14.8905</v>
      </c>
    </row>
    <row r="18" ht="15.75" customHeight="1"/>
    <row r="19" ht="15.75" customHeight="1">
      <c r="A19" s="179" t="s">
        <v>248</v>
      </c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</row>
    <row r="20" ht="15.75" customHeight="1">
      <c r="A20" s="174" t="s">
        <v>236</v>
      </c>
      <c r="B20" s="174" t="s">
        <v>237</v>
      </c>
      <c r="C20" s="174" t="s">
        <v>238</v>
      </c>
      <c r="D20" s="174" t="s">
        <v>239</v>
      </c>
      <c r="E20" s="174" t="s">
        <v>115</v>
      </c>
      <c r="F20" s="174" t="s">
        <v>79</v>
      </c>
      <c r="G20" s="174" t="s">
        <v>85</v>
      </c>
      <c r="H20" s="174" t="s">
        <v>91</v>
      </c>
      <c r="I20" s="174" t="s">
        <v>97</v>
      </c>
      <c r="J20" s="174" t="s">
        <v>103</v>
      </c>
      <c r="K20" s="174" t="s">
        <v>240</v>
      </c>
      <c r="L20" s="174" t="s">
        <v>241</v>
      </c>
      <c r="M20" s="174" t="s">
        <v>242</v>
      </c>
      <c r="N20" s="174" t="s">
        <v>243</v>
      </c>
      <c r="O20" s="174" t="s">
        <v>244</v>
      </c>
      <c r="P20" s="174" t="s">
        <v>245</v>
      </c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  <c r="AN20" s="175"/>
      <c r="AO20" s="175"/>
      <c r="AP20" s="175"/>
      <c r="AQ20" s="175"/>
      <c r="AR20" s="175"/>
      <c r="AS20" s="175"/>
      <c r="AT20" s="175"/>
      <c r="AU20" s="175"/>
      <c r="AV20" s="175"/>
      <c r="AW20" s="175"/>
      <c r="AX20" s="175"/>
      <c r="AY20" s="175"/>
      <c r="AZ20" s="175"/>
      <c r="BA20" s="175"/>
      <c r="BB20" s="175"/>
      <c r="BC20" s="175"/>
    </row>
    <row r="21" ht="15.75" customHeight="1">
      <c r="A21" s="176">
        <v>1.0</v>
      </c>
      <c r="B21" s="176">
        <v>10.0</v>
      </c>
      <c r="C21" s="176">
        <v>1.0</v>
      </c>
      <c r="D21" s="176">
        <v>10.0</v>
      </c>
      <c r="E21" s="176">
        <v>0.0</v>
      </c>
      <c r="F21" s="176">
        <v>0.0</v>
      </c>
      <c r="G21" s="176">
        <v>0.0</v>
      </c>
      <c r="H21" s="176">
        <v>0.0</v>
      </c>
      <c r="I21" s="176">
        <v>0.0</v>
      </c>
      <c r="J21" s="176">
        <v>0.0</v>
      </c>
      <c r="K21" s="176">
        <v>0.0</v>
      </c>
      <c r="L21" s="176">
        <v>15.0</v>
      </c>
      <c r="M21" s="176">
        <v>0.0</v>
      </c>
      <c r="N21" s="176">
        <v>0.0</v>
      </c>
      <c r="O21" s="176">
        <v>0.0</v>
      </c>
      <c r="P21" s="176">
        <v>62.55</v>
      </c>
    </row>
    <row r="22" ht="15.75" customHeight="1">
      <c r="A22" s="176">
        <v>2.0</v>
      </c>
      <c r="B22" s="176">
        <v>10.0</v>
      </c>
      <c r="C22" s="176">
        <v>1.0</v>
      </c>
      <c r="D22" s="176">
        <v>0.0</v>
      </c>
      <c r="E22" s="176">
        <v>0.0</v>
      </c>
      <c r="F22" s="176">
        <v>1.0</v>
      </c>
      <c r="G22" s="176">
        <v>0.0</v>
      </c>
      <c r="H22" s="176">
        <v>0.0</v>
      </c>
      <c r="I22" s="176">
        <v>0.0</v>
      </c>
      <c r="J22" s="176">
        <v>0.0</v>
      </c>
      <c r="K22" s="176">
        <v>0.0</v>
      </c>
      <c r="L22" s="176">
        <v>15.0</v>
      </c>
      <c r="M22" s="176">
        <v>0.0</v>
      </c>
      <c r="N22" s="176">
        <v>0.0</v>
      </c>
      <c r="O22" s="176">
        <v>0.0</v>
      </c>
      <c r="P22" s="176">
        <v>95.55</v>
      </c>
    </row>
    <row r="23" ht="15.75" customHeight="1">
      <c r="A23" s="176">
        <v>3.0</v>
      </c>
      <c r="B23" s="176">
        <v>10.0</v>
      </c>
      <c r="C23" s="176">
        <v>2.0</v>
      </c>
      <c r="D23" s="176">
        <v>10.0</v>
      </c>
      <c r="E23" s="176">
        <v>0.0</v>
      </c>
      <c r="F23" s="176">
        <v>0.0</v>
      </c>
      <c r="G23" s="176">
        <v>0.0</v>
      </c>
      <c r="H23" s="176">
        <v>0.0</v>
      </c>
      <c r="I23" s="176">
        <v>0.0</v>
      </c>
      <c r="J23" s="176">
        <v>0.0</v>
      </c>
      <c r="K23" s="176">
        <v>0.0</v>
      </c>
      <c r="L23" s="176">
        <v>15.0</v>
      </c>
      <c r="M23" s="176">
        <v>0.0</v>
      </c>
      <c r="N23" s="176">
        <v>0.0</v>
      </c>
      <c r="O23" s="176">
        <v>0.0</v>
      </c>
      <c r="P23" s="176">
        <v>62.55</v>
      </c>
    </row>
    <row r="24" ht="15.75" customHeight="1">
      <c r="A24" s="176">
        <v>4.0</v>
      </c>
      <c r="B24" s="176">
        <v>10.0</v>
      </c>
      <c r="C24" s="176">
        <v>2.0</v>
      </c>
      <c r="D24" s="176">
        <v>0.0</v>
      </c>
      <c r="E24" s="176">
        <v>0.0</v>
      </c>
      <c r="F24" s="176">
        <v>0.0</v>
      </c>
      <c r="G24" s="176">
        <v>0.0</v>
      </c>
      <c r="H24" s="176">
        <v>0.0</v>
      </c>
      <c r="I24" s="176">
        <v>1.0</v>
      </c>
      <c r="J24" s="176">
        <v>0.0</v>
      </c>
      <c r="K24" s="176">
        <v>0.0</v>
      </c>
      <c r="L24" s="176">
        <v>15.0</v>
      </c>
      <c r="M24" s="176">
        <v>0.0</v>
      </c>
      <c r="N24" s="176">
        <v>0.0</v>
      </c>
      <c r="O24" s="176">
        <v>0.0</v>
      </c>
      <c r="P24" s="176">
        <v>229.55</v>
      </c>
    </row>
    <row r="25" ht="15.75" customHeight="1">
      <c r="A25" s="176">
        <v>5.0</v>
      </c>
      <c r="B25" s="176">
        <v>10.0</v>
      </c>
      <c r="C25" s="176">
        <v>2.0</v>
      </c>
      <c r="D25" s="176">
        <v>0.0</v>
      </c>
      <c r="E25" s="176">
        <v>0.0</v>
      </c>
      <c r="F25" s="176">
        <v>0.0</v>
      </c>
      <c r="G25" s="176">
        <v>1.0</v>
      </c>
      <c r="H25" s="176">
        <v>0.0</v>
      </c>
      <c r="I25" s="176">
        <v>0.0</v>
      </c>
      <c r="J25" s="176">
        <v>0.0</v>
      </c>
      <c r="K25" s="176">
        <v>0.0</v>
      </c>
      <c r="L25" s="176">
        <v>15.0</v>
      </c>
      <c r="M25" s="176">
        <v>0.0</v>
      </c>
      <c r="N25" s="176">
        <v>0.0</v>
      </c>
      <c r="O25" s="176">
        <v>0.0</v>
      </c>
      <c r="P25" s="176">
        <v>112.55</v>
      </c>
    </row>
    <row r="26" ht="15.75" customHeight="1">
      <c r="A26" s="176">
        <v>6.0</v>
      </c>
      <c r="B26" s="176">
        <v>10.0</v>
      </c>
      <c r="C26" s="176">
        <v>3.0</v>
      </c>
      <c r="D26" s="176">
        <v>0.0</v>
      </c>
      <c r="E26" s="176">
        <v>0.0</v>
      </c>
      <c r="F26" s="176">
        <v>0.0</v>
      </c>
      <c r="G26" s="176">
        <v>0.0</v>
      </c>
      <c r="H26" s="176">
        <v>0.0</v>
      </c>
      <c r="I26" s="176">
        <v>0.0</v>
      </c>
      <c r="J26" s="176">
        <v>1.0</v>
      </c>
      <c r="K26" s="176">
        <v>0.0</v>
      </c>
      <c r="L26" s="176">
        <v>20.0</v>
      </c>
      <c r="M26" s="176">
        <v>0.0</v>
      </c>
      <c r="N26" s="176">
        <v>0.0</v>
      </c>
      <c r="O26" s="176">
        <v>0.0</v>
      </c>
      <c r="P26" s="176">
        <v>150.4</v>
      </c>
    </row>
    <row r="27" ht="15.75" customHeight="1">
      <c r="A27" s="176">
        <v>7.0</v>
      </c>
      <c r="B27" s="176">
        <v>10.0</v>
      </c>
      <c r="C27" s="176">
        <v>3.0</v>
      </c>
      <c r="D27" s="176">
        <v>10.0</v>
      </c>
      <c r="E27" s="176">
        <v>0.0</v>
      </c>
      <c r="F27" s="176">
        <v>0.0</v>
      </c>
      <c r="G27" s="176">
        <v>0.0</v>
      </c>
      <c r="H27" s="176">
        <v>0.0</v>
      </c>
      <c r="I27" s="176">
        <v>0.0</v>
      </c>
      <c r="J27" s="176">
        <v>0.0</v>
      </c>
      <c r="K27" s="176">
        <v>0.0</v>
      </c>
      <c r="L27" s="176">
        <v>20.0</v>
      </c>
      <c r="M27" s="176">
        <v>0.0</v>
      </c>
      <c r="N27" s="176">
        <v>0.0</v>
      </c>
      <c r="O27" s="176">
        <v>0.0</v>
      </c>
      <c r="P27" s="176">
        <v>83.4</v>
      </c>
    </row>
    <row r="28" ht="15.75" customHeight="1">
      <c r="A28" s="176">
        <v>8.0</v>
      </c>
      <c r="B28" s="176">
        <v>10.0</v>
      </c>
      <c r="C28" s="176">
        <v>3.0</v>
      </c>
      <c r="D28" s="176">
        <v>0.0</v>
      </c>
      <c r="E28" s="176">
        <v>0.0</v>
      </c>
      <c r="F28" s="176">
        <v>0.0</v>
      </c>
      <c r="G28" s="176">
        <v>0.0</v>
      </c>
      <c r="H28" s="176">
        <v>1.0</v>
      </c>
      <c r="I28" s="176">
        <v>0.0</v>
      </c>
      <c r="J28" s="176">
        <v>0.0</v>
      </c>
      <c r="K28" s="176">
        <v>0.0</v>
      </c>
      <c r="L28" s="176">
        <v>30.0</v>
      </c>
      <c r="M28" s="176">
        <v>0.0</v>
      </c>
      <c r="N28" s="176">
        <v>0.0</v>
      </c>
      <c r="O28" s="176">
        <v>0.0</v>
      </c>
      <c r="P28" s="176">
        <v>192.1</v>
      </c>
    </row>
    <row r="29" ht="15.75" customHeight="1">
      <c r="A29" s="176">
        <v>9.0</v>
      </c>
      <c r="B29" s="176">
        <v>10.0</v>
      </c>
      <c r="C29" s="176">
        <v>3.0</v>
      </c>
      <c r="D29" s="176">
        <v>10.0</v>
      </c>
      <c r="E29" s="176">
        <v>0.0</v>
      </c>
      <c r="F29" s="176">
        <v>0.0</v>
      </c>
      <c r="G29" s="176">
        <v>0.0</v>
      </c>
      <c r="H29" s="176">
        <v>0.0</v>
      </c>
      <c r="I29" s="176">
        <v>0.0</v>
      </c>
      <c r="J29" s="176">
        <v>0.0</v>
      </c>
      <c r="K29" s="176">
        <v>0.0</v>
      </c>
      <c r="L29" s="176">
        <v>60.0</v>
      </c>
      <c r="M29" s="176">
        <v>0.0</v>
      </c>
      <c r="N29" s="176">
        <v>0.0</v>
      </c>
      <c r="O29" s="176">
        <v>0.0</v>
      </c>
      <c r="P29" s="176">
        <v>250.2</v>
      </c>
    </row>
    <row r="30" ht="15.75" customHeight="1">
      <c r="A30" s="176">
        <v>10.0</v>
      </c>
      <c r="B30" s="176">
        <v>10.0</v>
      </c>
      <c r="C30" s="176">
        <v>4.0</v>
      </c>
      <c r="D30" s="176">
        <v>20.0</v>
      </c>
      <c r="E30" s="176">
        <v>0.0</v>
      </c>
      <c r="F30" s="176">
        <v>0.0</v>
      </c>
      <c r="G30" s="176">
        <v>0.0</v>
      </c>
      <c r="H30" s="176">
        <v>0.0</v>
      </c>
      <c r="I30" s="176">
        <v>0.0</v>
      </c>
      <c r="J30" s="176">
        <v>0.0</v>
      </c>
      <c r="K30" s="176">
        <v>0.0</v>
      </c>
      <c r="L30" s="176">
        <v>60.0</v>
      </c>
      <c r="M30" s="176">
        <v>0.0</v>
      </c>
      <c r="N30" s="176">
        <v>0.0</v>
      </c>
      <c r="O30" s="176">
        <v>0.0</v>
      </c>
      <c r="P30" s="176">
        <v>250.2</v>
      </c>
    </row>
    <row r="31" ht="15.75" customHeight="1">
      <c r="A31" s="153" t="s">
        <v>246</v>
      </c>
      <c r="B31" s="176">
        <v>100.0</v>
      </c>
      <c r="D31" s="176">
        <f t="shared" ref="D31:O31" si="3">sum(D21:D30)</f>
        <v>60</v>
      </c>
      <c r="E31" s="176">
        <f t="shared" si="3"/>
        <v>0</v>
      </c>
      <c r="F31" s="176">
        <f t="shared" si="3"/>
        <v>1</v>
      </c>
      <c r="G31" s="176">
        <f t="shared" si="3"/>
        <v>1</v>
      </c>
      <c r="H31" s="176">
        <f t="shared" si="3"/>
        <v>1</v>
      </c>
      <c r="I31" s="176">
        <f t="shared" si="3"/>
        <v>1</v>
      </c>
      <c r="J31" s="176">
        <f t="shared" si="3"/>
        <v>1</v>
      </c>
      <c r="K31" s="176">
        <f t="shared" si="3"/>
        <v>0</v>
      </c>
      <c r="L31" s="176">
        <f t="shared" si="3"/>
        <v>265</v>
      </c>
      <c r="M31" s="176">
        <f t="shared" si="3"/>
        <v>0</v>
      </c>
      <c r="N31" s="176">
        <f t="shared" si="3"/>
        <v>0</v>
      </c>
      <c r="O31" s="176">
        <f t="shared" si="3"/>
        <v>0</v>
      </c>
      <c r="P31" s="176">
        <v>1489.05</v>
      </c>
    </row>
    <row r="32" ht="15.75" customHeight="1">
      <c r="A32" s="177" t="s">
        <v>247</v>
      </c>
      <c r="B32" s="178"/>
      <c r="C32" s="178"/>
      <c r="D32" s="178">
        <f t="shared" ref="D32:O32" si="4">D31/$B31</f>
        <v>0.6</v>
      </c>
      <c r="E32" s="178">
        <f t="shared" si="4"/>
        <v>0</v>
      </c>
      <c r="F32" s="178">
        <f t="shared" si="4"/>
        <v>0.01</v>
      </c>
      <c r="G32" s="178">
        <f t="shared" si="4"/>
        <v>0.01</v>
      </c>
      <c r="H32" s="178">
        <f t="shared" si="4"/>
        <v>0.01</v>
      </c>
      <c r="I32" s="178">
        <f t="shared" si="4"/>
        <v>0.01</v>
      </c>
      <c r="J32" s="178">
        <f t="shared" si="4"/>
        <v>0.01</v>
      </c>
      <c r="K32" s="178">
        <f t="shared" si="4"/>
        <v>0</v>
      </c>
      <c r="L32" s="178">
        <f t="shared" si="4"/>
        <v>2.65</v>
      </c>
      <c r="M32" s="178">
        <f t="shared" si="4"/>
        <v>0</v>
      </c>
      <c r="N32" s="178">
        <f t="shared" si="4"/>
        <v>0</v>
      </c>
      <c r="O32" s="178">
        <f t="shared" si="4"/>
        <v>0</v>
      </c>
      <c r="P32" s="178">
        <v>14.8905</v>
      </c>
    </row>
    <row r="33" ht="15.75" customHeight="1"/>
    <row r="34" ht="15.75" customHeight="1">
      <c r="A34" s="179" t="s">
        <v>249</v>
      </c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</row>
    <row r="35" ht="15.75" customHeight="1">
      <c r="A35" s="174" t="s">
        <v>236</v>
      </c>
      <c r="B35" s="174" t="s">
        <v>237</v>
      </c>
      <c r="C35" s="174" t="s">
        <v>238</v>
      </c>
      <c r="D35" s="174" t="s">
        <v>239</v>
      </c>
      <c r="E35" s="174" t="s">
        <v>115</v>
      </c>
      <c r="F35" s="174" t="s">
        <v>79</v>
      </c>
      <c r="G35" s="174" t="s">
        <v>85</v>
      </c>
      <c r="H35" s="174" t="s">
        <v>91</v>
      </c>
      <c r="I35" s="174" t="s">
        <v>97</v>
      </c>
      <c r="J35" s="174" t="s">
        <v>103</v>
      </c>
      <c r="K35" s="174" t="s">
        <v>240</v>
      </c>
      <c r="L35" s="174" t="s">
        <v>241</v>
      </c>
      <c r="M35" s="174" t="s">
        <v>242</v>
      </c>
      <c r="N35" s="174" t="s">
        <v>243</v>
      </c>
      <c r="O35" s="174" t="s">
        <v>244</v>
      </c>
      <c r="P35" s="174" t="s">
        <v>245</v>
      </c>
      <c r="Q35" s="175"/>
      <c r="R35" s="175"/>
      <c r="S35" s="175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  <c r="AG35" s="175"/>
      <c r="AH35" s="175"/>
      <c r="AI35" s="175"/>
      <c r="AJ35" s="175"/>
      <c r="AK35" s="175"/>
      <c r="AL35" s="175"/>
      <c r="AM35" s="175"/>
      <c r="AN35" s="175"/>
      <c r="AO35" s="175"/>
      <c r="AP35" s="175"/>
      <c r="AQ35" s="175"/>
      <c r="AR35" s="175"/>
      <c r="AS35" s="175"/>
      <c r="AT35" s="175"/>
      <c r="AU35" s="175"/>
      <c r="AV35" s="175"/>
      <c r="AW35" s="175"/>
      <c r="AX35" s="175"/>
      <c r="AY35" s="175"/>
      <c r="AZ35" s="175"/>
      <c r="BA35" s="175"/>
      <c r="BB35" s="175"/>
      <c r="BC35" s="175"/>
    </row>
    <row r="36" ht="15.75" customHeight="1">
      <c r="A36" s="176">
        <v>1.0</v>
      </c>
      <c r="B36" s="176">
        <v>10.0</v>
      </c>
      <c r="C36" s="176">
        <v>1.0</v>
      </c>
      <c r="D36" s="176">
        <v>10.0</v>
      </c>
      <c r="E36" s="176">
        <v>0.0</v>
      </c>
      <c r="F36" s="176">
        <v>0.0</v>
      </c>
      <c r="G36" s="176">
        <v>0.0</v>
      </c>
      <c r="H36" s="176">
        <v>0.0</v>
      </c>
      <c r="I36" s="176">
        <v>0.0</v>
      </c>
      <c r="J36" s="176">
        <v>0.0</v>
      </c>
      <c r="K36" s="176">
        <v>0.0</v>
      </c>
      <c r="L36" s="176">
        <v>15.0</v>
      </c>
      <c r="M36" s="176">
        <v>0.0</v>
      </c>
      <c r="N36" s="176">
        <v>0.0</v>
      </c>
      <c r="O36" s="176">
        <v>0.0</v>
      </c>
      <c r="P36" s="176">
        <v>62.55</v>
      </c>
    </row>
    <row r="37" ht="15.75" customHeight="1">
      <c r="A37" s="176">
        <v>2.0</v>
      </c>
      <c r="B37" s="176">
        <v>10.0</v>
      </c>
      <c r="C37" s="176">
        <v>1.0</v>
      </c>
      <c r="D37" s="176">
        <v>0.0</v>
      </c>
      <c r="E37" s="176">
        <v>0.0</v>
      </c>
      <c r="F37" s="176">
        <v>1.0</v>
      </c>
      <c r="G37" s="176">
        <v>0.0</v>
      </c>
      <c r="H37" s="176">
        <v>0.0</v>
      </c>
      <c r="I37" s="176">
        <v>0.0</v>
      </c>
      <c r="J37" s="176">
        <v>0.0</v>
      </c>
      <c r="K37" s="176">
        <v>0.0</v>
      </c>
      <c r="L37" s="176">
        <v>15.0</v>
      </c>
      <c r="M37" s="176">
        <v>0.0</v>
      </c>
      <c r="N37" s="176">
        <v>0.0</v>
      </c>
      <c r="O37" s="176">
        <v>0.0</v>
      </c>
      <c r="P37" s="176">
        <v>95.55</v>
      </c>
    </row>
    <row r="38" ht="15.75" customHeight="1">
      <c r="A38" s="176">
        <v>3.0</v>
      </c>
      <c r="B38" s="176">
        <v>10.0</v>
      </c>
      <c r="C38" s="176">
        <v>2.0</v>
      </c>
      <c r="D38" s="176">
        <v>10.0</v>
      </c>
      <c r="E38" s="176">
        <v>0.0</v>
      </c>
      <c r="F38" s="176">
        <v>0.0</v>
      </c>
      <c r="G38" s="176">
        <v>0.0</v>
      </c>
      <c r="H38" s="176">
        <v>0.0</v>
      </c>
      <c r="I38" s="176">
        <v>0.0</v>
      </c>
      <c r="J38" s="176">
        <v>0.0</v>
      </c>
      <c r="K38" s="176">
        <v>0.0</v>
      </c>
      <c r="L38" s="176">
        <v>15.0</v>
      </c>
      <c r="M38" s="176">
        <v>0.0</v>
      </c>
      <c r="N38" s="176">
        <v>0.0</v>
      </c>
      <c r="O38" s="176">
        <v>0.0</v>
      </c>
      <c r="P38" s="176">
        <v>62.55</v>
      </c>
    </row>
    <row r="39" ht="15.75" customHeight="1">
      <c r="A39" s="176">
        <v>4.0</v>
      </c>
      <c r="B39" s="176">
        <v>10.0</v>
      </c>
      <c r="C39" s="176">
        <v>2.0</v>
      </c>
      <c r="D39" s="176">
        <v>0.0</v>
      </c>
      <c r="E39" s="176">
        <v>0.0</v>
      </c>
      <c r="F39" s="176">
        <v>0.0</v>
      </c>
      <c r="G39" s="176">
        <v>0.0</v>
      </c>
      <c r="H39" s="176">
        <v>0.0</v>
      </c>
      <c r="I39" s="176">
        <v>1.0</v>
      </c>
      <c r="J39" s="176">
        <v>0.0</v>
      </c>
      <c r="K39" s="176">
        <v>0.0</v>
      </c>
      <c r="L39" s="176">
        <v>15.0</v>
      </c>
      <c r="M39" s="176">
        <v>0.0</v>
      </c>
      <c r="N39" s="176">
        <v>0.0</v>
      </c>
      <c r="O39" s="176">
        <v>0.0</v>
      </c>
      <c r="P39" s="176">
        <v>229.55</v>
      </c>
    </row>
    <row r="40" ht="15.75" customHeight="1">
      <c r="A40" s="176">
        <v>5.0</v>
      </c>
      <c r="B40" s="176">
        <v>10.0</v>
      </c>
      <c r="C40" s="176">
        <v>2.0</v>
      </c>
      <c r="D40" s="176">
        <v>0.0</v>
      </c>
      <c r="E40" s="176">
        <v>0.0</v>
      </c>
      <c r="F40" s="176">
        <v>0.0</v>
      </c>
      <c r="G40" s="176">
        <v>1.0</v>
      </c>
      <c r="H40" s="176">
        <v>0.0</v>
      </c>
      <c r="I40" s="176">
        <v>0.0</v>
      </c>
      <c r="J40" s="176">
        <v>0.0</v>
      </c>
      <c r="K40" s="176">
        <v>0.0</v>
      </c>
      <c r="L40" s="176">
        <v>15.0</v>
      </c>
      <c r="M40" s="176">
        <v>0.0</v>
      </c>
      <c r="N40" s="176">
        <v>0.0</v>
      </c>
      <c r="O40" s="176">
        <v>0.0</v>
      </c>
      <c r="P40" s="176">
        <v>112.55</v>
      </c>
    </row>
    <row r="41" ht="15.75" customHeight="1">
      <c r="A41" s="176">
        <v>6.0</v>
      </c>
      <c r="B41" s="176">
        <v>10.0</v>
      </c>
      <c r="C41" s="176">
        <v>3.0</v>
      </c>
      <c r="D41" s="176">
        <v>0.0</v>
      </c>
      <c r="E41" s="176">
        <v>0.0</v>
      </c>
      <c r="F41" s="176">
        <v>0.0</v>
      </c>
      <c r="G41" s="176">
        <v>0.0</v>
      </c>
      <c r="H41" s="176">
        <v>0.0</v>
      </c>
      <c r="I41" s="176">
        <v>0.0</v>
      </c>
      <c r="J41" s="176">
        <v>1.0</v>
      </c>
      <c r="K41" s="176">
        <v>0.0</v>
      </c>
      <c r="L41" s="176">
        <v>20.0</v>
      </c>
      <c r="M41" s="176">
        <v>0.0</v>
      </c>
      <c r="N41" s="176">
        <v>0.0</v>
      </c>
      <c r="O41" s="176">
        <v>0.0</v>
      </c>
      <c r="P41" s="176">
        <v>150.4</v>
      </c>
    </row>
    <row r="42" ht="15.75" customHeight="1">
      <c r="A42" s="176">
        <v>7.0</v>
      </c>
      <c r="B42" s="176">
        <v>10.0</v>
      </c>
      <c r="C42" s="176">
        <v>3.0</v>
      </c>
      <c r="D42" s="176">
        <v>10.0</v>
      </c>
      <c r="E42" s="176">
        <v>0.0</v>
      </c>
      <c r="F42" s="176">
        <v>0.0</v>
      </c>
      <c r="G42" s="176">
        <v>0.0</v>
      </c>
      <c r="H42" s="176">
        <v>0.0</v>
      </c>
      <c r="I42" s="176">
        <v>0.0</v>
      </c>
      <c r="J42" s="176">
        <v>0.0</v>
      </c>
      <c r="K42" s="176">
        <v>0.0</v>
      </c>
      <c r="L42" s="176">
        <v>20.0</v>
      </c>
      <c r="M42" s="176">
        <v>0.0</v>
      </c>
      <c r="N42" s="176">
        <v>0.0</v>
      </c>
      <c r="O42" s="176">
        <v>0.0</v>
      </c>
      <c r="P42" s="176">
        <v>83.4</v>
      </c>
    </row>
    <row r="43" ht="15.75" customHeight="1">
      <c r="A43" s="176">
        <v>8.0</v>
      </c>
      <c r="B43" s="176">
        <v>10.0</v>
      </c>
      <c r="C43" s="176">
        <v>3.0</v>
      </c>
      <c r="D43" s="176">
        <v>0.0</v>
      </c>
      <c r="E43" s="176">
        <v>0.0</v>
      </c>
      <c r="F43" s="176">
        <v>0.0</v>
      </c>
      <c r="G43" s="176">
        <v>0.0</v>
      </c>
      <c r="H43" s="176">
        <v>1.0</v>
      </c>
      <c r="I43" s="176">
        <v>0.0</v>
      </c>
      <c r="J43" s="176">
        <v>0.0</v>
      </c>
      <c r="K43" s="176">
        <v>0.0</v>
      </c>
      <c r="L43" s="176">
        <v>30.0</v>
      </c>
      <c r="M43" s="176">
        <v>0.0</v>
      </c>
      <c r="N43" s="176">
        <v>0.0</v>
      </c>
      <c r="O43" s="176">
        <v>0.0</v>
      </c>
      <c r="P43" s="176">
        <v>192.1</v>
      </c>
    </row>
    <row r="44" ht="15.75" customHeight="1">
      <c r="A44" s="176">
        <v>9.0</v>
      </c>
      <c r="B44" s="176">
        <v>10.0</v>
      </c>
      <c r="C44" s="176">
        <v>3.0</v>
      </c>
      <c r="D44" s="176">
        <v>10.0</v>
      </c>
      <c r="E44" s="176">
        <v>0.0</v>
      </c>
      <c r="F44" s="176">
        <v>0.0</v>
      </c>
      <c r="G44" s="176">
        <v>0.0</v>
      </c>
      <c r="H44" s="176">
        <v>0.0</v>
      </c>
      <c r="I44" s="176">
        <v>0.0</v>
      </c>
      <c r="J44" s="176">
        <v>0.0</v>
      </c>
      <c r="K44" s="176">
        <v>0.0</v>
      </c>
      <c r="L44" s="176">
        <v>60.0</v>
      </c>
      <c r="M44" s="176">
        <v>0.0</v>
      </c>
      <c r="N44" s="176">
        <v>0.0</v>
      </c>
      <c r="O44" s="176">
        <v>0.0</v>
      </c>
      <c r="P44" s="176">
        <v>250.2</v>
      </c>
    </row>
    <row r="45" ht="15.75" customHeight="1">
      <c r="A45" s="176">
        <v>10.0</v>
      </c>
      <c r="B45" s="176">
        <v>10.0</v>
      </c>
      <c r="C45" s="176">
        <v>4.0</v>
      </c>
      <c r="D45" s="176">
        <v>20.0</v>
      </c>
      <c r="E45" s="176">
        <v>0.0</v>
      </c>
      <c r="F45" s="176">
        <v>0.0</v>
      </c>
      <c r="G45" s="176">
        <v>0.0</v>
      </c>
      <c r="H45" s="176">
        <v>0.0</v>
      </c>
      <c r="I45" s="176">
        <v>0.0</v>
      </c>
      <c r="J45" s="176">
        <v>0.0</v>
      </c>
      <c r="K45" s="176">
        <v>0.0</v>
      </c>
      <c r="L45" s="176">
        <v>60.0</v>
      </c>
      <c r="M45" s="176">
        <v>0.0</v>
      </c>
      <c r="N45" s="176">
        <v>0.0</v>
      </c>
      <c r="O45" s="176">
        <v>0.0</v>
      </c>
      <c r="P45" s="176">
        <v>250.2</v>
      </c>
    </row>
    <row r="46" ht="15.75" customHeight="1">
      <c r="A46" s="153" t="s">
        <v>246</v>
      </c>
      <c r="B46" s="176">
        <v>100.0</v>
      </c>
      <c r="D46" s="176">
        <f t="shared" ref="D46:O46" si="5">sum(D36:D45)</f>
        <v>60</v>
      </c>
      <c r="E46" s="176">
        <f t="shared" si="5"/>
        <v>0</v>
      </c>
      <c r="F46" s="176">
        <f t="shared" si="5"/>
        <v>1</v>
      </c>
      <c r="G46" s="176">
        <f t="shared" si="5"/>
        <v>1</v>
      </c>
      <c r="H46" s="176">
        <f t="shared" si="5"/>
        <v>1</v>
      </c>
      <c r="I46" s="176">
        <f t="shared" si="5"/>
        <v>1</v>
      </c>
      <c r="J46" s="176">
        <f t="shared" si="5"/>
        <v>1</v>
      </c>
      <c r="K46" s="176">
        <f t="shared" si="5"/>
        <v>0</v>
      </c>
      <c r="L46" s="176">
        <f t="shared" si="5"/>
        <v>265</v>
      </c>
      <c r="M46" s="176">
        <f t="shared" si="5"/>
        <v>0</v>
      </c>
      <c r="N46" s="176">
        <f t="shared" si="5"/>
        <v>0</v>
      </c>
      <c r="O46" s="176">
        <f t="shared" si="5"/>
        <v>0</v>
      </c>
      <c r="P46" s="176">
        <v>1489.05</v>
      </c>
    </row>
    <row r="47" ht="15.75" customHeight="1">
      <c r="A47" s="177" t="s">
        <v>247</v>
      </c>
      <c r="B47" s="178"/>
      <c r="C47" s="178"/>
      <c r="D47" s="178">
        <f t="shared" ref="D47:O47" si="6">D46/$B46</f>
        <v>0.6</v>
      </c>
      <c r="E47" s="178">
        <f t="shared" si="6"/>
        <v>0</v>
      </c>
      <c r="F47" s="178">
        <f t="shared" si="6"/>
        <v>0.01</v>
      </c>
      <c r="G47" s="178">
        <f t="shared" si="6"/>
        <v>0.01</v>
      </c>
      <c r="H47" s="178">
        <f t="shared" si="6"/>
        <v>0.01</v>
      </c>
      <c r="I47" s="178">
        <f t="shared" si="6"/>
        <v>0.01</v>
      </c>
      <c r="J47" s="178">
        <f t="shared" si="6"/>
        <v>0.01</v>
      </c>
      <c r="K47" s="178">
        <f t="shared" si="6"/>
        <v>0</v>
      </c>
      <c r="L47" s="178">
        <f t="shared" si="6"/>
        <v>2.65</v>
      </c>
      <c r="M47" s="178">
        <f t="shared" si="6"/>
        <v>0</v>
      </c>
      <c r="N47" s="178">
        <f t="shared" si="6"/>
        <v>0</v>
      </c>
      <c r="O47" s="178">
        <f t="shared" si="6"/>
        <v>0</v>
      </c>
      <c r="P47" s="178">
        <v>14.8905</v>
      </c>
    </row>
    <row r="48" ht="15.75" customHeight="1"/>
    <row r="49" ht="15.75" customHeight="1">
      <c r="A49" s="179" t="s">
        <v>250</v>
      </c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</row>
    <row r="50" ht="15.75" customHeight="1">
      <c r="A50" s="174" t="s">
        <v>236</v>
      </c>
      <c r="B50" s="174" t="s">
        <v>237</v>
      </c>
      <c r="C50" s="174" t="s">
        <v>238</v>
      </c>
      <c r="D50" s="174" t="s">
        <v>239</v>
      </c>
      <c r="E50" s="174" t="s">
        <v>115</v>
      </c>
      <c r="F50" s="174" t="s">
        <v>79</v>
      </c>
      <c r="G50" s="174" t="s">
        <v>85</v>
      </c>
      <c r="H50" s="174" t="s">
        <v>91</v>
      </c>
      <c r="I50" s="174" t="s">
        <v>97</v>
      </c>
      <c r="J50" s="174" t="s">
        <v>103</v>
      </c>
      <c r="K50" s="174" t="s">
        <v>240</v>
      </c>
      <c r="L50" s="174" t="s">
        <v>241</v>
      </c>
      <c r="M50" s="174" t="s">
        <v>242</v>
      </c>
      <c r="N50" s="174" t="s">
        <v>243</v>
      </c>
      <c r="O50" s="174" t="s">
        <v>244</v>
      </c>
      <c r="P50" s="174" t="s">
        <v>245</v>
      </c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  <c r="AF50" s="175"/>
      <c r="AG50" s="175"/>
      <c r="AH50" s="175"/>
      <c r="AI50" s="175"/>
      <c r="AJ50" s="175"/>
      <c r="AK50" s="175"/>
      <c r="AL50" s="175"/>
      <c r="AM50" s="175"/>
      <c r="AN50" s="175"/>
      <c r="AO50" s="175"/>
      <c r="AP50" s="175"/>
      <c r="AQ50" s="175"/>
      <c r="AR50" s="175"/>
      <c r="AS50" s="175"/>
      <c r="AT50" s="175"/>
      <c r="AU50" s="175"/>
      <c r="AV50" s="175"/>
      <c r="AW50" s="175"/>
      <c r="AX50" s="175"/>
      <c r="AY50" s="175"/>
      <c r="AZ50" s="175"/>
      <c r="BA50" s="175"/>
      <c r="BB50" s="175"/>
      <c r="BC50" s="175"/>
    </row>
    <row r="51" ht="15.75" customHeight="1">
      <c r="A51" s="176">
        <v>1.0</v>
      </c>
      <c r="B51" s="176">
        <v>10.0</v>
      </c>
      <c r="C51" s="176">
        <v>1.0</v>
      </c>
      <c r="D51" s="176">
        <v>10.0</v>
      </c>
      <c r="E51" s="176">
        <v>0.0</v>
      </c>
      <c r="F51" s="176">
        <v>0.0</v>
      </c>
      <c r="G51" s="176">
        <v>0.0</v>
      </c>
      <c r="H51" s="176">
        <v>0.0</v>
      </c>
      <c r="I51" s="176">
        <v>0.0</v>
      </c>
      <c r="J51" s="176">
        <v>0.0</v>
      </c>
      <c r="K51" s="176">
        <v>0.0</v>
      </c>
      <c r="L51" s="176">
        <v>15.0</v>
      </c>
      <c r="M51" s="176">
        <v>0.0</v>
      </c>
      <c r="N51" s="176">
        <v>0.0</v>
      </c>
      <c r="O51" s="176">
        <v>0.0</v>
      </c>
      <c r="P51" s="176">
        <v>62.55</v>
      </c>
    </row>
    <row r="52" ht="15.75" customHeight="1">
      <c r="A52" s="176">
        <v>2.0</v>
      </c>
      <c r="B52" s="176">
        <v>10.0</v>
      </c>
      <c r="C52" s="176">
        <v>1.0</v>
      </c>
      <c r="D52" s="176">
        <v>0.0</v>
      </c>
      <c r="E52" s="176">
        <v>0.0</v>
      </c>
      <c r="F52" s="176">
        <v>1.0</v>
      </c>
      <c r="G52" s="176">
        <v>0.0</v>
      </c>
      <c r="H52" s="176">
        <v>0.0</v>
      </c>
      <c r="I52" s="176">
        <v>0.0</v>
      </c>
      <c r="J52" s="176">
        <v>0.0</v>
      </c>
      <c r="K52" s="176">
        <v>0.0</v>
      </c>
      <c r="L52" s="176">
        <v>15.0</v>
      </c>
      <c r="M52" s="176">
        <v>0.0</v>
      </c>
      <c r="N52" s="176">
        <v>0.0</v>
      </c>
      <c r="O52" s="176">
        <v>0.0</v>
      </c>
      <c r="P52" s="176">
        <v>95.55</v>
      </c>
    </row>
    <row r="53" ht="15.75" customHeight="1">
      <c r="A53" s="176">
        <v>3.0</v>
      </c>
      <c r="B53" s="176">
        <v>10.0</v>
      </c>
      <c r="C53" s="176">
        <v>2.0</v>
      </c>
      <c r="D53" s="176">
        <v>10.0</v>
      </c>
      <c r="E53" s="176">
        <v>0.0</v>
      </c>
      <c r="F53" s="176">
        <v>0.0</v>
      </c>
      <c r="G53" s="176">
        <v>0.0</v>
      </c>
      <c r="H53" s="176">
        <v>0.0</v>
      </c>
      <c r="I53" s="176">
        <v>0.0</v>
      </c>
      <c r="J53" s="176">
        <v>0.0</v>
      </c>
      <c r="K53" s="176">
        <v>0.0</v>
      </c>
      <c r="L53" s="176">
        <v>15.0</v>
      </c>
      <c r="M53" s="176">
        <v>0.0</v>
      </c>
      <c r="N53" s="176">
        <v>0.0</v>
      </c>
      <c r="O53" s="176">
        <v>0.0</v>
      </c>
      <c r="P53" s="176">
        <v>62.55</v>
      </c>
    </row>
    <row r="54" ht="15.75" customHeight="1">
      <c r="A54" s="176">
        <v>4.0</v>
      </c>
      <c r="B54" s="176">
        <v>10.0</v>
      </c>
      <c r="C54" s="176">
        <v>2.0</v>
      </c>
      <c r="D54" s="176">
        <v>0.0</v>
      </c>
      <c r="E54" s="176">
        <v>0.0</v>
      </c>
      <c r="F54" s="176">
        <v>0.0</v>
      </c>
      <c r="G54" s="176">
        <v>0.0</v>
      </c>
      <c r="H54" s="176">
        <v>0.0</v>
      </c>
      <c r="I54" s="176">
        <v>1.0</v>
      </c>
      <c r="J54" s="176">
        <v>0.0</v>
      </c>
      <c r="K54" s="176">
        <v>0.0</v>
      </c>
      <c r="L54" s="176">
        <v>15.0</v>
      </c>
      <c r="M54" s="176">
        <v>0.0</v>
      </c>
      <c r="N54" s="176">
        <v>0.0</v>
      </c>
      <c r="O54" s="176">
        <v>0.0</v>
      </c>
      <c r="P54" s="176">
        <v>229.55</v>
      </c>
    </row>
    <row r="55" ht="15.75" customHeight="1">
      <c r="A55" s="176">
        <v>5.0</v>
      </c>
      <c r="B55" s="176">
        <v>10.0</v>
      </c>
      <c r="C55" s="176">
        <v>2.0</v>
      </c>
      <c r="D55" s="176">
        <v>0.0</v>
      </c>
      <c r="E55" s="176">
        <v>0.0</v>
      </c>
      <c r="F55" s="176">
        <v>0.0</v>
      </c>
      <c r="G55" s="176">
        <v>1.0</v>
      </c>
      <c r="H55" s="176">
        <v>0.0</v>
      </c>
      <c r="I55" s="176">
        <v>0.0</v>
      </c>
      <c r="J55" s="176">
        <v>0.0</v>
      </c>
      <c r="K55" s="176">
        <v>0.0</v>
      </c>
      <c r="L55" s="176">
        <v>15.0</v>
      </c>
      <c r="M55" s="176">
        <v>0.0</v>
      </c>
      <c r="N55" s="176">
        <v>0.0</v>
      </c>
      <c r="O55" s="176">
        <v>0.0</v>
      </c>
      <c r="P55" s="176">
        <v>112.55</v>
      </c>
    </row>
    <row r="56" ht="15.75" customHeight="1">
      <c r="A56" s="176">
        <v>6.0</v>
      </c>
      <c r="B56" s="176">
        <v>10.0</v>
      </c>
      <c r="C56" s="176">
        <v>3.0</v>
      </c>
      <c r="D56" s="176">
        <v>0.0</v>
      </c>
      <c r="E56" s="176">
        <v>0.0</v>
      </c>
      <c r="F56" s="176">
        <v>0.0</v>
      </c>
      <c r="G56" s="176">
        <v>0.0</v>
      </c>
      <c r="H56" s="176">
        <v>0.0</v>
      </c>
      <c r="I56" s="176">
        <v>0.0</v>
      </c>
      <c r="J56" s="176">
        <v>1.0</v>
      </c>
      <c r="K56" s="176">
        <v>0.0</v>
      </c>
      <c r="L56" s="176">
        <v>20.0</v>
      </c>
      <c r="M56" s="176">
        <v>0.0</v>
      </c>
      <c r="N56" s="176">
        <v>0.0</v>
      </c>
      <c r="O56" s="176">
        <v>0.0</v>
      </c>
      <c r="P56" s="176">
        <v>150.4</v>
      </c>
    </row>
    <row r="57" ht="15.75" customHeight="1">
      <c r="A57" s="176">
        <v>7.0</v>
      </c>
      <c r="B57" s="176">
        <v>10.0</v>
      </c>
      <c r="C57" s="176">
        <v>3.0</v>
      </c>
      <c r="D57" s="176">
        <v>10.0</v>
      </c>
      <c r="E57" s="176">
        <v>0.0</v>
      </c>
      <c r="F57" s="176">
        <v>0.0</v>
      </c>
      <c r="G57" s="176">
        <v>0.0</v>
      </c>
      <c r="H57" s="176">
        <v>0.0</v>
      </c>
      <c r="I57" s="176">
        <v>0.0</v>
      </c>
      <c r="J57" s="176">
        <v>0.0</v>
      </c>
      <c r="K57" s="176">
        <v>0.0</v>
      </c>
      <c r="L57" s="176">
        <v>20.0</v>
      </c>
      <c r="M57" s="176">
        <v>0.0</v>
      </c>
      <c r="N57" s="176">
        <v>0.0</v>
      </c>
      <c r="O57" s="176">
        <v>0.0</v>
      </c>
      <c r="P57" s="176">
        <v>83.4</v>
      </c>
    </row>
    <row r="58" ht="15.75" customHeight="1">
      <c r="A58" s="176">
        <v>8.0</v>
      </c>
      <c r="B58" s="176">
        <v>10.0</v>
      </c>
      <c r="C58" s="176">
        <v>3.0</v>
      </c>
      <c r="D58" s="176">
        <v>0.0</v>
      </c>
      <c r="E58" s="176">
        <v>0.0</v>
      </c>
      <c r="F58" s="176">
        <v>0.0</v>
      </c>
      <c r="G58" s="176">
        <v>0.0</v>
      </c>
      <c r="H58" s="176">
        <v>1.0</v>
      </c>
      <c r="I58" s="176">
        <v>0.0</v>
      </c>
      <c r="J58" s="176">
        <v>0.0</v>
      </c>
      <c r="K58" s="176">
        <v>0.0</v>
      </c>
      <c r="L58" s="176">
        <v>30.0</v>
      </c>
      <c r="M58" s="176">
        <v>0.0</v>
      </c>
      <c r="N58" s="176">
        <v>0.0</v>
      </c>
      <c r="O58" s="176">
        <v>0.0</v>
      </c>
      <c r="P58" s="176">
        <v>192.1</v>
      </c>
    </row>
    <row r="59" ht="15.75" customHeight="1">
      <c r="A59" s="176">
        <v>9.0</v>
      </c>
      <c r="B59" s="176">
        <v>10.0</v>
      </c>
      <c r="C59" s="176">
        <v>3.0</v>
      </c>
      <c r="D59" s="176">
        <v>10.0</v>
      </c>
      <c r="E59" s="176">
        <v>0.0</v>
      </c>
      <c r="F59" s="176">
        <v>0.0</v>
      </c>
      <c r="G59" s="176">
        <v>0.0</v>
      </c>
      <c r="H59" s="176">
        <v>0.0</v>
      </c>
      <c r="I59" s="176">
        <v>0.0</v>
      </c>
      <c r="J59" s="176">
        <v>0.0</v>
      </c>
      <c r="K59" s="176">
        <v>0.0</v>
      </c>
      <c r="L59" s="176">
        <v>60.0</v>
      </c>
      <c r="M59" s="176">
        <v>0.0</v>
      </c>
      <c r="N59" s="176">
        <v>0.0</v>
      </c>
      <c r="O59" s="176">
        <v>0.0</v>
      </c>
      <c r="P59" s="176">
        <v>250.2</v>
      </c>
    </row>
    <row r="60" ht="15.75" customHeight="1">
      <c r="A60" s="176">
        <v>10.0</v>
      </c>
      <c r="B60" s="176">
        <v>10.0</v>
      </c>
      <c r="C60" s="176">
        <v>4.0</v>
      </c>
      <c r="D60" s="176">
        <v>20.0</v>
      </c>
      <c r="E60" s="176">
        <v>0.0</v>
      </c>
      <c r="F60" s="176">
        <v>0.0</v>
      </c>
      <c r="G60" s="176">
        <v>0.0</v>
      </c>
      <c r="H60" s="176">
        <v>0.0</v>
      </c>
      <c r="I60" s="176">
        <v>0.0</v>
      </c>
      <c r="J60" s="176">
        <v>0.0</v>
      </c>
      <c r="K60" s="176">
        <v>0.0</v>
      </c>
      <c r="L60" s="176">
        <v>60.0</v>
      </c>
      <c r="M60" s="176">
        <v>0.0</v>
      </c>
      <c r="N60" s="176">
        <v>0.0</v>
      </c>
      <c r="O60" s="176">
        <v>0.0</v>
      </c>
      <c r="P60" s="176">
        <v>250.2</v>
      </c>
    </row>
    <row r="61" ht="15.75" customHeight="1">
      <c r="A61" s="153" t="s">
        <v>246</v>
      </c>
      <c r="B61" s="176">
        <v>100.0</v>
      </c>
      <c r="D61" s="176">
        <f t="shared" ref="D61:O61" si="7">sum(D51:D60)</f>
        <v>60</v>
      </c>
      <c r="E61" s="176">
        <f t="shared" si="7"/>
        <v>0</v>
      </c>
      <c r="F61" s="176">
        <f t="shared" si="7"/>
        <v>1</v>
      </c>
      <c r="G61" s="176">
        <f t="shared" si="7"/>
        <v>1</v>
      </c>
      <c r="H61" s="176">
        <f t="shared" si="7"/>
        <v>1</v>
      </c>
      <c r="I61" s="176">
        <f t="shared" si="7"/>
        <v>1</v>
      </c>
      <c r="J61" s="176">
        <f t="shared" si="7"/>
        <v>1</v>
      </c>
      <c r="K61" s="176">
        <f t="shared" si="7"/>
        <v>0</v>
      </c>
      <c r="L61" s="176">
        <f t="shared" si="7"/>
        <v>265</v>
      </c>
      <c r="M61" s="176">
        <f t="shared" si="7"/>
        <v>0</v>
      </c>
      <c r="N61" s="176">
        <f t="shared" si="7"/>
        <v>0</v>
      </c>
      <c r="O61" s="176">
        <f t="shared" si="7"/>
        <v>0</v>
      </c>
      <c r="P61" s="176">
        <v>1489.05</v>
      </c>
    </row>
    <row r="62" ht="15.75" customHeight="1">
      <c r="A62" s="177" t="s">
        <v>247</v>
      </c>
      <c r="B62" s="178"/>
      <c r="C62" s="178"/>
      <c r="D62" s="178">
        <f t="shared" ref="D62:O62" si="8">D61/$B61</f>
        <v>0.6</v>
      </c>
      <c r="E62" s="178">
        <f t="shared" si="8"/>
        <v>0</v>
      </c>
      <c r="F62" s="178">
        <f t="shared" si="8"/>
        <v>0.01</v>
      </c>
      <c r="G62" s="178">
        <f t="shared" si="8"/>
        <v>0.01</v>
      </c>
      <c r="H62" s="178">
        <f t="shared" si="8"/>
        <v>0.01</v>
      </c>
      <c r="I62" s="178">
        <f t="shared" si="8"/>
        <v>0.01</v>
      </c>
      <c r="J62" s="178">
        <f t="shared" si="8"/>
        <v>0.01</v>
      </c>
      <c r="K62" s="178">
        <f t="shared" si="8"/>
        <v>0</v>
      </c>
      <c r="L62" s="178">
        <f t="shared" si="8"/>
        <v>2.65</v>
      </c>
      <c r="M62" s="178">
        <f t="shared" si="8"/>
        <v>0</v>
      </c>
      <c r="N62" s="178">
        <f t="shared" si="8"/>
        <v>0</v>
      </c>
      <c r="O62" s="178">
        <f t="shared" si="8"/>
        <v>0</v>
      </c>
      <c r="P62" s="178">
        <v>14.8905</v>
      </c>
    </row>
    <row r="63" ht="15.75" customHeight="1"/>
    <row r="64" ht="15.75" customHeight="1">
      <c r="A64" s="179" t="s">
        <v>251</v>
      </c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</row>
    <row r="65" ht="15.75" customHeight="1">
      <c r="A65" s="174" t="s">
        <v>236</v>
      </c>
      <c r="B65" s="174" t="s">
        <v>237</v>
      </c>
      <c r="C65" s="174" t="s">
        <v>238</v>
      </c>
      <c r="D65" s="174" t="s">
        <v>239</v>
      </c>
      <c r="E65" s="174" t="s">
        <v>115</v>
      </c>
      <c r="F65" s="174" t="s">
        <v>79</v>
      </c>
      <c r="G65" s="174" t="s">
        <v>85</v>
      </c>
      <c r="H65" s="174" t="s">
        <v>91</v>
      </c>
      <c r="I65" s="174" t="s">
        <v>97</v>
      </c>
      <c r="J65" s="174" t="s">
        <v>103</v>
      </c>
      <c r="K65" s="174" t="s">
        <v>240</v>
      </c>
      <c r="L65" s="174" t="s">
        <v>241</v>
      </c>
      <c r="M65" s="174" t="s">
        <v>242</v>
      </c>
      <c r="N65" s="174" t="s">
        <v>243</v>
      </c>
      <c r="O65" s="174" t="s">
        <v>244</v>
      </c>
      <c r="P65" s="174" t="s">
        <v>245</v>
      </c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  <c r="AM65" s="175"/>
      <c r="AN65" s="175"/>
      <c r="AO65" s="175"/>
      <c r="AP65" s="175"/>
      <c r="AQ65" s="175"/>
      <c r="AR65" s="175"/>
      <c r="AS65" s="175"/>
      <c r="AT65" s="175"/>
      <c r="AU65" s="175"/>
      <c r="AV65" s="175"/>
      <c r="AW65" s="175"/>
      <c r="AX65" s="175"/>
      <c r="AY65" s="175"/>
      <c r="AZ65" s="175"/>
      <c r="BA65" s="175"/>
      <c r="BB65" s="175"/>
      <c r="BC65" s="175"/>
    </row>
    <row r="66" ht="15.75" customHeight="1">
      <c r="A66" s="176">
        <v>1.0</v>
      </c>
      <c r="B66" s="176">
        <v>10.0</v>
      </c>
      <c r="C66" s="176">
        <v>1.0</v>
      </c>
      <c r="D66" s="176">
        <v>10.0</v>
      </c>
      <c r="E66" s="176">
        <v>0.0</v>
      </c>
      <c r="F66" s="176">
        <v>0.0</v>
      </c>
      <c r="G66" s="176">
        <v>0.0</v>
      </c>
      <c r="H66" s="176">
        <v>0.0</v>
      </c>
      <c r="I66" s="176">
        <v>0.0</v>
      </c>
      <c r="J66" s="176">
        <v>0.0</v>
      </c>
      <c r="K66" s="176">
        <v>0.0</v>
      </c>
      <c r="L66" s="176">
        <v>15.0</v>
      </c>
      <c r="M66" s="176">
        <v>0.0</v>
      </c>
      <c r="N66" s="176">
        <v>0.0</v>
      </c>
      <c r="O66" s="176">
        <v>0.0</v>
      </c>
      <c r="P66" s="176">
        <v>62.55</v>
      </c>
    </row>
    <row r="67" ht="15.75" customHeight="1">
      <c r="A67" s="176">
        <v>2.0</v>
      </c>
      <c r="B67" s="176">
        <v>10.0</v>
      </c>
      <c r="C67" s="176">
        <v>1.0</v>
      </c>
      <c r="D67" s="176">
        <v>0.0</v>
      </c>
      <c r="E67" s="176">
        <v>0.0</v>
      </c>
      <c r="F67" s="176">
        <v>1.0</v>
      </c>
      <c r="G67" s="176">
        <v>0.0</v>
      </c>
      <c r="H67" s="176">
        <v>0.0</v>
      </c>
      <c r="I67" s="176">
        <v>0.0</v>
      </c>
      <c r="J67" s="176">
        <v>0.0</v>
      </c>
      <c r="K67" s="176">
        <v>0.0</v>
      </c>
      <c r="L67" s="176">
        <v>15.0</v>
      </c>
      <c r="M67" s="176">
        <v>0.0</v>
      </c>
      <c r="N67" s="176">
        <v>0.0</v>
      </c>
      <c r="O67" s="176">
        <v>0.0</v>
      </c>
      <c r="P67" s="176">
        <v>95.55</v>
      </c>
    </row>
    <row r="68" ht="15.75" customHeight="1">
      <c r="A68" s="176">
        <v>3.0</v>
      </c>
      <c r="B68" s="176">
        <v>10.0</v>
      </c>
      <c r="C68" s="176">
        <v>2.0</v>
      </c>
      <c r="D68" s="176">
        <v>10.0</v>
      </c>
      <c r="E68" s="176">
        <v>0.0</v>
      </c>
      <c r="F68" s="176">
        <v>0.0</v>
      </c>
      <c r="G68" s="176">
        <v>0.0</v>
      </c>
      <c r="H68" s="176">
        <v>0.0</v>
      </c>
      <c r="I68" s="176">
        <v>0.0</v>
      </c>
      <c r="J68" s="176">
        <v>0.0</v>
      </c>
      <c r="K68" s="176">
        <v>0.0</v>
      </c>
      <c r="L68" s="176">
        <v>15.0</v>
      </c>
      <c r="M68" s="176">
        <v>0.0</v>
      </c>
      <c r="N68" s="176">
        <v>0.0</v>
      </c>
      <c r="O68" s="176">
        <v>0.0</v>
      </c>
      <c r="P68" s="176">
        <v>62.55</v>
      </c>
    </row>
    <row r="69" ht="15.75" customHeight="1">
      <c r="A69" s="176">
        <v>4.0</v>
      </c>
      <c r="B69" s="176">
        <v>10.0</v>
      </c>
      <c r="C69" s="176">
        <v>2.0</v>
      </c>
      <c r="D69" s="176">
        <v>0.0</v>
      </c>
      <c r="E69" s="176">
        <v>0.0</v>
      </c>
      <c r="F69" s="176">
        <v>0.0</v>
      </c>
      <c r="G69" s="176">
        <v>0.0</v>
      </c>
      <c r="H69" s="176">
        <v>0.0</v>
      </c>
      <c r="I69" s="176">
        <v>1.0</v>
      </c>
      <c r="J69" s="176">
        <v>0.0</v>
      </c>
      <c r="K69" s="176">
        <v>0.0</v>
      </c>
      <c r="L69" s="176">
        <v>15.0</v>
      </c>
      <c r="M69" s="176">
        <v>0.0</v>
      </c>
      <c r="N69" s="176">
        <v>0.0</v>
      </c>
      <c r="O69" s="176">
        <v>0.0</v>
      </c>
      <c r="P69" s="176">
        <v>229.55</v>
      </c>
    </row>
    <row r="70" ht="15.75" customHeight="1">
      <c r="A70" s="176">
        <v>5.0</v>
      </c>
      <c r="B70" s="176">
        <v>10.0</v>
      </c>
      <c r="C70" s="176">
        <v>2.0</v>
      </c>
      <c r="D70" s="176">
        <v>0.0</v>
      </c>
      <c r="E70" s="176">
        <v>0.0</v>
      </c>
      <c r="F70" s="176">
        <v>0.0</v>
      </c>
      <c r="G70" s="176">
        <v>1.0</v>
      </c>
      <c r="H70" s="176">
        <v>0.0</v>
      </c>
      <c r="I70" s="176">
        <v>0.0</v>
      </c>
      <c r="J70" s="176">
        <v>0.0</v>
      </c>
      <c r="K70" s="176">
        <v>0.0</v>
      </c>
      <c r="L70" s="176">
        <v>15.0</v>
      </c>
      <c r="M70" s="176">
        <v>0.0</v>
      </c>
      <c r="N70" s="176">
        <v>0.0</v>
      </c>
      <c r="O70" s="176">
        <v>0.0</v>
      </c>
      <c r="P70" s="176">
        <v>112.55</v>
      </c>
    </row>
    <row r="71" ht="15.75" customHeight="1">
      <c r="A71" s="176">
        <v>6.0</v>
      </c>
      <c r="B71" s="176">
        <v>10.0</v>
      </c>
      <c r="C71" s="176">
        <v>3.0</v>
      </c>
      <c r="D71" s="176">
        <v>0.0</v>
      </c>
      <c r="E71" s="176">
        <v>0.0</v>
      </c>
      <c r="F71" s="176">
        <v>0.0</v>
      </c>
      <c r="G71" s="176">
        <v>0.0</v>
      </c>
      <c r="H71" s="176">
        <v>0.0</v>
      </c>
      <c r="I71" s="176">
        <v>0.0</v>
      </c>
      <c r="J71" s="176">
        <v>1.0</v>
      </c>
      <c r="K71" s="176">
        <v>0.0</v>
      </c>
      <c r="L71" s="176">
        <v>20.0</v>
      </c>
      <c r="M71" s="176">
        <v>0.0</v>
      </c>
      <c r="N71" s="176">
        <v>0.0</v>
      </c>
      <c r="O71" s="176">
        <v>0.0</v>
      </c>
      <c r="P71" s="176">
        <v>150.4</v>
      </c>
    </row>
    <row r="72" ht="15.75" customHeight="1">
      <c r="A72" s="176">
        <v>7.0</v>
      </c>
      <c r="B72" s="176">
        <v>10.0</v>
      </c>
      <c r="C72" s="176">
        <v>3.0</v>
      </c>
      <c r="D72" s="176">
        <v>10.0</v>
      </c>
      <c r="E72" s="176">
        <v>0.0</v>
      </c>
      <c r="F72" s="176">
        <v>0.0</v>
      </c>
      <c r="G72" s="176">
        <v>0.0</v>
      </c>
      <c r="H72" s="176">
        <v>0.0</v>
      </c>
      <c r="I72" s="176">
        <v>0.0</v>
      </c>
      <c r="J72" s="176">
        <v>0.0</v>
      </c>
      <c r="K72" s="176">
        <v>0.0</v>
      </c>
      <c r="L72" s="176">
        <v>20.0</v>
      </c>
      <c r="M72" s="176">
        <v>0.0</v>
      </c>
      <c r="N72" s="176">
        <v>0.0</v>
      </c>
      <c r="O72" s="176">
        <v>0.0</v>
      </c>
      <c r="P72" s="176">
        <v>83.4</v>
      </c>
    </row>
    <row r="73" ht="15.75" customHeight="1">
      <c r="A73" s="176">
        <v>8.0</v>
      </c>
      <c r="B73" s="176">
        <v>10.0</v>
      </c>
      <c r="C73" s="176">
        <v>3.0</v>
      </c>
      <c r="D73" s="176">
        <v>0.0</v>
      </c>
      <c r="E73" s="176">
        <v>0.0</v>
      </c>
      <c r="F73" s="176">
        <v>0.0</v>
      </c>
      <c r="G73" s="176">
        <v>0.0</v>
      </c>
      <c r="H73" s="176">
        <v>1.0</v>
      </c>
      <c r="I73" s="176">
        <v>0.0</v>
      </c>
      <c r="J73" s="176">
        <v>0.0</v>
      </c>
      <c r="K73" s="176">
        <v>0.0</v>
      </c>
      <c r="L73" s="176">
        <v>30.0</v>
      </c>
      <c r="M73" s="176">
        <v>0.0</v>
      </c>
      <c r="N73" s="176">
        <v>0.0</v>
      </c>
      <c r="O73" s="176">
        <v>0.0</v>
      </c>
      <c r="P73" s="176">
        <v>192.1</v>
      </c>
    </row>
    <row r="74" ht="15.75" customHeight="1">
      <c r="A74" s="176">
        <v>9.0</v>
      </c>
      <c r="B74" s="176">
        <v>10.0</v>
      </c>
      <c r="C74" s="176">
        <v>3.0</v>
      </c>
      <c r="D74" s="176">
        <v>10.0</v>
      </c>
      <c r="E74" s="176">
        <v>0.0</v>
      </c>
      <c r="F74" s="176">
        <v>0.0</v>
      </c>
      <c r="G74" s="176">
        <v>0.0</v>
      </c>
      <c r="H74" s="176">
        <v>0.0</v>
      </c>
      <c r="I74" s="176">
        <v>0.0</v>
      </c>
      <c r="J74" s="176">
        <v>0.0</v>
      </c>
      <c r="K74" s="176">
        <v>0.0</v>
      </c>
      <c r="L74" s="176">
        <v>60.0</v>
      </c>
      <c r="M74" s="176">
        <v>0.0</v>
      </c>
      <c r="N74" s="176">
        <v>0.0</v>
      </c>
      <c r="O74" s="176">
        <v>0.0</v>
      </c>
      <c r="P74" s="176">
        <v>250.2</v>
      </c>
    </row>
    <row r="75" ht="15.75" customHeight="1">
      <c r="A75" s="176">
        <v>10.0</v>
      </c>
      <c r="B75" s="176">
        <v>10.0</v>
      </c>
      <c r="C75" s="176">
        <v>4.0</v>
      </c>
      <c r="D75" s="176">
        <v>20.0</v>
      </c>
      <c r="E75" s="176">
        <v>0.0</v>
      </c>
      <c r="F75" s="176">
        <v>0.0</v>
      </c>
      <c r="G75" s="176">
        <v>0.0</v>
      </c>
      <c r="H75" s="176">
        <v>0.0</v>
      </c>
      <c r="I75" s="176">
        <v>0.0</v>
      </c>
      <c r="J75" s="176">
        <v>0.0</v>
      </c>
      <c r="K75" s="176">
        <v>0.0</v>
      </c>
      <c r="L75" s="176">
        <v>60.0</v>
      </c>
      <c r="M75" s="176">
        <v>0.0</v>
      </c>
      <c r="N75" s="176">
        <v>0.0</v>
      </c>
      <c r="O75" s="176">
        <v>0.0</v>
      </c>
      <c r="P75" s="176">
        <v>250.2</v>
      </c>
    </row>
    <row r="76" ht="15.75" customHeight="1">
      <c r="A76" s="153" t="s">
        <v>246</v>
      </c>
      <c r="B76" s="176">
        <v>100.0</v>
      </c>
      <c r="D76" s="176">
        <f t="shared" ref="D76:O76" si="9">sum(D66:D75)</f>
        <v>60</v>
      </c>
      <c r="E76" s="176">
        <f t="shared" si="9"/>
        <v>0</v>
      </c>
      <c r="F76" s="176">
        <f t="shared" si="9"/>
        <v>1</v>
      </c>
      <c r="G76" s="176">
        <f t="shared" si="9"/>
        <v>1</v>
      </c>
      <c r="H76" s="176">
        <f t="shared" si="9"/>
        <v>1</v>
      </c>
      <c r="I76" s="176">
        <f t="shared" si="9"/>
        <v>1</v>
      </c>
      <c r="J76" s="176">
        <f t="shared" si="9"/>
        <v>1</v>
      </c>
      <c r="K76" s="176">
        <f t="shared" si="9"/>
        <v>0</v>
      </c>
      <c r="L76" s="176">
        <f t="shared" si="9"/>
        <v>265</v>
      </c>
      <c r="M76" s="176">
        <f t="shared" si="9"/>
        <v>0</v>
      </c>
      <c r="N76" s="176">
        <f t="shared" si="9"/>
        <v>0</v>
      </c>
      <c r="O76" s="176">
        <f t="shared" si="9"/>
        <v>0</v>
      </c>
      <c r="P76" s="176">
        <v>1489.05</v>
      </c>
    </row>
    <row r="77" ht="15.75" customHeight="1">
      <c r="A77" s="177" t="s">
        <v>247</v>
      </c>
      <c r="B77" s="178"/>
      <c r="C77" s="178"/>
      <c r="D77" s="178">
        <f t="shared" ref="D77:O77" si="10">D76/$B76</f>
        <v>0.6</v>
      </c>
      <c r="E77" s="178">
        <f t="shared" si="10"/>
        <v>0</v>
      </c>
      <c r="F77" s="178">
        <f t="shared" si="10"/>
        <v>0.01</v>
      </c>
      <c r="G77" s="178">
        <f t="shared" si="10"/>
        <v>0.01</v>
      </c>
      <c r="H77" s="178">
        <f t="shared" si="10"/>
        <v>0.01</v>
      </c>
      <c r="I77" s="178">
        <f t="shared" si="10"/>
        <v>0.01</v>
      </c>
      <c r="J77" s="178">
        <f t="shared" si="10"/>
        <v>0.01</v>
      </c>
      <c r="K77" s="178">
        <f t="shared" si="10"/>
        <v>0</v>
      </c>
      <c r="L77" s="178">
        <f t="shared" si="10"/>
        <v>2.65</v>
      </c>
      <c r="M77" s="178">
        <f t="shared" si="10"/>
        <v>0</v>
      </c>
      <c r="N77" s="178">
        <f t="shared" si="10"/>
        <v>0</v>
      </c>
      <c r="O77" s="178">
        <f t="shared" si="10"/>
        <v>0</v>
      </c>
      <c r="P77" s="178">
        <v>14.8905</v>
      </c>
    </row>
    <row r="78" ht="15.75" customHeight="1"/>
    <row r="79" ht="15.75" customHeight="1">
      <c r="A79" s="72" t="s">
        <v>252</v>
      </c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</row>
    <row r="80" ht="15.75" customHeight="1">
      <c r="A80" s="169" t="s">
        <v>235</v>
      </c>
      <c r="B80" s="169"/>
      <c r="C80" s="170"/>
      <c r="D80" s="170"/>
      <c r="E80" s="170"/>
      <c r="F80" s="170"/>
      <c r="G80" s="170"/>
      <c r="H80" s="182"/>
      <c r="I80" s="182"/>
      <c r="J80" s="171"/>
      <c r="K80" s="171"/>
      <c r="L80" s="171"/>
      <c r="M80" s="171"/>
      <c r="N80" s="171"/>
      <c r="O80" s="171"/>
      <c r="P80" s="171"/>
    </row>
    <row r="81" ht="15.75" customHeight="1">
      <c r="A81" s="172" t="s">
        <v>236</v>
      </c>
      <c r="B81" s="172" t="s">
        <v>237</v>
      </c>
      <c r="C81" s="173" t="s">
        <v>238</v>
      </c>
      <c r="D81" s="173" t="s">
        <v>239</v>
      </c>
      <c r="E81" s="173" t="s">
        <v>115</v>
      </c>
      <c r="F81" s="173" t="s">
        <v>79</v>
      </c>
      <c r="G81" s="173" t="s">
        <v>85</v>
      </c>
      <c r="H81" s="183" t="s">
        <v>91</v>
      </c>
      <c r="I81" s="183" t="s">
        <v>97</v>
      </c>
      <c r="J81" s="174" t="s">
        <v>103</v>
      </c>
      <c r="K81" s="174" t="s">
        <v>240</v>
      </c>
      <c r="L81" s="174" t="s">
        <v>241</v>
      </c>
      <c r="M81" s="174" t="s">
        <v>242</v>
      </c>
      <c r="N81" s="174" t="s">
        <v>243</v>
      </c>
      <c r="O81" s="174" t="s">
        <v>244</v>
      </c>
      <c r="P81" s="174" t="s">
        <v>245</v>
      </c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  <c r="AC81" s="175"/>
      <c r="AD81" s="175"/>
      <c r="AE81" s="175"/>
      <c r="AF81" s="175"/>
      <c r="AG81" s="175"/>
      <c r="AH81" s="175"/>
      <c r="AI81" s="175"/>
      <c r="AJ81" s="175"/>
      <c r="AK81" s="175"/>
      <c r="AL81" s="175"/>
      <c r="AM81" s="175"/>
      <c r="AN81" s="175"/>
      <c r="AO81" s="175"/>
      <c r="AP81" s="175"/>
      <c r="AQ81" s="175"/>
      <c r="AR81" s="175"/>
      <c r="AS81" s="175"/>
      <c r="AT81" s="175"/>
      <c r="AU81" s="175"/>
      <c r="AV81" s="175"/>
      <c r="AW81" s="175"/>
      <c r="AX81" s="175"/>
      <c r="AY81" s="175"/>
      <c r="AZ81" s="175"/>
      <c r="BA81" s="175"/>
      <c r="BB81" s="175"/>
      <c r="BC81" s="175"/>
    </row>
    <row r="82" ht="15.75" customHeight="1">
      <c r="A82" s="176">
        <v>1.0</v>
      </c>
      <c r="B82" s="176">
        <v>10.0</v>
      </c>
      <c r="C82" s="176">
        <v>1.0</v>
      </c>
      <c r="D82" s="176">
        <v>10.0</v>
      </c>
      <c r="E82" s="176">
        <v>0.0</v>
      </c>
      <c r="F82" s="176">
        <v>0.0</v>
      </c>
      <c r="G82" s="176">
        <v>0.0</v>
      </c>
      <c r="H82" s="184">
        <v>0.0</v>
      </c>
      <c r="I82" s="184">
        <v>0.0</v>
      </c>
      <c r="J82" s="176">
        <v>0.0</v>
      </c>
      <c r="K82" s="176">
        <v>0.0</v>
      </c>
      <c r="L82" s="176">
        <v>15.0</v>
      </c>
      <c r="M82" s="176">
        <v>0.0</v>
      </c>
      <c r="N82" s="176">
        <v>0.0</v>
      </c>
      <c r="O82" s="176">
        <v>0.0</v>
      </c>
      <c r="P82" s="176">
        <v>62.55</v>
      </c>
    </row>
    <row r="83" ht="15.75" customHeight="1">
      <c r="A83" s="176">
        <v>2.0</v>
      </c>
      <c r="B83" s="176">
        <v>10.0</v>
      </c>
      <c r="C83" s="176">
        <v>1.0</v>
      </c>
      <c r="D83" s="176">
        <v>0.0</v>
      </c>
      <c r="E83" s="176">
        <v>0.0</v>
      </c>
      <c r="F83" s="176">
        <v>1.0</v>
      </c>
      <c r="G83" s="176">
        <v>0.0</v>
      </c>
      <c r="H83" s="184">
        <v>0.0</v>
      </c>
      <c r="I83" s="184">
        <v>0.0</v>
      </c>
      <c r="J83" s="176">
        <v>0.0</v>
      </c>
      <c r="K83" s="176">
        <v>0.0</v>
      </c>
      <c r="L83" s="176">
        <v>15.0</v>
      </c>
      <c r="M83" s="176">
        <v>0.0</v>
      </c>
      <c r="N83" s="176">
        <v>0.0</v>
      </c>
      <c r="O83" s="176">
        <v>0.0</v>
      </c>
      <c r="P83" s="176">
        <v>95.55</v>
      </c>
    </row>
    <row r="84" ht="15.75" customHeight="1">
      <c r="A84" s="176">
        <v>3.0</v>
      </c>
      <c r="B84" s="176">
        <v>10.0</v>
      </c>
      <c r="C84" s="176">
        <v>2.0</v>
      </c>
      <c r="D84" s="176">
        <v>10.0</v>
      </c>
      <c r="E84" s="176">
        <v>0.0</v>
      </c>
      <c r="F84" s="176">
        <v>0.0</v>
      </c>
      <c r="G84" s="176">
        <v>0.0</v>
      </c>
      <c r="H84" s="184">
        <v>0.0</v>
      </c>
      <c r="I84" s="184">
        <v>0.0</v>
      </c>
      <c r="J84" s="176">
        <v>0.0</v>
      </c>
      <c r="K84" s="176">
        <v>0.0</v>
      </c>
      <c r="L84" s="176">
        <v>15.0</v>
      </c>
      <c r="M84" s="176">
        <v>0.0</v>
      </c>
      <c r="N84" s="176">
        <v>0.0</v>
      </c>
      <c r="O84" s="176">
        <v>0.0</v>
      </c>
      <c r="P84" s="176">
        <v>62.55</v>
      </c>
    </row>
    <row r="85" ht="15.75" customHeight="1">
      <c r="A85" s="176">
        <v>4.0</v>
      </c>
      <c r="B85" s="176">
        <v>10.0</v>
      </c>
      <c r="C85" s="176">
        <v>2.0</v>
      </c>
      <c r="D85" s="176">
        <v>0.0</v>
      </c>
      <c r="E85" s="176">
        <v>0.0</v>
      </c>
      <c r="F85" s="176">
        <v>0.0</v>
      </c>
      <c r="G85" s="176">
        <v>0.0</v>
      </c>
      <c r="H85" s="185">
        <v>0.0</v>
      </c>
      <c r="I85" s="185">
        <v>1.0</v>
      </c>
      <c r="J85" s="176">
        <v>0.0</v>
      </c>
      <c r="K85" s="176">
        <v>0.0</v>
      </c>
      <c r="L85" s="176">
        <v>15.0</v>
      </c>
      <c r="M85" s="176">
        <v>0.0</v>
      </c>
      <c r="N85" s="176">
        <v>0.0</v>
      </c>
      <c r="O85" s="176">
        <v>0.0</v>
      </c>
      <c r="P85" s="176">
        <v>229.55</v>
      </c>
    </row>
    <row r="86" ht="15.75" customHeight="1">
      <c r="A86" s="176">
        <v>5.0</v>
      </c>
      <c r="B86" s="176">
        <v>10.0</v>
      </c>
      <c r="C86" s="176">
        <v>2.0</v>
      </c>
      <c r="D86" s="176">
        <v>0.0</v>
      </c>
      <c r="E86" s="176">
        <v>0.0</v>
      </c>
      <c r="F86" s="176">
        <v>0.0</v>
      </c>
      <c r="G86" s="176">
        <v>1.0</v>
      </c>
      <c r="H86" s="184">
        <v>0.0</v>
      </c>
      <c r="I86" s="184">
        <v>0.0</v>
      </c>
      <c r="J86" s="176">
        <v>0.0</v>
      </c>
      <c r="K86" s="176">
        <v>0.0</v>
      </c>
      <c r="L86" s="176">
        <v>15.0</v>
      </c>
      <c r="M86" s="176">
        <v>0.0</v>
      </c>
      <c r="N86" s="176">
        <v>0.0</v>
      </c>
      <c r="O86" s="176">
        <v>0.0</v>
      </c>
      <c r="P86" s="176">
        <v>112.55</v>
      </c>
    </row>
    <row r="87" ht="15.75" customHeight="1">
      <c r="A87" s="176">
        <v>6.0</v>
      </c>
      <c r="B87" s="176">
        <v>10.0</v>
      </c>
      <c r="C87" s="176">
        <v>3.0</v>
      </c>
      <c r="D87" s="176">
        <v>0.0</v>
      </c>
      <c r="E87" s="176">
        <v>0.0</v>
      </c>
      <c r="F87" s="176">
        <v>0.0</v>
      </c>
      <c r="G87" s="176">
        <v>0.0</v>
      </c>
      <c r="H87" s="184">
        <v>0.0</v>
      </c>
      <c r="I87" s="184">
        <v>0.0</v>
      </c>
      <c r="J87" s="176">
        <v>1.0</v>
      </c>
      <c r="K87" s="153">
        <v>1.0</v>
      </c>
      <c r="L87" s="176">
        <v>20.0</v>
      </c>
      <c r="M87" s="176">
        <v>0.0</v>
      </c>
      <c r="N87" s="176">
        <v>0.0</v>
      </c>
      <c r="O87" s="176">
        <v>0.0</v>
      </c>
      <c r="P87" s="176">
        <v>150.4</v>
      </c>
    </row>
    <row r="88" ht="15.75" customHeight="1">
      <c r="A88" s="176">
        <v>7.0</v>
      </c>
      <c r="B88" s="176">
        <v>10.0</v>
      </c>
      <c r="C88" s="176">
        <v>3.0</v>
      </c>
      <c r="D88" s="176">
        <v>10.0</v>
      </c>
      <c r="E88" s="176">
        <v>0.0</v>
      </c>
      <c r="F88" s="176">
        <v>0.0</v>
      </c>
      <c r="G88" s="176">
        <v>0.0</v>
      </c>
      <c r="H88" s="184">
        <v>0.0</v>
      </c>
      <c r="I88" s="184">
        <v>0.0</v>
      </c>
      <c r="J88" s="176">
        <v>0.0</v>
      </c>
      <c r="K88" s="176">
        <v>0.0</v>
      </c>
      <c r="L88" s="176">
        <v>20.0</v>
      </c>
      <c r="M88" s="176">
        <v>0.0</v>
      </c>
      <c r="N88" s="176">
        <v>0.0</v>
      </c>
      <c r="O88" s="176">
        <v>0.0</v>
      </c>
      <c r="P88" s="176">
        <v>83.4</v>
      </c>
    </row>
    <row r="89" ht="15.75" customHeight="1">
      <c r="A89" s="176">
        <v>8.0</v>
      </c>
      <c r="B89" s="176">
        <v>10.0</v>
      </c>
      <c r="C89" s="176">
        <v>3.0</v>
      </c>
      <c r="D89" s="176">
        <v>0.0</v>
      </c>
      <c r="E89" s="176">
        <v>0.0</v>
      </c>
      <c r="F89" s="176">
        <v>0.0</v>
      </c>
      <c r="G89" s="176">
        <v>0.0</v>
      </c>
      <c r="H89" s="184">
        <v>1.0</v>
      </c>
      <c r="I89" s="184">
        <v>0.0</v>
      </c>
      <c r="J89" s="176">
        <v>0.0</v>
      </c>
      <c r="K89" s="176">
        <v>0.0</v>
      </c>
      <c r="L89" s="176">
        <v>30.0</v>
      </c>
      <c r="M89" s="176">
        <v>0.0</v>
      </c>
      <c r="N89" s="176">
        <v>0.0</v>
      </c>
      <c r="O89" s="176">
        <v>0.0</v>
      </c>
      <c r="P89" s="176">
        <v>192.1</v>
      </c>
    </row>
    <row r="90" ht="15.75" customHeight="1">
      <c r="A90" s="176">
        <v>9.0</v>
      </c>
      <c r="B90" s="176">
        <v>10.0</v>
      </c>
      <c r="C90" s="176">
        <v>3.0</v>
      </c>
      <c r="D90" s="176">
        <v>10.0</v>
      </c>
      <c r="E90" s="176">
        <v>0.0</v>
      </c>
      <c r="F90" s="176">
        <v>0.0</v>
      </c>
      <c r="G90" s="176">
        <v>0.0</v>
      </c>
      <c r="H90" s="184">
        <v>0.0</v>
      </c>
      <c r="I90" s="184">
        <v>0.0</v>
      </c>
      <c r="J90" s="176">
        <v>0.0</v>
      </c>
      <c r="K90" s="176">
        <v>0.0</v>
      </c>
      <c r="L90" s="176">
        <v>60.0</v>
      </c>
      <c r="M90" s="176">
        <v>0.0</v>
      </c>
      <c r="N90" s="176">
        <v>0.0</v>
      </c>
      <c r="O90" s="176">
        <v>0.0</v>
      </c>
      <c r="P90" s="176">
        <v>250.2</v>
      </c>
    </row>
    <row r="91" ht="15.75" customHeight="1">
      <c r="A91" s="176">
        <v>10.0</v>
      </c>
      <c r="B91" s="176">
        <v>10.0</v>
      </c>
      <c r="C91" s="176">
        <v>4.0</v>
      </c>
      <c r="D91" s="176">
        <v>20.0</v>
      </c>
      <c r="E91" s="176">
        <v>0.0</v>
      </c>
      <c r="F91" s="176">
        <v>0.0</v>
      </c>
      <c r="G91" s="176">
        <v>0.0</v>
      </c>
      <c r="H91" s="185">
        <v>1.0</v>
      </c>
      <c r="I91" s="185">
        <v>0.0</v>
      </c>
      <c r="J91" s="176">
        <v>0.0</v>
      </c>
      <c r="K91" s="176">
        <v>0.0</v>
      </c>
      <c r="L91" s="176">
        <v>60.0</v>
      </c>
      <c r="M91" s="176">
        <v>0.0</v>
      </c>
      <c r="N91" s="176">
        <v>0.0</v>
      </c>
      <c r="O91" s="176">
        <v>0.0</v>
      </c>
      <c r="P91" s="176">
        <v>250.2</v>
      </c>
    </row>
    <row r="92" ht="15.75" customHeight="1">
      <c r="A92" s="153" t="s">
        <v>246</v>
      </c>
      <c r="B92" s="176">
        <v>100.0</v>
      </c>
      <c r="D92" s="176">
        <f t="shared" ref="D92:O92" si="11">sum(D82:D91)</f>
        <v>60</v>
      </c>
      <c r="E92" s="176">
        <f t="shared" si="11"/>
        <v>0</v>
      </c>
      <c r="F92" s="176">
        <f t="shared" si="11"/>
        <v>1</v>
      </c>
      <c r="G92" s="176">
        <f t="shared" si="11"/>
        <v>1</v>
      </c>
      <c r="H92" s="176">
        <f t="shared" si="11"/>
        <v>2</v>
      </c>
      <c r="I92" s="176">
        <f t="shared" si="11"/>
        <v>1</v>
      </c>
      <c r="J92" s="176">
        <f t="shared" si="11"/>
        <v>1</v>
      </c>
      <c r="K92" s="176">
        <f t="shared" si="11"/>
        <v>1</v>
      </c>
      <c r="L92" s="176">
        <f t="shared" si="11"/>
        <v>265</v>
      </c>
      <c r="M92" s="176">
        <f t="shared" si="11"/>
        <v>0</v>
      </c>
      <c r="N92" s="176">
        <f t="shared" si="11"/>
        <v>0</v>
      </c>
      <c r="O92" s="176">
        <f t="shared" si="11"/>
        <v>0</v>
      </c>
      <c r="P92" s="176">
        <v>1489.05</v>
      </c>
    </row>
    <row r="93" ht="15.75" customHeight="1">
      <c r="A93" s="177" t="s">
        <v>247</v>
      </c>
      <c r="B93" s="178"/>
      <c r="C93" s="178"/>
      <c r="D93" s="178">
        <f t="shared" ref="D93:O93" si="12">D92/$B92</f>
        <v>0.6</v>
      </c>
      <c r="E93" s="178">
        <f t="shared" si="12"/>
        <v>0</v>
      </c>
      <c r="F93" s="178">
        <f t="shared" si="12"/>
        <v>0.01</v>
      </c>
      <c r="G93" s="178">
        <f t="shared" si="12"/>
        <v>0.01</v>
      </c>
      <c r="H93" s="178">
        <f t="shared" si="12"/>
        <v>0.02</v>
      </c>
      <c r="I93" s="178">
        <f t="shared" si="12"/>
        <v>0.01</v>
      </c>
      <c r="J93" s="178">
        <f t="shared" si="12"/>
        <v>0.01</v>
      </c>
      <c r="K93" s="178">
        <f t="shared" si="12"/>
        <v>0.01</v>
      </c>
      <c r="L93" s="178">
        <f t="shared" si="12"/>
        <v>2.65</v>
      </c>
      <c r="M93" s="178">
        <f t="shared" si="12"/>
        <v>0</v>
      </c>
      <c r="N93" s="178">
        <f t="shared" si="12"/>
        <v>0</v>
      </c>
      <c r="O93" s="178">
        <f t="shared" si="12"/>
        <v>0</v>
      </c>
      <c r="P93" s="186">
        <v>14.8905</v>
      </c>
    </row>
    <row r="94" ht="15.75" customHeight="1">
      <c r="H94" s="78"/>
      <c r="I94" s="78"/>
    </row>
    <row r="95" ht="15.75" customHeight="1">
      <c r="A95" s="179" t="s">
        <v>248</v>
      </c>
      <c r="B95" s="171"/>
      <c r="C95" s="171"/>
      <c r="D95" s="171"/>
      <c r="E95" s="171"/>
      <c r="F95" s="171"/>
      <c r="G95" s="171"/>
      <c r="H95" s="182"/>
      <c r="I95" s="182"/>
      <c r="J95" s="171"/>
      <c r="K95" s="171"/>
      <c r="L95" s="171"/>
      <c r="M95" s="171"/>
      <c r="N95" s="171"/>
      <c r="O95" s="171"/>
      <c r="P95" s="171"/>
    </row>
    <row r="96" ht="15.75" customHeight="1">
      <c r="A96" s="174" t="s">
        <v>236</v>
      </c>
      <c r="B96" s="174" t="s">
        <v>237</v>
      </c>
      <c r="C96" s="174" t="s">
        <v>238</v>
      </c>
      <c r="D96" s="174" t="s">
        <v>239</v>
      </c>
      <c r="E96" s="174" t="s">
        <v>115</v>
      </c>
      <c r="F96" s="174" t="s">
        <v>79</v>
      </c>
      <c r="G96" s="174" t="s">
        <v>85</v>
      </c>
      <c r="H96" s="183" t="s">
        <v>91</v>
      </c>
      <c r="I96" s="183" t="s">
        <v>97</v>
      </c>
      <c r="J96" s="174" t="s">
        <v>103</v>
      </c>
      <c r="K96" s="174" t="s">
        <v>240</v>
      </c>
      <c r="L96" s="174" t="s">
        <v>241</v>
      </c>
      <c r="M96" s="174" t="s">
        <v>242</v>
      </c>
      <c r="N96" s="174" t="s">
        <v>243</v>
      </c>
      <c r="O96" s="174" t="s">
        <v>244</v>
      </c>
      <c r="P96" s="174" t="s">
        <v>245</v>
      </c>
      <c r="Q96" s="175"/>
      <c r="R96" s="175"/>
      <c r="S96" s="175"/>
      <c r="T96" s="175"/>
      <c r="U96" s="175"/>
      <c r="V96" s="175"/>
      <c r="W96" s="175"/>
      <c r="X96" s="175"/>
      <c r="Y96" s="175"/>
      <c r="Z96" s="175"/>
      <c r="AA96" s="175"/>
      <c r="AB96" s="175"/>
      <c r="AC96" s="175"/>
      <c r="AD96" s="175"/>
      <c r="AE96" s="175"/>
      <c r="AF96" s="175"/>
      <c r="AG96" s="175"/>
      <c r="AH96" s="175"/>
      <c r="AI96" s="175"/>
      <c r="AJ96" s="175"/>
      <c r="AK96" s="175"/>
      <c r="AL96" s="175"/>
      <c r="AM96" s="175"/>
      <c r="AN96" s="175"/>
      <c r="AO96" s="175"/>
      <c r="AP96" s="175"/>
      <c r="AQ96" s="175"/>
      <c r="AR96" s="175"/>
      <c r="AS96" s="175"/>
      <c r="AT96" s="175"/>
      <c r="AU96" s="175"/>
      <c r="AV96" s="175"/>
      <c r="AW96" s="175"/>
      <c r="AX96" s="175"/>
      <c r="AY96" s="175"/>
      <c r="AZ96" s="175"/>
      <c r="BA96" s="175"/>
      <c r="BB96" s="175"/>
      <c r="BC96" s="175"/>
    </row>
    <row r="97" ht="15.75" customHeight="1">
      <c r="A97" s="176">
        <v>1.0</v>
      </c>
      <c r="B97" s="176">
        <v>10.0</v>
      </c>
      <c r="C97" s="176">
        <v>1.0</v>
      </c>
      <c r="D97" s="176">
        <v>10.0</v>
      </c>
      <c r="E97" s="176">
        <v>0.0</v>
      </c>
      <c r="F97" s="176">
        <v>0.0</v>
      </c>
      <c r="G97" s="176">
        <v>0.0</v>
      </c>
      <c r="H97" s="184">
        <v>0.0</v>
      </c>
      <c r="I97" s="184">
        <v>0.0</v>
      </c>
      <c r="J97" s="176">
        <v>0.0</v>
      </c>
      <c r="K97" s="176">
        <v>0.0</v>
      </c>
      <c r="L97" s="176">
        <v>15.0</v>
      </c>
      <c r="M97" s="176">
        <v>0.0</v>
      </c>
      <c r="N97" s="176">
        <v>0.0</v>
      </c>
      <c r="O97" s="176">
        <v>0.0</v>
      </c>
      <c r="P97" s="176">
        <v>62.55</v>
      </c>
    </row>
    <row r="98" ht="15.75" customHeight="1">
      <c r="A98" s="176">
        <v>2.0</v>
      </c>
      <c r="B98" s="176">
        <v>10.0</v>
      </c>
      <c r="C98" s="176">
        <v>1.0</v>
      </c>
      <c r="D98" s="176">
        <v>0.0</v>
      </c>
      <c r="E98" s="176">
        <v>0.0</v>
      </c>
      <c r="F98" s="176">
        <v>1.0</v>
      </c>
      <c r="G98" s="176">
        <v>0.0</v>
      </c>
      <c r="H98" s="184">
        <v>0.0</v>
      </c>
      <c r="I98" s="184">
        <v>0.0</v>
      </c>
      <c r="J98" s="176">
        <v>0.0</v>
      </c>
      <c r="K98" s="176">
        <v>0.0</v>
      </c>
      <c r="L98" s="176">
        <v>15.0</v>
      </c>
      <c r="M98" s="176">
        <v>0.0</v>
      </c>
      <c r="N98" s="176">
        <v>0.0</v>
      </c>
      <c r="O98" s="176">
        <v>0.0</v>
      </c>
      <c r="P98" s="176">
        <v>95.55</v>
      </c>
    </row>
    <row r="99" ht="15.75" customHeight="1">
      <c r="A99" s="176">
        <v>3.0</v>
      </c>
      <c r="B99" s="176">
        <v>10.0</v>
      </c>
      <c r="C99" s="176">
        <v>2.0</v>
      </c>
      <c r="D99" s="176">
        <v>10.0</v>
      </c>
      <c r="E99" s="176">
        <v>0.0</v>
      </c>
      <c r="F99" s="176">
        <v>0.0</v>
      </c>
      <c r="G99" s="176">
        <v>0.0</v>
      </c>
      <c r="H99" s="184">
        <v>0.0</v>
      </c>
      <c r="I99" s="184">
        <v>0.0</v>
      </c>
      <c r="J99" s="176">
        <v>0.0</v>
      </c>
      <c r="K99" s="176">
        <v>0.0</v>
      </c>
      <c r="L99" s="176">
        <v>15.0</v>
      </c>
      <c r="M99" s="176">
        <v>0.0</v>
      </c>
      <c r="N99" s="176">
        <v>0.0</v>
      </c>
      <c r="O99" s="176">
        <v>0.0</v>
      </c>
      <c r="P99" s="176">
        <v>62.55</v>
      </c>
    </row>
    <row r="100" ht="15.75" customHeight="1">
      <c r="A100" s="176">
        <v>4.0</v>
      </c>
      <c r="B100" s="176">
        <v>10.0</v>
      </c>
      <c r="C100" s="176">
        <v>2.0</v>
      </c>
      <c r="D100" s="176">
        <v>0.0</v>
      </c>
      <c r="E100" s="176">
        <v>0.0</v>
      </c>
      <c r="F100" s="176">
        <v>0.0</v>
      </c>
      <c r="G100" s="176">
        <v>0.0</v>
      </c>
      <c r="H100" s="185">
        <v>0.0</v>
      </c>
      <c r="I100" s="185">
        <v>1.0</v>
      </c>
      <c r="J100" s="176">
        <v>0.0</v>
      </c>
      <c r="K100" s="176">
        <v>0.0</v>
      </c>
      <c r="L100" s="176">
        <v>15.0</v>
      </c>
      <c r="M100" s="176">
        <v>0.0</v>
      </c>
      <c r="N100" s="176">
        <v>0.0</v>
      </c>
      <c r="O100" s="176">
        <v>0.0</v>
      </c>
      <c r="P100" s="176">
        <v>229.55</v>
      </c>
    </row>
    <row r="101" ht="15.75" customHeight="1">
      <c r="A101" s="176">
        <v>5.0</v>
      </c>
      <c r="B101" s="176">
        <v>10.0</v>
      </c>
      <c r="C101" s="176">
        <v>2.0</v>
      </c>
      <c r="D101" s="176">
        <v>0.0</v>
      </c>
      <c r="E101" s="176">
        <v>0.0</v>
      </c>
      <c r="F101" s="176">
        <v>0.0</v>
      </c>
      <c r="G101" s="176">
        <v>1.0</v>
      </c>
      <c r="H101" s="184">
        <v>0.0</v>
      </c>
      <c r="I101" s="184">
        <v>0.0</v>
      </c>
      <c r="J101" s="176">
        <v>0.0</v>
      </c>
      <c r="K101" s="176">
        <v>0.0</v>
      </c>
      <c r="L101" s="176">
        <v>15.0</v>
      </c>
      <c r="M101" s="176">
        <v>0.0</v>
      </c>
      <c r="N101" s="176">
        <v>0.0</v>
      </c>
      <c r="O101" s="176">
        <v>0.0</v>
      </c>
      <c r="P101" s="176">
        <v>112.55</v>
      </c>
    </row>
    <row r="102" ht="15.75" customHeight="1">
      <c r="A102" s="176">
        <v>6.0</v>
      </c>
      <c r="B102" s="176">
        <v>10.0</v>
      </c>
      <c r="C102" s="176">
        <v>3.0</v>
      </c>
      <c r="D102" s="176">
        <v>0.0</v>
      </c>
      <c r="E102" s="176">
        <v>0.0</v>
      </c>
      <c r="F102" s="176">
        <v>0.0</v>
      </c>
      <c r="G102" s="176">
        <v>0.0</v>
      </c>
      <c r="H102" s="184">
        <v>0.0</v>
      </c>
      <c r="I102" s="184">
        <v>0.0</v>
      </c>
      <c r="J102" s="176">
        <v>1.0</v>
      </c>
      <c r="K102" s="153">
        <v>0.0</v>
      </c>
      <c r="L102" s="176">
        <v>20.0</v>
      </c>
      <c r="M102" s="176">
        <v>0.0</v>
      </c>
      <c r="N102" s="176">
        <v>0.0</v>
      </c>
      <c r="O102" s="176">
        <v>0.0</v>
      </c>
      <c r="P102" s="176">
        <v>150.4</v>
      </c>
    </row>
    <row r="103" ht="15.75" customHeight="1">
      <c r="A103" s="176">
        <v>7.0</v>
      </c>
      <c r="B103" s="176">
        <v>10.0</v>
      </c>
      <c r="C103" s="176">
        <v>3.0</v>
      </c>
      <c r="D103" s="176">
        <v>10.0</v>
      </c>
      <c r="E103" s="176">
        <v>0.0</v>
      </c>
      <c r="F103" s="176">
        <v>0.0</v>
      </c>
      <c r="G103" s="176">
        <v>0.0</v>
      </c>
      <c r="H103" s="184">
        <v>0.0</v>
      </c>
      <c r="I103" s="184">
        <v>0.0</v>
      </c>
      <c r="J103" s="176">
        <v>0.0</v>
      </c>
      <c r="K103" s="176">
        <v>0.0</v>
      </c>
      <c r="L103" s="176">
        <v>20.0</v>
      </c>
      <c r="M103" s="176">
        <v>0.0</v>
      </c>
      <c r="N103" s="176">
        <v>0.0</v>
      </c>
      <c r="O103" s="176">
        <v>0.0</v>
      </c>
      <c r="P103" s="176">
        <v>83.4</v>
      </c>
    </row>
    <row r="104" ht="15.75" customHeight="1">
      <c r="A104" s="176">
        <v>8.0</v>
      </c>
      <c r="B104" s="176">
        <v>10.0</v>
      </c>
      <c r="C104" s="176">
        <v>3.0</v>
      </c>
      <c r="D104" s="176">
        <v>0.0</v>
      </c>
      <c r="E104" s="176">
        <v>0.0</v>
      </c>
      <c r="F104" s="176">
        <v>0.0</v>
      </c>
      <c r="G104" s="176">
        <v>0.0</v>
      </c>
      <c r="H104" s="184">
        <v>1.0</v>
      </c>
      <c r="I104" s="184">
        <v>0.0</v>
      </c>
      <c r="J104" s="176">
        <v>0.0</v>
      </c>
      <c r="K104" s="176">
        <v>0.0</v>
      </c>
      <c r="L104" s="176">
        <v>30.0</v>
      </c>
      <c r="M104" s="176">
        <v>0.0</v>
      </c>
      <c r="N104" s="176">
        <v>0.0</v>
      </c>
      <c r="O104" s="176">
        <v>0.0</v>
      </c>
      <c r="P104" s="176">
        <v>192.1</v>
      </c>
    </row>
    <row r="105" ht="15.75" customHeight="1">
      <c r="A105" s="176">
        <v>9.0</v>
      </c>
      <c r="B105" s="176">
        <v>10.0</v>
      </c>
      <c r="C105" s="176">
        <v>3.0</v>
      </c>
      <c r="D105" s="176">
        <v>10.0</v>
      </c>
      <c r="E105" s="176">
        <v>0.0</v>
      </c>
      <c r="F105" s="176">
        <v>0.0</v>
      </c>
      <c r="G105" s="176">
        <v>0.0</v>
      </c>
      <c r="H105" s="184">
        <v>0.0</v>
      </c>
      <c r="I105" s="184">
        <v>0.0</v>
      </c>
      <c r="J105" s="176">
        <v>0.0</v>
      </c>
      <c r="K105" s="176">
        <v>0.0</v>
      </c>
      <c r="L105" s="176">
        <v>60.0</v>
      </c>
      <c r="M105" s="176">
        <v>0.0</v>
      </c>
      <c r="N105" s="176">
        <v>0.0</v>
      </c>
      <c r="O105" s="176">
        <v>0.0</v>
      </c>
      <c r="P105" s="176">
        <v>250.2</v>
      </c>
    </row>
    <row r="106" ht="15.75" customHeight="1">
      <c r="A106" s="176">
        <v>10.0</v>
      </c>
      <c r="B106" s="176">
        <v>10.0</v>
      </c>
      <c r="C106" s="176">
        <v>4.0</v>
      </c>
      <c r="D106" s="176">
        <v>20.0</v>
      </c>
      <c r="E106" s="176">
        <v>0.0</v>
      </c>
      <c r="F106" s="176">
        <v>0.0</v>
      </c>
      <c r="G106" s="176">
        <v>0.0</v>
      </c>
      <c r="H106" s="185">
        <v>1.0</v>
      </c>
      <c r="I106" s="185">
        <v>0.0</v>
      </c>
      <c r="J106" s="176">
        <v>0.0</v>
      </c>
      <c r="K106" s="176">
        <v>0.0</v>
      </c>
      <c r="L106" s="176">
        <v>60.0</v>
      </c>
      <c r="M106" s="176">
        <v>0.0</v>
      </c>
      <c r="N106" s="176">
        <v>0.0</v>
      </c>
      <c r="O106" s="176">
        <v>0.0</v>
      </c>
      <c r="P106" s="176">
        <v>250.2</v>
      </c>
    </row>
    <row r="107" ht="15.75" customHeight="1">
      <c r="A107" s="153" t="s">
        <v>246</v>
      </c>
      <c r="B107" s="176">
        <v>100.0</v>
      </c>
      <c r="D107" s="176">
        <f t="shared" ref="D107:O107" si="13">sum(D97:D106)</f>
        <v>60</v>
      </c>
      <c r="E107" s="176">
        <f t="shared" si="13"/>
        <v>0</v>
      </c>
      <c r="F107" s="176">
        <f t="shared" si="13"/>
        <v>1</v>
      </c>
      <c r="G107" s="176">
        <f t="shared" si="13"/>
        <v>1</v>
      </c>
      <c r="H107" s="176">
        <f t="shared" si="13"/>
        <v>2</v>
      </c>
      <c r="I107" s="176">
        <f t="shared" si="13"/>
        <v>1</v>
      </c>
      <c r="J107" s="176">
        <f t="shared" si="13"/>
        <v>1</v>
      </c>
      <c r="K107" s="176">
        <f t="shared" si="13"/>
        <v>0</v>
      </c>
      <c r="L107" s="176">
        <f t="shared" si="13"/>
        <v>265</v>
      </c>
      <c r="M107" s="176">
        <f t="shared" si="13"/>
        <v>0</v>
      </c>
      <c r="N107" s="176">
        <f t="shared" si="13"/>
        <v>0</v>
      </c>
      <c r="O107" s="176">
        <f t="shared" si="13"/>
        <v>0</v>
      </c>
      <c r="P107" s="176">
        <v>1489.05</v>
      </c>
    </row>
    <row r="108" ht="15.75" customHeight="1">
      <c r="A108" s="177" t="s">
        <v>247</v>
      </c>
      <c r="B108" s="178"/>
      <c r="C108" s="178"/>
      <c r="D108" s="178">
        <f t="shared" ref="D108:O108" si="14">D107/$B107</f>
        <v>0.6</v>
      </c>
      <c r="E108" s="178">
        <f t="shared" si="14"/>
        <v>0</v>
      </c>
      <c r="F108" s="178">
        <f t="shared" si="14"/>
        <v>0.01</v>
      </c>
      <c r="G108" s="178">
        <f t="shared" si="14"/>
        <v>0.01</v>
      </c>
      <c r="H108" s="178">
        <f t="shared" si="14"/>
        <v>0.02</v>
      </c>
      <c r="I108" s="178">
        <f t="shared" si="14"/>
        <v>0.01</v>
      </c>
      <c r="J108" s="178">
        <f t="shared" si="14"/>
        <v>0.01</v>
      </c>
      <c r="K108" s="178">
        <f t="shared" si="14"/>
        <v>0</v>
      </c>
      <c r="L108" s="178">
        <f t="shared" si="14"/>
        <v>2.65</v>
      </c>
      <c r="M108" s="178">
        <f t="shared" si="14"/>
        <v>0</v>
      </c>
      <c r="N108" s="178">
        <f t="shared" si="14"/>
        <v>0</v>
      </c>
      <c r="O108" s="178">
        <f t="shared" si="14"/>
        <v>0</v>
      </c>
      <c r="P108" s="178">
        <v>14.8905</v>
      </c>
    </row>
    <row r="109" ht="15.75" customHeight="1">
      <c r="H109" s="78"/>
      <c r="I109" s="78"/>
    </row>
    <row r="110" ht="15.75" customHeight="1">
      <c r="A110" s="179" t="s">
        <v>249</v>
      </c>
      <c r="B110" s="171"/>
      <c r="C110" s="171"/>
      <c r="D110" s="171"/>
      <c r="E110" s="171"/>
      <c r="F110" s="171"/>
      <c r="G110" s="171"/>
      <c r="H110" s="182"/>
      <c r="I110" s="182"/>
      <c r="J110" s="171"/>
      <c r="K110" s="171"/>
      <c r="L110" s="171"/>
      <c r="M110" s="171"/>
      <c r="N110" s="171"/>
      <c r="O110" s="171"/>
      <c r="P110" s="171"/>
    </row>
    <row r="111" ht="15.75" customHeight="1">
      <c r="A111" s="174" t="s">
        <v>236</v>
      </c>
      <c r="B111" s="174" t="s">
        <v>237</v>
      </c>
      <c r="C111" s="174" t="s">
        <v>238</v>
      </c>
      <c r="D111" s="174" t="s">
        <v>239</v>
      </c>
      <c r="E111" s="174" t="s">
        <v>115</v>
      </c>
      <c r="F111" s="174" t="s">
        <v>79</v>
      </c>
      <c r="G111" s="174" t="s">
        <v>85</v>
      </c>
      <c r="H111" s="183" t="s">
        <v>91</v>
      </c>
      <c r="I111" s="183" t="s">
        <v>97</v>
      </c>
      <c r="J111" s="174" t="s">
        <v>103</v>
      </c>
      <c r="K111" s="174" t="s">
        <v>240</v>
      </c>
      <c r="L111" s="174" t="s">
        <v>241</v>
      </c>
      <c r="M111" s="174" t="s">
        <v>242</v>
      </c>
      <c r="N111" s="174" t="s">
        <v>243</v>
      </c>
      <c r="O111" s="174" t="s">
        <v>244</v>
      </c>
      <c r="P111" s="174" t="s">
        <v>245</v>
      </c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  <c r="AA111" s="175"/>
      <c r="AB111" s="175"/>
      <c r="AC111" s="175"/>
      <c r="AD111" s="175"/>
      <c r="AE111" s="175"/>
      <c r="AF111" s="175"/>
      <c r="AG111" s="175"/>
      <c r="AH111" s="175"/>
      <c r="AI111" s="175"/>
      <c r="AJ111" s="175"/>
      <c r="AK111" s="175"/>
      <c r="AL111" s="175"/>
      <c r="AM111" s="175"/>
      <c r="AN111" s="175"/>
      <c r="AO111" s="175"/>
      <c r="AP111" s="175"/>
      <c r="AQ111" s="175"/>
      <c r="AR111" s="175"/>
      <c r="AS111" s="175"/>
      <c r="AT111" s="175"/>
      <c r="AU111" s="175"/>
      <c r="AV111" s="175"/>
      <c r="AW111" s="175"/>
      <c r="AX111" s="175"/>
      <c r="AY111" s="175"/>
      <c r="AZ111" s="175"/>
      <c r="BA111" s="175"/>
      <c r="BB111" s="175"/>
      <c r="BC111" s="175"/>
    </row>
    <row r="112" ht="15.75" customHeight="1">
      <c r="A112" s="176">
        <v>1.0</v>
      </c>
      <c r="B112" s="176">
        <v>10.0</v>
      </c>
      <c r="C112" s="176">
        <v>1.0</v>
      </c>
      <c r="D112" s="176">
        <v>10.0</v>
      </c>
      <c r="E112" s="176">
        <v>0.0</v>
      </c>
      <c r="F112" s="176">
        <v>0.0</v>
      </c>
      <c r="G112" s="176">
        <v>0.0</v>
      </c>
      <c r="H112" s="184">
        <v>0.0</v>
      </c>
      <c r="I112" s="184">
        <v>0.0</v>
      </c>
      <c r="J112" s="176">
        <v>0.0</v>
      </c>
      <c r="K112" s="176">
        <v>0.0</v>
      </c>
      <c r="L112" s="176">
        <v>15.0</v>
      </c>
      <c r="M112" s="176">
        <v>0.0</v>
      </c>
      <c r="N112" s="176">
        <v>0.0</v>
      </c>
      <c r="O112" s="176">
        <v>0.0</v>
      </c>
      <c r="P112" s="176">
        <v>62.55</v>
      </c>
    </row>
    <row r="113" ht="15.75" customHeight="1">
      <c r="A113" s="176">
        <v>2.0</v>
      </c>
      <c r="B113" s="176">
        <v>10.0</v>
      </c>
      <c r="C113" s="176">
        <v>1.0</v>
      </c>
      <c r="D113" s="176">
        <v>0.0</v>
      </c>
      <c r="E113" s="176">
        <v>0.0</v>
      </c>
      <c r="F113" s="176">
        <v>1.0</v>
      </c>
      <c r="G113" s="176">
        <v>0.0</v>
      </c>
      <c r="H113" s="184">
        <v>0.0</v>
      </c>
      <c r="I113" s="184">
        <v>0.0</v>
      </c>
      <c r="J113" s="176">
        <v>0.0</v>
      </c>
      <c r="K113" s="176">
        <v>0.0</v>
      </c>
      <c r="L113" s="176">
        <v>15.0</v>
      </c>
      <c r="M113" s="176">
        <v>0.0</v>
      </c>
      <c r="N113" s="176">
        <v>0.0</v>
      </c>
      <c r="O113" s="176">
        <v>0.0</v>
      </c>
      <c r="P113" s="176">
        <v>95.55</v>
      </c>
    </row>
    <row r="114" ht="15.75" customHeight="1">
      <c r="A114" s="176">
        <v>3.0</v>
      </c>
      <c r="B114" s="176">
        <v>10.0</v>
      </c>
      <c r="C114" s="176">
        <v>2.0</v>
      </c>
      <c r="D114" s="176">
        <v>10.0</v>
      </c>
      <c r="E114" s="176">
        <v>0.0</v>
      </c>
      <c r="F114" s="176">
        <v>0.0</v>
      </c>
      <c r="G114" s="176">
        <v>0.0</v>
      </c>
      <c r="H114" s="184">
        <v>0.0</v>
      </c>
      <c r="I114" s="184">
        <v>0.0</v>
      </c>
      <c r="J114" s="176">
        <v>0.0</v>
      </c>
      <c r="K114" s="176">
        <v>0.0</v>
      </c>
      <c r="L114" s="176">
        <v>15.0</v>
      </c>
      <c r="M114" s="176">
        <v>0.0</v>
      </c>
      <c r="N114" s="176">
        <v>0.0</v>
      </c>
      <c r="O114" s="176">
        <v>0.0</v>
      </c>
      <c r="P114" s="176">
        <v>62.55</v>
      </c>
    </row>
    <row r="115" ht="15.75" customHeight="1">
      <c r="A115" s="176">
        <v>4.0</v>
      </c>
      <c r="B115" s="176">
        <v>10.0</v>
      </c>
      <c r="C115" s="176">
        <v>2.0</v>
      </c>
      <c r="D115" s="176">
        <v>0.0</v>
      </c>
      <c r="E115" s="176">
        <v>0.0</v>
      </c>
      <c r="F115" s="176">
        <v>0.0</v>
      </c>
      <c r="G115" s="176">
        <v>0.0</v>
      </c>
      <c r="H115" s="185">
        <v>0.0</v>
      </c>
      <c r="I115" s="185">
        <v>1.0</v>
      </c>
      <c r="J115" s="176">
        <v>0.0</v>
      </c>
      <c r="K115" s="176">
        <v>0.0</v>
      </c>
      <c r="L115" s="176">
        <v>15.0</v>
      </c>
      <c r="M115" s="176">
        <v>0.0</v>
      </c>
      <c r="N115" s="176">
        <v>0.0</v>
      </c>
      <c r="O115" s="176">
        <v>0.0</v>
      </c>
      <c r="P115" s="176">
        <v>229.55</v>
      </c>
    </row>
    <row r="116" ht="15.75" customHeight="1">
      <c r="A116" s="176">
        <v>5.0</v>
      </c>
      <c r="B116" s="176">
        <v>10.0</v>
      </c>
      <c r="C116" s="176">
        <v>2.0</v>
      </c>
      <c r="D116" s="176">
        <v>0.0</v>
      </c>
      <c r="E116" s="176">
        <v>0.0</v>
      </c>
      <c r="F116" s="176">
        <v>0.0</v>
      </c>
      <c r="G116" s="176">
        <v>1.0</v>
      </c>
      <c r="H116" s="184">
        <v>0.0</v>
      </c>
      <c r="I116" s="184">
        <v>0.0</v>
      </c>
      <c r="J116" s="176">
        <v>0.0</v>
      </c>
      <c r="K116" s="176">
        <v>0.0</v>
      </c>
      <c r="L116" s="176">
        <v>15.0</v>
      </c>
      <c r="M116" s="176">
        <v>0.0</v>
      </c>
      <c r="N116" s="176">
        <v>0.0</v>
      </c>
      <c r="O116" s="176">
        <v>0.0</v>
      </c>
      <c r="P116" s="176">
        <v>112.55</v>
      </c>
    </row>
    <row r="117" ht="15.75" customHeight="1">
      <c r="A117" s="176">
        <v>6.0</v>
      </c>
      <c r="B117" s="176">
        <v>10.0</v>
      </c>
      <c r="C117" s="176">
        <v>3.0</v>
      </c>
      <c r="D117" s="176">
        <v>0.0</v>
      </c>
      <c r="E117" s="176">
        <v>0.0</v>
      </c>
      <c r="F117" s="176">
        <v>0.0</v>
      </c>
      <c r="G117" s="176">
        <v>0.0</v>
      </c>
      <c r="H117" s="184">
        <v>0.0</v>
      </c>
      <c r="I117" s="184">
        <v>0.0</v>
      </c>
      <c r="J117" s="176">
        <v>1.0</v>
      </c>
      <c r="K117" s="153">
        <v>0.0</v>
      </c>
      <c r="L117" s="176">
        <v>20.0</v>
      </c>
      <c r="M117" s="176">
        <v>0.0</v>
      </c>
      <c r="N117" s="176">
        <v>0.0</v>
      </c>
      <c r="O117" s="176">
        <v>0.0</v>
      </c>
      <c r="P117" s="176">
        <v>150.4</v>
      </c>
    </row>
    <row r="118" ht="15.75" customHeight="1">
      <c r="A118" s="176">
        <v>7.0</v>
      </c>
      <c r="B118" s="176">
        <v>10.0</v>
      </c>
      <c r="C118" s="176">
        <v>3.0</v>
      </c>
      <c r="D118" s="176">
        <v>10.0</v>
      </c>
      <c r="E118" s="176">
        <v>0.0</v>
      </c>
      <c r="F118" s="176">
        <v>0.0</v>
      </c>
      <c r="G118" s="176">
        <v>0.0</v>
      </c>
      <c r="H118" s="184">
        <v>0.0</v>
      </c>
      <c r="I118" s="184">
        <v>0.0</v>
      </c>
      <c r="J118" s="176">
        <v>0.0</v>
      </c>
      <c r="K118" s="176">
        <v>0.0</v>
      </c>
      <c r="L118" s="176">
        <v>20.0</v>
      </c>
      <c r="M118" s="176">
        <v>0.0</v>
      </c>
      <c r="N118" s="176">
        <v>0.0</v>
      </c>
      <c r="O118" s="176">
        <v>0.0</v>
      </c>
      <c r="P118" s="176">
        <v>83.4</v>
      </c>
    </row>
    <row r="119" ht="15.75" customHeight="1">
      <c r="A119" s="176">
        <v>8.0</v>
      </c>
      <c r="B119" s="176">
        <v>10.0</v>
      </c>
      <c r="C119" s="176">
        <v>3.0</v>
      </c>
      <c r="D119" s="176">
        <v>0.0</v>
      </c>
      <c r="E119" s="176">
        <v>0.0</v>
      </c>
      <c r="F119" s="176">
        <v>0.0</v>
      </c>
      <c r="G119" s="176">
        <v>0.0</v>
      </c>
      <c r="H119" s="184">
        <v>1.0</v>
      </c>
      <c r="I119" s="184">
        <v>0.0</v>
      </c>
      <c r="J119" s="176">
        <v>0.0</v>
      </c>
      <c r="K119" s="176">
        <v>0.0</v>
      </c>
      <c r="L119" s="176">
        <v>30.0</v>
      </c>
      <c r="M119" s="176">
        <v>0.0</v>
      </c>
      <c r="N119" s="176">
        <v>0.0</v>
      </c>
      <c r="O119" s="176">
        <v>0.0</v>
      </c>
      <c r="P119" s="176">
        <v>192.1</v>
      </c>
    </row>
    <row r="120" ht="15.75" customHeight="1">
      <c r="A120" s="176">
        <v>9.0</v>
      </c>
      <c r="B120" s="176">
        <v>10.0</v>
      </c>
      <c r="C120" s="176">
        <v>3.0</v>
      </c>
      <c r="D120" s="176">
        <v>10.0</v>
      </c>
      <c r="E120" s="176">
        <v>0.0</v>
      </c>
      <c r="F120" s="176">
        <v>0.0</v>
      </c>
      <c r="G120" s="176">
        <v>0.0</v>
      </c>
      <c r="H120" s="184">
        <v>0.0</v>
      </c>
      <c r="I120" s="184">
        <v>0.0</v>
      </c>
      <c r="J120" s="176">
        <v>0.0</v>
      </c>
      <c r="K120" s="176">
        <v>0.0</v>
      </c>
      <c r="L120" s="176">
        <v>60.0</v>
      </c>
      <c r="M120" s="176">
        <v>0.0</v>
      </c>
      <c r="N120" s="176">
        <v>0.0</v>
      </c>
      <c r="O120" s="176">
        <v>0.0</v>
      </c>
      <c r="P120" s="176">
        <v>250.2</v>
      </c>
    </row>
    <row r="121" ht="15.75" customHeight="1">
      <c r="A121" s="176">
        <v>10.0</v>
      </c>
      <c r="B121" s="176">
        <v>10.0</v>
      </c>
      <c r="C121" s="176">
        <v>4.0</v>
      </c>
      <c r="D121" s="176">
        <v>20.0</v>
      </c>
      <c r="E121" s="176">
        <v>0.0</v>
      </c>
      <c r="F121" s="176">
        <v>0.0</v>
      </c>
      <c r="G121" s="176">
        <v>0.0</v>
      </c>
      <c r="H121" s="185">
        <v>1.0</v>
      </c>
      <c r="I121" s="185">
        <v>0.0</v>
      </c>
      <c r="J121" s="176">
        <v>0.0</v>
      </c>
      <c r="K121" s="176">
        <v>0.0</v>
      </c>
      <c r="L121" s="176">
        <v>60.0</v>
      </c>
      <c r="M121" s="176">
        <v>0.0</v>
      </c>
      <c r="N121" s="176">
        <v>0.0</v>
      </c>
      <c r="O121" s="176">
        <v>0.0</v>
      </c>
      <c r="P121" s="176">
        <v>250.2</v>
      </c>
    </row>
    <row r="122" ht="15.75" customHeight="1">
      <c r="A122" s="153" t="s">
        <v>246</v>
      </c>
      <c r="B122" s="176">
        <v>100.0</v>
      </c>
      <c r="D122" s="176">
        <f t="shared" ref="D122:O122" si="15">sum(D112:D121)</f>
        <v>60</v>
      </c>
      <c r="E122" s="176">
        <f t="shared" si="15"/>
        <v>0</v>
      </c>
      <c r="F122" s="176">
        <f t="shared" si="15"/>
        <v>1</v>
      </c>
      <c r="G122" s="176">
        <f t="shared" si="15"/>
        <v>1</v>
      </c>
      <c r="H122" s="176">
        <f t="shared" si="15"/>
        <v>2</v>
      </c>
      <c r="I122" s="176">
        <f t="shared" si="15"/>
        <v>1</v>
      </c>
      <c r="J122" s="176">
        <f t="shared" si="15"/>
        <v>1</v>
      </c>
      <c r="K122" s="176">
        <f t="shared" si="15"/>
        <v>0</v>
      </c>
      <c r="L122" s="176">
        <f t="shared" si="15"/>
        <v>265</v>
      </c>
      <c r="M122" s="176">
        <f t="shared" si="15"/>
        <v>0</v>
      </c>
      <c r="N122" s="176">
        <f t="shared" si="15"/>
        <v>0</v>
      </c>
      <c r="O122" s="176">
        <f t="shared" si="15"/>
        <v>0</v>
      </c>
      <c r="P122" s="176">
        <v>1489.05</v>
      </c>
    </row>
    <row r="123" ht="15.75" customHeight="1">
      <c r="A123" s="177" t="s">
        <v>247</v>
      </c>
      <c r="B123" s="178"/>
      <c r="C123" s="178"/>
      <c r="D123" s="178">
        <f t="shared" ref="D123:O123" si="16">D122/$B122</f>
        <v>0.6</v>
      </c>
      <c r="E123" s="178">
        <f t="shared" si="16"/>
        <v>0</v>
      </c>
      <c r="F123" s="178">
        <f t="shared" si="16"/>
        <v>0.01</v>
      </c>
      <c r="G123" s="178">
        <f t="shared" si="16"/>
        <v>0.01</v>
      </c>
      <c r="H123" s="178">
        <f t="shared" si="16"/>
        <v>0.02</v>
      </c>
      <c r="I123" s="178">
        <f t="shared" si="16"/>
        <v>0.01</v>
      </c>
      <c r="J123" s="178">
        <f t="shared" si="16"/>
        <v>0.01</v>
      </c>
      <c r="K123" s="178">
        <f t="shared" si="16"/>
        <v>0</v>
      </c>
      <c r="L123" s="178">
        <f t="shared" si="16"/>
        <v>2.65</v>
      </c>
      <c r="M123" s="178">
        <f t="shared" si="16"/>
        <v>0</v>
      </c>
      <c r="N123" s="178">
        <f t="shared" si="16"/>
        <v>0</v>
      </c>
      <c r="O123" s="178">
        <f t="shared" si="16"/>
        <v>0</v>
      </c>
      <c r="P123" s="178">
        <v>14.8905</v>
      </c>
    </row>
    <row r="124" ht="15.75" customHeight="1">
      <c r="H124" s="78"/>
      <c r="I124" s="78"/>
    </row>
    <row r="125" ht="15.75" customHeight="1">
      <c r="A125" s="179" t="s">
        <v>250</v>
      </c>
      <c r="B125" s="171"/>
      <c r="C125" s="171"/>
      <c r="D125" s="171"/>
      <c r="E125" s="171"/>
      <c r="F125" s="171"/>
      <c r="G125" s="171"/>
      <c r="H125" s="182"/>
      <c r="I125" s="182"/>
      <c r="J125" s="171"/>
      <c r="K125" s="171"/>
      <c r="L125" s="171"/>
      <c r="M125" s="171"/>
      <c r="N125" s="171"/>
      <c r="O125" s="171"/>
      <c r="P125" s="171"/>
    </row>
    <row r="126" ht="15.75" customHeight="1">
      <c r="A126" s="174" t="s">
        <v>236</v>
      </c>
      <c r="B126" s="174" t="s">
        <v>237</v>
      </c>
      <c r="C126" s="174" t="s">
        <v>238</v>
      </c>
      <c r="D126" s="174" t="s">
        <v>239</v>
      </c>
      <c r="E126" s="174" t="s">
        <v>115</v>
      </c>
      <c r="F126" s="174" t="s">
        <v>79</v>
      </c>
      <c r="G126" s="174" t="s">
        <v>85</v>
      </c>
      <c r="H126" s="183" t="s">
        <v>91</v>
      </c>
      <c r="I126" s="183" t="s">
        <v>97</v>
      </c>
      <c r="J126" s="174" t="s">
        <v>103</v>
      </c>
      <c r="K126" s="174" t="s">
        <v>240</v>
      </c>
      <c r="L126" s="174" t="s">
        <v>241</v>
      </c>
      <c r="M126" s="174" t="s">
        <v>242</v>
      </c>
      <c r="N126" s="174" t="s">
        <v>243</v>
      </c>
      <c r="O126" s="174" t="s">
        <v>244</v>
      </c>
      <c r="P126" s="174" t="s">
        <v>245</v>
      </c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  <c r="AA126" s="175"/>
      <c r="AB126" s="175"/>
      <c r="AC126" s="175"/>
      <c r="AD126" s="175"/>
      <c r="AE126" s="175"/>
      <c r="AF126" s="175"/>
      <c r="AG126" s="175"/>
      <c r="AH126" s="175"/>
      <c r="AI126" s="175"/>
      <c r="AJ126" s="175"/>
      <c r="AK126" s="175"/>
      <c r="AL126" s="175"/>
      <c r="AM126" s="175"/>
      <c r="AN126" s="175"/>
      <c r="AO126" s="175"/>
      <c r="AP126" s="175"/>
      <c r="AQ126" s="175"/>
      <c r="AR126" s="175"/>
      <c r="AS126" s="175"/>
      <c r="AT126" s="175"/>
      <c r="AU126" s="175"/>
      <c r="AV126" s="175"/>
      <c r="AW126" s="175"/>
      <c r="AX126" s="175"/>
      <c r="AY126" s="175"/>
      <c r="AZ126" s="175"/>
      <c r="BA126" s="175"/>
      <c r="BB126" s="175"/>
      <c r="BC126" s="175"/>
    </row>
    <row r="127" ht="15.75" customHeight="1">
      <c r="A127" s="176">
        <v>1.0</v>
      </c>
      <c r="B127" s="176">
        <v>10.0</v>
      </c>
      <c r="C127" s="176">
        <v>1.0</v>
      </c>
      <c r="D127" s="176">
        <v>10.0</v>
      </c>
      <c r="E127" s="176">
        <v>0.0</v>
      </c>
      <c r="F127" s="176">
        <v>0.0</v>
      </c>
      <c r="G127" s="176">
        <v>0.0</v>
      </c>
      <c r="H127" s="184">
        <v>0.0</v>
      </c>
      <c r="I127" s="184">
        <v>0.0</v>
      </c>
      <c r="J127" s="176">
        <v>0.0</v>
      </c>
      <c r="K127" s="176">
        <v>0.0</v>
      </c>
      <c r="L127" s="176">
        <v>15.0</v>
      </c>
      <c r="M127" s="176">
        <v>0.0</v>
      </c>
      <c r="N127" s="176">
        <v>0.0</v>
      </c>
      <c r="O127" s="176">
        <v>0.0</v>
      </c>
      <c r="P127" s="176">
        <v>62.55</v>
      </c>
    </row>
    <row r="128" ht="15.75" customHeight="1">
      <c r="A128" s="176">
        <v>2.0</v>
      </c>
      <c r="B128" s="176">
        <v>10.0</v>
      </c>
      <c r="C128" s="176">
        <v>1.0</v>
      </c>
      <c r="D128" s="176">
        <v>0.0</v>
      </c>
      <c r="E128" s="176">
        <v>0.0</v>
      </c>
      <c r="F128" s="176">
        <v>1.0</v>
      </c>
      <c r="G128" s="176">
        <v>0.0</v>
      </c>
      <c r="H128" s="184">
        <v>0.0</v>
      </c>
      <c r="I128" s="184">
        <v>0.0</v>
      </c>
      <c r="J128" s="176">
        <v>0.0</v>
      </c>
      <c r="K128" s="176">
        <v>0.0</v>
      </c>
      <c r="L128" s="176">
        <v>15.0</v>
      </c>
      <c r="M128" s="176">
        <v>0.0</v>
      </c>
      <c r="N128" s="176">
        <v>0.0</v>
      </c>
      <c r="O128" s="176">
        <v>0.0</v>
      </c>
      <c r="P128" s="176">
        <v>95.55</v>
      </c>
    </row>
    <row r="129" ht="15.75" customHeight="1">
      <c r="A129" s="176">
        <v>3.0</v>
      </c>
      <c r="B129" s="176">
        <v>10.0</v>
      </c>
      <c r="C129" s="176">
        <v>2.0</v>
      </c>
      <c r="D129" s="176">
        <v>10.0</v>
      </c>
      <c r="E129" s="176">
        <v>0.0</v>
      </c>
      <c r="F129" s="176">
        <v>0.0</v>
      </c>
      <c r="G129" s="176">
        <v>0.0</v>
      </c>
      <c r="H129" s="184">
        <v>0.0</v>
      </c>
      <c r="I129" s="184">
        <v>0.0</v>
      </c>
      <c r="J129" s="176">
        <v>0.0</v>
      </c>
      <c r="K129" s="176">
        <v>0.0</v>
      </c>
      <c r="L129" s="176">
        <v>15.0</v>
      </c>
      <c r="M129" s="176">
        <v>0.0</v>
      </c>
      <c r="N129" s="176">
        <v>0.0</v>
      </c>
      <c r="O129" s="176">
        <v>0.0</v>
      </c>
      <c r="P129" s="176">
        <v>62.55</v>
      </c>
    </row>
    <row r="130" ht="15.75" customHeight="1">
      <c r="A130" s="176">
        <v>4.0</v>
      </c>
      <c r="B130" s="176">
        <v>10.0</v>
      </c>
      <c r="C130" s="176">
        <v>2.0</v>
      </c>
      <c r="D130" s="176">
        <v>0.0</v>
      </c>
      <c r="E130" s="176">
        <v>0.0</v>
      </c>
      <c r="F130" s="176">
        <v>0.0</v>
      </c>
      <c r="G130" s="176">
        <v>0.0</v>
      </c>
      <c r="H130" s="185">
        <v>0.0</v>
      </c>
      <c r="I130" s="185">
        <v>1.0</v>
      </c>
      <c r="J130" s="176">
        <v>0.0</v>
      </c>
      <c r="K130" s="176">
        <v>0.0</v>
      </c>
      <c r="L130" s="176">
        <v>15.0</v>
      </c>
      <c r="M130" s="176">
        <v>0.0</v>
      </c>
      <c r="N130" s="176">
        <v>0.0</v>
      </c>
      <c r="O130" s="176">
        <v>0.0</v>
      </c>
      <c r="P130" s="176">
        <v>229.55</v>
      </c>
    </row>
    <row r="131" ht="15.75" customHeight="1">
      <c r="A131" s="176">
        <v>5.0</v>
      </c>
      <c r="B131" s="176">
        <v>10.0</v>
      </c>
      <c r="C131" s="176">
        <v>2.0</v>
      </c>
      <c r="D131" s="176">
        <v>0.0</v>
      </c>
      <c r="E131" s="176">
        <v>0.0</v>
      </c>
      <c r="F131" s="176">
        <v>0.0</v>
      </c>
      <c r="G131" s="176">
        <v>1.0</v>
      </c>
      <c r="H131" s="184">
        <v>0.0</v>
      </c>
      <c r="I131" s="184">
        <v>0.0</v>
      </c>
      <c r="J131" s="176">
        <v>0.0</v>
      </c>
      <c r="K131" s="176">
        <v>0.0</v>
      </c>
      <c r="L131" s="176">
        <v>15.0</v>
      </c>
      <c r="M131" s="176">
        <v>0.0</v>
      </c>
      <c r="N131" s="176">
        <v>0.0</v>
      </c>
      <c r="O131" s="176">
        <v>0.0</v>
      </c>
      <c r="P131" s="176">
        <v>112.55</v>
      </c>
    </row>
    <row r="132" ht="15.75" customHeight="1">
      <c r="A132" s="176">
        <v>6.0</v>
      </c>
      <c r="B132" s="176">
        <v>10.0</v>
      </c>
      <c r="C132" s="176">
        <v>3.0</v>
      </c>
      <c r="D132" s="176">
        <v>0.0</v>
      </c>
      <c r="E132" s="176">
        <v>0.0</v>
      </c>
      <c r="F132" s="176">
        <v>0.0</v>
      </c>
      <c r="G132" s="176">
        <v>0.0</v>
      </c>
      <c r="H132" s="184">
        <v>0.0</v>
      </c>
      <c r="I132" s="184">
        <v>0.0</v>
      </c>
      <c r="J132" s="176">
        <v>1.0</v>
      </c>
      <c r="K132" s="153">
        <v>0.0</v>
      </c>
      <c r="L132" s="176">
        <v>20.0</v>
      </c>
      <c r="M132" s="176">
        <v>0.0</v>
      </c>
      <c r="N132" s="176">
        <v>0.0</v>
      </c>
      <c r="O132" s="176">
        <v>0.0</v>
      </c>
      <c r="P132" s="176">
        <v>150.4</v>
      </c>
    </row>
    <row r="133" ht="15.75" customHeight="1">
      <c r="A133" s="176">
        <v>7.0</v>
      </c>
      <c r="B133" s="176">
        <v>10.0</v>
      </c>
      <c r="C133" s="176">
        <v>3.0</v>
      </c>
      <c r="D133" s="176">
        <v>10.0</v>
      </c>
      <c r="E133" s="176">
        <v>0.0</v>
      </c>
      <c r="F133" s="176">
        <v>0.0</v>
      </c>
      <c r="G133" s="176">
        <v>0.0</v>
      </c>
      <c r="H133" s="184">
        <v>0.0</v>
      </c>
      <c r="I133" s="184">
        <v>0.0</v>
      </c>
      <c r="J133" s="176">
        <v>0.0</v>
      </c>
      <c r="K133" s="176">
        <v>0.0</v>
      </c>
      <c r="L133" s="176">
        <v>20.0</v>
      </c>
      <c r="M133" s="176">
        <v>0.0</v>
      </c>
      <c r="N133" s="176">
        <v>0.0</v>
      </c>
      <c r="O133" s="176">
        <v>0.0</v>
      </c>
      <c r="P133" s="176">
        <v>83.4</v>
      </c>
    </row>
    <row r="134" ht="15.75" customHeight="1">
      <c r="A134" s="176">
        <v>8.0</v>
      </c>
      <c r="B134" s="176">
        <v>10.0</v>
      </c>
      <c r="C134" s="176">
        <v>3.0</v>
      </c>
      <c r="D134" s="176">
        <v>0.0</v>
      </c>
      <c r="E134" s="176">
        <v>0.0</v>
      </c>
      <c r="F134" s="176">
        <v>0.0</v>
      </c>
      <c r="G134" s="176">
        <v>0.0</v>
      </c>
      <c r="H134" s="184">
        <v>1.0</v>
      </c>
      <c r="I134" s="184">
        <v>0.0</v>
      </c>
      <c r="J134" s="176">
        <v>0.0</v>
      </c>
      <c r="K134" s="176">
        <v>0.0</v>
      </c>
      <c r="L134" s="176">
        <v>30.0</v>
      </c>
      <c r="M134" s="176">
        <v>0.0</v>
      </c>
      <c r="N134" s="176">
        <v>0.0</v>
      </c>
      <c r="O134" s="176">
        <v>0.0</v>
      </c>
      <c r="P134" s="176">
        <v>192.1</v>
      </c>
    </row>
    <row r="135" ht="15.75" customHeight="1">
      <c r="A135" s="176">
        <v>9.0</v>
      </c>
      <c r="B135" s="176">
        <v>10.0</v>
      </c>
      <c r="C135" s="176">
        <v>3.0</v>
      </c>
      <c r="D135" s="176">
        <v>10.0</v>
      </c>
      <c r="E135" s="176">
        <v>0.0</v>
      </c>
      <c r="F135" s="176">
        <v>0.0</v>
      </c>
      <c r="G135" s="176">
        <v>0.0</v>
      </c>
      <c r="H135" s="184">
        <v>0.0</v>
      </c>
      <c r="I135" s="184">
        <v>0.0</v>
      </c>
      <c r="J135" s="176">
        <v>0.0</v>
      </c>
      <c r="K135" s="176">
        <v>0.0</v>
      </c>
      <c r="L135" s="176">
        <v>60.0</v>
      </c>
      <c r="M135" s="176">
        <v>0.0</v>
      </c>
      <c r="N135" s="176">
        <v>0.0</v>
      </c>
      <c r="O135" s="176">
        <v>0.0</v>
      </c>
      <c r="P135" s="176">
        <v>250.2</v>
      </c>
    </row>
    <row r="136" ht="15.75" customHeight="1">
      <c r="A136" s="176">
        <v>10.0</v>
      </c>
      <c r="B136" s="176">
        <v>10.0</v>
      </c>
      <c r="C136" s="176">
        <v>4.0</v>
      </c>
      <c r="D136" s="176">
        <v>20.0</v>
      </c>
      <c r="E136" s="176">
        <v>0.0</v>
      </c>
      <c r="F136" s="176">
        <v>0.0</v>
      </c>
      <c r="G136" s="176">
        <v>0.0</v>
      </c>
      <c r="H136" s="185">
        <v>1.0</v>
      </c>
      <c r="I136" s="185">
        <v>0.0</v>
      </c>
      <c r="J136" s="176">
        <v>0.0</v>
      </c>
      <c r="K136" s="176">
        <v>0.0</v>
      </c>
      <c r="L136" s="176">
        <v>60.0</v>
      </c>
      <c r="M136" s="176">
        <v>0.0</v>
      </c>
      <c r="N136" s="176">
        <v>0.0</v>
      </c>
      <c r="O136" s="176">
        <v>0.0</v>
      </c>
      <c r="P136" s="176">
        <v>250.2</v>
      </c>
    </row>
    <row r="137" ht="15.75" customHeight="1">
      <c r="A137" s="153" t="s">
        <v>246</v>
      </c>
      <c r="B137" s="176">
        <v>100.0</v>
      </c>
      <c r="D137" s="176">
        <f t="shared" ref="D137:O137" si="17">sum(D127:D136)</f>
        <v>60</v>
      </c>
      <c r="E137" s="176">
        <f t="shared" si="17"/>
        <v>0</v>
      </c>
      <c r="F137" s="176">
        <f t="shared" si="17"/>
        <v>1</v>
      </c>
      <c r="G137" s="176">
        <f t="shared" si="17"/>
        <v>1</v>
      </c>
      <c r="H137" s="176">
        <f t="shared" si="17"/>
        <v>2</v>
      </c>
      <c r="I137" s="176">
        <f t="shared" si="17"/>
        <v>1</v>
      </c>
      <c r="J137" s="176">
        <f t="shared" si="17"/>
        <v>1</v>
      </c>
      <c r="K137" s="176">
        <f t="shared" si="17"/>
        <v>0</v>
      </c>
      <c r="L137" s="176">
        <f t="shared" si="17"/>
        <v>265</v>
      </c>
      <c r="M137" s="176">
        <f t="shared" si="17"/>
        <v>0</v>
      </c>
      <c r="N137" s="176">
        <f t="shared" si="17"/>
        <v>0</v>
      </c>
      <c r="O137" s="176">
        <f t="shared" si="17"/>
        <v>0</v>
      </c>
      <c r="P137" s="176">
        <v>1489.05</v>
      </c>
    </row>
    <row r="138" ht="15.75" customHeight="1">
      <c r="A138" s="177" t="s">
        <v>247</v>
      </c>
      <c r="B138" s="178"/>
      <c r="C138" s="178"/>
      <c r="D138" s="178">
        <f t="shared" ref="D138:O138" si="18">D137/$B137</f>
        <v>0.6</v>
      </c>
      <c r="E138" s="178">
        <f t="shared" si="18"/>
        <v>0</v>
      </c>
      <c r="F138" s="178">
        <f t="shared" si="18"/>
        <v>0.01</v>
      </c>
      <c r="G138" s="178">
        <f t="shared" si="18"/>
        <v>0.01</v>
      </c>
      <c r="H138" s="178">
        <f t="shared" si="18"/>
        <v>0.02</v>
      </c>
      <c r="I138" s="178">
        <f t="shared" si="18"/>
        <v>0.01</v>
      </c>
      <c r="J138" s="178">
        <f t="shared" si="18"/>
        <v>0.01</v>
      </c>
      <c r="K138" s="178">
        <f t="shared" si="18"/>
        <v>0</v>
      </c>
      <c r="L138" s="178">
        <f t="shared" si="18"/>
        <v>2.65</v>
      </c>
      <c r="M138" s="178">
        <f t="shared" si="18"/>
        <v>0</v>
      </c>
      <c r="N138" s="178">
        <f t="shared" si="18"/>
        <v>0</v>
      </c>
      <c r="O138" s="178">
        <f t="shared" si="18"/>
        <v>0</v>
      </c>
      <c r="P138" s="178">
        <v>14.8905</v>
      </c>
    </row>
    <row r="139" ht="15.75" customHeight="1">
      <c r="H139" s="78"/>
      <c r="I139" s="78"/>
    </row>
    <row r="140" ht="15.75" customHeight="1">
      <c r="A140" s="179" t="s">
        <v>251</v>
      </c>
      <c r="B140" s="171"/>
      <c r="C140" s="171"/>
      <c r="D140" s="171"/>
      <c r="E140" s="171"/>
      <c r="F140" s="171"/>
      <c r="G140" s="171"/>
      <c r="H140" s="182"/>
      <c r="I140" s="182"/>
      <c r="J140" s="171"/>
      <c r="K140" s="171"/>
      <c r="L140" s="171"/>
      <c r="M140" s="171"/>
      <c r="N140" s="171"/>
      <c r="O140" s="171"/>
      <c r="P140" s="171"/>
    </row>
    <row r="141" ht="15.75" customHeight="1">
      <c r="A141" s="174" t="s">
        <v>236</v>
      </c>
      <c r="B141" s="174" t="s">
        <v>237</v>
      </c>
      <c r="C141" s="174" t="s">
        <v>238</v>
      </c>
      <c r="D141" s="174" t="s">
        <v>239</v>
      </c>
      <c r="E141" s="174" t="s">
        <v>115</v>
      </c>
      <c r="F141" s="174" t="s">
        <v>79</v>
      </c>
      <c r="G141" s="174" t="s">
        <v>85</v>
      </c>
      <c r="H141" s="183" t="s">
        <v>91</v>
      </c>
      <c r="I141" s="183" t="s">
        <v>97</v>
      </c>
      <c r="J141" s="174" t="s">
        <v>103</v>
      </c>
      <c r="K141" s="174" t="s">
        <v>240</v>
      </c>
      <c r="L141" s="174" t="s">
        <v>241</v>
      </c>
      <c r="M141" s="174" t="s">
        <v>242</v>
      </c>
      <c r="N141" s="174" t="s">
        <v>243</v>
      </c>
      <c r="O141" s="174" t="s">
        <v>244</v>
      </c>
      <c r="P141" s="174" t="s">
        <v>245</v>
      </c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  <c r="AA141" s="175"/>
      <c r="AB141" s="175"/>
      <c r="AC141" s="175"/>
      <c r="AD141" s="175"/>
      <c r="AE141" s="175"/>
      <c r="AF141" s="175"/>
      <c r="AG141" s="175"/>
      <c r="AH141" s="175"/>
      <c r="AI141" s="175"/>
      <c r="AJ141" s="175"/>
      <c r="AK141" s="175"/>
      <c r="AL141" s="175"/>
      <c r="AM141" s="175"/>
      <c r="AN141" s="175"/>
      <c r="AO141" s="175"/>
      <c r="AP141" s="175"/>
      <c r="AQ141" s="175"/>
      <c r="AR141" s="175"/>
      <c r="AS141" s="175"/>
      <c r="AT141" s="175"/>
      <c r="AU141" s="175"/>
      <c r="AV141" s="175"/>
      <c r="AW141" s="175"/>
      <c r="AX141" s="175"/>
      <c r="AY141" s="175"/>
      <c r="AZ141" s="175"/>
      <c r="BA141" s="175"/>
      <c r="BB141" s="175"/>
      <c r="BC141" s="175"/>
    </row>
    <row r="142" ht="15.75" customHeight="1">
      <c r="A142" s="176">
        <v>1.0</v>
      </c>
      <c r="B142" s="176">
        <v>10.0</v>
      </c>
      <c r="C142" s="176">
        <v>1.0</v>
      </c>
      <c r="D142" s="176">
        <v>10.0</v>
      </c>
      <c r="E142" s="176">
        <v>0.0</v>
      </c>
      <c r="F142" s="176">
        <v>0.0</v>
      </c>
      <c r="G142" s="176">
        <v>0.0</v>
      </c>
      <c r="H142" s="184">
        <v>0.0</v>
      </c>
      <c r="I142" s="184">
        <v>0.0</v>
      </c>
      <c r="J142" s="176">
        <v>0.0</v>
      </c>
      <c r="K142" s="176">
        <v>0.0</v>
      </c>
      <c r="L142" s="176">
        <v>15.0</v>
      </c>
      <c r="M142" s="176">
        <v>0.0</v>
      </c>
      <c r="N142" s="176">
        <v>0.0</v>
      </c>
      <c r="O142" s="176">
        <v>0.0</v>
      </c>
      <c r="P142" s="176">
        <v>62.55</v>
      </c>
    </row>
    <row r="143" ht="15.75" customHeight="1">
      <c r="A143" s="176">
        <v>2.0</v>
      </c>
      <c r="B143" s="176">
        <v>10.0</v>
      </c>
      <c r="C143" s="176">
        <v>1.0</v>
      </c>
      <c r="D143" s="176">
        <v>0.0</v>
      </c>
      <c r="E143" s="176">
        <v>0.0</v>
      </c>
      <c r="F143" s="176">
        <v>1.0</v>
      </c>
      <c r="G143" s="176">
        <v>0.0</v>
      </c>
      <c r="H143" s="184">
        <v>0.0</v>
      </c>
      <c r="I143" s="184">
        <v>0.0</v>
      </c>
      <c r="J143" s="176">
        <v>0.0</v>
      </c>
      <c r="K143" s="176">
        <v>0.0</v>
      </c>
      <c r="L143" s="176">
        <v>15.0</v>
      </c>
      <c r="M143" s="176">
        <v>0.0</v>
      </c>
      <c r="N143" s="176">
        <v>0.0</v>
      </c>
      <c r="O143" s="176">
        <v>0.0</v>
      </c>
      <c r="P143" s="176">
        <v>95.55</v>
      </c>
    </row>
    <row r="144" ht="15.75" customHeight="1">
      <c r="A144" s="176">
        <v>3.0</v>
      </c>
      <c r="B144" s="176">
        <v>10.0</v>
      </c>
      <c r="C144" s="176">
        <v>2.0</v>
      </c>
      <c r="D144" s="176">
        <v>10.0</v>
      </c>
      <c r="E144" s="176">
        <v>0.0</v>
      </c>
      <c r="F144" s="176">
        <v>0.0</v>
      </c>
      <c r="G144" s="176">
        <v>0.0</v>
      </c>
      <c r="H144" s="184">
        <v>0.0</v>
      </c>
      <c r="I144" s="184">
        <v>0.0</v>
      </c>
      <c r="J144" s="176">
        <v>0.0</v>
      </c>
      <c r="K144" s="176">
        <v>0.0</v>
      </c>
      <c r="L144" s="176">
        <v>15.0</v>
      </c>
      <c r="M144" s="176">
        <v>0.0</v>
      </c>
      <c r="N144" s="176">
        <v>0.0</v>
      </c>
      <c r="O144" s="176">
        <v>0.0</v>
      </c>
      <c r="P144" s="176">
        <v>62.55</v>
      </c>
    </row>
    <row r="145" ht="15.75" customHeight="1">
      <c r="A145" s="176">
        <v>4.0</v>
      </c>
      <c r="B145" s="176">
        <v>10.0</v>
      </c>
      <c r="C145" s="176">
        <v>2.0</v>
      </c>
      <c r="D145" s="176">
        <v>0.0</v>
      </c>
      <c r="E145" s="176">
        <v>0.0</v>
      </c>
      <c r="F145" s="176">
        <v>0.0</v>
      </c>
      <c r="G145" s="176">
        <v>0.0</v>
      </c>
      <c r="H145" s="185">
        <v>0.0</v>
      </c>
      <c r="I145" s="185">
        <v>1.0</v>
      </c>
      <c r="J145" s="176">
        <v>0.0</v>
      </c>
      <c r="K145" s="176">
        <v>0.0</v>
      </c>
      <c r="L145" s="176">
        <v>15.0</v>
      </c>
      <c r="M145" s="176">
        <v>0.0</v>
      </c>
      <c r="N145" s="176">
        <v>0.0</v>
      </c>
      <c r="O145" s="176">
        <v>0.0</v>
      </c>
      <c r="P145" s="176">
        <v>229.55</v>
      </c>
    </row>
    <row r="146" ht="15.75" customHeight="1">
      <c r="A146" s="176">
        <v>5.0</v>
      </c>
      <c r="B146" s="176">
        <v>10.0</v>
      </c>
      <c r="C146" s="176">
        <v>2.0</v>
      </c>
      <c r="D146" s="176">
        <v>0.0</v>
      </c>
      <c r="E146" s="176">
        <v>0.0</v>
      </c>
      <c r="F146" s="176">
        <v>0.0</v>
      </c>
      <c r="G146" s="176">
        <v>1.0</v>
      </c>
      <c r="H146" s="184">
        <v>0.0</v>
      </c>
      <c r="I146" s="184">
        <v>0.0</v>
      </c>
      <c r="J146" s="176">
        <v>0.0</v>
      </c>
      <c r="K146" s="176">
        <v>0.0</v>
      </c>
      <c r="L146" s="176">
        <v>15.0</v>
      </c>
      <c r="M146" s="176">
        <v>0.0</v>
      </c>
      <c r="N146" s="176">
        <v>0.0</v>
      </c>
      <c r="O146" s="176">
        <v>0.0</v>
      </c>
      <c r="P146" s="176">
        <v>112.55</v>
      </c>
    </row>
    <row r="147" ht="15.75" customHeight="1">
      <c r="A147" s="176">
        <v>6.0</v>
      </c>
      <c r="B147" s="176">
        <v>10.0</v>
      </c>
      <c r="C147" s="176">
        <v>3.0</v>
      </c>
      <c r="D147" s="176">
        <v>0.0</v>
      </c>
      <c r="E147" s="176">
        <v>0.0</v>
      </c>
      <c r="F147" s="176">
        <v>0.0</v>
      </c>
      <c r="G147" s="176">
        <v>0.0</v>
      </c>
      <c r="H147" s="184">
        <v>0.0</v>
      </c>
      <c r="I147" s="184">
        <v>0.0</v>
      </c>
      <c r="J147" s="176">
        <v>1.0</v>
      </c>
      <c r="K147" s="153">
        <v>0.0</v>
      </c>
      <c r="L147" s="176">
        <v>20.0</v>
      </c>
      <c r="M147" s="176">
        <v>0.0</v>
      </c>
      <c r="N147" s="176">
        <v>0.0</v>
      </c>
      <c r="O147" s="176">
        <v>0.0</v>
      </c>
      <c r="P147" s="176">
        <v>150.4</v>
      </c>
    </row>
    <row r="148" ht="15.75" customHeight="1">
      <c r="A148" s="176">
        <v>7.0</v>
      </c>
      <c r="B148" s="176">
        <v>10.0</v>
      </c>
      <c r="C148" s="176">
        <v>3.0</v>
      </c>
      <c r="D148" s="176">
        <v>10.0</v>
      </c>
      <c r="E148" s="176">
        <v>0.0</v>
      </c>
      <c r="F148" s="176">
        <v>0.0</v>
      </c>
      <c r="G148" s="176">
        <v>0.0</v>
      </c>
      <c r="H148" s="184">
        <v>0.0</v>
      </c>
      <c r="I148" s="184">
        <v>0.0</v>
      </c>
      <c r="J148" s="176">
        <v>0.0</v>
      </c>
      <c r="K148" s="176">
        <v>0.0</v>
      </c>
      <c r="L148" s="176">
        <v>20.0</v>
      </c>
      <c r="M148" s="176">
        <v>0.0</v>
      </c>
      <c r="N148" s="176">
        <v>0.0</v>
      </c>
      <c r="O148" s="176">
        <v>0.0</v>
      </c>
      <c r="P148" s="176">
        <v>83.4</v>
      </c>
    </row>
    <row r="149" ht="15.75" customHeight="1">
      <c r="A149" s="176">
        <v>8.0</v>
      </c>
      <c r="B149" s="176">
        <v>10.0</v>
      </c>
      <c r="C149" s="176">
        <v>3.0</v>
      </c>
      <c r="D149" s="176">
        <v>0.0</v>
      </c>
      <c r="E149" s="176">
        <v>0.0</v>
      </c>
      <c r="F149" s="176">
        <v>0.0</v>
      </c>
      <c r="G149" s="176">
        <v>0.0</v>
      </c>
      <c r="H149" s="184">
        <v>1.0</v>
      </c>
      <c r="I149" s="184">
        <v>0.0</v>
      </c>
      <c r="J149" s="176">
        <v>0.0</v>
      </c>
      <c r="K149" s="176">
        <v>0.0</v>
      </c>
      <c r="L149" s="176">
        <v>30.0</v>
      </c>
      <c r="M149" s="176">
        <v>0.0</v>
      </c>
      <c r="N149" s="176">
        <v>0.0</v>
      </c>
      <c r="O149" s="176">
        <v>0.0</v>
      </c>
      <c r="P149" s="176">
        <v>192.1</v>
      </c>
    </row>
    <row r="150" ht="15.75" customHeight="1">
      <c r="A150" s="176">
        <v>9.0</v>
      </c>
      <c r="B150" s="176">
        <v>10.0</v>
      </c>
      <c r="C150" s="176">
        <v>3.0</v>
      </c>
      <c r="D150" s="176">
        <v>10.0</v>
      </c>
      <c r="E150" s="176">
        <v>0.0</v>
      </c>
      <c r="F150" s="176">
        <v>0.0</v>
      </c>
      <c r="G150" s="176">
        <v>0.0</v>
      </c>
      <c r="H150" s="184">
        <v>0.0</v>
      </c>
      <c r="I150" s="184">
        <v>0.0</v>
      </c>
      <c r="J150" s="176">
        <v>0.0</v>
      </c>
      <c r="K150" s="176">
        <v>0.0</v>
      </c>
      <c r="L150" s="176">
        <v>60.0</v>
      </c>
      <c r="M150" s="176">
        <v>0.0</v>
      </c>
      <c r="N150" s="176">
        <v>0.0</v>
      </c>
      <c r="O150" s="176">
        <v>0.0</v>
      </c>
      <c r="P150" s="176">
        <v>250.2</v>
      </c>
    </row>
    <row r="151" ht="15.75" customHeight="1">
      <c r="A151" s="176">
        <v>10.0</v>
      </c>
      <c r="B151" s="176">
        <v>10.0</v>
      </c>
      <c r="C151" s="176">
        <v>4.0</v>
      </c>
      <c r="D151" s="176">
        <v>20.0</v>
      </c>
      <c r="E151" s="176">
        <v>0.0</v>
      </c>
      <c r="F151" s="176">
        <v>0.0</v>
      </c>
      <c r="G151" s="176">
        <v>0.0</v>
      </c>
      <c r="H151" s="185">
        <v>1.0</v>
      </c>
      <c r="I151" s="185">
        <v>0.0</v>
      </c>
      <c r="J151" s="176">
        <v>0.0</v>
      </c>
      <c r="K151" s="176">
        <v>0.0</v>
      </c>
      <c r="L151" s="176">
        <v>60.0</v>
      </c>
      <c r="M151" s="176">
        <v>0.0</v>
      </c>
      <c r="N151" s="176">
        <v>0.0</v>
      </c>
      <c r="O151" s="176">
        <v>0.0</v>
      </c>
      <c r="P151" s="176">
        <v>250.2</v>
      </c>
    </row>
    <row r="152" ht="15.75" customHeight="1">
      <c r="A152" s="153" t="s">
        <v>246</v>
      </c>
      <c r="B152" s="176">
        <v>100.0</v>
      </c>
      <c r="D152" s="176">
        <f t="shared" ref="D152:O152" si="19">sum(D142:D151)</f>
        <v>60</v>
      </c>
      <c r="E152" s="176">
        <f t="shared" si="19"/>
        <v>0</v>
      </c>
      <c r="F152" s="176">
        <f t="shared" si="19"/>
        <v>1</v>
      </c>
      <c r="G152" s="176">
        <f t="shared" si="19"/>
        <v>1</v>
      </c>
      <c r="H152" s="176">
        <f t="shared" si="19"/>
        <v>2</v>
      </c>
      <c r="I152" s="176">
        <f t="shared" si="19"/>
        <v>1</v>
      </c>
      <c r="J152" s="176">
        <f t="shared" si="19"/>
        <v>1</v>
      </c>
      <c r="K152" s="176">
        <f t="shared" si="19"/>
        <v>0</v>
      </c>
      <c r="L152" s="176">
        <f t="shared" si="19"/>
        <v>265</v>
      </c>
      <c r="M152" s="176">
        <f t="shared" si="19"/>
        <v>0</v>
      </c>
      <c r="N152" s="176">
        <f t="shared" si="19"/>
        <v>0</v>
      </c>
      <c r="O152" s="176">
        <f t="shared" si="19"/>
        <v>0</v>
      </c>
      <c r="P152" s="176">
        <v>1489.05</v>
      </c>
    </row>
    <row r="153" ht="15.75" customHeight="1">
      <c r="A153" s="177" t="s">
        <v>247</v>
      </c>
      <c r="B153" s="178"/>
      <c r="C153" s="178"/>
      <c r="D153" s="178">
        <f t="shared" ref="D153:O153" si="20">D152/$B152</f>
        <v>0.6</v>
      </c>
      <c r="E153" s="178">
        <f t="shared" si="20"/>
        <v>0</v>
      </c>
      <c r="F153" s="178">
        <f t="shared" si="20"/>
        <v>0.01</v>
      </c>
      <c r="G153" s="178">
        <f t="shared" si="20"/>
        <v>0.01</v>
      </c>
      <c r="H153" s="178">
        <f t="shared" si="20"/>
        <v>0.02</v>
      </c>
      <c r="I153" s="178">
        <f t="shared" si="20"/>
        <v>0.01</v>
      </c>
      <c r="J153" s="178">
        <f t="shared" si="20"/>
        <v>0.01</v>
      </c>
      <c r="K153" s="178">
        <f t="shared" si="20"/>
        <v>0</v>
      </c>
      <c r="L153" s="178">
        <f t="shared" si="20"/>
        <v>2.65</v>
      </c>
      <c r="M153" s="178">
        <f t="shared" si="20"/>
        <v>0</v>
      </c>
      <c r="N153" s="178">
        <f t="shared" si="20"/>
        <v>0</v>
      </c>
      <c r="O153" s="178">
        <f t="shared" si="20"/>
        <v>0</v>
      </c>
      <c r="P153" s="178">
        <v>14.8905</v>
      </c>
    </row>
    <row r="154" ht="15.75" customHeight="1"/>
    <row r="155" ht="15.75" customHeight="1">
      <c r="A155" s="72" t="s">
        <v>215</v>
      </c>
      <c r="B155" s="187" t="s">
        <v>253</v>
      </c>
      <c r="C155" s="187" t="s">
        <v>129</v>
      </c>
      <c r="D155" s="187" t="s">
        <v>130</v>
      </c>
      <c r="E155" s="187" t="s">
        <v>131</v>
      </c>
      <c r="F155" s="187" t="s">
        <v>132</v>
      </c>
      <c r="G155" s="87"/>
      <c r="H155" s="87"/>
      <c r="I155" s="87"/>
      <c r="J155" s="87"/>
      <c r="K155" s="87"/>
      <c r="L155" s="87"/>
      <c r="M155" s="87"/>
      <c r="N155" s="87"/>
      <c r="O155" s="87"/>
      <c r="P155" s="87"/>
    </row>
    <row r="156" ht="15.75" customHeight="1">
      <c r="A156" s="69" t="s">
        <v>254</v>
      </c>
      <c r="B156" s="141">
        <f>LET(
  gain, Raw_Data_Daily!$Q$2:$Q$9999,
  players, Raw_Data_Daily!$D$2:$D$9999,
  group, Raw_Data_Daily!$B$2:$B$9999,
  segment, Raw_Data_Daily!$C$2:$C$9999,
  IFERROR(SUMPRODUCT(gain, players, --(group="Control"), --(segment="B. 1-9")) / SUMPRODUCT(players, --(group="Control"), --(segment="B. 1-9")), 0)
)</f>
        <v>57.36695326</v>
      </c>
      <c r="C156" s="141">
        <f>LET(
  gain, Raw_Data_Daily!$Q$2:$Q$9999,
  players, Raw_Data_Daily!$D$2:$D$9999,
  group, Raw_Data_Daily!$B$2:$B$9999,
  segment, Raw_Data_Daily!$C$2:$C$9999,
  IFERROR(SUMPRODUCT(gain, players, --(group="Control"), --(segment="C. 10-19")) / SUMPRODUCT(players, --(group="Control"), --(segment="C. 10-19")), 0)
)</f>
        <v>101.3250384</v>
      </c>
      <c r="D156" s="141">
        <f>LET(
  gain, Raw_Data_Daily!$Q$2:$Q$9999,
  players, Raw_Data_Daily!$D$2:$D$9999,
  group, Raw_Data_Daily!$B$2:$B$9999,
  segment, Raw_Data_Daily!$C$2:$C$9999,
  IFERROR(SUMPRODUCT(gain, players, --(group="Control"), --(segment="D. 20-39")) / SUMPRODUCT(players, --(group="Control"), --(segment="D. 20-39")), 0)
)</f>
        <v>160.0291589</v>
      </c>
      <c r="E156" s="141">
        <f>LET(
  gain, Raw_Data_Daily!$Q$2:$Q$9999,
  players, Raw_Data_Daily!$D$2:$D$9999,
  group, Raw_Data_Daily!$B$2:$B$9999,
  segment, Raw_Data_Daily!$C$2:$C$9999,
  IFERROR(SUMPRODUCT(gain, players, --(group="Control"), --(segment="E. 40-99")) / SUMPRODUCT(players, --(group="Control"), --(segment="E. 40-99")), 0)
)</f>
        <v>276.0834994</v>
      </c>
      <c r="F156" s="141">
        <f>LET(
  gain, Raw_Data_Daily!$Q$2:$Q$9999,
  players, Raw_Data_Daily!$D$2:$D$9999,
  group, Raw_Data_Daily!$B$2:$B$9999,
  segment, Raw_Data_Daily!$C$2:$C$9999,
  IFERROR(SUMPRODUCT(gain, players, --(group="Control"), --(segment="F. 100+")) / SUMPRODUCT(players, --(group="Control"), --(segment="F. 100+")), 0)
)</f>
        <v>458.5180327</v>
      </c>
    </row>
    <row r="157" ht="15.75" customHeight="1">
      <c r="A157" s="69" t="s">
        <v>255</v>
      </c>
      <c r="B157" s="141">
        <f>LET(
  gain, Raw_Data_Daily!$Q$2:$Q$9999,
  players, Raw_Data_Daily!$D$2:$D$9999,
  group, Raw_Data_Daily!$B$2:$B$9999,
  segment, Raw_Data_Daily!$C$2:$C$9999,
  IFERROR(SUMPRODUCT(gain, players, --(group="Variant"), --(segment="B. 1-9")) / SUMPRODUCT(players, --(group="Variant"), --(segment="B. 1-9")), 0)
)</f>
        <v>55.78651574</v>
      </c>
      <c r="C157" s="141">
        <f>LET(
  gain, Raw_Data_Daily!$Q$2:$Q$9999,
  players, Raw_Data_Daily!$D$2:$D$9999,
  group, Raw_Data_Daily!$B$2:$B$9999,
  segment, Raw_Data_Daily!$C$2:$C$9999,
  IFERROR(SUMPRODUCT(gain, players, --(group="Variant"), --(segment="C. 10-19")) / SUMPRODUCT(players, --(group="Variant"), --(segment="C. 10-19")), 0)
)</f>
        <v>102.4265661</v>
      </c>
      <c r="D157" s="141">
        <f>LET(
  gain, Raw_Data_Daily!$Q$2:$Q$9999,
  players, Raw_Data_Daily!$D$2:$D$9999,
  group, Raw_Data_Daily!$B$2:$B$9999,
  segment, Raw_Data_Daily!$C$2:$C$9999,
  IFERROR(SUMPRODUCT(gain, players, --(group="Variant"), --(segment="D. 20-39")) / SUMPRODUCT(players, --(group="Variant"), --(segment="D. 20-39")), 0)
)</f>
        <v>180.9275483</v>
      </c>
      <c r="E157" s="141">
        <f>LET(
  gain, Raw_Data_Daily!$Q$2:$Q$9999,
  players, Raw_Data_Daily!$D$2:$D$9999,
  group, Raw_Data_Daily!$B$2:$B$9999,
  segment, Raw_Data_Daily!$C$2:$C$9999,
  IFERROR(SUMPRODUCT(gain, players, --(group="Variant"), --(segment="E. 40-99")) / SUMPRODUCT(players, --(group="Variant"), --(segment="E. 40-99")), 0)
)</f>
        <v>336.2677601</v>
      </c>
      <c r="F157" s="141">
        <f>LET(
  gain, Raw_Data_Daily!$Q$2:$Q$9999,
  players, Raw_Data_Daily!$D$2:$D$9999,
  group, Raw_Data_Daily!$B$2:$B$9999,
  segment, Raw_Data_Daily!$C$2:$C$9999,
  IFERROR(SUMPRODUCT(gain, players, --(group="Variant"), --(segment="F. 100+")) / SUMPRODUCT(players, --(group="Variant"), --(segment="F. 100+")), 0)
)</f>
        <v>594.8667103</v>
      </c>
    </row>
    <row r="158" ht="15.75" customHeight="1">
      <c r="A158" s="73" t="s">
        <v>256</v>
      </c>
      <c r="B158" s="141">
        <f>LET(group, Raw_Data_Daily!$B$2:$B$9999, segment, Raw_Data_Daily!$C$2:$C$9999, players, Raw_Data_Daily!$D$2:$D$9999, levels, Raw_Data_Daily!$L$2:$L$9999, avg_levels, IFERROR(SUMPRODUCT(--(group="Variant"), --((segment="A. 0")+(segment="B. 1-9")), players, levels) / SUMPRODUCT(--(group="Variant"), --((segment="A. 0")+(segment="B. 1-9")), players), 0), B157+($D$93-$D$17)*avg_levels)</f>
        <v>55.78651574</v>
      </c>
      <c r="C158" s="141">
        <f>LET(group, Raw_Data_Daily!$B$2:$B$9999, segment, Raw_Data_Daily!$C$2:$C$9999, players, Raw_Data_Daily!$D$2:$D$9999, levels, Raw_Data_Daily!$L$2:$L$9999, avg_levels, IFERROR(SUMPRODUCT(--(group="Variant"), --(segment="C. 10-19"), players, levels) / SUMPRODUCT(--(group="Variant"), --(segment="C. 10-19"), players), 0), C157+($D$108-$D$32)*avg_levels)</f>
        <v>102.4265661</v>
      </c>
      <c r="D158" s="141">
        <f>LET(group, Raw_Data_Daily!$B$2:$B$9999, segment, Raw_Data_Daily!$C$2:$C$9999, players, Raw_Data_Daily!$D$2:$D$9999, levels, Raw_Data_Daily!$L$2:$L$9999, avg_levels, IFERROR(SUMPRODUCT(--(group="Variant"), --(segment="D. 20-39"), players, levels) / SUMPRODUCT(--(group="Variant"), --(segment="D. 20-39"), players), 0), D157+($D$123-$D$47)*avg_levels)</f>
        <v>180.9275483</v>
      </c>
      <c r="E158" s="141">
        <f>LET(group, Raw_Data_Daily!$B$2:$B$9999, segment, Raw_Data_Daily!$C$2:$C$9999, players, Raw_Data_Daily!$D$2:$D$9999, levels, Raw_Data_Daily!$L$2:$L$9999, avg_levels, IFERROR(SUMPRODUCT(--(group="Variant"), --(segment="E. 40-99"), players, levels) / SUMPRODUCT(--(group="Variant"), --(segment="E. 40-99"), players), 0), E157+($D$138-$D$62)*avg_levels)</f>
        <v>336.2677601</v>
      </c>
      <c r="F158" s="141">
        <f>LET(group, Raw_Data_Daily!$B$2:$B$9999, segment, Raw_Data_Daily!$C$2:$C$9999, players, Raw_Data_Daily!$D$2:$D$9999, levels, Raw_Data_Daily!$L$2:$L$9999, avg_levels, IFERROR(SUMPRODUCT(--(group="Variant"), --(segment="F. 100+"), players, levels) / SUMPRODUCT(--(group="Variant"), --(segment="F. 100+"), players), 0), F157+($D$153-$D$77)*avg_levels)</f>
        <v>594.8667103</v>
      </c>
    </row>
    <row r="159" ht="15.75" customHeight="1">
      <c r="A159" s="69" t="s">
        <v>221</v>
      </c>
      <c r="B159" s="143">
        <f t="shared" ref="B159:F159" si="21">IFERROR(B157/B156-1,"")</f>
        <v>-0.02754961576</v>
      </c>
      <c r="C159" s="143">
        <f t="shared" si="21"/>
        <v>0.01087122944</v>
      </c>
      <c r="D159" s="143">
        <f t="shared" si="21"/>
        <v>0.1305911342</v>
      </c>
      <c r="E159" s="143">
        <f t="shared" si="21"/>
        <v>0.2179929654</v>
      </c>
      <c r="F159" s="143">
        <f t="shared" si="21"/>
        <v>0.2973681904</v>
      </c>
    </row>
    <row r="160" ht="15.75" customHeight="1">
      <c r="A160" s="58" t="s">
        <v>222</v>
      </c>
      <c r="B160" s="206">
        <f t="shared" ref="B160:F160" si="22">IFERROR(B158/B156-1,"")</f>
        <v>-0.02754961576</v>
      </c>
      <c r="C160" s="206">
        <f t="shared" si="22"/>
        <v>0.01087122944</v>
      </c>
      <c r="D160" s="206">
        <f t="shared" si="22"/>
        <v>0.1305911342</v>
      </c>
      <c r="E160" s="206">
        <f t="shared" si="22"/>
        <v>0.2179929654</v>
      </c>
      <c r="F160" s="206">
        <f t="shared" si="22"/>
        <v>0.2973681904</v>
      </c>
    </row>
    <row r="161" ht="15.75" customHeight="1">
      <c r="B161" s="208"/>
      <c r="C161" s="208"/>
      <c r="D161" s="208"/>
      <c r="E161" s="208"/>
      <c r="F161" s="208"/>
    </row>
    <row r="162" ht="15.75" customHeight="1">
      <c r="A162" s="209" t="s">
        <v>268</v>
      </c>
      <c r="B162" s="208"/>
      <c r="C162" s="208"/>
      <c r="D162" s="208"/>
      <c r="E162" s="208"/>
      <c r="F162" s="208"/>
    </row>
    <row r="163" ht="15.75" customHeight="1">
      <c r="A163" s="69" t="s">
        <v>4</v>
      </c>
      <c r="B163" s="141">
        <f>LET(
  gain, Raw_Data_Daily!$BO$2:$BO$9999,
  players, Raw_Data_Daily!$D$2:$D$9999,
  group, Raw_Data_Daily!$B$2:$B$9999,
  segment, Raw_Data_Daily!$C$2:$C$9999,
  IFERROR(SUMPRODUCT(gain, players, --(group="Control"), --(segment="B. 1-9")) / SUMPRODUCT(players, --(group="Control"), --(segment="B. 1-9")), 0)
)</f>
        <v>1.041002485</v>
      </c>
      <c r="C163" s="141">
        <f>LET(
  gain, Raw_Data_Daily!$BO$2:$BO$9999,
  players, Raw_Data_Daily!$D$2:$D$9999,
  group, Raw_Data_Daily!$B$2:$B$9999,
  segment, Raw_Data_Daily!$C$2:$C$9999,
  IFERROR(SUMPRODUCT(gain, players, --(group="Control"), --(segment="C. 10-19")) / SUMPRODUCT(players, --(group="Control"), --(segment="C. 10-19")), 0)
)</f>
        <v>1.545771115</v>
      </c>
      <c r="D163" s="141">
        <f>LET(
  gain, Raw_Data_Daily!$BO$2:$BO$9999,
  players, Raw_Data_Daily!$D$2:$D$9999,
  group, Raw_Data_Daily!$B$2:$B$9999,
  segment, Raw_Data_Daily!$C$2:$C$9999,
  IFERROR(SUMPRODUCT(gain, players, --(group="Control"), --(segment="D. 20-39")) / SUMPRODUCT(players, --(group="Control"), --(segment="D. 20-39")), 0)
)</f>
        <v>1.917481248</v>
      </c>
      <c r="E163" s="141">
        <f>LET(
  gain, Raw_Data_Daily!$BO$2:$BO$9999,
  players, Raw_Data_Daily!$D$2:$D$9999,
  group, Raw_Data_Daily!$B$2:$B$9999,
  segment, Raw_Data_Daily!$C$2:$C$9999,
  IFERROR(SUMPRODUCT(gain, players, --(group="Control"), --(segment="E. 40-99")) / SUMPRODUCT(players, --(group="Control"), --(segment="E. 40-99")), 0)
)</f>
        <v>2.475762269</v>
      </c>
      <c r="F163" s="141">
        <f>LET(
  gain, Raw_Data_Daily!$BO$2:$BO$9999,
  players, Raw_Data_Daily!$D$2:$D$9999,
  group, Raw_Data_Daily!$B$2:$B$9999,
  segment, Raw_Data_Daily!$C$2:$C$9999,
  IFERROR(SUMPRODUCT(gain, players, --(group="Control"), --(segment="F. 100+")) / SUMPRODUCT(players, --(group="Control"), --(segment="F. 100+")), 0)
)</f>
        <v>3.685479904</v>
      </c>
    </row>
    <row r="164" ht="15.75" customHeight="1">
      <c r="A164" s="10" t="s">
        <v>218</v>
      </c>
      <c r="B164" s="141">
        <f>LET(
  gain, Raw_Data_Daily!$BO$2:$BO$9999,
  players, Raw_Data_Daily!$D$2:$D$9999,
  group, Raw_Data_Daily!$B$2:$B$9999,
  segment, Raw_Data_Daily!$C$2:$C$9999,
  IFERROR(SUMPRODUCT(gain, players, --(group="Variant"), --(segment="B. 1-9")) / SUMPRODUCT(players, --(group="Variant"), --(segment="B. 1-9")), 0)
)</f>
        <v>1.233675935</v>
      </c>
      <c r="C164" s="141">
        <f>LET(
  gain, Raw_Data_Daily!$BO$2:$BO$9999,
  players, Raw_Data_Daily!$D$2:$D$9999,
  group, Raw_Data_Daily!$B$2:$B$9999,
  segment, Raw_Data_Daily!$C$2:$C$9999,
  IFERROR(SUMPRODUCT(gain, players, --(group="Variant"), --(segment="C. 10-19")) / SUMPRODUCT(players, --(group="Variant"), --(segment="C. 10-19")), 0)
)</f>
        <v>1.666492353</v>
      </c>
      <c r="D164" s="141">
        <f>LET(
  gain, Raw_Data_Daily!$BO$2:$BO$9999,
  players, Raw_Data_Daily!$D$2:$D$9999,
  group, Raw_Data_Daily!$B$2:$B$9999,
  segment, Raw_Data_Daily!$C$2:$C$9999,
  IFERROR(SUMPRODUCT(gain, players, --(group="Variant"), --(segment="D. 20-39")) / SUMPRODUCT(players, --(group="Variant"), --(segment="D. 20-39")), 0)
)</f>
        <v>1.934239655</v>
      </c>
      <c r="E164" s="141">
        <f>LET(
  gain, Raw_Data_Daily!$BO$2:$BO$9999,
  players, Raw_Data_Daily!$D$2:$D$9999,
  group, Raw_Data_Daily!$B$2:$B$9999,
  segment, Raw_Data_Daily!$C$2:$C$9999,
  IFERROR(SUMPRODUCT(gain, players, --(group="Variant"), --(segment="E. 40-99")) / SUMPRODUCT(players, --(group="Variant"), --(segment="E. 40-99")), 0)
)</f>
        <v>2.239972926</v>
      </c>
      <c r="F164" s="141">
        <f>LET(
  gain, Raw_Data_Daily!$BO$2:$BO$9999,
  players, Raw_Data_Daily!$D$2:$D$9999,
  group, Raw_Data_Daily!$B$2:$B$9999,
  segment, Raw_Data_Daily!$C$2:$C$9999,
  IFERROR(SUMPRODUCT(gain, players, --(group="Variant"), --(segment="F. 100+")) / SUMPRODUCT(players, --(group="Variant"), --(segment="F. 100+")), 0)
)</f>
        <v>2.789832988</v>
      </c>
    </row>
    <row r="165" ht="15.75" customHeight="1">
      <c r="A165" s="58" t="s">
        <v>220</v>
      </c>
      <c r="B165" s="141">
        <f>LET(group, Raw_Data_Daily!$B$2:$B$9999, segment, Raw_Data_Daily!$C$2:$C$9999, players, Raw_Data_Daily!$D$2:$D$9999, levels, Raw_Data_Daily!$L$2:$L$9999, avg_levels, IFERROR(SUMPRODUCT(--(group="Variant"), --((segment="A. 0")+(segment="B. 1-9")), players, levels) / SUMPRODUCT(--(group="Variant"), --((segment="A. 0")+(segment="B. 1-9")), players), 0), B164+($F$93-$F$17)*avg_levels)</f>
        <v>1.233675935</v>
      </c>
      <c r="C165" s="141">
        <f>LET(group, Raw_Data_Daily!$B$2:$B$9999, segment, Raw_Data_Daily!$C$2:$C$9999, players, Raw_Data_Daily!$D$2:$D$9999, levels, Raw_Data_Daily!$L$2:$L$9999, avg_levels, IFERROR(SUMPRODUCT(--(group="Variant"), --(segment="C. 10-19"), players, levels) / SUMPRODUCT(--(group="Variant"), --(segment="C. 10-19"), players), 0), C164+($F$108-$F$32)*avg_levels)</f>
        <v>1.666492353</v>
      </c>
      <c r="D165" s="141">
        <f>LET(group, Raw_Data_Daily!$B$2:$B$9999, segment, Raw_Data_Daily!$C$2:$C$9999, players, Raw_Data_Daily!$D$2:$D$9999, levels, Raw_Data_Daily!$L$2:$L$9999, avg_levels, IFERROR(SUMPRODUCT(--(group="Variant"), --(segment="D. 20-39"), players, levels) / SUMPRODUCT(--(group="Variant"), --(segment="D. 20-39"), players), 0), D164+($F$123-$F$47)*avg_levels)</f>
        <v>1.934239655</v>
      </c>
      <c r="E165" s="141">
        <f>LET(group, Raw_Data_Daily!$B$2:$B$9999, segment, Raw_Data_Daily!$C$2:$C$9999, players, Raw_Data_Daily!$D$2:$D$9999, levels, Raw_Data_Daily!$L$2:$L$9999, avg_levels, IFERROR(SUMPRODUCT(--(group="Variant"), --(segment="E. 40-99"), players, levels) / SUMPRODUCT(--(group="Variant"), --(segment="E. 40-99"), players), 0), E164+($F$138-$F$62)*avg_levels)</f>
        <v>2.239972926</v>
      </c>
      <c r="F165" s="141">
        <f>LET(group, Raw_Data_Daily!$B$2:$B$9999, segment, Raw_Data_Daily!$C$2:$C$9999, players, Raw_Data_Daily!$D$2:$D$9999, levels, Raw_Data_Daily!$L$2:$L$9999, avg_levels, IFERROR(SUMPRODUCT(--(group="Variant"), --(segment="F. 100+"), players, levels) / SUMPRODUCT(--(group="Variant"), --(segment="F. 100+"), players), 0), F164+($F$153-$F$77)*avg_levels)</f>
        <v>2.789832988</v>
      </c>
    </row>
    <row r="166" ht="15.75" customHeight="1">
      <c r="A166" s="69" t="s">
        <v>224</v>
      </c>
      <c r="B166" s="143">
        <f t="shared" ref="B166:F166" si="23">IFERROR(B164/B163-1,"")</f>
        <v>0.185084524</v>
      </c>
      <c r="C166" s="143">
        <f t="shared" si="23"/>
        <v>0.07809774445</v>
      </c>
      <c r="D166" s="143">
        <f t="shared" si="23"/>
        <v>0.008739802645</v>
      </c>
      <c r="E166" s="143">
        <f t="shared" si="23"/>
        <v>-0.09523908898</v>
      </c>
      <c r="F166" s="143">
        <f t="shared" si="23"/>
        <v>-0.2430204314</v>
      </c>
    </row>
    <row r="167" ht="15.75" customHeight="1">
      <c r="A167" s="73" t="s">
        <v>225</v>
      </c>
      <c r="B167" s="206">
        <f t="shared" ref="B167:F167" si="24">IFERROR(B165/B163-1,"")</f>
        <v>0.185084524</v>
      </c>
      <c r="C167" s="206">
        <f t="shared" si="24"/>
        <v>0.07809774445</v>
      </c>
      <c r="D167" s="206">
        <f t="shared" si="24"/>
        <v>0.008739802645</v>
      </c>
      <c r="E167" s="206">
        <f t="shared" si="24"/>
        <v>-0.09523908898</v>
      </c>
      <c r="F167" s="206">
        <f t="shared" si="24"/>
        <v>-0.2430204314</v>
      </c>
    </row>
    <row r="168" ht="15.75" customHeight="1">
      <c r="A168" s="10" t="s">
        <v>4</v>
      </c>
      <c r="B168" s="141">
        <f>LET(
  gain, Raw_Data_Daily!$BS$2:$BS$9999,
  players, Raw_Data_Daily!$D$2:$D$9999,
  group, Raw_Data_Daily!$B$2:$B$9999,
  segment, Raw_Data_Daily!$C$2:$C$9999,
  IFERROR(SUMPRODUCT(gain, players, --(group="Control"), --(segment="B. 1-9")) / SUMPRODUCT(players, --(group="Control"), --(segment="B. 1-9")), 0)
)</f>
        <v>0.9526226124</v>
      </c>
      <c r="C168" s="141">
        <f>LET(
  gain, Raw_Data_Daily!$BS$2:$BS$9999,
  players, Raw_Data_Daily!$D$2:$D$9999,
  group, Raw_Data_Daily!$B$2:$B$9999,
  segment, Raw_Data_Daily!$C$2:$C$9999,
  IFERROR(SUMPRODUCT(gain, players, --(group="Control"), --(segment="C. 10-19")) / SUMPRODUCT(players, --(group="Control"), --(segment="C. 10-19")), 0)
)</f>
        <v>1.353225878</v>
      </c>
      <c r="D168" s="141">
        <f>LET(
  gain, Raw_Data_Daily!$BS$2:$BS$9999,
  players, Raw_Data_Daily!$D$2:$D$9999,
  group, Raw_Data_Daily!$B$2:$B$9999,
  segment, Raw_Data_Daily!$C$2:$C$9999,
  IFERROR(SUMPRODUCT(gain, players, --(group="Control"), --(segment="D. 20-39")) / SUMPRODUCT(players, --(group="Control"), --(segment="D. 20-39")), 0)
)</f>
        <v>1.918769646</v>
      </c>
      <c r="E168" s="141">
        <f>LET(
  gain, Raw_Data_Daily!$BS$2:$BS$9999,
  players, Raw_Data_Daily!$D$2:$D$9999,
  group, Raw_Data_Daily!$B$2:$B$9999,
  segment, Raw_Data_Daily!$C$2:$C$9999,
  IFERROR(SUMPRODUCT(gain, players, --(group="Control"), --(segment="E. 40-99")) / SUMPRODUCT(players, --(group="Control"), --(segment="E. 40-99")), 0)
)</f>
        <v>2.550375264</v>
      </c>
      <c r="F168" s="141">
        <f>LET(
  gain, Raw_Data_Daily!$BS$2:$BS$9999,
  players, Raw_Data_Daily!$D$2:$D$9999,
  group, Raw_Data_Daily!$B$2:$B$9999,
  segment, Raw_Data_Daily!$C$2:$C$9999,
  IFERROR(SUMPRODUCT(gain, players, --(group="Control"), --(segment="F. 100+")) / SUMPRODUCT(players, --(group="Control"), --(segment="F. 100+")), 0)
)</f>
        <v>3.780998816</v>
      </c>
    </row>
    <row r="169" ht="15.75" customHeight="1">
      <c r="A169" s="10" t="s">
        <v>218</v>
      </c>
      <c r="B169" s="141">
        <f>LET(
  gain, Raw_Data_Daily!$BS$2:$BS$9999,
  players, Raw_Data_Daily!$D$2:$D$9999,
  group, Raw_Data_Daily!$B$2:$B$9999,
  segment, Raw_Data_Daily!$C$2:$C$9999,
  IFERROR(SUMPRODUCT(gain, players, --(group="Variant"), --(segment="B. 1-9")) / SUMPRODUCT(players, --(group="Variant"), --(segment="B. 1-9")), 0)
)</f>
        <v>1.137841027</v>
      </c>
      <c r="C169" s="141">
        <f>LET(
  gain, Raw_Data_Daily!$BS$2:$BS$9999,
  players, Raw_Data_Daily!$D$2:$D$9999,
  group, Raw_Data_Daily!$B$2:$B$9999,
  segment, Raw_Data_Daily!$C$2:$C$9999,
  IFERROR(SUMPRODUCT(gain, players, --(group="Variant"), --(segment="C. 10-19")) / SUMPRODUCT(players, --(group="Variant"), --(segment="C. 10-19")), 0)
)</f>
        <v>1.512218715</v>
      </c>
      <c r="D169" s="141">
        <f>LET(
  gain, Raw_Data_Daily!$BS$2:$BS$9999,
  players, Raw_Data_Daily!$D$2:$D$9999,
  group, Raw_Data_Daily!$B$2:$B$9999,
  segment, Raw_Data_Daily!$C$2:$C$9999,
  IFERROR(SUMPRODUCT(gain, players, --(group="Variant"), --(segment="D. 20-39")) / SUMPRODUCT(players, --(group="Variant"), --(segment="D. 20-39")), 0)
)</f>
        <v>1.947323167</v>
      </c>
      <c r="E169" s="141">
        <f>LET(
  gain, Raw_Data_Daily!$BS$2:$BS$9999,
  players, Raw_Data_Daily!$D$2:$D$9999,
  group, Raw_Data_Daily!$B$2:$B$9999,
  segment, Raw_Data_Daily!$C$2:$C$9999,
  IFERROR(SUMPRODUCT(gain, players, --(group="Variant"), --(segment="E. 40-99")) / SUMPRODUCT(players, --(group="Variant"), --(segment="E. 40-99")), 0)
)</f>
        <v>2.242692865</v>
      </c>
      <c r="F169" s="141">
        <f>LET(
  gain, Raw_Data_Daily!$BS$2:$BS$9999,
  players, Raw_Data_Daily!$D$2:$D$9999,
  group, Raw_Data_Daily!$B$2:$B$9999,
  segment, Raw_Data_Daily!$C$2:$C$9999,
  IFERROR(SUMPRODUCT(gain, players, --(group="Variant"), --(segment="F. 100+")) / SUMPRODUCT(players, --(group="Variant"), --(segment="F. 100+")), 0)
)</f>
        <v>2.880902345</v>
      </c>
    </row>
    <row r="170" ht="15.75" customHeight="1">
      <c r="A170" s="58" t="s">
        <v>220</v>
      </c>
      <c r="B170" s="141">
        <f>LET(group, Raw_Data_Daily!$B$2:$B$9999, segment, Raw_Data_Daily!$C$2:$C$9999, players, Raw_Data_Daily!$D$2:$D$9999, levels, Raw_Data_Daily!$L$2:$L$9999, avg_levels, IFERROR(SUMPRODUCT(--(group="Variant"), --((segment="A. 0")+(segment="B. 1-9")), players, levels) / SUMPRODUCT(--(group="Variant"), --((segment="A. 0")+(segment="B. 1-9")), players), 0), B169+($G$93-$G$17)*avg_levels)</f>
        <v>1.137841027</v>
      </c>
      <c r="C170" s="141">
        <f>LET(group, Raw_Data_Daily!$B$2:$B$9999, segment, Raw_Data_Daily!$C$2:$C$9999, players, Raw_Data_Daily!$D$2:$D$9999, levels, Raw_Data_Daily!$L$2:$L$9999, avg_levels, IFERROR(SUMPRODUCT(--(group="Variant"), --(segment="C. 10-19"), players, levels) / SUMPRODUCT(--(group="Variant"), --(segment="C. 10-19"), players), 0), C169+($G$108-$G$32)*avg_levels)</f>
        <v>1.512218715</v>
      </c>
      <c r="D170" s="141">
        <f>LET(group, Raw_Data_Daily!$B$2:$B$9999, segment, Raw_Data_Daily!$C$2:$C$9999, players, Raw_Data_Daily!$D$2:$D$9999, levels, Raw_Data_Daily!$L$2:$L$9999, avg_levels, IFERROR(SUMPRODUCT(--(group="Variant"), --(segment="D. 20-39"), players, levels) / SUMPRODUCT(--(group="Variant"), --(segment="D. 20-39"), players), 0), D169+($G$123-$G$47)*avg_levels)</f>
        <v>1.947323167</v>
      </c>
      <c r="E170" s="141">
        <f>LET(group, Raw_Data_Daily!$B$2:$B$9999, segment, Raw_Data_Daily!$C$2:$C$9999, players, Raw_Data_Daily!$D$2:$D$9999, levels, Raw_Data_Daily!$L$2:$L$9999, avg_levels, IFERROR(SUMPRODUCT(--(group="Variant"), --(segment="E. 40-99"), players, levels) / SUMPRODUCT(--(group="Variant"), --(segment="E. 40-99"), players), 0), E169+($G$138-$G$62)*avg_levels)</f>
        <v>2.242692865</v>
      </c>
      <c r="F170" s="141">
        <f>LET(group, Raw_Data_Daily!$B$2:$B$9999, segment, Raw_Data_Daily!$C$2:$C$9999, players, Raw_Data_Daily!$D$2:$D$9999, levels, Raw_Data_Daily!$L$2:$L$9999, avg_levels, IFERROR(SUMPRODUCT(--(group="Variant"), --(segment="F. 100+"), players, levels) / SUMPRODUCT(--(group="Variant"), --(segment="F. 100+"), players), 0), F169+($G$153-$G$77)*avg_levels)</f>
        <v>2.880902345</v>
      </c>
    </row>
    <row r="171" ht="15.75" customHeight="1">
      <c r="A171" s="69" t="s">
        <v>228</v>
      </c>
      <c r="B171" s="143">
        <f t="shared" ref="B171:F171" si="25">IFERROR(B169/B168-1,"")</f>
        <v>0.1944300003</v>
      </c>
      <c r="C171" s="143">
        <f t="shared" si="25"/>
        <v>0.1174917206</v>
      </c>
      <c r="D171" s="143">
        <f t="shared" si="25"/>
        <v>0.01488116177</v>
      </c>
      <c r="E171" s="143">
        <f t="shared" si="25"/>
        <v>-0.1206420103</v>
      </c>
      <c r="F171" s="143">
        <f t="shared" si="25"/>
        <v>-0.2380578558</v>
      </c>
    </row>
    <row r="172" ht="15.75" customHeight="1">
      <c r="A172" s="73" t="s">
        <v>229</v>
      </c>
      <c r="B172" s="206">
        <f t="shared" ref="B172:F172" si="26">IFERROR(B170/B168-1,"")</f>
        <v>0.1944300003</v>
      </c>
      <c r="C172" s="206">
        <f t="shared" si="26"/>
        <v>0.1174917206</v>
      </c>
      <c r="D172" s="206">
        <f t="shared" si="26"/>
        <v>0.01488116177</v>
      </c>
      <c r="E172" s="206">
        <f t="shared" si="26"/>
        <v>-0.1206420103</v>
      </c>
      <c r="F172" s="206">
        <f t="shared" si="26"/>
        <v>-0.2380578558</v>
      </c>
    </row>
    <row r="173" ht="15.75" customHeight="1">
      <c r="A173" s="10" t="s">
        <v>4</v>
      </c>
      <c r="B173" s="141">
        <f>LET(
  gain, Raw_Data_Daily!$BW$2:$BW$9999,
  players, Raw_Data_Daily!$D$2:$D$9999,
  group, Raw_Data_Daily!$B$2:$B$9999,
  segment, Raw_Data_Daily!$C$2:$C$9999,
  IFERROR(SUMPRODUCT(gain, players, --(group="Control"), --(segment="B. 1-9")) / SUMPRODUCT(players, --(group="Control"), --(segment="B. 1-9")), 0)
)</f>
        <v>0.4789269104</v>
      </c>
      <c r="C173" s="141">
        <f>LET(
  gain, Raw_Data_Daily!$BW$2:$BW$9999,
  players, Raw_Data_Daily!$D$2:$D$9999,
  group, Raw_Data_Daily!$B$2:$B$9999,
  segment, Raw_Data_Daily!$C$2:$C$9999,
  IFERROR(SUMPRODUCT(gain, players, --(group="Control"), --(segment="C. 10-19")) / SUMPRODUCT(players, --(group="Control"), --(segment="C. 10-19")), 0)
)</f>
        <v>0.9079000023</v>
      </c>
      <c r="D173" s="141">
        <f>LET(
  gain, Raw_Data_Daily!$BW$2:$BW$9999,
  players, Raw_Data_Daily!$D$2:$D$9999,
  group, Raw_Data_Daily!$B$2:$B$9999,
  segment, Raw_Data_Daily!$C$2:$C$9999,
  IFERROR(SUMPRODUCT(gain, players, --(group="Control"), --(segment="D. 20-39")) / SUMPRODUCT(players, --(group="Control"), --(segment="D. 20-39")), 0)
)</f>
        <v>1.431875226</v>
      </c>
      <c r="E173" s="141">
        <f>LET(
  gain, Raw_Data_Daily!$BW$2:$BW$9999,
  players, Raw_Data_Daily!$D$2:$D$9999,
  group, Raw_Data_Daily!$B$2:$B$9999,
  segment, Raw_Data_Daily!$C$2:$C$9999,
  IFERROR(SUMPRODUCT(gain, players, --(group="Control"), --(segment="E. 40-99")) / SUMPRODUCT(players, --(group="Control"), --(segment="E. 40-99")), 0)
)</f>
        <v>2.233782213</v>
      </c>
      <c r="F173" s="141">
        <f>LET(
  gain, Raw_Data_Daily!$BW$2:$BW$9999,
  players, Raw_Data_Daily!$D$2:$D$9999,
  group, Raw_Data_Daily!$B$2:$B$9999,
  segment, Raw_Data_Daily!$C$2:$C$9999,
  IFERROR(SUMPRODUCT(gain, players, --(group="Control"), --(segment="F. 100+")) / SUMPRODUCT(players, --(group="Control"), --(segment="F. 100+")), 0)
)</f>
        <v>3.520012993</v>
      </c>
    </row>
    <row r="174" ht="15.75" customHeight="1">
      <c r="A174" s="10" t="s">
        <v>218</v>
      </c>
      <c r="B174" s="141">
        <f>LET(
  gain, Raw_Data_Daily!$BW$2:$BW$9999,
  players, Raw_Data_Daily!$D$2:$D$9999,
  group, Raw_Data_Daily!$B$2:$B$9999,
  segment, Raw_Data_Daily!$C$2:$C$9999,
  IFERROR(SUMPRODUCT(gain, players, --(group="Variant"), --(segment="B. 1-9")) / SUMPRODUCT(players, --(group="Variant"), --(segment="B. 1-9")), 0)
)</f>
        <v>0.3724960818</v>
      </c>
      <c r="C174" s="141">
        <f>LET(
  gain, Raw_Data_Daily!$BW$2:$BW$9999,
  players, Raw_Data_Daily!$D$2:$D$9999,
  group, Raw_Data_Daily!$B$2:$B$9999,
  segment, Raw_Data_Daily!$C$2:$C$9999,
  IFERROR(SUMPRODUCT(gain, players, --(group="Variant"), --(segment="C. 10-19")) / SUMPRODUCT(players, --(group="Variant"), --(segment="C. 10-19")), 0)
)</f>
        <v>0.7743223427</v>
      </c>
      <c r="D174" s="141">
        <f>LET(
  gain, Raw_Data_Daily!$BW$2:$BW$9999,
  players, Raw_Data_Daily!$D$2:$D$9999,
  group, Raw_Data_Daily!$B$2:$B$9999,
  segment, Raw_Data_Daily!$C$2:$C$9999,
  IFERROR(SUMPRODUCT(gain, players, --(group="Variant"), --(segment="D. 20-39")) / SUMPRODUCT(players, --(group="Variant"), --(segment="D. 20-39")), 0)
)</f>
        <v>1.289762712</v>
      </c>
      <c r="E174" s="141">
        <f>LET(
  gain, Raw_Data_Daily!$BW$2:$BW$9999,
  players, Raw_Data_Daily!$D$2:$D$9999,
  group, Raw_Data_Daily!$B$2:$B$9999,
  segment, Raw_Data_Daily!$C$2:$C$9999,
  IFERROR(SUMPRODUCT(gain, players, --(group="Variant"), --(segment="E. 40-99")) / SUMPRODUCT(players, --(group="Variant"), --(segment="E. 40-99")), 0)
)</f>
        <v>1.939412878</v>
      </c>
      <c r="F174" s="141">
        <f>LET(
  gain, Raw_Data_Daily!$BW$2:$BW$9999,
  players, Raw_Data_Daily!$D$2:$D$9999,
  group, Raw_Data_Daily!$B$2:$B$9999,
  segment, Raw_Data_Daily!$C$2:$C$9999,
  IFERROR(SUMPRODUCT(gain, players, --(group="Variant"), --(segment="F. 100+")) / SUMPRODUCT(players, --(group="Variant"), --(segment="F. 100+")), 0)
)</f>
        <v>2.775820865</v>
      </c>
    </row>
    <row r="175" ht="15.75" customHeight="1">
      <c r="A175" s="58" t="s">
        <v>220</v>
      </c>
      <c r="B175" s="141">
        <f>LET(group, Raw_Data_Daily!$B$2:$B$9999, segment, Raw_Data_Daily!$C$2:$C$9999, players, Raw_Data_Daily!$D$2:$D$9999, levels, Raw_Data_Daily!$L$2:$L$9999, avg_levels, IFERROR(SUMPRODUCT(--(group="Variant"), --((segment="A. 0")+(segment="B. 1-9")), players, levels) / SUMPRODUCT(--(group="Variant"), --((segment="A. 0")+(segment="B. 1-9")), players), 0), B174+($H$93-$H$17)*avg_levels)</f>
        <v>0.4386445194</v>
      </c>
      <c r="C175" s="141">
        <f>LET(group, Raw_Data_Daily!$B$2:$B$9999, segment, Raw_Data_Daily!$C$2:$C$9999, players, Raw_Data_Daily!$D$2:$D$9999, levels, Raw_Data_Daily!$L$2:$L$9999, avg_levels, IFERROR(SUMPRODUCT(--(group="Variant"), --(segment="C. 10-19"), players, levels) / SUMPRODUCT(--(group="Variant"), --(segment="C. 10-19"), players), 0), C174+($H$108-$H$32)*avg_levels)</f>
        <v>0.9133935751</v>
      </c>
      <c r="D175" s="141">
        <f>LET(group, Raw_Data_Daily!$B$2:$B$9999, segment, Raw_Data_Daily!$C$2:$C$9999, players, Raw_Data_Daily!$D$2:$D$9999, levels, Raw_Data_Daily!$L$2:$L$9999, avg_levels, IFERROR(SUMPRODUCT(--(group="Variant"), --(segment="D. 20-39"), players, levels) / SUMPRODUCT(--(group="Variant"), --(segment="D. 20-39"), players), 0), D174+($H$123-$H$47)*avg_levels)</f>
        <v>1.542824199</v>
      </c>
      <c r="E175" s="141">
        <f>LET(group, Raw_Data_Daily!$B$2:$B$9999, segment, Raw_Data_Daily!$C$2:$C$9999, players, Raw_Data_Daily!$D$2:$D$9999, levels, Raw_Data_Daily!$L$2:$L$9999, avg_levels, IFERROR(SUMPRODUCT(--(group="Variant"), --(segment="E. 40-99"), players, levels) / SUMPRODUCT(--(group="Variant"), --(segment="E. 40-99"), players), 0), E174+($H$138-$H$62)*avg_levels)</f>
        <v>2.429395023</v>
      </c>
      <c r="F175" s="141">
        <f>LET(group, Raw_Data_Daily!$B$2:$B$9999, segment, Raw_Data_Daily!$C$2:$C$9999, players, Raw_Data_Daily!$D$2:$D$9999, levels, Raw_Data_Daily!$L$2:$L$9999, avg_levels, IFERROR(SUMPRODUCT(--(group="Variant"), --(segment="F. 100+"), players, levels) / SUMPRODUCT(--(group="Variant"), --(segment="F. 100+"), players), 0), F174+($H$153-$H$77)*avg_levels)</f>
        <v>3.7682523</v>
      </c>
    </row>
    <row r="176" ht="15.75" customHeight="1">
      <c r="A176" s="69" t="s">
        <v>231</v>
      </c>
      <c r="B176" s="143">
        <f t="shared" ref="B176:F176" si="27">IFERROR(B174/B173-1,"")</f>
        <v>-0.2222277059</v>
      </c>
      <c r="C176" s="143">
        <f t="shared" si="27"/>
        <v>-0.1471281631</v>
      </c>
      <c r="D176" s="143">
        <f t="shared" si="27"/>
        <v>-0.09924923036</v>
      </c>
      <c r="E176" s="143">
        <f t="shared" si="27"/>
        <v>-0.1317806782</v>
      </c>
      <c r="F176" s="143">
        <f t="shared" si="27"/>
        <v>-0.2114174378</v>
      </c>
    </row>
    <row r="177" ht="15.75" customHeight="1">
      <c r="A177" s="73" t="s">
        <v>232</v>
      </c>
      <c r="B177" s="223">
        <f t="shared" ref="B177:F177" si="28">IFERROR(B175/B173-1,"")</f>
        <v>-0.08410968383</v>
      </c>
      <c r="C177" s="223">
        <f t="shared" si="28"/>
        <v>0.006050856628</v>
      </c>
      <c r="D177" s="223">
        <f t="shared" si="28"/>
        <v>0.0774850841</v>
      </c>
      <c r="E177" s="223">
        <f t="shared" si="28"/>
        <v>0.08757022456</v>
      </c>
      <c r="F177" s="223">
        <f t="shared" si="28"/>
        <v>0.07052226994</v>
      </c>
    </row>
    <row r="178" ht="15.75" customHeight="1">
      <c r="B178" s="208"/>
      <c r="C178" s="208"/>
      <c r="D178" s="208"/>
      <c r="E178" s="208"/>
      <c r="F178" s="208"/>
    </row>
    <row r="179" ht="15.75" customHeight="1">
      <c r="A179" s="224" t="s">
        <v>274</v>
      </c>
      <c r="B179" s="208"/>
      <c r="C179" s="208"/>
      <c r="D179" s="208"/>
      <c r="E179" s="208"/>
      <c r="F179" s="208"/>
    </row>
    <row r="180" ht="15.75" customHeight="1">
      <c r="A180" s="69" t="s">
        <v>4</v>
      </c>
      <c r="B180" s="141">
        <f>LET(
  gain, Raw_Data_Daily!$CE$2:$CE$9999,
  players, Raw_Data_Daily!$D$2:$D$9999,
  group, Raw_Data_Daily!$B$2:$B$9999,
  segment, Raw_Data_Daily!$C$2:$C$9999,
  IFERROR(SUMPRODUCT(gain, players, --(group="Control"), --(segment="B. 1-9")) / SUMPRODUCT(players, --(group="Control"), --(segment="B. 1-9")), 0)
)</f>
        <v>0.7435463925</v>
      </c>
      <c r="C180" s="141">
        <f>LET(
  gain, Raw_Data_Daily!$CE$2:$CE$9999,
  players, Raw_Data_Daily!$D$2:$D$9999,
  group, Raw_Data_Daily!$B$2:$B$9999,
  segment, Raw_Data_Daily!$C$2:$C$9999,
  IFERROR(SUMPRODUCT(gain, players, --(group="Control"), --(segment="C. 10-19")) / SUMPRODUCT(players, --(group="Control"), --(segment="C. 10-19")), 0)
)</f>
        <v>1.072912072</v>
      </c>
      <c r="D180" s="141">
        <f>LET(
  gain, Raw_Data_Daily!$CE$2:$CE$9999,
  players, Raw_Data_Daily!$D$2:$D$9999,
  group, Raw_Data_Daily!$B$2:$B$9999,
  segment, Raw_Data_Daily!$C$2:$C$9999,
  IFERROR(SUMPRODUCT(gain, players, --(group="Control"), --(segment="D. 20-39")) / SUMPRODUCT(players, --(group="Control"), --(segment="D. 20-39")), 0)
)</f>
        <v>1.479529185</v>
      </c>
      <c r="E180" s="141">
        <f>LET(
  gain, Raw_Data_Daily!$CE$2:$CE$9999,
  players, Raw_Data_Daily!$D$2:$D$9999,
  group, Raw_Data_Daily!$B$2:$B$9999,
  segment, Raw_Data_Daily!$C$2:$C$9999,
  IFERROR(SUMPRODUCT(gain, players, --(group="Control"), --(segment="E. 40-99")) / SUMPRODUCT(players, --(group="Control"), --(segment="E. 40-99")), 0)
)</f>
        <v>2.022880292</v>
      </c>
      <c r="F180" s="141">
        <f>LET(
  gain, Raw_Data_Daily!$CE$2:$CE$9999,
  players, Raw_Data_Daily!$D$2:$D$9999,
  group, Raw_Data_Daily!$B$2:$B$9999,
  segment, Raw_Data_Daily!$C$2:$C$9999,
  IFERROR(SUMPRODUCT(gain, players, --(group="Control"), --(segment="F. 100+")) / SUMPRODUCT(players, --(group="Control"), --(segment="F. 100+")), 0)
)</f>
        <v>2.872314543</v>
      </c>
    </row>
    <row r="181" ht="15.75" customHeight="1">
      <c r="A181" s="10" t="s">
        <v>218</v>
      </c>
      <c r="B181" s="141">
        <f>LET(
  gain, Raw_Data_Daily!$CE$2:$CE$9999,
  players, Raw_Data_Daily!$D$2:$D$9999,
  group, Raw_Data_Daily!$B$2:$B$9999,
  segment, Raw_Data_Daily!$C$2:$C$9999,
  IFERROR(SUMPRODUCT(gain, players, --(group="Variant"), --(segment="B. 1-9")) / SUMPRODUCT(players, --(group="Variant"), --(segment="B. 1-9")), 0)
)</f>
        <v>0.6563938577</v>
      </c>
      <c r="C181" s="141">
        <f>LET(
  gain, Raw_Data_Daily!$CE$2:$CE$9999,
  players, Raw_Data_Daily!$D$2:$D$9999,
  group, Raw_Data_Daily!$B$2:$B$9999,
  segment, Raw_Data_Daily!$C$2:$C$9999,
  IFERROR(SUMPRODUCT(gain, players, --(group="Variant"), --(segment="C. 10-19")) / SUMPRODUCT(players, --(group="Variant"), --(segment="C. 10-19")), 0)
)</f>
        <v>0.9218822117</v>
      </c>
      <c r="D181" s="141">
        <f>LET(
  gain, Raw_Data_Daily!$CE$2:$CE$9999,
  players, Raw_Data_Daily!$D$2:$D$9999,
  group, Raw_Data_Daily!$B$2:$B$9999,
  segment, Raw_Data_Daily!$C$2:$C$9999,
  IFERROR(SUMPRODUCT(gain, players, --(group="Variant"), --(segment="D. 20-39")) / SUMPRODUCT(players, --(group="Variant"), --(segment="D. 20-39")), 0)
)</f>
        <v>1.241332182</v>
      </c>
      <c r="E181" s="141">
        <f>LET(
  gain, Raw_Data_Daily!$CE$2:$CE$9999,
  players, Raw_Data_Daily!$D$2:$D$9999,
  group, Raw_Data_Daily!$B$2:$B$9999,
  segment, Raw_Data_Daily!$C$2:$C$9999,
  IFERROR(SUMPRODUCT(gain, players, --(group="Variant"), --(segment="E. 40-99")) / SUMPRODUCT(players, --(group="Variant"), --(segment="E. 40-99")), 0)
)</f>
        <v>1.655867231</v>
      </c>
      <c r="F181" s="141">
        <f>LET(
  gain, Raw_Data_Daily!$CE$2:$CE$9999,
  players, Raw_Data_Daily!$D$2:$D$9999,
  group, Raw_Data_Daily!$B$2:$B$9999,
  segment, Raw_Data_Daily!$C$2:$C$9999,
  IFERROR(SUMPRODUCT(gain, players, --(group="Variant"), --(segment="F. 100+")) / SUMPRODUCT(players, --(group="Variant"), --(segment="F. 100+")), 0)
)</f>
        <v>2.468790314</v>
      </c>
    </row>
    <row r="182" ht="15.75" customHeight="1">
      <c r="A182" s="58" t="s">
        <v>220</v>
      </c>
      <c r="B182" s="141">
        <f>LET(group, Raw_Data_Daily!$B$2:$B$9999, segment, Raw_Data_Daily!$C$2:$C$9999, players, Raw_Data_Daily!$D$2:$D$9999, levels, Raw_Data_Daily!$L$2:$L$9999, avg_levels, IFERROR(SUMPRODUCT(--(group="Variant"), --((segment="A. 0")+(segment="B. 1-9")), players, levels) / SUMPRODUCT(--(group="Variant"), --((segment="A. 0")+(segment="B. 1-9")), players), 0), B181+($I$93-$I$17)*avg_levels)</f>
        <v>0.6563938577</v>
      </c>
      <c r="C182" s="141">
        <f>LET(group, Raw_Data_Daily!$B$2:$B$9999, segment, Raw_Data_Daily!$C$2:$C$9999, players, Raw_Data_Daily!$D$2:$D$9999, levels, Raw_Data_Daily!$L$2:$L$9999, avg_levels, IFERROR(SUMPRODUCT(--(group="Variant"), --(segment="C. 10-19"), players, levels) / SUMPRODUCT(--(group="Variant"), --(segment="C. 10-19"), players), 0), C181+($I$108-$I$32)*avg_levels)</f>
        <v>0.9218822117</v>
      </c>
      <c r="D182" s="141">
        <f>LET(group, Raw_Data_Daily!$B$2:$B$9999, segment, Raw_Data_Daily!$C$2:$C$9999, players, Raw_Data_Daily!$D$2:$D$9999, levels, Raw_Data_Daily!$L$2:$L$9999, avg_levels, IFERROR(SUMPRODUCT(--(group="Variant"), --(segment="D. 20-39"), players, levels) / SUMPRODUCT(--(group="Variant"), --(segment="D. 20-39"), players), 0), D181+($I$123-$I$47)*avg_levels)</f>
        <v>1.241332182</v>
      </c>
      <c r="E182" s="141">
        <f>LET(group, Raw_Data_Daily!$B$2:$B$9999, segment, Raw_Data_Daily!$C$2:$C$9999, players, Raw_Data_Daily!$D$2:$D$9999, levels, Raw_Data_Daily!$L$2:$L$9999, avg_levels, IFERROR(SUMPRODUCT(--(group="Variant"), --(segment="E. 40-99"), players, levels) / SUMPRODUCT(--(group="Variant"), --(segment="E. 40-99"), players), 0), E181+($I$138-$I$62)*avg_levels)</f>
        <v>1.655867231</v>
      </c>
      <c r="F182" s="141">
        <f>LET(group, Raw_Data_Daily!$B$2:$B$9999, segment, Raw_Data_Daily!$C$2:$C$9999, players, Raw_Data_Daily!$D$2:$D$9999, levels, Raw_Data_Daily!$L$2:$L$9999, avg_levels, IFERROR(SUMPRODUCT(--(group="Variant"), --(segment="F. 100+"), players, levels) / SUMPRODUCT(--(group="Variant"), --(segment="F. 100+"), players), 0), F181+($I$153-$I$77)*avg_levels)</f>
        <v>2.468790314</v>
      </c>
    </row>
    <row r="183" ht="15.75" customHeight="1">
      <c r="A183" s="69" t="s">
        <v>275</v>
      </c>
      <c r="B183" s="143">
        <f t="shared" ref="B183:F183" si="29">IFERROR(B181/B180-1,"")</f>
        <v>-0.1172119664</v>
      </c>
      <c r="C183" s="143">
        <f t="shared" si="29"/>
        <v>-0.1407662975</v>
      </c>
      <c r="D183" s="143">
        <f t="shared" si="29"/>
        <v>-0.1609951361</v>
      </c>
      <c r="E183" s="143">
        <f t="shared" si="29"/>
        <v>-0.1814309339</v>
      </c>
      <c r="F183" s="143">
        <f t="shared" si="29"/>
        <v>-0.1404874792</v>
      </c>
    </row>
    <row r="184" ht="15.75" customHeight="1">
      <c r="A184" s="73" t="s">
        <v>276</v>
      </c>
      <c r="B184" s="206">
        <f t="shared" ref="B184:F184" si="30">IFERROR(B182/B180-1,"")</f>
        <v>-0.1172119664</v>
      </c>
      <c r="C184" s="206">
        <f t="shared" si="30"/>
        <v>-0.1407662975</v>
      </c>
      <c r="D184" s="206">
        <f t="shared" si="30"/>
        <v>-0.1609951361</v>
      </c>
      <c r="E184" s="206">
        <f t="shared" si="30"/>
        <v>-0.1814309339</v>
      </c>
      <c r="F184" s="206">
        <f t="shared" si="30"/>
        <v>-0.1404874792</v>
      </c>
    </row>
    <row r="185" ht="15.75" customHeight="1">
      <c r="A185" s="10" t="s">
        <v>4</v>
      </c>
      <c r="B185" s="141">
        <f>LET(
  gain, Raw_Data_Daily!$CI$2:$CI$9999,
  players, Raw_Data_Daily!$D$2:$D$9999,
  group, Raw_Data_Daily!$B$2:$B$9999,
  segment, Raw_Data_Daily!$C$2:$C$9999,
  IFERROR(SUMPRODUCT(gain, players, --(group="Control"), --(segment="B. 1-9")) / SUMPRODUCT(players, --(group="Control"), --(segment="B. 1-9")), 0)
)</f>
        <v>0.554142158</v>
      </c>
      <c r="C185" s="141">
        <f>LET(
  gain, Raw_Data_Daily!$CI$2:$CI$9999,
  players, Raw_Data_Daily!$D$2:$D$9999,
  group, Raw_Data_Daily!$B$2:$B$9999,
  segment, Raw_Data_Daily!$C$2:$C$9999,
  IFERROR(SUMPRODUCT(gain, players, --(group="Control"), --(segment="C. 10-19")) / SUMPRODUCT(players, --(group="Control"), --(segment="C. 10-19")), 0)
)</f>
        <v>1.044217396</v>
      </c>
      <c r="D185" s="141">
        <f>LET(
  gain, Raw_Data_Daily!$CI$2:$CI$9999,
  players, Raw_Data_Daily!$D$2:$D$9999,
  group, Raw_Data_Daily!$B$2:$B$9999,
  segment, Raw_Data_Daily!$C$2:$C$9999,
  IFERROR(SUMPRODUCT(gain, players, --(group="Control"), --(segment="D. 20-39")) / SUMPRODUCT(players, --(group="Control"), --(segment="D. 20-39")), 0)
)</f>
        <v>1.562503758</v>
      </c>
      <c r="E185" s="141">
        <f>LET(
  gain, Raw_Data_Daily!$CI$2:$CI$9999,
  players, Raw_Data_Daily!$D$2:$D$9999,
  group, Raw_Data_Daily!$B$2:$B$9999,
  segment, Raw_Data_Daily!$C$2:$C$9999,
  IFERROR(SUMPRODUCT(gain, players, --(group="Control"), --(segment="E. 40-99")) / SUMPRODUCT(players, --(group="Control"), --(segment="E. 40-99")), 0)
)</f>
        <v>2.404122769</v>
      </c>
      <c r="F185" s="141">
        <f>LET(
  gain, Raw_Data_Daily!$CI$2:$CI$9999,
  players, Raw_Data_Daily!$D$2:$D$9999,
  group, Raw_Data_Daily!$B$2:$B$9999,
  segment, Raw_Data_Daily!$C$2:$C$9999,
  IFERROR(SUMPRODUCT(gain, players, --(group="Control"), --(segment="F. 100+")) / SUMPRODUCT(players, --(group="Control"), --(segment="F. 100+")), 0)
)</f>
        <v>3.67279022</v>
      </c>
    </row>
    <row r="186" ht="15.75" customHeight="1">
      <c r="A186" s="10" t="s">
        <v>218</v>
      </c>
      <c r="B186" s="141">
        <f>LET(
  gain, Raw_Data_Daily!$CI$2:$CI$9999,
  players, Raw_Data_Daily!$D$2:$D$9999,
  group, Raw_Data_Daily!$B$2:$B$9999,
  segment, Raw_Data_Daily!$C$2:$C$9999,
  IFERROR(SUMPRODUCT(gain, players, --(group="Variant"), --(segment="B. 1-9")) / SUMPRODUCT(players, --(group="Variant"), --(segment="B. 1-9")), 0)
)</f>
        <v>0.5151024387</v>
      </c>
      <c r="C186" s="141">
        <f>LET(
  gain, Raw_Data_Daily!$CI$2:$CI$9999,
  players, Raw_Data_Daily!$D$2:$D$9999,
  group, Raw_Data_Daily!$B$2:$B$9999,
  segment, Raw_Data_Daily!$C$2:$C$9999,
  IFERROR(SUMPRODUCT(gain, players, --(group="Variant"), --(segment="C. 10-19")) / SUMPRODUCT(players, --(group="Variant"), --(segment="C. 10-19")), 0)
)</f>
        <v>0.9743709183</v>
      </c>
      <c r="D186" s="141">
        <f>LET(
  gain, Raw_Data_Daily!$CI$2:$CI$9999,
  players, Raw_Data_Daily!$D$2:$D$9999,
  group, Raw_Data_Daily!$B$2:$B$9999,
  segment, Raw_Data_Daily!$C$2:$C$9999,
  IFERROR(SUMPRODUCT(gain, players, --(group="Variant"), --(segment="D. 20-39")) / SUMPRODUCT(players, --(group="Variant"), --(segment="D. 20-39")), 0)
)</f>
        <v>1.47960831</v>
      </c>
      <c r="E186" s="141">
        <f>LET(
  gain, Raw_Data_Daily!$CI$2:$CI$9999,
  players, Raw_Data_Daily!$D$2:$D$9999,
  group, Raw_Data_Daily!$B$2:$B$9999,
  segment, Raw_Data_Daily!$C$2:$C$9999,
  IFERROR(SUMPRODUCT(gain, players, --(group="Variant"), --(segment="E. 40-99")) / SUMPRODUCT(players, --(group="Variant"), --(segment="E. 40-99")), 0)
)</f>
        <v>2.286430956</v>
      </c>
      <c r="F186" s="141">
        <f>LET(
  gain, Raw_Data_Daily!$CI$2:$CI$9999,
  players, Raw_Data_Daily!$D$2:$D$9999,
  group, Raw_Data_Daily!$B$2:$B$9999,
  segment, Raw_Data_Daily!$C$2:$C$9999,
  IFERROR(SUMPRODUCT(gain, players, --(group="Variant"), --(segment="F. 100+")) / SUMPRODUCT(players, --(group="Variant"), --(segment="F. 100+")), 0)
)</f>
        <v>3.436503533</v>
      </c>
    </row>
    <row r="187" ht="15.75" customHeight="1">
      <c r="A187" s="58" t="s">
        <v>220</v>
      </c>
      <c r="B187" s="141">
        <f>LET(group, Raw_Data_Daily!$B$2:$B$9999, segment, Raw_Data_Daily!$C$2:$C$9999, players, Raw_Data_Daily!$D$2:$D$9999, levels, Raw_Data_Daily!$L$2:$L$9999, avg_levels, IFERROR(SUMPRODUCT(--(group="Variant"), --((segment="A. 0")+(segment="B. 1-9")), players, levels) / SUMPRODUCT(--(group="Variant"), --((segment="A. 0")+(segment="B. 1-9")), players), 0), B186+($J$93-$J$17)*avg_levels)</f>
        <v>0.5151024387</v>
      </c>
      <c r="C187" s="141">
        <f>LET(group, Raw_Data_Daily!$B$2:$B$9999, segment, Raw_Data_Daily!$C$2:$C$9999, players, Raw_Data_Daily!$D$2:$D$9999, levels, Raw_Data_Daily!$L$2:$L$9999, avg_levels, IFERROR(SUMPRODUCT(--(group="Variant"), --(segment="C. 10-19"), players, levels) / SUMPRODUCT(--(group="Variant"), --(segment="C. 10-19"), players), 0), C186+($J$108-$J$32)*avg_levels)</f>
        <v>0.9743709183</v>
      </c>
      <c r="D187" s="141">
        <f>LET(group, Raw_Data_Daily!$B$2:$B$9999, segment, Raw_Data_Daily!$C$2:$C$9999, players, Raw_Data_Daily!$D$2:$D$9999, levels, Raw_Data_Daily!$L$2:$L$9999, avg_levels, IFERROR(SUMPRODUCT(--(group="Variant"), --(segment="D. 20-39"), players, levels) / SUMPRODUCT(--(group="Variant"), --(segment="D. 20-39"), players), 0), D186+($J$123-$J$47)*avg_levels)</f>
        <v>1.47960831</v>
      </c>
      <c r="E187" s="141">
        <f>LET(group, Raw_Data_Daily!$B$2:$B$9999, segment, Raw_Data_Daily!$C$2:$C$9999, players, Raw_Data_Daily!$D$2:$D$9999, levels, Raw_Data_Daily!$L$2:$L$9999, avg_levels, IFERROR(SUMPRODUCT(--(group="Variant"), --(segment="E. 40-99"), players, levels) / SUMPRODUCT(--(group="Variant"), --(segment="E. 40-99"), players), 0), E186+($J$138-$J$62)*avg_levels)</f>
        <v>2.286430956</v>
      </c>
      <c r="F187" s="141">
        <f>LET(group, Raw_Data_Daily!$B$2:$B$9999, segment, Raw_Data_Daily!$C$2:$C$9999, players, Raw_Data_Daily!$D$2:$D$9999, levels, Raw_Data_Daily!$L$2:$L$9999, avg_levels, IFERROR(SUMPRODUCT(--(group="Variant"), --(segment="F. 100+"), players, levels) / SUMPRODUCT(--(group="Variant"), --(segment="F. 100+"), players), 0), F186+($J$153-$J$77)*avg_levels)</f>
        <v>3.436503533</v>
      </c>
    </row>
    <row r="188" ht="15.75" customHeight="1">
      <c r="A188" s="69" t="s">
        <v>280</v>
      </c>
      <c r="B188" s="143">
        <f t="shared" ref="B188:F188" si="31">IFERROR(B186/B185-1,"")</f>
        <v>-0.07045072949</v>
      </c>
      <c r="C188" s="143">
        <f t="shared" si="31"/>
        <v>-0.0668888279</v>
      </c>
      <c r="D188" s="143">
        <f t="shared" si="31"/>
        <v>-0.053052959</v>
      </c>
      <c r="E188" s="143">
        <f t="shared" si="31"/>
        <v>-0.04895416067</v>
      </c>
      <c r="F188" s="143">
        <f t="shared" si="31"/>
        <v>-0.06433438131</v>
      </c>
    </row>
    <row r="189" ht="15.75" customHeight="1">
      <c r="A189" s="73" t="s">
        <v>281</v>
      </c>
      <c r="B189" s="206">
        <f t="shared" ref="B189:F189" si="32">IFERROR(B187/B185-1,"")</f>
        <v>-0.07045072949</v>
      </c>
      <c r="C189" s="206">
        <f t="shared" si="32"/>
        <v>-0.0668888279</v>
      </c>
      <c r="D189" s="206">
        <f t="shared" si="32"/>
        <v>-0.053052959</v>
      </c>
      <c r="E189" s="206">
        <f t="shared" si="32"/>
        <v>-0.04895416067</v>
      </c>
      <c r="F189" s="206">
        <f t="shared" si="32"/>
        <v>-0.06433438131</v>
      </c>
    </row>
    <row r="190" ht="15.75" customHeight="1">
      <c r="A190" s="10" t="s">
        <v>4</v>
      </c>
      <c r="B190" s="141">
        <f>LET(
  gain, Raw_Data_Daily!$CA$2:$CA$9999,
  players, Raw_Data_Daily!$D$2:$D$9999,
  group, Raw_Data_Daily!$B$2:$B$9999,
  segment, Raw_Data_Daily!$C$2:$C$9999,
  IFERROR(SUMPRODUCT(gain, players, --(group="Control"), --(segment="B. 1-9")) / SUMPRODUCT(players, --(group="Control"), --(segment="B. 1-9")), 0)
)</f>
        <v>0.3272935879</v>
      </c>
      <c r="C190" s="141">
        <f>LET(
  gain, Raw_Data_Daily!$CA$2:$CA$9999,
  players, Raw_Data_Daily!$D$2:$D$9999,
  group, Raw_Data_Daily!$B$2:$B$9999,
  segment, Raw_Data_Daily!$C$2:$C$9999,
  IFERROR(SUMPRODUCT(gain, players, --(group="Control"), --(segment="C. 10-19")) / SUMPRODUCT(players, --(group="Control"), --(segment="C. 10-19")), 0)
)</f>
        <v>0.5673152079</v>
      </c>
      <c r="D190" s="141">
        <f>LET(
  gain, Raw_Data_Daily!$CA$2:$CA$9999,
  players, Raw_Data_Daily!$D$2:$D$9999,
  group, Raw_Data_Daily!$B$2:$B$9999,
  segment, Raw_Data_Daily!$C$2:$C$9999,
  IFERROR(SUMPRODUCT(gain, players, --(group="Control"), --(segment="D. 20-39")) / SUMPRODUCT(players, --(group="Control"), --(segment="D. 20-39")), 0)
)</f>
        <v>0.9203794737</v>
      </c>
      <c r="E190" s="141">
        <f>LET(
  gain, Raw_Data_Daily!$CA$2:$CA$9999,
  players, Raw_Data_Daily!$D$2:$D$9999,
  group, Raw_Data_Daily!$B$2:$B$9999,
  segment, Raw_Data_Daily!$C$2:$C$9999,
  IFERROR(SUMPRODUCT(gain, players, --(group="Control"), --(segment="E. 40-99")) / SUMPRODUCT(players, --(group="Control"), --(segment="E. 40-99")), 0)
)</f>
        <v>1.697987464</v>
      </c>
      <c r="F190" s="141">
        <f>LET(
  gain, Raw_Data_Daily!$CA$2:$CA$9999,
  players, Raw_Data_Daily!$D$2:$D$9999,
  group, Raw_Data_Daily!$B$2:$B$9999,
  segment, Raw_Data_Daily!$C$2:$C$9999,
  IFERROR(SUMPRODUCT(gain, players, --(group="Control"), --(segment="F. 100+")) / SUMPRODUCT(players, --(group="Control"), --(segment="F. 100+")), 0)
)</f>
        <v>2.929824605</v>
      </c>
    </row>
    <row r="191" ht="15.75" customHeight="1">
      <c r="A191" s="10" t="s">
        <v>218</v>
      </c>
      <c r="B191" s="141">
        <f>LET(
  gain, Raw_Data_Daily!$CA$2:$CA$9999,
  players, Raw_Data_Daily!$D$2:$D$9999,
  group, Raw_Data_Daily!$B$2:$B$9999,
  segment, Raw_Data_Daily!$C$2:$C$9999,
  IFERROR(SUMPRODUCT(gain, players, --(group="Variant"), --(segment="B. 1-9")) / SUMPRODUCT(players, --(group="Variant"), --(segment="B. 1-9")), 0)
)</f>
        <v>0.2340716996</v>
      </c>
      <c r="C191" s="141">
        <f>LET(
  gain, Raw_Data_Daily!$CA$2:$CA$9999,
  players, Raw_Data_Daily!$D$2:$D$9999,
  group, Raw_Data_Daily!$B$2:$B$9999,
  segment, Raw_Data_Daily!$C$2:$C$9999,
  IFERROR(SUMPRODUCT(gain, players, --(group="Variant"), --(segment="C. 10-19")) / SUMPRODUCT(players, --(group="Variant"), --(segment="C. 10-19")), 0)
)</f>
        <v>0.474006382</v>
      </c>
      <c r="D191" s="141">
        <f>LET(
  gain, Raw_Data_Daily!$CA$2:$CA$9999,
  players, Raw_Data_Daily!$D$2:$D$9999,
  group, Raw_Data_Daily!$B$2:$B$9999,
  segment, Raw_Data_Daily!$C$2:$C$9999,
  IFERROR(SUMPRODUCT(gain, players, --(group="Variant"), --(segment="D. 20-39")) / SUMPRODUCT(players, --(group="Variant"), --(segment="D. 20-39")), 0)
)</f>
        <v>0.7320147601</v>
      </c>
      <c r="E191" s="141">
        <f>LET(
  gain, Raw_Data_Daily!$CA$2:$CA$9999,
  players, Raw_Data_Daily!$D$2:$D$9999,
  group, Raw_Data_Daily!$B$2:$B$9999,
  segment, Raw_Data_Daily!$C$2:$C$9999,
  IFERROR(SUMPRODUCT(gain, players, --(group="Variant"), --(segment="E. 40-99")) / SUMPRODUCT(players, --(group="Variant"), --(segment="E. 40-99")), 0)
)</f>
        <v>1.266356354</v>
      </c>
      <c r="F191" s="141">
        <f>LET(
  gain, Raw_Data_Daily!$CA$2:$CA$9999,
  players, Raw_Data_Daily!$D$2:$D$9999,
  group, Raw_Data_Daily!$B$2:$B$9999,
  segment, Raw_Data_Daily!$C$2:$C$9999,
  IFERROR(SUMPRODUCT(gain, players, --(group="Variant"), --(segment="F. 100+")) / SUMPRODUCT(players, --(group="Variant"), --(segment="F. 100+")), 0)
)</f>
        <v>2.330490222</v>
      </c>
    </row>
    <row r="192" ht="15.75" customHeight="1">
      <c r="A192" s="58" t="s">
        <v>220</v>
      </c>
      <c r="B192" s="141">
        <f>LET(group, Raw_Data_Daily!$B$2:$B$9999, segment, Raw_Data_Daily!$C$2:$C$9999, players, Raw_Data_Daily!$D$2:$D$9999, levels, Raw_Data_Daily!$L$2:$L$9999, avg_levels, IFERROR(SUMPRODUCT(--(group="Variant"), --((segment="A. 0")+(segment="B. 1-9")), players, levels) / SUMPRODUCT(--(group="Variant"), --((segment="A. 0")+(segment="B. 1-9")), players), 0), B191+($K$93-$K$17)*avg_levels)</f>
        <v>0.3002201372</v>
      </c>
      <c r="C192" s="141">
        <f>LET(group, Raw_Data_Daily!$B$2:$B$9999, segment, Raw_Data_Daily!$C$2:$C$9999, players, Raw_Data_Daily!$D$2:$D$9999, levels, Raw_Data_Daily!$L$2:$L$9999, avg_levels, IFERROR(SUMPRODUCT(--(group="Variant"), --(segment="C. 10-19"), players, levels) / SUMPRODUCT(--(group="Variant"), --(segment="C. 10-19"), players), 0), C191+($K$108-$K$32)*avg_levels)</f>
        <v>0.474006382</v>
      </c>
      <c r="D192" s="141">
        <f>LET(group, Raw_Data_Daily!$B$2:$B$9999, segment, Raw_Data_Daily!$C$2:$C$9999, players, Raw_Data_Daily!$D$2:$D$9999, levels, Raw_Data_Daily!$L$2:$L$9999, avg_levels, IFERROR(SUMPRODUCT(--(group="Variant"), --(segment="D. 20-39"), players, levels) / SUMPRODUCT(--(group="Variant"), --(segment="D. 20-39"), players), 0), D191+($K$123-$K$47)*avg_levels)</f>
        <v>0.7320147601</v>
      </c>
      <c r="E192" s="141">
        <f>LET(group, Raw_Data_Daily!$B$2:$B$9999, segment, Raw_Data_Daily!$C$2:$C$9999, players, Raw_Data_Daily!$D$2:$D$9999, levels, Raw_Data_Daily!$L$2:$L$9999, avg_levels, IFERROR(SUMPRODUCT(--(group="Variant"), --(segment="E. 40-99"), players, levels) / SUMPRODUCT(--(group="Variant"), --(segment="E. 40-99"), players), 0), E191+($K$138-$K$62)*avg_levels)</f>
        <v>1.266356354</v>
      </c>
      <c r="F192" s="141">
        <f>LET(group, Raw_Data_Daily!$B$2:$B$9999, segment, Raw_Data_Daily!$C$2:$C$9999, players, Raw_Data_Daily!$D$2:$D$9999, levels, Raw_Data_Daily!$L$2:$L$9999, avg_levels, IFERROR(SUMPRODUCT(--(group="Variant"), --(segment="F. 100+"), players, levels) / SUMPRODUCT(--(group="Variant"), --(segment="F. 100+"), players), 0), F191+($K$153-$K$77)*avg_levels)</f>
        <v>2.330490222</v>
      </c>
    </row>
    <row r="193" ht="15.75" customHeight="1">
      <c r="A193" s="69" t="s">
        <v>282</v>
      </c>
      <c r="B193" s="143">
        <f t="shared" ref="B193:F193" si="33">IFERROR(B191/B190-1,"")</f>
        <v>-0.2848265037</v>
      </c>
      <c r="C193" s="143">
        <f t="shared" si="33"/>
        <v>-0.1644743956</v>
      </c>
      <c r="D193" s="143">
        <f t="shared" si="33"/>
        <v>-0.2046598375</v>
      </c>
      <c r="E193" s="143">
        <f t="shared" si="33"/>
        <v>-0.2542015882</v>
      </c>
      <c r="F193" s="143">
        <f t="shared" si="33"/>
        <v>-0.2045632295</v>
      </c>
    </row>
    <row r="194" ht="15.75" customHeight="1">
      <c r="A194" s="73" t="s">
        <v>283</v>
      </c>
      <c r="B194" s="206">
        <f t="shared" ref="B194:F194" si="34">IFERROR(B192/B190-1,"")</f>
        <v>-0.08271916019</v>
      </c>
      <c r="C194" s="206">
        <f t="shared" si="34"/>
        <v>-0.1644743956</v>
      </c>
      <c r="D194" s="206">
        <f t="shared" si="34"/>
        <v>-0.2046598375</v>
      </c>
      <c r="E194" s="206">
        <f t="shared" si="34"/>
        <v>-0.2542015882</v>
      </c>
      <c r="F194" s="206">
        <f t="shared" si="34"/>
        <v>-0.2045632295</v>
      </c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</sheetData>
  <conditionalFormatting sqref="A79:O153">
    <cfRule type="expression" dxfId="7" priority="1" stopIfTrue="1">
      <formula>A79&lt;&gt;A3</formula>
    </cfRule>
  </conditionalFormatting>
  <conditionalFormatting sqref="C4:G4 C80:G80 B159:F159 B166:F166 B171:F171 B176:F176 B183:F183 B188:F188 B193:F193">
    <cfRule type="cellIs" dxfId="2" priority="2" operator="greaterThan">
      <formula>0</formula>
    </cfRule>
  </conditionalFormatting>
  <conditionalFormatting sqref="C4:G4 C80:G80 B159:F159 B166:F166 B171:F171 B176:F176 B183:F183 B188:F188 B193:F193">
    <cfRule type="cellIs" dxfId="3" priority="3" operator="less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6" max="21" width="6.29"/>
    <col customWidth="1" min="22" max="23" width="7.29"/>
    <col customWidth="1" min="24" max="24" width="119.71"/>
    <col customWidth="1" min="25" max="25" width="6.29"/>
  </cols>
  <sheetData>
    <row r="4">
      <c r="B4" s="188" t="s">
        <v>257</v>
      </c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</row>
    <row r="5">
      <c r="B5" s="190" t="s">
        <v>258</v>
      </c>
      <c r="C5" s="191" t="s">
        <v>259</v>
      </c>
      <c r="D5" s="191" t="s">
        <v>260</v>
      </c>
      <c r="E5" s="191" t="s">
        <v>261</v>
      </c>
      <c r="F5" s="192" t="s">
        <v>262</v>
      </c>
      <c r="G5" s="193" t="s">
        <v>115</v>
      </c>
      <c r="H5" s="193" t="s">
        <v>263</v>
      </c>
      <c r="I5" s="193" t="s">
        <v>79</v>
      </c>
      <c r="J5" s="193" t="s">
        <v>85</v>
      </c>
      <c r="K5" s="193" t="s">
        <v>91</v>
      </c>
      <c r="L5" s="193" t="s">
        <v>97</v>
      </c>
      <c r="M5" s="193" t="s">
        <v>103</v>
      </c>
      <c r="N5" s="193" t="s">
        <v>240</v>
      </c>
      <c r="O5" s="193" t="s">
        <v>241</v>
      </c>
      <c r="P5" s="193" t="s">
        <v>242</v>
      </c>
      <c r="Q5" s="193" t="s">
        <v>243</v>
      </c>
      <c r="R5" s="193" t="s">
        <v>244</v>
      </c>
      <c r="S5" s="193" t="s">
        <v>264</v>
      </c>
      <c r="T5" s="193" t="s">
        <v>265</v>
      </c>
      <c r="V5" s="194" t="s">
        <v>266</v>
      </c>
      <c r="W5" s="195" t="s">
        <v>267</v>
      </c>
    </row>
    <row r="6">
      <c r="B6" s="196">
        <v>1.0</v>
      </c>
      <c r="C6" s="196">
        <v>160.0</v>
      </c>
      <c r="D6" s="196">
        <v>160.0</v>
      </c>
      <c r="E6" s="197" t="b">
        <f>IFERROR(__xludf.DUMMYFUNCTION("if(countif($F6:$T6, ""&lt;&gt;0"")&lt;1, ""NO REWARD!"", if(counta(filter($F6:$T6, $F6:$T6&lt;&gt;0))&gt;1, TRUE, FALSE))"),FALSE)</f>
        <v>0</v>
      </c>
      <c r="F6" s="198">
        <v>0.0</v>
      </c>
      <c r="G6" s="199">
        <v>0.0</v>
      </c>
      <c r="H6" s="199">
        <v>0.0</v>
      </c>
      <c r="I6" s="200">
        <v>1.0</v>
      </c>
      <c r="J6" s="199">
        <v>0.0</v>
      </c>
      <c r="K6" s="199">
        <v>0.0</v>
      </c>
      <c r="L6" s="199">
        <v>0.0</v>
      </c>
      <c r="M6" s="199">
        <v>0.0</v>
      </c>
      <c r="N6" s="199">
        <v>0.0</v>
      </c>
      <c r="O6" s="199">
        <v>0.0</v>
      </c>
      <c r="P6" s="199">
        <v>0.0</v>
      </c>
      <c r="Q6" s="199">
        <v>0.0</v>
      </c>
      <c r="R6" s="199">
        <v>0.0</v>
      </c>
      <c r="S6" s="199">
        <v>0.0</v>
      </c>
      <c r="T6" s="199">
        <v>0.0</v>
      </c>
      <c r="V6" s="201">
        <f t="shared" ref="V6:V35" si="1">D6/500</f>
        <v>0.32</v>
      </c>
      <c r="W6" s="202">
        <f>Raw_Data_RM_Completions!B2</f>
        <v>2.8</v>
      </c>
    </row>
    <row r="7">
      <c r="B7" s="203">
        <v>2.0</v>
      </c>
      <c r="C7" s="203">
        <v>300.0</v>
      </c>
      <c r="D7" s="203">
        <v>460.0</v>
      </c>
      <c r="E7" s="204" t="b">
        <f>IFERROR(__xludf.DUMMYFUNCTION("if(countif($F7:$T7, ""&lt;&gt;0"")&lt;1, ""NO REWARD!"", if(counta(filter($F7:$T7, $F7:$T7&lt;&gt;0))&gt;1, TRUE, FALSE))"),FALSE)</f>
        <v>0</v>
      </c>
      <c r="F7" s="205">
        <v>10.0</v>
      </c>
      <c r="G7" s="199">
        <v>0.0</v>
      </c>
      <c r="H7" s="199">
        <v>0.0</v>
      </c>
      <c r="I7" s="199">
        <v>0.0</v>
      </c>
      <c r="J7" s="199">
        <v>0.0</v>
      </c>
      <c r="K7" s="199">
        <v>0.0</v>
      </c>
      <c r="L7" s="199">
        <v>0.0</v>
      </c>
      <c r="M7" s="199">
        <v>0.0</v>
      </c>
      <c r="N7" s="199">
        <v>0.0</v>
      </c>
      <c r="O7" s="199">
        <v>0.0</v>
      </c>
      <c r="P7" s="199">
        <v>0.0</v>
      </c>
      <c r="Q7" s="199">
        <v>0.0</v>
      </c>
      <c r="R7" s="199">
        <v>0.0</v>
      </c>
      <c r="S7" s="199">
        <v>0.0</v>
      </c>
      <c r="T7" s="199">
        <v>0.0</v>
      </c>
      <c r="V7" s="201">
        <f t="shared" si="1"/>
        <v>0.92</v>
      </c>
      <c r="W7" s="202">
        <f>Raw_Data_RM_Completions!B3</f>
        <v>3.08</v>
      </c>
    </row>
    <row r="8">
      <c r="B8" s="196">
        <v>3.0</v>
      </c>
      <c r="C8" s="196">
        <v>1000.0</v>
      </c>
      <c r="D8" s="196">
        <v>1460.0</v>
      </c>
      <c r="E8" s="207" t="b">
        <f>IFERROR(__xludf.DUMMYFUNCTION("if(countif($F8:$T8, ""&lt;&gt;0"")&lt;1, ""NO REWARD!"", if(counta(filter($F8:$T8, $F8:$T8&lt;&gt;0))&gt;1, TRUE, FALSE))"),FALSE)</f>
        <v>0</v>
      </c>
      <c r="F8" s="198">
        <v>0.0</v>
      </c>
      <c r="G8" s="199">
        <v>0.0</v>
      </c>
      <c r="H8" s="199">
        <v>0.0</v>
      </c>
      <c r="I8" s="199">
        <v>0.0</v>
      </c>
      <c r="J8" s="199">
        <v>0.0</v>
      </c>
      <c r="K8" s="199">
        <v>0.0</v>
      </c>
      <c r="L8" s="199">
        <v>0.0</v>
      </c>
      <c r="M8" s="199">
        <v>0.0</v>
      </c>
      <c r="N8" s="199">
        <v>0.0</v>
      </c>
      <c r="O8" s="200">
        <v>10.0</v>
      </c>
      <c r="P8" s="199">
        <v>0.0</v>
      </c>
      <c r="Q8" s="199">
        <v>0.0</v>
      </c>
      <c r="R8" s="199">
        <v>0.0</v>
      </c>
      <c r="S8" s="199">
        <v>0.0</v>
      </c>
      <c r="T8" s="199">
        <v>0.0</v>
      </c>
      <c r="V8" s="201">
        <f t="shared" si="1"/>
        <v>2.92</v>
      </c>
      <c r="W8" s="202">
        <f>Raw_Data_RM_Completions!B4</f>
        <v>5</v>
      </c>
    </row>
    <row r="9">
      <c r="B9" s="203">
        <v>4.0</v>
      </c>
      <c r="C9" s="203">
        <v>250.0</v>
      </c>
      <c r="D9" s="203">
        <v>1710.0</v>
      </c>
      <c r="E9" s="204" t="b">
        <f>IFERROR(__xludf.DUMMYFUNCTION("if(countif($F9:$T9, ""&lt;&gt;0"")&lt;1, ""NO REWARD!"", if(counta(filter($F9:$T9, $F9:$T9&lt;&gt;0))&gt;1, TRUE, FALSE))"),FALSE)</f>
        <v>0</v>
      </c>
      <c r="F9" s="198">
        <v>0.0</v>
      </c>
      <c r="G9" s="200">
        <v>10.0</v>
      </c>
      <c r="H9" s="199">
        <v>0.0</v>
      </c>
      <c r="I9" s="199">
        <v>0.0</v>
      </c>
      <c r="J9" s="199">
        <v>0.0</v>
      </c>
      <c r="K9" s="199">
        <v>0.0</v>
      </c>
      <c r="L9" s="199">
        <v>0.0</v>
      </c>
      <c r="M9" s="199">
        <v>0.0</v>
      </c>
      <c r="N9" s="199">
        <v>0.0</v>
      </c>
      <c r="O9" s="199">
        <v>0.0</v>
      </c>
      <c r="P9" s="199">
        <v>0.0</v>
      </c>
      <c r="Q9" s="199">
        <v>0.0</v>
      </c>
      <c r="R9" s="199">
        <v>0.0</v>
      </c>
      <c r="S9" s="199">
        <v>0.0</v>
      </c>
      <c r="T9" s="199">
        <v>0.0</v>
      </c>
      <c r="V9" s="201">
        <f t="shared" si="1"/>
        <v>3.42</v>
      </c>
      <c r="W9" s="202">
        <f>Raw_Data_RM_Completions!B5</f>
        <v>5.46</v>
      </c>
    </row>
    <row r="10">
      <c r="B10" s="196">
        <v>5.0</v>
      </c>
      <c r="C10" s="196">
        <v>500.0</v>
      </c>
      <c r="D10" s="196">
        <v>2210.0</v>
      </c>
      <c r="E10" s="207" t="b">
        <f>IFERROR(__xludf.DUMMYFUNCTION("if(countif($F10:$T10, ""&lt;&gt;0"")&lt;1, ""NO REWARD!"", if(counta(filter($F10:$T10, $F10:$T10&lt;&gt;0))&gt;1, TRUE, FALSE))"),FALSE)</f>
        <v>0</v>
      </c>
      <c r="F10" s="198">
        <v>0.0</v>
      </c>
      <c r="G10" s="199">
        <v>0.0</v>
      </c>
      <c r="H10" s="199">
        <v>0.0</v>
      </c>
      <c r="I10" s="199">
        <v>0.0</v>
      </c>
      <c r="J10" s="200">
        <v>1.0</v>
      </c>
      <c r="K10" s="199">
        <v>0.0</v>
      </c>
      <c r="L10" s="199">
        <v>0.0</v>
      </c>
      <c r="M10" s="199">
        <v>0.0</v>
      </c>
      <c r="N10" s="199">
        <v>0.0</v>
      </c>
      <c r="O10" s="199">
        <v>0.0</v>
      </c>
      <c r="P10" s="199">
        <v>0.0</v>
      </c>
      <c r="Q10" s="199">
        <v>0.0</v>
      </c>
      <c r="R10" s="199">
        <v>0.0</v>
      </c>
      <c r="S10" s="199">
        <v>0.0</v>
      </c>
      <c r="T10" s="199">
        <v>0.0</v>
      </c>
      <c r="V10" s="201">
        <f t="shared" si="1"/>
        <v>4.42</v>
      </c>
      <c r="W10" s="202">
        <f>Raw_Data_RM_Completions!B6</f>
        <v>6.38</v>
      </c>
    </row>
    <row r="11">
      <c r="B11" s="203">
        <v>6.0</v>
      </c>
      <c r="C11" s="203">
        <v>1600.0</v>
      </c>
      <c r="D11" s="203">
        <v>3810.0</v>
      </c>
      <c r="E11" s="197" t="b">
        <f>IFERROR(__xludf.DUMMYFUNCTION("if(countif($F11:$T11, ""&lt;&gt;0"")&lt;1, ""NO REWARD!"", if(counta(filter($F11:$T11, $F11:$T11&lt;&gt;0))&gt;1, TRUE, FALSE))"),TRUE)</f>
        <v>1</v>
      </c>
      <c r="F11" s="198">
        <v>0.0</v>
      </c>
      <c r="G11" s="199">
        <v>0.0</v>
      </c>
      <c r="H11" s="200">
        <v>10.0</v>
      </c>
      <c r="I11" s="199">
        <v>0.0</v>
      </c>
      <c r="J11" s="199">
        <v>0.0</v>
      </c>
      <c r="K11" s="199">
        <v>0.0</v>
      </c>
      <c r="L11" s="199">
        <v>0.0</v>
      </c>
      <c r="M11" s="199">
        <v>0.0</v>
      </c>
      <c r="N11" s="199">
        <v>0.0</v>
      </c>
      <c r="O11" s="210">
        <v>15.0</v>
      </c>
      <c r="P11" s="199">
        <v>0.0</v>
      </c>
      <c r="Q11" s="199">
        <v>0.0</v>
      </c>
      <c r="R11" s="199">
        <v>0.0</v>
      </c>
      <c r="S11" s="199">
        <v>0.0</v>
      </c>
      <c r="T11" s="199">
        <v>0.0</v>
      </c>
      <c r="V11" s="201">
        <f t="shared" si="1"/>
        <v>7.62</v>
      </c>
      <c r="W11" s="202">
        <f>Raw_Data_RM_Completions!B7</f>
        <v>9.23</v>
      </c>
    </row>
    <row r="12">
      <c r="B12" s="196">
        <v>7.0</v>
      </c>
      <c r="C12" s="196">
        <v>500.0</v>
      </c>
      <c r="D12" s="196">
        <v>4310.0</v>
      </c>
      <c r="E12" s="207" t="b">
        <f>IFERROR(__xludf.DUMMYFUNCTION("if(countif($F12:$T12, ""&lt;&gt;0"")&lt;1, ""NO REWARD!"", if(counta(filter($F12:$T12, $F12:$T12&lt;&gt;0))&gt;1, TRUE, FALSE))"),FALSE)</f>
        <v>0</v>
      </c>
      <c r="F12" s="198">
        <v>0.0</v>
      </c>
      <c r="G12" s="200">
        <v>30.0</v>
      </c>
      <c r="H12" s="199">
        <v>0.0</v>
      </c>
      <c r="I12" s="199">
        <v>0.0</v>
      </c>
      <c r="J12" s="199">
        <v>0.0</v>
      </c>
      <c r="K12" s="199">
        <v>0.0</v>
      </c>
      <c r="L12" s="199">
        <v>0.0</v>
      </c>
      <c r="M12" s="199">
        <v>0.0</v>
      </c>
      <c r="N12" s="199">
        <v>0.0</v>
      </c>
      <c r="O12" s="199">
        <v>0.0</v>
      </c>
      <c r="P12" s="199">
        <v>0.0</v>
      </c>
      <c r="Q12" s="199">
        <v>0.0</v>
      </c>
      <c r="R12" s="199">
        <v>0.0</v>
      </c>
      <c r="S12" s="199">
        <v>0.0</v>
      </c>
      <c r="T12" s="199">
        <v>0.0</v>
      </c>
      <c r="V12" s="201">
        <f t="shared" si="1"/>
        <v>8.62</v>
      </c>
      <c r="W12" s="202">
        <f>Raw_Data_RM_Completions!B8</f>
        <v>10.15</v>
      </c>
    </row>
    <row r="13">
      <c r="B13" s="203">
        <v>8.0</v>
      </c>
      <c r="C13" s="203">
        <v>1000.0</v>
      </c>
      <c r="D13" s="203">
        <v>5310.0</v>
      </c>
      <c r="E13" s="204" t="b">
        <f>IFERROR(__xludf.DUMMYFUNCTION("if(countif($F13:$T13, ""&lt;&gt;0"")&lt;1, ""NO REWARD!"", if(counta(filter($F13:$T13, $F13:$T13&lt;&gt;0))&gt;1, TRUE, FALSE))"),FALSE)</f>
        <v>0</v>
      </c>
      <c r="F13" s="198">
        <v>0.0</v>
      </c>
      <c r="G13" s="199">
        <v>0.0</v>
      </c>
      <c r="H13" s="199">
        <v>0.0</v>
      </c>
      <c r="I13" s="199">
        <v>0.0</v>
      </c>
      <c r="J13" s="210">
        <v>1.0</v>
      </c>
      <c r="K13" s="199">
        <v>0.0</v>
      </c>
      <c r="L13" s="199">
        <v>0.0</v>
      </c>
      <c r="M13" s="199">
        <v>0.0</v>
      </c>
      <c r="N13" s="199">
        <v>0.0</v>
      </c>
      <c r="O13" s="199">
        <v>0.0</v>
      </c>
      <c r="P13" s="199">
        <v>0.0</v>
      </c>
      <c r="Q13" s="199">
        <v>0.0</v>
      </c>
      <c r="R13" s="199">
        <v>0.0</v>
      </c>
      <c r="S13" s="199">
        <v>0.0</v>
      </c>
      <c r="T13" s="199">
        <v>0.0</v>
      </c>
      <c r="V13" s="201">
        <f t="shared" si="1"/>
        <v>10.62</v>
      </c>
      <c r="W13" s="202">
        <f>Raw_Data_RM_Completions!B9</f>
        <v>11.93</v>
      </c>
    </row>
    <row r="14">
      <c r="B14" s="196">
        <v>9.0</v>
      </c>
      <c r="C14" s="196">
        <v>3300.0</v>
      </c>
      <c r="D14" s="196">
        <v>8610.0</v>
      </c>
      <c r="E14" s="207" t="b">
        <f>IFERROR(__xludf.DUMMYFUNCTION("if(countif($F14:$T14, ""&lt;&gt;0"")&lt;1, ""NO REWARD!"", if(counta(filter($F14:$T14, $F14:$T14&lt;&gt;0))&gt;1, TRUE, FALSE))"),FALSE)</f>
        <v>0</v>
      </c>
      <c r="F14" s="205">
        <v>20.0</v>
      </c>
      <c r="G14" s="199">
        <v>0.0</v>
      </c>
      <c r="H14" s="199">
        <v>0.0</v>
      </c>
      <c r="I14" s="199">
        <v>0.0</v>
      </c>
      <c r="J14" s="199">
        <v>0.0</v>
      </c>
      <c r="K14" s="199">
        <v>0.0</v>
      </c>
      <c r="L14" s="199">
        <v>0.0</v>
      </c>
      <c r="M14" s="199">
        <v>0.0</v>
      </c>
      <c r="N14" s="199">
        <v>0.0</v>
      </c>
      <c r="O14" s="199">
        <v>0.0</v>
      </c>
      <c r="P14" s="199">
        <v>0.0</v>
      </c>
      <c r="Q14" s="199">
        <v>0.0</v>
      </c>
      <c r="R14" s="199">
        <v>0.0</v>
      </c>
      <c r="S14" s="199">
        <v>0.0</v>
      </c>
      <c r="T14" s="199">
        <v>0.0</v>
      </c>
      <c r="V14" s="201">
        <f t="shared" si="1"/>
        <v>17.22</v>
      </c>
      <c r="W14" s="202">
        <f>Raw_Data_RM_Completions!B10</f>
        <v>17.71</v>
      </c>
    </row>
    <row r="15">
      <c r="B15" s="203">
        <v>10.0</v>
      </c>
      <c r="C15" s="203">
        <v>1100.0</v>
      </c>
      <c r="D15" s="203">
        <v>9710.0</v>
      </c>
      <c r="E15" s="204" t="b">
        <f>IFERROR(__xludf.DUMMYFUNCTION("if(countif($F15:$T15, ""&lt;&gt;0"")&lt;1, ""NO REWARD!"", if(counta(filter($F15:$T15, $F15:$T15&lt;&gt;0))&gt;1, TRUE, FALSE))"),FALSE)</f>
        <v>0</v>
      </c>
      <c r="F15" s="198">
        <v>0.0</v>
      </c>
      <c r="G15" s="200">
        <v>50.0</v>
      </c>
      <c r="H15" s="199">
        <v>0.0</v>
      </c>
      <c r="I15" s="199">
        <v>0.0</v>
      </c>
      <c r="J15" s="199">
        <v>0.0</v>
      </c>
      <c r="K15" s="199">
        <v>0.0</v>
      </c>
      <c r="L15" s="199">
        <v>0.0</v>
      </c>
      <c r="M15" s="199">
        <v>0.0</v>
      </c>
      <c r="N15" s="199">
        <v>0.0</v>
      </c>
      <c r="O15" s="199">
        <v>0.0</v>
      </c>
      <c r="P15" s="199">
        <v>0.0</v>
      </c>
      <c r="Q15" s="199">
        <v>0.0</v>
      </c>
      <c r="R15" s="199">
        <v>0.0</v>
      </c>
      <c r="S15" s="199">
        <v>0.0</v>
      </c>
      <c r="T15" s="199">
        <v>0.0</v>
      </c>
      <c r="V15" s="201">
        <f t="shared" si="1"/>
        <v>19.42</v>
      </c>
      <c r="W15" s="202">
        <f>Raw_Data_RM_Completions!B11</f>
        <v>19.63</v>
      </c>
    </row>
    <row r="16">
      <c r="B16" s="196">
        <v>11.0</v>
      </c>
      <c r="C16" s="196">
        <v>2200.0</v>
      </c>
      <c r="D16" s="196">
        <v>11910.0</v>
      </c>
      <c r="E16" s="207" t="b">
        <f>IFERROR(__xludf.DUMMYFUNCTION("if(countif($F16:$T16, ""&lt;&gt;0"")&lt;1, ""NO REWARD!"", if(counta(filter($F16:$T16, $F16:$T16&lt;&gt;0))&gt;1, TRUE, FALSE))"),FALSE)</f>
        <v>0</v>
      </c>
      <c r="F16" s="198">
        <v>0.0</v>
      </c>
      <c r="G16" s="199">
        <v>0.0</v>
      </c>
      <c r="H16" s="199">
        <v>0.0</v>
      </c>
      <c r="I16" s="199">
        <v>0.0</v>
      </c>
      <c r="J16" s="199">
        <v>0.0</v>
      </c>
      <c r="K16" s="199">
        <v>0.0</v>
      </c>
      <c r="L16" s="199">
        <v>0.0</v>
      </c>
      <c r="M16" s="200">
        <v>1.0</v>
      </c>
      <c r="N16" s="199">
        <v>0.0</v>
      </c>
      <c r="O16" s="199">
        <v>0.0</v>
      </c>
      <c r="P16" s="199">
        <v>0.0</v>
      </c>
      <c r="Q16" s="199">
        <v>0.0</v>
      </c>
      <c r="R16" s="199">
        <v>0.0</v>
      </c>
      <c r="S16" s="199">
        <v>0.0</v>
      </c>
      <c r="T16" s="199">
        <v>0.0</v>
      </c>
      <c r="V16" s="201">
        <f t="shared" si="1"/>
        <v>23.82</v>
      </c>
      <c r="W16" s="202">
        <f>Raw_Data_RM_Completions!B12</f>
        <v>23.46</v>
      </c>
    </row>
    <row r="17">
      <c r="B17" s="203">
        <v>12.0</v>
      </c>
      <c r="C17" s="203">
        <v>6500.0</v>
      </c>
      <c r="D17" s="203">
        <v>18410.0</v>
      </c>
      <c r="E17" s="197" t="b">
        <f>IFERROR(__xludf.DUMMYFUNCTION("if(countif($F17:$T17, ""&lt;&gt;0"")&lt;1, ""NO REWARD!"", if(counta(filter($F17:$T17, $F17:$T17&lt;&gt;0))&gt;1, TRUE, FALSE))"),TRUE)</f>
        <v>1</v>
      </c>
      <c r="F17" s="198">
        <v>0.0</v>
      </c>
      <c r="G17" s="199">
        <v>0.0</v>
      </c>
      <c r="H17" s="199">
        <v>0.0</v>
      </c>
      <c r="I17" s="199">
        <v>0.0</v>
      </c>
      <c r="J17" s="199">
        <v>0.0</v>
      </c>
      <c r="K17" s="199">
        <v>0.0</v>
      </c>
      <c r="L17" s="199">
        <v>0.0</v>
      </c>
      <c r="M17" s="199">
        <v>0.0</v>
      </c>
      <c r="N17" s="200">
        <v>1.0</v>
      </c>
      <c r="O17" s="200">
        <v>30.0</v>
      </c>
      <c r="P17" s="199">
        <v>0.0</v>
      </c>
      <c r="Q17" s="199">
        <v>0.0</v>
      </c>
      <c r="R17" s="199">
        <v>0.0</v>
      </c>
      <c r="S17" s="199">
        <v>0.0</v>
      </c>
      <c r="T17" s="199">
        <v>0.0</v>
      </c>
      <c r="V17" s="201">
        <f t="shared" si="1"/>
        <v>36.82</v>
      </c>
      <c r="W17" s="202">
        <f>Raw_Data_RM_Completions!B13</f>
        <v>34.68</v>
      </c>
    </row>
    <row r="18">
      <c r="B18" s="196">
        <v>13.0</v>
      </c>
      <c r="C18" s="196">
        <v>2200.0</v>
      </c>
      <c r="D18" s="196">
        <v>20610.0</v>
      </c>
      <c r="E18" s="207" t="b">
        <f>IFERROR(__xludf.DUMMYFUNCTION("if(countif($F18:$T18, ""&lt;&gt;0"")&lt;1, ""NO REWARD!"", if(counta(filter($F18:$T18, $F18:$T18&lt;&gt;0))&gt;1, TRUE, FALSE))"),FALSE)</f>
        <v>0</v>
      </c>
      <c r="F18" s="198">
        <v>0.0</v>
      </c>
      <c r="G18" s="199">
        <v>0.0</v>
      </c>
      <c r="H18" s="199">
        <v>0.0</v>
      </c>
      <c r="I18" s="199">
        <v>0.0</v>
      </c>
      <c r="J18" s="199">
        <v>0.0</v>
      </c>
      <c r="K18" s="210">
        <v>1.0</v>
      </c>
      <c r="L18" s="199">
        <v>0.0</v>
      </c>
      <c r="M18" s="199">
        <v>0.0</v>
      </c>
      <c r="N18" s="199">
        <v>0.0</v>
      </c>
      <c r="O18" s="199">
        <v>0.0</v>
      </c>
      <c r="P18" s="199">
        <v>0.0</v>
      </c>
      <c r="Q18" s="199">
        <v>0.0</v>
      </c>
      <c r="R18" s="199">
        <v>0.0</v>
      </c>
      <c r="S18" s="199">
        <v>0.0</v>
      </c>
      <c r="T18" s="199">
        <v>0.0</v>
      </c>
      <c r="V18" s="201">
        <f t="shared" si="1"/>
        <v>41.22</v>
      </c>
      <c r="W18" s="202">
        <f>Raw_Data_RM_Completions!B14</f>
        <v>38.41</v>
      </c>
    </row>
    <row r="19">
      <c r="B19" s="203">
        <v>14.0</v>
      </c>
      <c r="C19" s="203">
        <v>4400.0</v>
      </c>
      <c r="D19" s="203">
        <v>25010.0</v>
      </c>
      <c r="E19" s="204" t="b">
        <f>IFERROR(__xludf.DUMMYFUNCTION("if(countif($F19:$T19, ""&lt;&gt;0"")&lt;1, ""NO REWARD!"", if(counta(filter($F19:$T19, $F19:$T19&lt;&gt;0))&gt;1, TRUE, FALSE))"),FALSE)</f>
        <v>0</v>
      </c>
      <c r="F19" s="198">
        <v>0.0</v>
      </c>
      <c r="G19" s="199">
        <v>0.0</v>
      </c>
      <c r="H19" s="199">
        <v>0.0</v>
      </c>
      <c r="I19" s="199">
        <v>0.0</v>
      </c>
      <c r="J19" s="199">
        <v>0.0</v>
      </c>
      <c r="K19" s="199">
        <v>0.0</v>
      </c>
      <c r="L19" s="199">
        <v>0.0</v>
      </c>
      <c r="M19" s="199">
        <v>0.0</v>
      </c>
      <c r="N19" s="199">
        <v>0.0</v>
      </c>
      <c r="O19" s="199">
        <v>0.0</v>
      </c>
      <c r="P19" s="211">
        <v>10.0</v>
      </c>
      <c r="Q19" s="199">
        <v>0.0</v>
      </c>
      <c r="R19" s="199">
        <v>0.0</v>
      </c>
      <c r="S19" s="199">
        <v>0.0</v>
      </c>
      <c r="T19" s="199">
        <v>0.0</v>
      </c>
      <c r="V19" s="201">
        <f t="shared" si="1"/>
        <v>50.02</v>
      </c>
      <c r="W19" s="202">
        <f>Raw_Data_RM_Completions!B15</f>
        <v>45.88</v>
      </c>
    </row>
    <row r="20">
      <c r="B20" s="196">
        <v>15.0</v>
      </c>
      <c r="C20" s="196">
        <v>13250.0</v>
      </c>
      <c r="D20" s="196">
        <v>38260.0</v>
      </c>
      <c r="E20" s="207" t="b">
        <f>IFERROR(__xludf.DUMMYFUNCTION("if(countif($F20:$T20, ""&lt;&gt;0"")&lt;1, ""NO REWARD!"", if(counta(filter($F20:$T20, $F20:$T20&lt;&gt;0))&gt;1, TRUE, FALSE))"),FALSE)</f>
        <v>0</v>
      </c>
      <c r="F20" s="198">
        <v>0.0</v>
      </c>
      <c r="G20" s="210">
        <v>75.0</v>
      </c>
      <c r="H20" s="199">
        <v>0.0</v>
      </c>
      <c r="I20" s="199">
        <v>0.0</v>
      </c>
      <c r="J20" s="199">
        <v>0.0</v>
      </c>
      <c r="K20" s="199">
        <v>0.0</v>
      </c>
      <c r="L20" s="199">
        <v>0.0</v>
      </c>
      <c r="M20" s="199">
        <v>0.0</v>
      </c>
      <c r="N20" s="199">
        <v>0.0</v>
      </c>
      <c r="O20" s="199">
        <v>0.0</v>
      </c>
      <c r="P20" s="212">
        <v>0.0</v>
      </c>
      <c r="Q20" s="199">
        <v>0.0</v>
      </c>
      <c r="R20" s="199">
        <v>0.0</v>
      </c>
      <c r="S20" s="199">
        <v>0.0</v>
      </c>
      <c r="T20" s="199">
        <v>0.0</v>
      </c>
      <c r="V20" s="201">
        <f t="shared" si="1"/>
        <v>76.52</v>
      </c>
      <c r="W20" s="202">
        <f>Raw_Data_RM_Completions!B16</f>
        <v>66.52</v>
      </c>
    </row>
    <row r="21">
      <c r="B21" s="203">
        <v>16.0</v>
      </c>
      <c r="C21" s="203">
        <v>3300.0</v>
      </c>
      <c r="D21" s="203">
        <v>41560.0</v>
      </c>
      <c r="E21" s="197" t="b">
        <f>IFERROR(__xludf.DUMMYFUNCTION("if(countif($F21:$T21, ""&lt;&gt;0"")&lt;1, ""NO REWARD!"", if(counta(filter($F21:$T21, $F21:$T21&lt;&gt;0))&gt;1, TRUE, FALSE))"),TRUE)</f>
        <v>1</v>
      </c>
      <c r="F21" s="213">
        <v>50.0</v>
      </c>
      <c r="G21" s="199">
        <v>0.0</v>
      </c>
      <c r="H21" s="199">
        <v>0.0</v>
      </c>
      <c r="I21" s="199">
        <v>0.0</v>
      </c>
      <c r="J21" s="199">
        <v>0.0</v>
      </c>
      <c r="K21" s="210">
        <v>1.0</v>
      </c>
      <c r="L21" s="200">
        <v>0.0</v>
      </c>
      <c r="M21" s="199">
        <v>0.0</v>
      </c>
      <c r="N21" s="199">
        <v>0.0</v>
      </c>
      <c r="O21" s="199">
        <v>0.0</v>
      </c>
      <c r="P21" s="212">
        <v>0.0</v>
      </c>
      <c r="Q21" s="199">
        <v>0.0</v>
      </c>
      <c r="R21" s="199">
        <v>0.0</v>
      </c>
      <c r="S21" s="199">
        <v>0.0</v>
      </c>
      <c r="T21" s="199">
        <v>0.0</v>
      </c>
      <c r="V21" s="201">
        <f t="shared" si="1"/>
        <v>83.12</v>
      </c>
      <c r="W21" s="202">
        <f>Raw_Data_RM_Completions!B17</f>
        <v>71.34</v>
      </c>
    </row>
    <row r="22">
      <c r="B22" s="196">
        <v>17.0</v>
      </c>
      <c r="C22" s="196">
        <v>6500.0</v>
      </c>
      <c r="D22" s="196">
        <v>48060.0</v>
      </c>
      <c r="E22" s="207" t="b">
        <f>IFERROR(__xludf.DUMMYFUNCTION("if(countif($F22:$T22, ""&lt;&gt;0"")&lt;1, ""NO REWARD!"", if(counta(filter($F22:$T22, $F22:$T22&lt;&gt;0))&gt;1, TRUE, FALSE))"),FALSE)</f>
        <v>0</v>
      </c>
      <c r="F22" s="198">
        <v>0.0</v>
      </c>
      <c r="G22" s="200">
        <v>125.0</v>
      </c>
      <c r="H22" s="199">
        <v>0.0</v>
      </c>
      <c r="I22" s="199">
        <v>0.0</v>
      </c>
      <c r="J22" s="199">
        <v>0.0</v>
      </c>
      <c r="K22" s="199">
        <v>0.0</v>
      </c>
      <c r="L22" s="199">
        <v>0.0</v>
      </c>
      <c r="M22" s="199">
        <v>0.0</v>
      </c>
      <c r="N22" s="199">
        <v>0.0</v>
      </c>
      <c r="O22" s="199">
        <v>0.0</v>
      </c>
      <c r="P22" s="212">
        <v>0.0</v>
      </c>
      <c r="Q22" s="199">
        <v>0.0</v>
      </c>
      <c r="R22" s="199">
        <v>0.0</v>
      </c>
      <c r="S22" s="199">
        <v>0.0</v>
      </c>
      <c r="T22" s="199">
        <v>0.0</v>
      </c>
      <c r="V22" s="201">
        <f t="shared" si="1"/>
        <v>96.12</v>
      </c>
      <c r="W22" s="202">
        <f>Raw_Data_RM_Completions!B18</f>
        <v>80.47</v>
      </c>
    </row>
    <row r="23">
      <c r="B23" s="203">
        <v>18.0</v>
      </c>
      <c r="C23" s="203">
        <v>19750.0</v>
      </c>
      <c r="D23" s="203">
        <v>67810.0</v>
      </c>
      <c r="E23" s="204" t="b">
        <f>IFERROR(__xludf.DUMMYFUNCTION("if(countif($F23:$T23, ""&lt;&gt;0"")&lt;1, ""NO REWARD!"", if(counta(filter($F23:$T23, $F23:$T23&lt;&gt;0))&gt;1, TRUE, FALSE))"),FALSE)</f>
        <v>0</v>
      </c>
      <c r="F23" s="198">
        <v>0.0</v>
      </c>
      <c r="G23" s="199">
        <v>0.0</v>
      </c>
      <c r="H23" s="199">
        <v>0.0</v>
      </c>
      <c r="I23" s="210">
        <v>2.0</v>
      </c>
      <c r="J23" s="199">
        <v>0.0</v>
      </c>
      <c r="K23" s="199">
        <v>0.0</v>
      </c>
      <c r="L23" s="199">
        <v>0.0</v>
      </c>
      <c r="M23" s="199">
        <v>0.0</v>
      </c>
      <c r="N23" s="199">
        <v>0.0</v>
      </c>
      <c r="O23" s="199">
        <v>0.0</v>
      </c>
      <c r="P23" s="212">
        <v>0.0</v>
      </c>
      <c r="Q23" s="199">
        <v>0.0</v>
      </c>
      <c r="R23" s="199">
        <v>0.0</v>
      </c>
      <c r="S23" s="199">
        <v>0.0</v>
      </c>
      <c r="T23" s="199">
        <v>0.0</v>
      </c>
      <c r="V23" s="201">
        <f t="shared" si="1"/>
        <v>135.62</v>
      </c>
      <c r="W23" s="202">
        <f>Raw_Data_RM_Completions!B19</f>
        <v>106.72</v>
      </c>
    </row>
    <row r="24">
      <c r="B24" s="196">
        <v>19.0</v>
      </c>
      <c r="C24" s="196">
        <v>4200.0</v>
      </c>
      <c r="D24" s="196">
        <v>72010.0</v>
      </c>
      <c r="E24" s="207" t="b">
        <f>IFERROR(__xludf.DUMMYFUNCTION("if(countif($F24:$T24, ""&lt;&gt;0"")&lt;1, ""NO REWARD!"", if(counta(filter($F24:$T24, $F24:$T24&lt;&gt;0))&gt;1, TRUE, FALSE))"),FALSE)</f>
        <v>0</v>
      </c>
      <c r="F24" s="198">
        <v>0.0</v>
      </c>
      <c r="G24" s="199">
        <v>0.0</v>
      </c>
      <c r="H24" s="200">
        <v>20.0</v>
      </c>
      <c r="I24" s="199">
        <v>0.0</v>
      </c>
      <c r="J24" s="199">
        <v>0.0</v>
      </c>
      <c r="K24" s="199">
        <v>0.0</v>
      </c>
      <c r="L24" s="199">
        <v>0.0</v>
      </c>
      <c r="M24" s="199">
        <v>0.0</v>
      </c>
      <c r="N24" s="199">
        <v>0.0</v>
      </c>
      <c r="O24" s="199">
        <v>0.0</v>
      </c>
      <c r="P24" s="212">
        <v>0.0</v>
      </c>
      <c r="Q24" s="199">
        <v>0.0</v>
      </c>
      <c r="R24" s="199">
        <v>0.0</v>
      </c>
      <c r="S24" s="199">
        <v>0.0</v>
      </c>
      <c r="T24" s="199">
        <v>0.0</v>
      </c>
      <c r="V24" s="201">
        <f t="shared" si="1"/>
        <v>144.02</v>
      </c>
      <c r="W24" s="202">
        <f>Raw_Data_RM_Completions!B20</f>
        <v>111.66</v>
      </c>
    </row>
    <row r="25">
      <c r="B25" s="203">
        <v>20.0</v>
      </c>
      <c r="C25" s="203">
        <v>8250.0</v>
      </c>
      <c r="D25" s="203">
        <v>80260.0</v>
      </c>
      <c r="E25" s="197" t="b">
        <f>IFERROR(__xludf.DUMMYFUNCTION("if(countif($F25:$T25, ""&lt;&gt;0"")&lt;1, ""NO REWARD!"", if(counta(filter($F25:$T25, $F25:$T25&lt;&gt;0))&gt;1, TRUE, FALSE))"),TRUE)</f>
        <v>1</v>
      </c>
      <c r="F25" s="213">
        <v>150.0</v>
      </c>
      <c r="G25" s="199">
        <v>0.0</v>
      </c>
      <c r="H25" s="199">
        <v>0.0</v>
      </c>
      <c r="I25" s="199">
        <v>0.0</v>
      </c>
      <c r="J25" s="199">
        <v>0.0</v>
      </c>
      <c r="K25" s="199">
        <v>0.0</v>
      </c>
      <c r="L25" s="199">
        <v>0.0</v>
      </c>
      <c r="M25" s="210">
        <v>1.0</v>
      </c>
      <c r="N25" s="199">
        <v>0.0</v>
      </c>
      <c r="O25" s="199">
        <v>0.0</v>
      </c>
      <c r="P25" s="212">
        <v>0.0</v>
      </c>
      <c r="Q25" s="199">
        <v>0.0</v>
      </c>
      <c r="R25" s="199">
        <v>0.0</v>
      </c>
      <c r="S25" s="199">
        <v>0.0</v>
      </c>
      <c r="T25" s="199">
        <v>0.0</v>
      </c>
      <c r="V25" s="201">
        <f t="shared" si="1"/>
        <v>160.52</v>
      </c>
      <c r="W25" s="202">
        <f>Raw_Data_RM_Completions!B21</f>
        <v>121.7</v>
      </c>
    </row>
    <row r="26">
      <c r="B26" s="196">
        <v>21.0</v>
      </c>
      <c r="C26" s="196">
        <v>22000.0</v>
      </c>
      <c r="D26" s="196">
        <v>102260.0</v>
      </c>
      <c r="E26" s="207" t="b">
        <f>IFERROR(__xludf.DUMMYFUNCTION("if(countif($F26:$T26, ""&lt;&gt;0"")&lt;1, ""NO REWARD!"", if(counta(filter($F26:$T26, $F26:$T26&lt;&gt;0))&gt;1, TRUE, FALSE))"),FALSE)</f>
        <v>0</v>
      </c>
      <c r="F26" s="198">
        <v>0.0</v>
      </c>
      <c r="G26" s="200">
        <v>200.0</v>
      </c>
      <c r="H26" s="199">
        <v>0.0</v>
      </c>
      <c r="I26" s="199">
        <v>0.0</v>
      </c>
      <c r="J26" s="199">
        <v>0.0</v>
      </c>
      <c r="K26" s="199">
        <v>0.0</v>
      </c>
      <c r="L26" s="199">
        <v>0.0</v>
      </c>
      <c r="M26" s="199">
        <v>0.0</v>
      </c>
      <c r="N26" s="199">
        <v>0.0</v>
      </c>
      <c r="O26" s="199">
        <v>0.0</v>
      </c>
      <c r="P26" s="212">
        <v>0.0</v>
      </c>
      <c r="Q26" s="199">
        <v>0.0</v>
      </c>
      <c r="R26" s="199">
        <v>0.0</v>
      </c>
      <c r="S26" s="199">
        <v>0.0</v>
      </c>
      <c r="T26" s="199">
        <v>0.0</v>
      </c>
      <c r="V26" s="201">
        <f t="shared" si="1"/>
        <v>204.52</v>
      </c>
      <c r="W26" s="202">
        <f>Raw_Data_RM_Completions!B22</f>
        <v>146.99</v>
      </c>
    </row>
    <row r="27">
      <c r="B27" s="203">
        <v>22.0</v>
      </c>
      <c r="C27" s="203">
        <v>6000.0</v>
      </c>
      <c r="D27" s="203">
        <v>108260.0</v>
      </c>
      <c r="E27" s="204" t="b">
        <f>IFERROR(__xludf.DUMMYFUNCTION("if(countif($F27:$T27, ""&lt;&gt;0"")&lt;1, ""NO REWARD!"", if(counta(filter($F27:$T27, $F27:$T27&lt;&gt;0))&gt;1, TRUE, FALSE))"),FALSE)</f>
        <v>0</v>
      </c>
      <c r="F27" s="198">
        <v>0.0</v>
      </c>
      <c r="G27" s="199">
        <v>0.0</v>
      </c>
      <c r="H27" s="199">
        <v>0.0</v>
      </c>
      <c r="I27" s="199">
        <v>0.0</v>
      </c>
      <c r="J27" s="199">
        <v>0.0</v>
      </c>
      <c r="K27" s="199">
        <v>0.0</v>
      </c>
      <c r="L27" s="199">
        <v>0.0</v>
      </c>
      <c r="M27" s="199">
        <v>0.0</v>
      </c>
      <c r="N27" s="199">
        <v>0.0</v>
      </c>
      <c r="O27" s="199">
        <v>0.0</v>
      </c>
      <c r="P27" s="212">
        <v>0.0</v>
      </c>
      <c r="Q27" s="200">
        <v>10.0</v>
      </c>
      <c r="R27" s="199">
        <v>0.0</v>
      </c>
      <c r="S27" s="199">
        <v>0.0</v>
      </c>
      <c r="T27" s="199">
        <v>0.0</v>
      </c>
      <c r="V27" s="201">
        <f t="shared" si="1"/>
        <v>216.52</v>
      </c>
      <c r="W27" s="202">
        <f>Raw_Data_RM_Completions!B23</f>
        <v>153.49</v>
      </c>
    </row>
    <row r="28">
      <c r="B28" s="196">
        <v>23.0</v>
      </c>
      <c r="C28" s="196">
        <v>10500.0</v>
      </c>
      <c r="D28" s="196">
        <v>118760.0</v>
      </c>
      <c r="E28" s="207" t="b">
        <f>IFERROR(__xludf.DUMMYFUNCTION("if(countif($F28:$T28, ""&lt;&gt;0"")&lt;1, ""NO REWARD!"", if(counta(filter($F28:$T28, $F28:$T28&lt;&gt;0))&gt;1, TRUE, FALSE))"),FALSE)</f>
        <v>0</v>
      </c>
      <c r="F28" s="198">
        <v>0.0</v>
      </c>
      <c r="G28" s="199">
        <v>0.0</v>
      </c>
      <c r="H28" s="199">
        <v>0.0</v>
      </c>
      <c r="I28" s="199">
        <v>0.0</v>
      </c>
      <c r="J28" s="200">
        <v>2.0</v>
      </c>
      <c r="K28" s="199">
        <v>0.0</v>
      </c>
      <c r="L28" s="199">
        <v>0.0</v>
      </c>
      <c r="M28" s="199">
        <v>0.0</v>
      </c>
      <c r="N28" s="199">
        <v>0.0</v>
      </c>
      <c r="O28" s="199">
        <v>0.0</v>
      </c>
      <c r="P28" s="199">
        <v>0.0</v>
      </c>
      <c r="Q28" s="199">
        <v>0.0</v>
      </c>
      <c r="R28" s="199">
        <v>0.0</v>
      </c>
      <c r="S28" s="199">
        <v>0.0</v>
      </c>
      <c r="T28" s="199">
        <v>0.0</v>
      </c>
      <c r="V28" s="201">
        <f t="shared" si="1"/>
        <v>237.52</v>
      </c>
      <c r="W28" s="202">
        <f>Raw_Data_RM_Completions!B24</f>
        <v>163.69</v>
      </c>
    </row>
    <row r="29">
      <c r="B29" s="203">
        <v>24.0</v>
      </c>
      <c r="C29" s="203">
        <v>33000.0</v>
      </c>
      <c r="D29" s="203">
        <v>151760.0</v>
      </c>
      <c r="E29" s="197" t="b">
        <f>IFERROR(__xludf.DUMMYFUNCTION("if(countif($F29:$T29, ""&lt;&gt;0"")&lt;1, ""NO REWARD!"", if(counta(filter($F29:$T29, $F29:$T29&lt;&gt;0))&gt;1, TRUE, FALSE))"),TRUE)</f>
        <v>1</v>
      </c>
      <c r="F29" s="205">
        <v>350.0</v>
      </c>
      <c r="G29" s="200">
        <v>350.0</v>
      </c>
      <c r="H29" s="199">
        <v>0.0</v>
      </c>
      <c r="I29" s="199">
        <v>0.0</v>
      </c>
      <c r="J29" s="199">
        <v>0.0</v>
      </c>
      <c r="K29" s="199">
        <v>0.0</v>
      </c>
      <c r="L29" s="199">
        <v>0.0</v>
      </c>
      <c r="M29" s="200">
        <v>1.0</v>
      </c>
      <c r="N29" s="200">
        <v>1.0</v>
      </c>
      <c r="O29" s="199">
        <v>0.0</v>
      </c>
      <c r="P29" s="199">
        <v>0.0</v>
      </c>
      <c r="Q29" s="199">
        <v>0.0</v>
      </c>
      <c r="R29" s="199">
        <v>0.0</v>
      </c>
      <c r="S29" s="199">
        <v>0.0</v>
      </c>
      <c r="T29" s="199">
        <v>0.0</v>
      </c>
      <c r="V29" s="201">
        <f t="shared" si="1"/>
        <v>303.52</v>
      </c>
      <c r="W29" s="202">
        <f>Raw_Data_RM_Completions!B25</f>
        <v>195.84</v>
      </c>
    </row>
    <row r="30">
      <c r="B30" s="196">
        <v>25.0</v>
      </c>
      <c r="C30" s="196">
        <v>8750.0</v>
      </c>
      <c r="D30" s="196">
        <v>160510.0</v>
      </c>
      <c r="E30" s="207" t="b">
        <f>IFERROR(__xludf.DUMMYFUNCTION("if(countif($F30:$T30, ""&lt;&gt;0"")&lt;1, ""NO REWARD!"", if(counta(filter($F30:$T30, $F30:$T30&lt;&gt;0))&gt;1, TRUE, FALSE))"),FALSE)</f>
        <v>0</v>
      </c>
      <c r="F30" s="198">
        <v>0.0</v>
      </c>
      <c r="G30" s="199">
        <v>0.0</v>
      </c>
      <c r="H30" s="199">
        <v>0.0</v>
      </c>
      <c r="I30" s="199">
        <v>0.0</v>
      </c>
      <c r="J30" s="199">
        <v>0.0</v>
      </c>
      <c r="K30" s="199">
        <v>0.0</v>
      </c>
      <c r="L30" s="199">
        <v>0.0</v>
      </c>
      <c r="M30" s="199">
        <v>0.0</v>
      </c>
      <c r="N30" s="199">
        <v>0.0</v>
      </c>
      <c r="O30" s="200">
        <v>60.0</v>
      </c>
      <c r="P30" s="199">
        <v>0.0</v>
      </c>
      <c r="Q30" s="199">
        <v>0.0</v>
      </c>
      <c r="R30" s="199">
        <v>0.0</v>
      </c>
      <c r="S30" s="199">
        <v>0.0</v>
      </c>
      <c r="T30" s="199">
        <v>0.0</v>
      </c>
      <c r="V30" s="201">
        <f t="shared" si="1"/>
        <v>321.02</v>
      </c>
      <c r="W30" s="202">
        <f>Raw_Data_RM_Completions!B26</f>
        <v>203.74</v>
      </c>
    </row>
    <row r="31">
      <c r="B31" s="203">
        <v>26.0</v>
      </c>
      <c r="C31" s="203">
        <v>14250.0</v>
      </c>
      <c r="D31" s="203">
        <v>174760.0</v>
      </c>
      <c r="E31" s="204" t="b">
        <f>IFERROR(__xludf.DUMMYFUNCTION("if(countif($F31:$T31, ""&lt;&gt;0"")&lt;1, ""NO REWARD!"", if(counta(filter($F31:$T31, $F31:$T31&lt;&gt;0))&gt;1, TRUE, FALSE))"),FALSE)</f>
        <v>0</v>
      </c>
      <c r="F31" s="198">
        <v>0.0</v>
      </c>
      <c r="G31" s="199">
        <v>0.0</v>
      </c>
      <c r="H31" s="199">
        <v>0.0</v>
      </c>
      <c r="I31" s="199">
        <v>0.0</v>
      </c>
      <c r="J31" s="199">
        <v>0.0</v>
      </c>
      <c r="K31" s="200">
        <v>2.0</v>
      </c>
      <c r="L31" s="199">
        <v>0.0</v>
      </c>
      <c r="M31" s="199">
        <v>0.0</v>
      </c>
      <c r="N31" s="199">
        <v>0.0</v>
      </c>
      <c r="O31" s="199">
        <v>0.0</v>
      </c>
      <c r="P31" s="199">
        <v>0.0</v>
      </c>
      <c r="Q31" s="199">
        <v>0.0</v>
      </c>
      <c r="R31" s="199">
        <v>0.0</v>
      </c>
      <c r="S31" s="199">
        <v>0.0</v>
      </c>
      <c r="T31" s="199">
        <v>0.0</v>
      </c>
      <c r="V31" s="201">
        <f t="shared" si="1"/>
        <v>349.52</v>
      </c>
      <c r="W31" s="202">
        <f>Raw_Data_RM_Completions!B27</f>
        <v>216.66</v>
      </c>
    </row>
    <row r="32">
      <c r="B32" s="196">
        <v>27.0</v>
      </c>
      <c r="C32" s="196">
        <v>44000.0</v>
      </c>
      <c r="D32" s="196">
        <v>218760.0</v>
      </c>
      <c r="E32" s="207" t="b">
        <f>IFERROR(__xludf.DUMMYFUNCTION("if(countif($F32:$T32, ""&lt;&gt;0"")&lt;1, ""NO REWARD!"", if(counta(filter($F32:$T32, $F32:$T32&lt;&gt;0))&gt;1, TRUE, FALSE))"),FALSE)</f>
        <v>0</v>
      </c>
      <c r="F32" s="198">
        <v>0.0</v>
      </c>
      <c r="G32" s="200">
        <v>600.0</v>
      </c>
      <c r="H32" s="199">
        <v>0.0</v>
      </c>
      <c r="I32" s="199">
        <v>0.0</v>
      </c>
      <c r="J32" s="199">
        <v>0.0</v>
      </c>
      <c r="K32" s="199">
        <v>0.0</v>
      </c>
      <c r="L32" s="199">
        <v>0.0</v>
      </c>
      <c r="M32" s="199">
        <v>0.0</v>
      </c>
      <c r="N32" s="199">
        <v>0.0</v>
      </c>
      <c r="O32" s="199">
        <v>0.0</v>
      </c>
      <c r="P32" s="199">
        <v>0.0</v>
      </c>
      <c r="Q32" s="199">
        <v>0.0</v>
      </c>
      <c r="R32" s="199">
        <v>0.0</v>
      </c>
      <c r="S32" s="199">
        <v>0.0</v>
      </c>
      <c r="T32" s="199">
        <v>0.0</v>
      </c>
      <c r="V32" s="201">
        <f t="shared" si="1"/>
        <v>437.52</v>
      </c>
      <c r="W32" s="202">
        <f>Raw_Data_RM_Completions!B28</f>
        <v>245.04</v>
      </c>
    </row>
    <row r="33">
      <c r="B33" s="203">
        <v>28.0</v>
      </c>
      <c r="C33" s="203">
        <v>16500.0</v>
      </c>
      <c r="D33" s="203">
        <v>235260.0</v>
      </c>
      <c r="E33" s="204" t="b">
        <f>IFERROR(__xludf.DUMMYFUNCTION("if(countif($F33:$T33, ""&lt;&gt;0"")&lt;1, ""NO REWARD!"", if(counta(filter($F33:$T33, $F33:$T33&lt;&gt;0))&gt;1, TRUE, FALSE))"),FALSE)</f>
        <v>0</v>
      </c>
      <c r="F33" s="198">
        <v>0.0</v>
      </c>
      <c r="G33" s="199">
        <v>0.0</v>
      </c>
      <c r="H33" s="199">
        <v>0.0</v>
      </c>
      <c r="I33" s="199">
        <v>0.0</v>
      </c>
      <c r="J33" s="199">
        <v>0.0</v>
      </c>
      <c r="K33" s="199">
        <v>0.0</v>
      </c>
      <c r="L33" s="199">
        <v>0.0</v>
      </c>
      <c r="M33" s="199">
        <v>0.0</v>
      </c>
      <c r="N33" s="199">
        <v>0.0</v>
      </c>
      <c r="O33" s="200">
        <v>60.0</v>
      </c>
      <c r="P33" s="199">
        <v>0.0</v>
      </c>
      <c r="Q33" s="199">
        <v>0.0</v>
      </c>
      <c r="R33" s="199">
        <v>0.0</v>
      </c>
      <c r="S33" s="199">
        <v>0.0</v>
      </c>
      <c r="T33" s="199">
        <v>0.0</v>
      </c>
      <c r="V33" s="201">
        <f t="shared" si="1"/>
        <v>470.52</v>
      </c>
      <c r="W33" s="202">
        <f>Raw_Data_RM_Completions!B29</f>
        <v>261.15</v>
      </c>
    </row>
    <row r="34">
      <c r="B34" s="196">
        <v>29.0</v>
      </c>
      <c r="C34" s="196">
        <v>34000.0</v>
      </c>
      <c r="D34" s="196">
        <v>269260.0</v>
      </c>
      <c r="E34" s="207" t="b">
        <f>IFERROR(__xludf.DUMMYFUNCTION("if(countif($F34:$T34, ""&lt;&gt;0"")&lt;1, ""NO REWARD!"", if(counta(filter($F34:$T34, $F34:$T34&lt;&gt;0))&gt;1, TRUE, FALSE))"),FALSE)</f>
        <v>0</v>
      </c>
      <c r="F34" s="198">
        <v>0.0</v>
      </c>
      <c r="G34" s="199">
        <v>0.0</v>
      </c>
      <c r="H34" s="199">
        <v>0.0</v>
      </c>
      <c r="I34" s="199">
        <v>0.0</v>
      </c>
      <c r="J34" s="199">
        <v>0.0</v>
      </c>
      <c r="K34" s="200">
        <v>3.0</v>
      </c>
      <c r="L34" s="199">
        <v>0.0</v>
      </c>
      <c r="M34" s="199">
        <v>0.0</v>
      </c>
      <c r="N34" s="199">
        <v>0.0</v>
      </c>
      <c r="O34" s="199">
        <v>0.0</v>
      </c>
      <c r="P34" s="199">
        <v>0.0</v>
      </c>
      <c r="Q34" s="199">
        <v>0.0</v>
      </c>
      <c r="R34" s="199">
        <v>0.0</v>
      </c>
      <c r="S34" s="199">
        <v>0.0</v>
      </c>
      <c r="T34" s="199">
        <v>0.0</v>
      </c>
      <c r="V34" s="201">
        <f t="shared" si="1"/>
        <v>538.52</v>
      </c>
      <c r="W34" s="202">
        <f>Raw_Data_RM_Completions!B30</f>
        <v>290.31</v>
      </c>
    </row>
    <row r="35">
      <c r="B35" s="203">
        <v>30.0</v>
      </c>
      <c r="C35" s="203">
        <v>83000.0</v>
      </c>
      <c r="D35" s="203">
        <v>352260.0</v>
      </c>
      <c r="E35" s="197" t="b">
        <f>IFERROR(__xludf.DUMMYFUNCTION("if(countif($F35:$T35, ""&lt;&gt;0"")&lt;1, ""NO REWARD!"", if(counta(filter($F35:$T35, $F35:$T35&lt;&gt;0))&gt;1, TRUE, FALSE))"),TRUE)</f>
        <v>1</v>
      </c>
      <c r="F35" s="214">
        <v>600.0</v>
      </c>
      <c r="G35" s="199">
        <v>0.0</v>
      </c>
      <c r="H35" s="199">
        <v>0.0</v>
      </c>
      <c r="I35" s="199">
        <v>0.0</v>
      </c>
      <c r="J35" s="199">
        <v>0.0</v>
      </c>
      <c r="K35" s="199">
        <v>0.0</v>
      </c>
      <c r="L35" s="200">
        <v>3.0</v>
      </c>
      <c r="M35" s="200">
        <v>3.0</v>
      </c>
      <c r="N35" s="200">
        <v>3.0</v>
      </c>
      <c r="O35" s="199">
        <v>0.0</v>
      </c>
      <c r="P35" s="199">
        <v>0.0</v>
      </c>
      <c r="Q35" s="199">
        <v>0.0</v>
      </c>
      <c r="R35" s="199">
        <v>0.0</v>
      </c>
      <c r="S35" s="199">
        <v>0.0</v>
      </c>
      <c r="T35" s="199">
        <v>0.0</v>
      </c>
      <c r="V35" s="201">
        <f t="shared" si="1"/>
        <v>704.52</v>
      </c>
      <c r="W35" s="202">
        <f>Raw_Data_RM_Completions!B31</f>
        <v>298.1</v>
      </c>
    </row>
    <row r="38">
      <c r="B38" s="215" t="s">
        <v>269</v>
      </c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</row>
    <row r="39">
      <c r="B39" s="190" t="s">
        <v>258</v>
      </c>
      <c r="C39" s="191" t="s">
        <v>259</v>
      </c>
      <c r="D39" s="191" t="s">
        <v>260</v>
      </c>
      <c r="E39" s="191" t="s">
        <v>261</v>
      </c>
      <c r="F39" s="216" t="s">
        <v>262</v>
      </c>
      <c r="G39" s="217" t="s">
        <v>115</v>
      </c>
      <c r="H39" s="217" t="s">
        <v>263</v>
      </c>
      <c r="I39" s="217" t="s">
        <v>79</v>
      </c>
      <c r="J39" s="217" t="s">
        <v>85</v>
      </c>
      <c r="K39" s="217" t="s">
        <v>91</v>
      </c>
      <c r="L39" s="217" t="s">
        <v>97</v>
      </c>
      <c r="M39" s="217" t="s">
        <v>103</v>
      </c>
      <c r="N39" s="217" t="s">
        <v>240</v>
      </c>
      <c r="O39" s="217" t="s">
        <v>241</v>
      </c>
      <c r="P39" s="217" t="s">
        <v>242</v>
      </c>
      <c r="Q39" s="217" t="s">
        <v>243</v>
      </c>
      <c r="R39" s="217" t="s">
        <v>244</v>
      </c>
      <c r="S39" s="217" t="s">
        <v>264</v>
      </c>
      <c r="T39" s="217" t="s">
        <v>265</v>
      </c>
      <c r="V39" s="194" t="s">
        <v>266</v>
      </c>
      <c r="W39" s="195" t="s">
        <v>270</v>
      </c>
    </row>
    <row r="40">
      <c r="B40" s="196">
        <v>1.0</v>
      </c>
      <c r="C40" s="196">
        <v>160.0</v>
      </c>
      <c r="D40" s="196">
        <v>160.0</v>
      </c>
      <c r="E40" s="197" t="b">
        <f>IFERROR(__xludf.DUMMYFUNCTION("if(countif($F40:$T40, ""&lt;&gt;0"")&lt;1, ""NO REWARD!"", if(counta(filter($F40:$T40, $F40:$T40&lt;&gt;0))&gt;1, TRUE, FALSE))"),FALSE)</f>
        <v>0</v>
      </c>
      <c r="F40" s="218">
        <v>0.0</v>
      </c>
      <c r="G40" s="196">
        <v>0.0</v>
      </c>
      <c r="H40" s="196">
        <v>0.0</v>
      </c>
      <c r="I40" s="196">
        <v>1.0</v>
      </c>
      <c r="J40" s="196">
        <v>0.0</v>
      </c>
      <c r="K40" s="196">
        <v>0.0</v>
      </c>
      <c r="L40" s="196">
        <v>0.0</v>
      </c>
      <c r="M40" s="196">
        <v>0.0</v>
      </c>
      <c r="N40" s="196">
        <v>0.0</v>
      </c>
      <c r="O40" s="196">
        <v>0.0</v>
      </c>
      <c r="P40" s="196">
        <v>0.0</v>
      </c>
      <c r="Q40" s="196">
        <v>0.0</v>
      </c>
      <c r="R40" s="196">
        <v>0.0</v>
      </c>
      <c r="S40" s="196">
        <v>0.0</v>
      </c>
      <c r="T40" s="196">
        <v>0.0</v>
      </c>
      <c r="V40" s="201">
        <f t="shared" ref="V40:V69" si="2">D40/500</f>
        <v>0.32</v>
      </c>
      <c r="W40" s="202">
        <f t="shared" ref="W40:W69" si="3">-0.00055212 * (V40^2) + 0.807905 * V40 + 4.457676</f>
        <v>4.716149063</v>
      </c>
    </row>
    <row r="41">
      <c r="B41" s="203">
        <v>2.0</v>
      </c>
      <c r="C41" s="203">
        <v>300.0</v>
      </c>
      <c r="D41" s="203">
        <v>460.0</v>
      </c>
      <c r="E41" s="204" t="b">
        <f>IFERROR(__xludf.DUMMYFUNCTION("if(countif($F41:$T41, ""&lt;&gt;0"")&lt;1, ""NO REWARD!"", if(counta(filter($F41:$T41, $F41:$T41&lt;&gt;0))&gt;1, TRUE, FALSE))"),FALSE)</f>
        <v>0</v>
      </c>
      <c r="F41" s="218">
        <v>10.0</v>
      </c>
      <c r="G41" s="196">
        <v>0.0</v>
      </c>
      <c r="H41" s="196">
        <v>0.0</v>
      </c>
      <c r="I41" s="196">
        <v>0.0</v>
      </c>
      <c r="J41" s="196">
        <v>0.0</v>
      </c>
      <c r="K41" s="196">
        <v>0.0</v>
      </c>
      <c r="L41" s="196">
        <v>0.0</v>
      </c>
      <c r="M41" s="196">
        <v>0.0</v>
      </c>
      <c r="N41" s="196">
        <v>0.0</v>
      </c>
      <c r="O41" s="196">
        <v>0.0</v>
      </c>
      <c r="P41" s="196">
        <v>0.0</v>
      </c>
      <c r="Q41" s="196">
        <v>0.0</v>
      </c>
      <c r="R41" s="196">
        <v>0.0</v>
      </c>
      <c r="S41" s="196">
        <v>0.0</v>
      </c>
      <c r="T41" s="196">
        <v>0.0</v>
      </c>
      <c r="V41" s="201">
        <f t="shared" si="2"/>
        <v>0.92</v>
      </c>
      <c r="W41" s="202">
        <f t="shared" si="3"/>
        <v>5.200481286</v>
      </c>
    </row>
    <row r="42">
      <c r="B42" s="196">
        <v>3.0</v>
      </c>
      <c r="C42" s="196">
        <v>1000.0</v>
      </c>
      <c r="D42" s="196">
        <v>1460.0</v>
      </c>
      <c r="E42" s="207" t="b">
        <f>IFERROR(__xludf.DUMMYFUNCTION("if(countif($F42:$T42, ""&lt;&gt;0"")&lt;1, ""NO REWARD!"", if(counta(filter($F42:$T42, $F42:$T42&lt;&gt;0))&gt;1, TRUE, FALSE))"),FALSE)</f>
        <v>0</v>
      </c>
      <c r="F42" s="218">
        <v>0.0</v>
      </c>
      <c r="G42" s="196">
        <v>0.0</v>
      </c>
      <c r="H42" s="196">
        <v>0.0</v>
      </c>
      <c r="I42" s="196">
        <v>0.0</v>
      </c>
      <c r="J42" s="196">
        <v>0.0</v>
      </c>
      <c r="K42" s="196">
        <v>0.0</v>
      </c>
      <c r="L42" s="196">
        <v>0.0</v>
      </c>
      <c r="M42" s="196">
        <v>0.0</v>
      </c>
      <c r="N42" s="196">
        <v>0.0</v>
      </c>
      <c r="O42" s="196">
        <v>10.0</v>
      </c>
      <c r="P42" s="196">
        <v>0.0</v>
      </c>
      <c r="Q42" s="196">
        <v>0.0</v>
      </c>
      <c r="R42" s="196">
        <v>0.0</v>
      </c>
      <c r="S42" s="196">
        <v>0.0</v>
      </c>
      <c r="T42" s="196">
        <v>0.0</v>
      </c>
      <c r="V42" s="201">
        <f t="shared" si="2"/>
        <v>2.92</v>
      </c>
      <c r="W42" s="202">
        <f t="shared" si="3"/>
        <v>6.812051004</v>
      </c>
    </row>
    <row r="43">
      <c r="B43" s="203">
        <v>4.0</v>
      </c>
      <c r="C43" s="203">
        <v>250.0</v>
      </c>
      <c r="D43" s="203">
        <v>1710.0</v>
      </c>
      <c r="E43" s="204" t="b">
        <f>IFERROR(__xludf.DUMMYFUNCTION("if(countif($F43:$T43, ""&lt;&gt;0"")&lt;1, ""NO REWARD!"", if(counta(filter($F43:$T43, $F43:$T43&lt;&gt;0))&gt;1, TRUE, FALSE))"),FALSE)</f>
        <v>0</v>
      </c>
      <c r="F43" s="218">
        <v>0.0</v>
      </c>
      <c r="G43" s="196">
        <v>10.0</v>
      </c>
      <c r="H43" s="196">
        <v>0.0</v>
      </c>
      <c r="I43" s="196">
        <v>0.0</v>
      </c>
      <c r="J43" s="196">
        <v>0.0</v>
      </c>
      <c r="K43" s="196">
        <v>0.0</v>
      </c>
      <c r="L43" s="196">
        <v>0.0</v>
      </c>
      <c r="M43" s="196">
        <v>0.0</v>
      </c>
      <c r="N43" s="196">
        <v>0.0</v>
      </c>
      <c r="O43" s="196">
        <v>0.0</v>
      </c>
      <c r="P43" s="196">
        <v>0.0</v>
      </c>
      <c r="Q43" s="196">
        <v>0.0</v>
      </c>
      <c r="R43" s="196">
        <v>0.0</v>
      </c>
      <c r="S43" s="196">
        <v>0.0</v>
      </c>
      <c r="T43" s="196">
        <v>0.0</v>
      </c>
      <c r="V43" s="201">
        <f t="shared" si="2"/>
        <v>3.42</v>
      </c>
      <c r="W43" s="202">
        <f t="shared" si="3"/>
        <v>7.214253284</v>
      </c>
    </row>
    <row r="44">
      <c r="B44" s="196">
        <v>5.0</v>
      </c>
      <c r="C44" s="196">
        <v>500.0</v>
      </c>
      <c r="D44" s="196">
        <v>2210.0</v>
      </c>
      <c r="E44" s="207" t="b">
        <f>IFERROR(__xludf.DUMMYFUNCTION("if(countif($F44:$T44, ""&lt;&gt;0"")&lt;1, ""NO REWARD!"", if(counta(filter($F44:$T44, $F44:$T44&lt;&gt;0))&gt;1, TRUE, FALSE))"),FALSE)</f>
        <v>0</v>
      </c>
      <c r="F44" s="218">
        <v>0.0</v>
      </c>
      <c r="G44" s="196">
        <v>0.0</v>
      </c>
      <c r="H44" s="196">
        <v>0.0</v>
      </c>
      <c r="I44" s="196">
        <v>0.0</v>
      </c>
      <c r="J44" s="196">
        <v>1.0</v>
      </c>
      <c r="K44" s="196">
        <v>0.0</v>
      </c>
      <c r="L44" s="196">
        <v>0.0</v>
      </c>
      <c r="M44" s="196">
        <v>0.0</v>
      </c>
      <c r="N44" s="196">
        <v>0.0</v>
      </c>
      <c r="O44" s="196">
        <v>0.0</v>
      </c>
      <c r="P44" s="196">
        <v>0.0</v>
      </c>
      <c r="Q44" s="196">
        <v>0.0</v>
      </c>
      <c r="R44" s="196">
        <v>0.0</v>
      </c>
      <c r="S44" s="196">
        <v>0.0</v>
      </c>
      <c r="T44" s="196">
        <v>0.0</v>
      </c>
      <c r="V44" s="201">
        <f t="shared" si="2"/>
        <v>4.42</v>
      </c>
      <c r="W44" s="202">
        <f t="shared" si="3"/>
        <v>8.017829663</v>
      </c>
    </row>
    <row r="45">
      <c r="B45" s="203">
        <v>6.0</v>
      </c>
      <c r="C45" s="203">
        <v>1600.0</v>
      </c>
      <c r="D45" s="203">
        <v>3810.0</v>
      </c>
      <c r="E45" s="197" t="b">
        <f>IFERROR(__xludf.DUMMYFUNCTION("if(countif($F45:$T45, ""&lt;&gt;0"")&lt;1, ""NO REWARD!"", if(counta(filter($F45:$T45, $F45:$T45&lt;&gt;0))&gt;1, TRUE, FALSE))"),TRUE)</f>
        <v>1</v>
      </c>
      <c r="F45" s="218">
        <v>0.0</v>
      </c>
      <c r="G45" s="196">
        <v>0.0</v>
      </c>
      <c r="H45" s="196">
        <v>10.0</v>
      </c>
      <c r="I45" s="196">
        <v>0.0</v>
      </c>
      <c r="J45" s="196">
        <v>0.0</v>
      </c>
      <c r="K45" s="196">
        <v>0.0</v>
      </c>
      <c r="L45" s="196">
        <v>0.0</v>
      </c>
      <c r="M45" s="196">
        <v>0.0</v>
      </c>
      <c r="N45" s="196">
        <v>0.0</v>
      </c>
      <c r="O45" s="196">
        <v>15.0</v>
      </c>
      <c r="P45" s="196">
        <v>0.0</v>
      </c>
      <c r="Q45" s="196">
        <v>0.0</v>
      </c>
      <c r="R45" s="196">
        <v>0.0</v>
      </c>
      <c r="S45" s="196">
        <v>0.0</v>
      </c>
      <c r="T45" s="196">
        <v>0.0</v>
      </c>
      <c r="V45" s="201">
        <f t="shared" si="2"/>
        <v>7.62</v>
      </c>
      <c r="W45" s="202">
        <f t="shared" si="3"/>
        <v>10.58185358</v>
      </c>
    </row>
    <row r="46">
      <c r="B46" s="196">
        <v>7.0</v>
      </c>
      <c r="C46" s="196">
        <v>500.0</v>
      </c>
      <c r="D46" s="196">
        <v>4310.0</v>
      </c>
      <c r="E46" s="207" t="b">
        <f>IFERROR(__xludf.DUMMYFUNCTION("if(countif($F46:$T46, ""&lt;&gt;0"")&lt;1, ""NO REWARD!"", if(counta(filter($F46:$T46, $F46:$T46&lt;&gt;0))&gt;1, TRUE, FALSE))"),FALSE)</f>
        <v>0</v>
      </c>
      <c r="F46" s="218">
        <v>0.0</v>
      </c>
      <c r="G46" s="196">
        <v>30.0</v>
      </c>
      <c r="H46" s="196">
        <v>0.0</v>
      </c>
      <c r="I46" s="196">
        <v>0.0</v>
      </c>
      <c r="J46" s="196">
        <v>0.0</v>
      </c>
      <c r="K46" s="196">
        <v>0.0</v>
      </c>
      <c r="L46" s="196">
        <v>0.0</v>
      </c>
      <c r="M46" s="196">
        <v>0.0</v>
      </c>
      <c r="N46" s="196">
        <v>0.0</v>
      </c>
      <c r="O46" s="196">
        <v>0.0</v>
      </c>
      <c r="P46" s="196">
        <v>0.0</v>
      </c>
      <c r="Q46" s="196">
        <v>0.0</v>
      </c>
      <c r="R46" s="196">
        <v>0.0</v>
      </c>
      <c r="S46" s="196">
        <v>0.0</v>
      </c>
      <c r="T46" s="196">
        <v>0.0</v>
      </c>
      <c r="V46" s="201">
        <f t="shared" si="2"/>
        <v>8.62</v>
      </c>
      <c r="W46" s="202">
        <f t="shared" si="3"/>
        <v>11.38079215</v>
      </c>
    </row>
    <row r="47">
      <c r="B47" s="203">
        <v>8.0</v>
      </c>
      <c r="C47" s="203">
        <v>1000.0</v>
      </c>
      <c r="D47" s="203">
        <v>5310.0</v>
      </c>
      <c r="E47" s="204" t="b">
        <f>IFERROR(__xludf.DUMMYFUNCTION("if(countif($F47:$T47, ""&lt;&gt;0"")&lt;1, ""NO REWARD!"", if(counta(filter($F47:$T47, $F47:$T47&lt;&gt;0))&gt;1, TRUE, FALSE))"),FALSE)</f>
        <v>0</v>
      </c>
      <c r="F47" s="218">
        <v>0.0</v>
      </c>
      <c r="G47" s="196">
        <v>0.0</v>
      </c>
      <c r="H47" s="196">
        <v>0.0</v>
      </c>
      <c r="I47" s="196">
        <v>0.0</v>
      </c>
      <c r="J47" s="219">
        <v>1.0</v>
      </c>
      <c r="K47" s="196">
        <v>0.0</v>
      </c>
      <c r="L47" s="196">
        <v>0.0</v>
      </c>
      <c r="M47" s="196">
        <v>0.0</v>
      </c>
      <c r="N47" s="219">
        <v>0.0</v>
      </c>
      <c r="O47" s="196">
        <v>0.0</v>
      </c>
      <c r="P47" s="196">
        <v>0.0</v>
      </c>
      <c r="Q47" s="196">
        <v>0.0</v>
      </c>
      <c r="R47" s="196">
        <v>0.0</v>
      </c>
      <c r="S47" s="196">
        <v>0.0</v>
      </c>
      <c r="T47" s="196">
        <v>0.0</v>
      </c>
      <c r="V47" s="201">
        <f t="shared" si="2"/>
        <v>10.62</v>
      </c>
      <c r="W47" s="202">
        <f t="shared" si="3"/>
        <v>12.97535658</v>
      </c>
    </row>
    <row r="48">
      <c r="B48" s="196">
        <v>9.0</v>
      </c>
      <c r="C48" s="196">
        <v>3300.0</v>
      </c>
      <c r="D48" s="196">
        <v>8610.0</v>
      </c>
      <c r="E48" s="207" t="b">
        <f>IFERROR(__xludf.DUMMYFUNCTION("if(countif($F48:$T48, ""&lt;&gt;0"")&lt;1, ""NO REWARD!"", if(counta(filter($F48:$T48, $F48:$T48&lt;&gt;0))&gt;1, TRUE, FALSE))"),FALSE)</f>
        <v>0</v>
      </c>
      <c r="F48" s="218">
        <v>20.0</v>
      </c>
      <c r="G48" s="196">
        <v>0.0</v>
      </c>
      <c r="H48" s="196">
        <v>0.0</v>
      </c>
      <c r="I48" s="196">
        <v>0.0</v>
      </c>
      <c r="J48" s="196">
        <v>0.0</v>
      </c>
      <c r="K48" s="196">
        <v>0.0</v>
      </c>
      <c r="L48" s="196">
        <v>0.0</v>
      </c>
      <c r="M48" s="196">
        <v>0.0</v>
      </c>
      <c r="N48" s="196">
        <v>0.0</v>
      </c>
      <c r="O48" s="196">
        <v>0.0</v>
      </c>
      <c r="P48" s="196">
        <v>0.0</v>
      </c>
      <c r="Q48" s="196">
        <v>0.0</v>
      </c>
      <c r="R48" s="196">
        <v>0.0</v>
      </c>
      <c r="S48" s="196">
        <v>0.0</v>
      </c>
      <c r="T48" s="196">
        <v>0.0</v>
      </c>
      <c r="V48" s="201">
        <f t="shared" si="2"/>
        <v>17.22</v>
      </c>
      <c r="W48" s="202">
        <f t="shared" si="3"/>
        <v>18.20608084</v>
      </c>
    </row>
    <row r="49">
      <c r="B49" s="203">
        <v>10.0</v>
      </c>
      <c r="C49" s="203">
        <v>1100.0</v>
      </c>
      <c r="D49" s="203">
        <v>9710.0</v>
      </c>
      <c r="E49" s="204" t="b">
        <f>IFERROR(__xludf.DUMMYFUNCTION("if(countif($F49:$T49, ""&lt;&gt;0"")&lt;1, ""NO REWARD!"", if(counta(filter($F49:$T49, $F49:$T49&lt;&gt;0))&gt;1, TRUE, FALSE))"),FALSE)</f>
        <v>0</v>
      </c>
      <c r="F49" s="218">
        <v>0.0</v>
      </c>
      <c r="G49" s="196">
        <v>50.0</v>
      </c>
      <c r="H49" s="196">
        <v>0.0</v>
      </c>
      <c r="I49" s="196">
        <v>0.0</v>
      </c>
      <c r="J49" s="196">
        <v>0.0</v>
      </c>
      <c r="K49" s="196">
        <v>0.0</v>
      </c>
      <c r="L49" s="196">
        <v>0.0</v>
      </c>
      <c r="M49" s="196">
        <v>0.0</v>
      </c>
      <c r="N49" s="196">
        <v>0.0</v>
      </c>
      <c r="O49" s="196">
        <v>0.0</v>
      </c>
      <c r="P49" s="196">
        <v>0.0</v>
      </c>
      <c r="Q49" s="196">
        <v>0.0</v>
      </c>
      <c r="R49" s="196">
        <v>0.0</v>
      </c>
      <c r="S49" s="196">
        <v>0.0</v>
      </c>
      <c r="T49" s="196">
        <v>0.0</v>
      </c>
      <c r="V49" s="201">
        <f t="shared" si="2"/>
        <v>19.42</v>
      </c>
      <c r="W49" s="202">
        <f t="shared" si="3"/>
        <v>19.93896655</v>
      </c>
    </row>
    <row r="50">
      <c r="B50" s="196">
        <v>11.0</v>
      </c>
      <c r="C50" s="196">
        <v>2200.0</v>
      </c>
      <c r="D50" s="196">
        <v>11910.0</v>
      </c>
      <c r="E50" s="207" t="b">
        <f>IFERROR(__xludf.DUMMYFUNCTION("if(countif($F50:$T50, ""&lt;&gt;0"")&lt;1, ""NO REWARD!"", if(counta(filter($F50:$T50, $F50:$T50&lt;&gt;0))&gt;1, TRUE, FALSE))"),FALSE)</f>
        <v>0</v>
      </c>
      <c r="F50" s="218">
        <v>0.0</v>
      </c>
      <c r="G50" s="196">
        <v>0.0</v>
      </c>
      <c r="H50" s="196">
        <v>0.0</v>
      </c>
      <c r="I50" s="196">
        <v>0.0</v>
      </c>
      <c r="J50" s="196">
        <v>0.0</v>
      </c>
      <c r="K50" s="196">
        <v>0.0</v>
      </c>
      <c r="L50" s="196">
        <v>0.0</v>
      </c>
      <c r="M50" s="196">
        <v>1.0</v>
      </c>
      <c r="N50" s="196">
        <v>0.0</v>
      </c>
      <c r="O50" s="196">
        <v>0.0</v>
      </c>
      <c r="P50" s="196">
        <v>0.0</v>
      </c>
      <c r="Q50" s="196">
        <v>0.0</v>
      </c>
      <c r="R50" s="196">
        <v>0.0</v>
      </c>
      <c r="S50" s="196">
        <v>0.0</v>
      </c>
      <c r="T50" s="196">
        <v>0.0</v>
      </c>
      <c r="V50" s="201">
        <f t="shared" si="2"/>
        <v>23.82</v>
      </c>
      <c r="W50" s="202">
        <f t="shared" si="3"/>
        <v>23.38870441</v>
      </c>
    </row>
    <row r="51">
      <c r="B51" s="203">
        <v>12.0</v>
      </c>
      <c r="C51" s="203">
        <v>6500.0</v>
      </c>
      <c r="D51" s="203">
        <v>18410.0</v>
      </c>
      <c r="E51" s="197" t="b">
        <f>IFERROR(__xludf.DUMMYFUNCTION("if(countif($F51:$T51, ""&lt;&gt;0"")&lt;1, ""NO REWARD!"", if(counta(filter($F51:$T51, $F51:$T51&lt;&gt;0))&gt;1, TRUE, FALSE))"),TRUE)</f>
        <v>1</v>
      </c>
      <c r="F51" s="218">
        <v>0.0</v>
      </c>
      <c r="G51" s="196">
        <v>0.0</v>
      </c>
      <c r="H51" s="196">
        <v>0.0</v>
      </c>
      <c r="I51" s="196">
        <v>0.0</v>
      </c>
      <c r="J51" s="196">
        <v>0.0</v>
      </c>
      <c r="K51" s="196">
        <v>0.0</v>
      </c>
      <c r="L51" s="196">
        <v>0.0</v>
      </c>
      <c r="M51" s="196">
        <v>0.0</v>
      </c>
      <c r="N51" s="219">
        <v>2.0</v>
      </c>
      <c r="O51" s="196">
        <v>30.0</v>
      </c>
      <c r="P51" s="196">
        <v>0.0</v>
      </c>
      <c r="Q51" s="196">
        <v>0.0</v>
      </c>
      <c r="R51" s="196">
        <v>0.0</v>
      </c>
      <c r="S51" s="196">
        <v>0.0</v>
      </c>
      <c r="T51" s="196">
        <v>0.0</v>
      </c>
      <c r="V51" s="201">
        <f t="shared" si="2"/>
        <v>36.82</v>
      </c>
      <c r="W51" s="202">
        <f t="shared" si="3"/>
        <v>33.45622217</v>
      </c>
    </row>
    <row r="52">
      <c r="B52" s="196">
        <v>13.0</v>
      </c>
      <c r="C52" s="196">
        <v>2200.0</v>
      </c>
      <c r="D52" s="196">
        <v>20610.0</v>
      </c>
      <c r="E52" s="207" t="b">
        <f>IFERROR(__xludf.DUMMYFUNCTION("if(countif($F52:$T52, ""&lt;&gt;0"")&lt;1, ""NO REWARD!"", if(counta(filter($F52:$T52, $F52:$T52&lt;&gt;0))&gt;1, TRUE, FALSE))"),FALSE)</f>
        <v>0</v>
      </c>
      <c r="F52" s="218">
        <v>0.0</v>
      </c>
      <c r="G52" s="196">
        <v>0.0</v>
      </c>
      <c r="H52" s="196">
        <v>0.0</v>
      </c>
      <c r="I52" s="196">
        <v>0.0</v>
      </c>
      <c r="J52" s="196">
        <v>0.0</v>
      </c>
      <c r="K52" s="219">
        <v>1.0</v>
      </c>
      <c r="L52" s="219">
        <v>0.0</v>
      </c>
      <c r="M52" s="196">
        <v>0.0</v>
      </c>
      <c r="N52" s="196">
        <v>0.0</v>
      </c>
      <c r="O52" s="196">
        <v>0.0</v>
      </c>
      <c r="P52" s="196">
        <v>0.0</v>
      </c>
      <c r="Q52" s="196">
        <v>0.0</v>
      </c>
      <c r="R52" s="196">
        <v>0.0</v>
      </c>
      <c r="S52" s="196">
        <v>0.0</v>
      </c>
      <c r="T52" s="196">
        <v>0.0</v>
      </c>
      <c r="V52" s="201">
        <f t="shared" si="2"/>
        <v>41.22</v>
      </c>
      <c r="W52" s="202">
        <f t="shared" si="3"/>
        <v>36.82141941</v>
      </c>
    </row>
    <row r="53">
      <c r="B53" s="203">
        <v>14.0</v>
      </c>
      <c r="C53" s="203">
        <v>4400.0</v>
      </c>
      <c r="D53" s="203">
        <v>25010.0</v>
      </c>
      <c r="E53" s="204" t="b">
        <f>IFERROR(__xludf.DUMMYFUNCTION("if(countif($F53:$T53, ""&lt;&gt;0"")&lt;1, ""NO REWARD!"", if(counta(filter($F53:$T53, $F53:$T53&lt;&gt;0))&gt;1, TRUE, FALSE))"),FALSE)</f>
        <v>0</v>
      </c>
      <c r="F53" s="218">
        <v>0.0</v>
      </c>
      <c r="G53" s="196">
        <v>0.0</v>
      </c>
      <c r="H53" s="196">
        <v>0.0</v>
      </c>
      <c r="I53" s="196">
        <v>0.0</v>
      </c>
      <c r="J53" s="196">
        <v>0.0</v>
      </c>
      <c r="K53" s="196">
        <v>0.0</v>
      </c>
      <c r="L53" s="196">
        <v>0.0</v>
      </c>
      <c r="M53" s="196">
        <v>0.0</v>
      </c>
      <c r="N53" s="196">
        <v>0.0</v>
      </c>
      <c r="O53" s="196">
        <v>0.0</v>
      </c>
      <c r="P53" s="196">
        <v>10.0</v>
      </c>
      <c r="Q53" s="196">
        <v>0.0</v>
      </c>
      <c r="R53" s="196">
        <v>0.0</v>
      </c>
      <c r="S53" s="196">
        <v>0.0</v>
      </c>
      <c r="T53" s="196">
        <v>0.0</v>
      </c>
      <c r="V53" s="201">
        <f t="shared" si="2"/>
        <v>50.02</v>
      </c>
      <c r="W53" s="202">
        <f t="shared" si="3"/>
        <v>43.48767964</v>
      </c>
    </row>
    <row r="54">
      <c r="B54" s="196">
        <v>15.0</v>
      </c>
      <c r="C54" s="196">
        <v>13250.0</v>
      </c>
      <c r="D54" s="196">
        <v>38260.0</v>
      </c>
      <c r="E54" s="207" t="b">
        <f>IFERROR(__xludf.DUMMYFUNCTION("if(countif($F54:$T54, ""&lt;&gt;0"")&lt;1, ""NO REWARD!"", if(counta(filter($F54:$T54, $F54:$T54&lt;&gt;0))&gt;1, TRUE, FALSE))"),FALSE)</f>
        <v>0</v>
      </c>
      <c r="F54" s="218">
        <v>0.0</v>
      </c>
      <c r="G54" s="196">
        <v>75.0</v>
      </c>
      <c r="H54" s="196">
        <v>0.0</v>
      </c>
      <c r="I54" s="196">
        <v>0.0</v>
      </c>
      <c r="J54" s="196">
        <v>0.0</v>
      </c>
      <c r="K54" s="196">
        <v>0.0</v>
      </c>
      <c r="L54" s="196">
        <v>0.0</v>
      </c>
      <c r="M54" s="196">
        <v>0.0</v>
      </c>
      <c r="N54" s="196">
        <v>0.0</v>
      </c>
      <c r="O54" s="196">
        <v>0.0</v>
      </c>
      <c r="P54" s="196">
        <v>0.0</v>
      </c>
      <c r="Q54" s="196">
        <v>0.0</v>
      </c>
      <c r="R54" s="196">
        <v>0.0</v>
      </c>
      <c r="S54" s="196">
        <v>0.0</v>
      </c>
      <c r="T54" s="196">
        <v>0.0</v>
      </c>
      <c r="V54" s="201">
        <f t="shared" si="2"/>
        <v>76.52</v>
      </c>
      <c r="W54" s="202">
        <f t="shared" si="3"/>
        <v>63.04573262</v>
      </c>
    </row>
    <row r="55">
      <c r="B55" s="203">
        <v>16.0</v>
      </c>
      <c r="C55" s="203">
        <v>3300.0</v>
      </c>
      <c r="D55" s="203">
        <v>41560.0</v>
      </c>
      <c r="E55" s="204" t="b">
        <f>IFERROR(__xludf.DUMMYFUNCTION("if(countif($F55:$T55, ""&lt;&gt;0"")&lt;1, ""NO REWARD!"", if(counta(filter($F55:$T55, $F55:$T55&lt;&gt;0))&gt;1, TRUE, FALSE))"),FALSE)</f>
        <v>0</v>
      </c>
      <c r="F55" s="218">
        <v>0.0</v>
      </c>
      <c r="G55" s="196">
        <v>0.0</v>
      </c>
      <c r="H55" s="196">
        <v>0.0</v>
      </c>
      <c r="I55" s="196">
        <v>0.0</v>
      </c>
      <c r="J55" s="196">
        <v>0.0</v>
      </c>
      <c r="K55" s="196">
        <v>1.0</v>
      </c>
      <c r="L55" s="196">
        <v>0.0</v>
      </c>
      <c r="M55" s="196">
        <v>0.0</v>
      </c>
      <c r="N55" s="196">
        <v>0.0</v>
      </c>
      <c r="O55" s="196">
        <v>0.0</v>
      </c>
      <c r="P55" s="196">
        <v>0.0</v>
      </c>
      <c r="Q55" s="196">
        <v>0.0</v>
      </c>
      <c r="R55" s="196">
        <v>0.0</v>
      </c>
      <c r="S55" s="196">
        <v>0.0</v>
      </c>
      <c r="T55" s="196">
        <v>0.0</v>
      </c>
      <c r="V55" s="201">
        <f t="shared" si="2"/>
        <v>83.12</v>
      </c>
      <c r="W55" s="202">
        <f t="shared" si="3"/>
        <v>67.79617874</v>
      </c>
    </row>
    <row r="56">
      <c r="B56" s="196">
        <v>17.0</v>
      </c>
      <c r="C56" s="196">
        <v>6500.0</v>
      </c>
      <c r="D56" s="196">
        <v>48060.0</v>
      </c>
      <c r="E56" s="207" t="b">
        <f>IFERROR(__xludf.DUMMYFUNCTION("if(countif($F56:$T56, ""&lt;&gt;0"")&lt;1, ""NO REWARD!"", if(counta(filter($F56:$T56, $F56:$T56&lt;&gt;0))&gt;1, TRUE, FALSE))"),FALSE)</f>
        <v>0</v>
      </c>
      <c r="F56" s="218">
        <v>0.0</v>
      </c>
      <c r="G56" s="196">
        <v>125.0</v>
      </c>
      <c r="H56" s="196">
        <v>0.0</v>
      </c>
      <c r="I56" s="196">
        <v>0.0</v>
      </c>
      <c r="J56" s="196">
        <v>0.0</v>
      </c>
      <c r="K56" s="196">
        <v>0.0</v>
      </c>
      <c r="L56" s="196">
        <v>0.0</v>
      </c>
      <c r="M56" s="196">
        <v>0.0</v>
      </c>
      <c r="N56" s="196">
        <v>0.0</v>
      </c>
      <c r="O56" s="196">
        <v>0.0</v>
      </c>
      <c r="P56" s="196">
        <v>0.0</v>
      </c>
      <c r="Q56" s="196">
        <v>0.0</v>
      </c>
      <c r="R56" s="196">
        <v>0.0</v>
      </c>
      <c r="S56" s="196">
        <v>0.0</v>
      </c>
      <c r="T56" s="196">
        <v>0.0</v>
      </c>
      <c r="V56" s="201">
        <f t="shared" si="2"/>
        <v>96.12</v>
      </c>
      <c r="W56" s="202">
        <f t="shared" si="3"/>
        <v>77.01243788</v>
      </c>
    </row>
    <row r="57">
      <c r="B57" s="203">
        <v>18.0</v>
      </c>
      <c r="C57" s="203">
        <v>19750.0</v>
      </c>
      <c r="D57" s="203">
        <v>67810.0</v>
      </c>
      <c r="E57" s="197" t="b">
        <f>IFERROR(__xludf.DUMMYFUNCTION("if(countif($F57:$T57, ""&lt;&gt;0"")&lt;1, ""NO REWARD!"", if(counta(filter($F57:$T57, $F57:$T57&lt;&gt;0))&gt;1, TRUE, FALSE))"),TRUE)</f>
        <v>1</v>
      </c>
      <c r="F57" s="218">
        <v>30.0</v>
      </c>
      <c r="G57" s="196">
        <v>0.0</v>
      </c>
      <c r="H57" s="196">
        <v>0.0</v>
      </c>
      <c r="I57" s="219">
        <v>3.0</v>
      </c>
      <c r="J57" s="196">
        <v>0.0</v>
      </c>
      <c r="K57" s="196">
        <v>0.0</v>
      </c>
      <c r="L57" s="196">
        <v>0.0</v>
      </c>
      <c r="M57" s="196">
        <v>0.0</v>
      </c>
      <c r="N57" s="196">
        <v>0.0</v>
      </c>
      <c r="O57" s="196">
        <v>0.0</v>
      </c>
      <c r="P57" s="196">
        <v>0.0</v>
      </c>
      <c r="Q57" s="196">
        <v>0.0</v>
      </c>
      <c r="R57" s="196">
        <v>0.0</v>
      </c>
      <c r="S57" s="196">
        <v>0.0</v>
      </c>
      <c r="T57" s="196">
        <v>0.0</v>
      </c>
      <c r="V57" s="201">
        <f t="shared" si="2"/>
        <v>135.62</v>
      </c>
      <c r="W57" s="202">
        <f t="shared" si="3"/>
        <v>103.870728</v>
      </c>
    </row>
    <row r="58">
      <c r="B58" s="196">
        <v>19.0</v>
      </c>
      <c r="C58" s="196">
        <v>4200.0</v>
      </c>
      <c r="D58" s="196">
        <v>72010.0</v>
      </c>
      <c r="E58" s="207" t="b">
        <f>IFERROR(__xludf.DUMMYFUNCTION("if(countif($F58:$T58, ""&lt;&gt;0"")&lt;1, ""NO REWARD!"", if(counta(filter($F58:$T58, $F58:$T58&lt;&gt;0))&gt;1, TRUE, FALSE))"),FALSE)</f>
        <v>0</v>
      </c>
      <c r="F58" s="218">
        <v>0.0</v>
      </c>
      <c r="G58" s="196">
        <v>0.0</v>
      </c>
      <c r="H58" s="196">
        <v>20.0</v>
      </c>
      <c r="I58" s="196">
        <v>0.0</v>
      </c>
      <c r="J58" s="196">
        <v>0.0</v>
      </c>
      <c r="K58" s="196">
        <v>0.0</v>
      </c>
      <c r="L58" s="196">
        <v>0.0</v>
      </c>
      <c r="M58" s="196">
        <v>0.0</v>
      </c>
      <c r="N58" s="196">
        <v>0.0</v>
      </c>
      <c r="O58" s="196">
        <v>0.0</v>
      </c>
      <c r="P58" s="196">
        <v>0.0</v>
      </c>
      <c r="Q58" s="196">
        <v>0.0</v>
      </c>
      <c r="R58" s="196">
        <v>0.0</v>
      </c>
      <c r="S58" s="196">
        <v>0.0</v>
      </c>
      <c r="T58" s="196">
        <v>0.0</v>
      </c>
      <c r="V58" s="201">
        <f t="shared" si="2"/>
        <v>144.02</v>
      </c>
      <c r="W58" s="202">
        <f t="shared" si="3"/>
        <v>109.3602133</v>
      </c>
    </row>
    <row r="59">
      <c r="B59" s="203">
        <v>20.0</v>
      </c>
      <c r="C59" s="203">
        <v>8250.0</v>
      </c>
      <c r="D59" s="203">
        <v>80260.0</v>
      </c>
      <c r="E59" s="204" t="b">
        <f>IFERROR(__xludf.DUMMYFUNCTION("if(countif($F59:$T59, ""&lt;&gt;0"")&lt;1, ""NO REWARD!"", if(counta(filter($F59:$T59, $F59:$T59&lt;&gt;0))&gt;1, TRUE, FALSE))"),FALSE)</f>
        <v>0</v>
      </c>
      <c r="F59" s="218">
        <v>0.0</v>
      </c>
      <c r="G59" s="196">
        <v>0.0</v>
      </c>
      <c r="H59" s="196">
        <v>0.0</v>
      </c>
      <c r="I59" s="196">
        <v>0.0</v>
      </c>
      <c r="J59" s="196">
        <v>0.0</v>
      </c>
      <c r="K59" s="196">
        <v>0.0</v>
      </c>
      <c r="L59" s="196">
        <v>0.0</v>
      </c>
      <c r="M59" s="196">
        <v>1.0</v>
      </c>
      <c r="N59" s="196">
        <v>0.0</v>
      </c>
      <c r="O59" s="196">
        <v>0.0</v>
      </c>
      <c r="P59" s="196">
        <v>0.0</v>
      </c>
      <c r="Q59" s="196">
        <v>0.0</v>
      </c>
      <c r="R59" s="196">
        <v>0.0</v>
      </c>
      <c r="S59" s="196">
        <v>0.0</v>
      </c>
      <c r="T59" s="196">
        <v>0.0</v>
      </c>
      <c r="V59" s="201">
        <f t="shared" si="2"/>
        <v>160.52</v>
      </c>
      <c r="W59" s="202">
        <f t="shared" si="3"/>
        <v>119.9162925</v>
      </c>
    </row>
    <row r="60">
      <c r="B60" s="196">
        <v>21.0</v>
      </c>
      <c r="C60" s="196">
        <v>22000.0</v>
      </c>
      <c r="D60" s="196">
        <v>102260.0</v>
      </c>
      <c r="E60" s="207" t="b">
        <f>IFERROR(__xludf.DUMMYFUNCTION("if(countif($F60:$T60, ""&lt;&gt;0"")&lt;1, ""NO REWARD!"", if(counta(filter($F60:$T60, $F60:$T60&lt;&gt;0))&gt;1, TRUE, FALSE))"),FALSE)</f>
        <v>0</v>
      </c>
      <c r="F60" s="218">
        <v>0.0</v>
      </c>
      <c r="G60" s="196">
        <v>200.0</v>
      </c>
      <c r="H60" s="196">
        <v>0.0</v>
      </c>
      <c r="I60" s="196">
        <v>0.0</v>
      </c>
      <c r="J60" s="196">
        <v>0.0</v>
      </c>
      <c r="K60" s="196">
        <v>0.0</v>
      </c>
      <c r="L60" s="196">
        <v>0.0</v>
      </c>
      <c r="M60" s="196">
        <v>0.0</v>
      </c>
      <c r="N60" s="196">
        <v>0.0</v>
      </c>
      <c r="O60" s="196">
        <v>0.0</v>
      </c>
      <c r="P60" s="196">
        <v>0.0</v>
      </c>
      <c r="Q60" s="196">
        <v>0.0</v>
      </c>
      <c r="R60" s="196">
        <v>0.0</v>
      </c>
      <c r="S60" s="196">
        <v>0.0</v>
      </c>
      <c r="T60" s="196">
        <v>0.0</v>
      </c>
      <c r="V60" s="201">
        <f t="shared" si="2"/>
        <v>204.52</v>
      </c>
      <c r="W60" s="202">
        <f t="shared" si="3"/>
        <v>146.5960936</v>
      </c>
    </row>
    <row r="61">
      <c r="B61" s="203">
        <v>22.0</v>
      </c>
      <c r="C61" s="203">
        <v>6000.0</v>
      </c>
      <c r="D61" s="203">
        <v>108260.0</v>
      </c>
      <c r="E61" s="204" t="b">
        <f>IFERROR(__xludf.DUMMYFUNCTION("if(countif($F61:$T61, ""&lt;&gt;0"")&lt;1, ""NO REWARD!"", if(counta(filter($F61:$T61, $F61:$T61&lt;&gt;0))&gt;1, TRUE, FALSE))"),FALSE)</f>
        <v>0</v>
      </c>
      <c r="F61" s="218">
        <v>0.0</v>
      </c>
      <c r="G61" s="196">
        <v>0.0</v>
      </c>
      <c r="H61" s="196">
        <v>0.0</v>
      </c>
      <c r="I61" s="196">
        <v>0.0</v>
      </c>
      <c r="J61" s="196">
        <v>0.0</v>
      </c>
      <c r="K61" s="196">
        <v>0.0</v>
      </c>
      <c r="L61" s="196">
        <v>0.0</v>
      </c>
      <c r="M61" s="196">
        <v>0.0</v>
      </c>
      <c r="N61" s="196">
        <v>0.0</v>
      </c>
      <c r="O61" s="196">
        <v>0.0</v>
      </c>
      <c r="P61" s="196">
        <v>0.0</v>
      </c>
      <c r="Q61" s="196">
        <v>10.0</v>
      </c>
      <c r="R61" s="196">
        <v>0.0</v>
      </c>
      <c r="S61" s="196">
        <v>0.0</v>
      </c>
      <c r="T61" s="196">
        <v>0.0</v>
      </c>
      <c r="V61" s="201">
        <f t="shared" si="2"/>
        <v>216.52</v>
      </c>
      <c r="W61" s="202">
        <f t="shared" si="3"/>
        <v>153.5013783</v>
      </c>
    </row>
    <row r="62">
      <c r="B62" s="196">
        <v>23.0</v>
      </c>
      <c r="C62" s="196">
        <v>10500.0</v>
      </c>
      <c r="D62" s="196">
        <v>118760.0</v>
      </c>
      <c r="E62" s="197" t="b">
        <f>IFERROR(__xludf.DUMMYFUNCTION("if(countif($F62:$T62, ""&lt;&gt;0"")&lt;1, ""NO REWARD!"", if(counta(filter($F62:$T62, $F62:$T62&lt;&gt;0))&gt;1, TRUE, FALSE))"),FALSE)</f>
        <v>0</v>
      </c>
      <c r="F62" s="218">
        <v>0.0</v>
      </c>
      <c r="G62" s="196">
        <v>0.0</v>
      </c>
      <c r="H62" s="196">
        <v>0.0</v>
      </c>
      <c r="I62" s="196">
        <v>0.0</v>
      </c>
      <c r="J62" s="219">
        <v>3.0</v>
      </c>
      <c r="K62" s="196">
        <v>0.0</v>
      </c>
      <c r="L62" s="196">
        <v>0.0</v>
      </c>
      <c r="M62" s="196">
        <v>0.0</v>
      </c>
      <c r="N62" s="196">
        <v>0.0</v>
      </c>
      <c r="O62" s="196">
        <v>0.0</v>
      </c>
      <c r="P62" s="196">
        <v>0.0</v>
      </c>
      <c r="Q62" s="196">
        <v>0.0</v>
      </c>
      <c r="R62" s="196">
        <v>0.0</v>
      </c>
      <c r="S62" s="196">
        <v>0.0</v>
      </c>
      <c r="T62" s="196">
        <v>0.0</v>
      </c>
      <c r="V62" s="201">
        <f t="shared" si="2"/>
        <v>237.52</v>
      </c>
      <c r="W62" s="202">
        <f t="shared" si="3"/>
        <v>165.2030075</v>
      </c>
    </row>
    <row r="63">
      <c r="B63" s="203">
        <v>24.0</v>
      </c>
      <c r="C63" s="203">
        <v>33000.0</v>
      </c>
      <c r="D63" s="203">
        <v>151760.0</v>
      </c>
      <c r="E63" s="204" t="b">
        <f>IFERROR(__xludf.DUMMYFUNCTION("if(countif($F63:$T63, ""&lt;&gt;0"")&lt;1, ""NO REWARD!"", if(counta(filter($F63:$T63, $F63:$T63&lt;&gt;0))&gt;1, TRUE, FALSE))"),TRUE)</f>
        <v>1</v>
      </c>
      <c r="F63" s="218">
        <v>100.0</v>
      </c>
      <c r="G63" s="196">
        <v>350.0</v>
      </c>
      <c r="H63" s="196">
        <v>0.0</v>
      </c>
      <c r="I63" s="219">
        <v>0.0</v>
      </c>
      <c r="J63" s="219">
        <v>0.0</v>
      </c>
      <c r="K63" s="196">
        <v>0.0</v>
      </c>
      <c r="L63" s="196">
        <v>0.0</v>
      </c>
      <c r="M63" s="219">
        <v>0.0</v>
      </c>
      <c r="N63" s="219">
        <v>0.0</v>
      </c>
      <c r="O63" s="196">
        <v>0.0</v>
      </c>
      <c r="P63" s="196">
        <v>0.0</v>
      </c>
      <c r="Q63" s="196">
        <v>0.0</v>
      </c>
      <c r="R63" s="196">
        <v>0.0</v>
      </c>
      <c r="S63" s="196">
        <v>0.0</v>
      </c>
      <c r="T63" s="196">
        <v>0.0</v>
      </c>
      <c r="V63" s="201">
        <f t="shared" si="2"/>
        <v>303.52</v>
      </c>
      <c r="W63" s="202">
        <f t="shared" si="3"/>
        <v>198.8092832</v>
      </c>
    </row>
    <row r="64">
      <c r="B64" s="196">
        <v>25.0</v>
      </c>
      <c r="C64" s="196">
        <v>8750.0</v>
      </c>
      <c r="D64" s="196">
        <v>160510.0</v>
      </c>
      <c r="E64" s="207" t="b">
        <f>IFERROR(__xludf.DUMMYFUNCTION("if(countif($F64:$T64, ""&lt;&gt;0"")&lt;1, ""NO REWARD!"", if(counta(filter($F64:$T64, $F64:$T64&lt;&gt;0))&gt;1, TRUE, FALSE))"),FALSE)</f>
        <v>0</v>
      </c>
      <c r="F64" s="218">
        <v>0.0</v>
      </c>
      <c r="G64" s="196">
        <v>0.0</v>
      </c>
      <c r="H64" s="196">
        <v>0.0</v>
      </c>
      <c r="I64" s="196">
        <v>0.0</v>
      </c>
      <c r="J64" s="196">
        <v>0.0</v>
      </c>
      <c r="K64" s="196">
        <v>0.0</v>
      </c>
      <c r="L64" s="196">
        <v>0.0</v>
      </c>
      <c r="M64" s="196">
        <v>0.0</v>
      </c>
      <c r="N64" s="196">
        <v>0.0</v>
      </c>
      <c r="O64" s="196">
        <v>60.0</v>
      </c>
      <c r="P64" s="196">
        <v>0.0</v>
      </c>
      <c r="Q64" s="196">
        <v>0.0</v>
      </c>
      <c r="R64" s="196">
        <v>0.0</v>
      </c>
      <c r="S64" s="196">
        <v>0.0</v>
      </c>
      <c r="T64" s="196">
        <v>0.0</v>
      </c>
      <c r="V64" s="201">
        <f t="shared" si="2"/>
        <v>321.02</v>
      </c>
      <c r="W64" s="202">
        <f t="shared" si="3"/>
        <v>206.9132527</v>
      </c>
    </row>
    <row r="65">
      <c r="B65" s="203">
        <v>26.0</v>
      </c>
      <c r="C65" s="203">
        <v>14250.0</v>
      </c>
      <c r="D65" s="203">
        <v>174760.0</v>
      </c>
      <c r="E65" s="204" t="b">
        <f>IFERROR(__xludf.DUMMYFUNCTION("if(countif($F65:$T65, ""&lt;&gt;0"")&lt;1, ""NO REWARD!"", if(counta(filter($F65:$T65, $F65:$T65&lt;&gt;0))&gt;1, TRUE, FALSE))"),FALSE)</f>
        <v>0</v>
      </c>
      <c r="F65" s="218">
        <v>0.0</v>
      </c>
      <c r="G65" s="196">
        <v>0.0</v>
      </c>
      <c r="H65" s="196">
        <v>0.0</v>
      </c>
      <c r="I65" s="196">
        <v>0.0</v>
      </c>
      <c r="J65" s="196">
        <v>0.0</v>
      </c>
      <c r="K65" s="219">
        <v>3.0</v>
      </c>
      <c r="L65" s="196">
        <v>0.0</v>
      </c>
      <c r="M65" s="196">
        <v>0.0</v>
      </c>
      <c r="N65" s="196">
        <v>0.0</v>
      </c>
      <c r="O65" s="196">
        <v>0.0</v>
      </c>
      <c r="P65" s="196">
        <v>0.0</v>
      </c>
      <c r="Q65" s="196">
        <v>0.0</v>
      </c>
      <c r="R65" s="196">
        <v>0.0</v>
      </c>
      <c r="S65" s="196">
        <v>0.0</v>
      </c>
      <c r="T65" s="196">
        <v>0.0</v>
      </c>
      <c r="V65" s="201">
        <f t="shared" si="2"/>
        <v>349.52</v>
      </c>
      <c r="W65" s="202">
        <f t="shared" si="3"/>
        <v>219.3873167</v>
      </c>
    </row>
    <row r="66">
      <c r="B66" s="196">
        <v>27.0</v>
      </c>
      <c r="C66" s="196">
        <v>44000.0</v>
      </c>
      <c r="D66" s="196">
        <v>218760.0</v>
      </c>
      <c r="E66" s="197" t="b">
        <f>IFERROR(__xludf.DUMMYFUNCTION("if(countif($F66:$T66, ""&lt;&gt;0"")&lt;1, ""NO REWARD!"", if(counta(filter($F66:$T66, $F66:$T66&lt;&gt;0))&gt;1, TRUE, FALSE))"),FALSE)</f>
        <v>0</v>
      </c>
      <c r="F66" s="218">
        <v>0.0</v>
      </c>
      <c r="G66" s="196">
        <v>600.0</v>
      </c>
      <c r="H66" s="196">
        <v>0.0</v>
      </c>
      <c r="I66" s="196">
        <v>0.0</v>
      </c>
      <c r="J66" s="196">
        <v>0.0</v>
      </c>
      <c r="K66" s="196">
        <v>0.0</v>
      </c>
      <c r="L66" s="196">
        <v>0.0</v>
      </c>
      <c r="M66" s="196">
        <v>0.0</v>
      </c>
      <c r="N66" s="196">
        <v>0.0</v>
      </c>
      <c r="O66" s="196">
        <v>0.0</v>
      </c>
      <c r="P66" s="196">
        <v>0.0</v>
      </c>
      <c r="Q66" s="196">
        <v>0.0</v>
      </c>
      <c r="R66" s="196">
        <v>0.0</v>
      </c>
      <c r="S66" s="196">
        <v>0.0</v>
      </c>
      <c r="T66" s="196">
        <v>0.0</v>
      </c>
      <c r="V66" s="201">
        <f t="shared" si="2"/>
        <v>437.52</v>
      </c>
      <c r="W66" s="202">
        <f t="shared" si="3"/>
        <v>252.2433905</v>
      </c>
    </row>
    <row r="67">
      <c r="B67" s="203">
        <v>28.0</v>
      </c>
      <c r="C67" s="203">
        <v>16500.0</v>
      </c>
      <c r="D67" s="203">
        <v>235260.0</v>
      </c>
      <c r="E67" s="204" t="b">
        <f>IFERROR(__xludf.DUMMYFUNCTION("if(countif($F67:$T67, ""&lt;&gt;0"")&lt;1, ""NO REWARD!"", if(counta(filter($F67:$T67, $F67:$T67&lt;&gt;0))&gt;1, TRUE, FALSE))"),FALSE)</f>
        <v>0</v>
      </c>
      <c r="F67" s="218">
        <v>0.0</v>
      </c>
      <c r="G67" s="196">
        <v>0.0</v>
      </c>
      <c r="H67" s="196">
        <v>0.0</v>
      </c>
      <c r="I67" s="196">
        <v>0.0</v>
      </c>
      <c r="J67" s="196">
        <v>0.0</v>
      </c>
      <c r="K67" s="196">
        <v>0.0</v>
      </c>
      <c r="L67" s="196">
        <v>0.0</v>
      </c>
      <c r="M67" s="196">
        <v>0.0</v>
      </c>
      <c r="N67" s="196">
        <v>0.0</v>
      </c>
      <c r="O67" s="196">
        <v>60.0</v>
      </c>
      <c r="P67" s="196">
        <v>0.0</v>
      </c>
      <c r="Q67" s="196">
        <v>0.0</v>
      </c>
      <c r="R67" s="196">
        <v>0.0</v>
      </c>
      <c r="S67" s="196">
        <v>0.0</v>
      </c>
      <c r="T67" s="196">
        <v>0.0</v>
      </c>
      <c r="V67" s="201">
        <f t="shared" si="2"/>
        <v>470.52</v>
      </c>
      <c r="W67" s="202">
        <f t="shared" si="3"/>
        <v>262.3598031</v>
      </c>
    </row>
    <row r="68">
      <c r="B68" s="196">
        <v>29.0</v>
      </c>
      <c r="C68" s="196">
        <v>34000.0</v>
      </c>
      <c r="D68" s="196">
        <v>269260.0</v>
      </c>
      <c r="E68" s="207" t="b">
        <f>IFERROR(__xludf.DUMMYFUNCTION("if(countif($F68:$T68, ""&lt;&gt;0"")&lt;1, ""NO REWARD!"", if(counta(filter($F68:$T68, $F68:$T68&lt;&gt;0))&gt;1, TRUE, FALSE))"),FALSE)</f>
        <v>0</v>
      </c>
      <c r="F68" s="218">
        <v>0.0</v>
      </c>
      <c r="G68" s="196">
        <v>0.0</v>
      </c>
      <c r="H68" s="196">
        <v>0.0</v>
      </c>
      <c r="I68" s="196">
        <v>0.0</v>
      </c>
      <c r="J68" s="196">
        <v>0.0</v>
      </c>
      <c r="K68" s="196">
        <v>3.0</v>
      </c>
      <c r="L68" s="196">
        <v>0.0</v>
      </c>
      <c r="M68" s="196">
        <v>0.0</v>
      </c>
      <c r="N68" s="196">
        <v>0.0</v>
      </c>
      <c r="O68" s="196">
        <v>0.0</v>
      </c>
      <c r="P68" s="196">
        <v>0.0</v>
      </c>
      <c r="Q68" s="196">
        <v>0.0</v>
      </c>
      <c r="R68" s="196">
        <v>0.0</v>
      </c>
      <c r="S68" s="196">
        <v>0.0</v>
      </c>
      <c r="T68" s="196">
        <v>0.0</v>
      </c>
      <c r="V68" s="201">
        <f t="shared" si="2"/>
        <v>538.52</v>
      </c>
      <c r="W68" s="202">
        <f t="shared" si="3"/>
        <v>279.4137838</v>
      </c>
    </row>
    <row r="69">
      <c r="B69" s="203">
        <v>30.0</v>
      </c>
      <c r="C69" s="203">
        <v>83000.0</v>
      </c>
      <c r="D69" s="203">
        <v>352260.0</v>
      </c>
      <c r="E69" s="197" t="b">
        <f>IFERROR(__xludf.DUMMYFUNCTION("if(countif($F69:$T69, ""&lt;&gt;0"")&lt;1, ""NO REWARD!"", if(counta(filter($F69:$T69, $F69:$T69&lt;&gt;0))&gt;1, TRUE, FALSE))"),TRUE)</f>
        <v>1</v>
      </c>
      <c r="F69" s="218">
        <v>500.0</v>
      </c>
      <c r="G69" s="196">
        <v>0.0</v>
      </c>
      <c r="H69" s="196">
        <v>0.0</v>
      </c>
      <c r="I69" s="219">
        <v>0.0</v>
      </c>
      <c r="J69" s="219">
        <v>0.0</v>
      </c>
      <c r="K69" s="219">
        <v>0.0</v>
      </c>
      <c r="L69" s="219">
        <v>3.0</v>
      </c>
      <c r="M69" s="219">
        <v>3.0</v>
      </c>
      <c r="N69" s="219">
        <v>3.0</v>
      </c>
      <c r="O69" s="196">
        <v>0.0</v>
      </c>
      <c r="P69" s="196">
        <v>0.0</v>
      </c>
      <c r="Q69" s="196">
        <v>0.0</v>
      </c>
      <c r="R69" s="196">
        <v>0.0</v>
      </c>
      <c r="S69" s="196">
        <v>0.0</v>
      </c>
      <c r="T69" s="196">
        <v>0.0</v>
      </c>
      <c r="V69" s="201">
        <f t="shared" si="2"/>
        <v>704.52</v>
      </c>
      <c r="W69" s="202">
        <f t="shared" si="3"/>
        <v>299.5990112</v>
      </c>
    </row>
  </sheetData>
  <conditionalFormatting sqref="E40:T69">
    <cfRule type="expression" dxfId="5" priority="1">
      <formula>E40&lt;&gt;E6</formula>
    </cfRule>
  </conditionalFormatting>
  <conditionalFormatting sqref="F40:T69">
    <cfRule type="cellIs" dxfId="6" priority="2" operator="greaterThan">
      <formula>0</formula>
    </cfRule>
  </conditionalFormatting>
  <conditionalFormatting sqref="E40:E69">
    <cfRule type="cellIs" dxfId="6" priority="3" operator="equal">
      <formula>"TRUE"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8.14"/>
    <col customWidth="1" min="3" max="7" width="10.86"/>
  </cols>
  <sheetData>
    <row r="1">
      <c r="A1" s="81" t="s">
        <v>271</v>
      </c>
    </row>
    <row r="3">
      <c r="C3" s="146" t="s">
        <v>272</v>
      </c>
    </row>
    <row r="4">
      <c r="B4" s="221"/>
      <c r="C4" s="83" t="s">
        <v>133</v>
      </c>
      <c r="D4" s="83" t="s">
        <v>134</v>
      </c>
      <c r="E4" s="83" t="s">
        <v>135</v>
      </c>
      <c r="F4" s="83" t="s">
        <v>136</v>
      </c>
      <c r="G4" s="83" t="s">
        <v>137</v>
      </c>
    </row>
    <row r="5">
      <c r="B5" s="151" t="s">
        <v>273</v>
      </c>
      <c r="C5" s="222">
        <f>LET(
  gain, Raw_Data_Daily!$Q$2:$Q$9999,
  players, Raw_Data_Daily!$D$2:$D$9999,
  group, Raw_Data_Daily!$B$2:$B$9999,
  segment, Raw_Data_Daily!$C$2:$C$9999,
  IFERROR(SUMPRODUCT(gain, players, --(group="Control"), --(segment=C$4)) / SUMPRODUCT(players, --(group="Control"), --(segment=C$4)), 0)
)</f>
        <v>57.36695326</v>
      </c>
      <c r="D5" s="222">
        <f>LET(
  gain, Raw_Data_Daily!$Q$2:$Q$9999,
  players, Raw_Data_Daily!$D$2:$D$9999,
  group, Raw_Data_Daily!$B$2:$B$9999,
  segment, Raw_Data_Daily!$C$2:$C$9999,
  IFERROR(SUMPRODUCT(gain, players, --(group="Control"), --(segment=D$4)) / SUMPRODUCT(players, --(group="Control"), --(segment=D$4)), 0)
)</f>
        <v>101.3250384</v>
      </c>
      <c r="E5" s="222">
        <f>LET(
  gain, Raw_Data_Daily!$Q$2:$Q$9999,
  players, Raw_Data_Daily!$D$2:$D$9999,
  group, Raw_Data_Daily!$B$2:$B$9999,
  segment, Raw_Data_Daily!$C$2:$C$9999,
  IFERROR(SUMPRODUCT(gain, players, --(group="Control"), --(segment=E$4)) / SUMPRODUCT(players, --(group="Control"), --(segment=E$4)), 0)
)</f>
        <v>160.0291589</v>
      </c>
      <c r="F5" s="222">
        <f>LET(
  gain, Raw_Data_Daily!$Q$2:$Q$9999,
  players, Raw_Data_Daily!$D$2:$D$9999,
  group, Raw_Data_Daily!$B$2:$B$9999,
  segment, Raw_Data_Daily!$C$2:$C$9999,
  IFERROR(SUMPRODUCT(gain, players, --(group="Control"), --(segment=F$4)) / SUMPRODUCT(players, --(group="Control"), --(segment=F$4)), 0)
)</f>
        <v>276.0834994</v>
      </c>
      <c r="G5" s="222">
        <f>LET(
  gain, Raw_Data_Daily!$Q$2:$Q$9999,
  players, Raw_Data_Daily!$D$2:$D$9999,
  group, Raw_Data_Daily!$B$2:$B$9999,
  segment, Raw_Data_Daily!$C$2:$C$9999,
  IFERROR(SUMPRODUCT(gain, players, --(group="Control"), --(segment=G$4)) / SUMPRODUCT(players, --(group="Control"), --(segment=G$4)), 0)
)</f>
        <v>458.5180327</v>
      </c>
    </row>
    <row r="6">
      <c r="B6" s="221" t="s">
        <v>79</v>
      </c>
      <c r="C6" s="222">
        <f>LET(
  gain, Raw_Data_Daily!$BO$2:$BO$9999,
  players, Raw_Data_Daily!$D$2:$D$9999,
  group, Raw_Data_Daily!$B$2:$B$9999,
  segment, Raw_Data_Daily!$C$2:$C$9999,
  IFERROR(SUMPRODUCT(gain, players, --(group="Control"), --(segment=C$4)) / SUMPRODUCT(players, --(group="Control"), --(segment=C$4)), 0)
)</f>
        <v>1.041002485</v>
      </c>
      <c r="D6" s="222">
        <f>LET(
  gain, Raw_Data_Daily!$BO$2:$BO$9999,
  players, Raw_Data_Daily!$D$2:$D$9999,
  group, Raw_Data_Daily!$B$2:$B$9999,
  segment, Raw_Data_Daily!$C$2:$C$9999,
  IFERROR(SUMPRODUCT(gain, players, --(group="Control"), --(segment=D$4)) / SUMPRODUCT(players, --(group="Control"), --(segment=D$4)), 0)
)</f>
        <v>1.545771115</v>
      </c>
      <c r="E6" s="222">
        <f>LET(
  gain, Raw_Data_Daily!$BO$2:$BO$9999,
  players, Raw_Data_Daily!$D$2:$D$9999,
  group, Raw_Data_Daily!$B$2:$B$9999,
  segment, Raw_Data_Daily!$C$2:$C$9999,
  IFERROR(SUMPRODUCT(gain, players, --(group="Control"), --(segment=E$4)) / SUMPRODUCT(players, --(group="Control"), --(segment=E$4)), 0)
)</f>
        <v>1.917481248</v>
      </c>
      <c r="F6" s="222">
        <f>LET(
  gain, Raw_Data_Daily!$BO$2:$BO$9999,
  players, Raw_Data_Daily!$D$2:$D$9999,
  group, Raw_Data_Daily!$B$2:$B$9999,
  segment, Raw_Data_Daily!$C$2:$C$9999,
  IFERROR(SUMPRODUCT(gain, players, --(group="Control"), --(segment=F$4)) / SUMPRODUCT(players, --(group="Control"), --(segment=F$4)), 0)
)</f>
        <v>2.475762269</v>
      </c>
      <c r="G6" s="222">
        <f>LET(
  gain, Raw_Data_Daily!$BO$2:$BO$9999,
  players, Raw_Data_Daily!$D$2:$D$9999,
  group, Raw_Data_Daily!$B$2:$B$9999,
  segment, Raw_Data_Daily!$C$2:$C$9999,
  IFERROR(SUMPRODUCT(gain, players, --(group="Control"), --(segment=G$4)) / SUMPRODUCT(players, --(group="Control"), --(segment=G$4)), 0)
)</f>
        <v>3.685479904</v>
      </c>
    </row>
    <row r="7">
      <c r="B7" s="221" t="s">
        <v>85</v>
      </c>
      <c r="C7" s="222">
        <f>LET(
  gain, Raw_Data_Daily!$BS$2:$BS$9999,
  players, Raw_Data_Daily!$D$2:$D$9999,
  group, Raw_Data_Daily!$B$2:$B$9999,
  segment, Raw_Data_Daily!$C$2:$C$9999,
  IFERROR(SUMPRODUCT(gain, players, --(group="Control"), --(segment=C$4)) / SUMPRODUCT(players, --(group="Control"), --(segment=C$4)), 0)
)</f>
        <v>0.9526226124</v>
      </c>
      <c r="D7" s="222">
        <f>LET(
  gain, Raw_Data_Daily!$BS$2:$BS$9999,
  players, Raw_Data_Daily!$D$2:$D$9999,
  group, Raw_Data_Daily!$B$2:$B$9999,
  segment, Raw_Data_Daily!$C$2:$C$9999,
  IFERROR(SUMPRODUCT(gain, players, --(group="Control"), --(segment=D$4)) / SUMPRODUCT(players, --(group="Control"), --(segment=D$4)), 0)
)</f>
        <v>1.353225878</v>
      </c>
      <c r="E7" s="222">
        <f>LET(
  gain, Raw_Data_Daily!$BS$2:$BS$9999,
  players, Raw_Data_Daily!$D$2:$D$9999,
  group, Raw_Data_Daily!$B$2:$B$9999,
  segment, Raw_Data_Daily!$C$2:$C$9999,
  IFERROR(SUMPRODUCT(gain, players, --(group="Control"), --(segment=E$4)) / SUMPRODUCT(players, --(group="Control"), --(segment=E$4)), 0)
)</f>
        <v>1.918769646</v>
      </c>
      <c r="F7" s="222">
        <f>LET(
  gain, Raw_Data_Daily!$BS$2:$BS$9999,
  players, Raw_Data_Daily!$D$2:$D$9999,
  group, Raw_Data_Daily!$B$2:$B$9999,
  segment, Raw_Data_Daily!$C$2:$C$9999,
  IFERROR(SUMPRODUCT(gain, players, --(group="Control"), --(segment=F$4)) / SUMPRODUCT(players, --(group="Control"), --(segment=F$4)), 0)
)</f>
        <v>2.550375264</v>
      </c>
      <c r="G7" s="222">
        <f>LET(
  gain, Raw_Data_Daily!$BS$2:$BS$9999,
  players, Raw_Data_Daily!$D$2:$D$9999,
  group, Raw_Data_Daily!$B$2:$B$9999,
  segment, Raw_Data_Daily!$C$2:$C$9999,
  IFERROR(SUMPRODUCT(gain, players, --(group="Control"), --(segment=G$4)) / SUMPRODUCT(players, --(group="Control"), --(segment=G$4)), 0)
)</f>
        <v>3.780998816</v>
      </c>
    </row>
    <row r="8">
      <c r="B8" s="221" t="s">
        <v>91</v>
      </c>
      <c r="C8" s="222">
        <f>LET(
  gain, Raw_Data_Daily!$BW$2:$BW$9999,
  players, Raw_Data_Daily!$D$2:$D$9999,
  group, Raw_Data_Daily!$B$2:$B$9999,
  segment, Raw_Data_Daily!$C$2:$C$9999,
  IFERROR(SUMPRODUCT(gain, players, --(group="Control"), --(segment=C$4)) / SUMPRODUCT(players, --(group="Control"), --(segment=C$4)), 0)
)</f>
        <v>0.4789269104</v>
      </c>
      <c r="D8" s="222">
        <f>LET(
  gain, Raw_Data_Daily!$BW$2:$BW$9999,
  players, Raw_Data_Daily!$D$2:$D$9999,
  group, Raw_Data_Daily!$B$2:$B$9999,
  segment, Raw_Data_Daily!$C$2:$C$9999,
  IFERROR(SUMPRODUCT(gain, players, --(group="Control"), --(segment=D$4)) / SUMPRODUCT(players, --(group="Control"), --(segment=D$4)), 0)
)</f>
        <v>0.9079000023</v>
      </c>
      <c r="E8" s="222">
        <f>LET(
  gain, Raw_Data_Daily!$BW$2:$BW$9999,
  players, Raw_Data_Daily!$D$2:$D$9999,
  group, Raw_Data_Daily!$B$2:$B$9999,
  segment, Raw_Data_Daily!$C$2:$C$9999,
  IFERROR(SUMPRODUCT(gain, players, --(group="Control"), --(segment=E$4)) / SUMPRODUCT(players, --(group="Control"), --(segment=E$4)), 0)
)</f>
        <v>1.431875226</v>
      </c>
      <c r="F8" s="222">
        <f>LET(
  gain, Raw_Data_Daily!$BW$2:$BW$9999,
  players, Raw_Data_Daily!$D$2:$D$9999,
  group, Raw_Data_Daily!$B$2:$B$9999,
  segment, Raw_Data_Daily!$C$2:$C$9999,
  IFERROR(SUMPRODUCT(gain, players, --(group="Control"), --(segment=F$4)) / SUMPRODUCT(players, --(group="Control"), --(segment=F$4)), 0)
)</f>
        <v>2.233782213</v>
      </c>
      <c r="G8" s="222">
        <f>LET(
  gain, Raw_Data_Daily!$BW$2:$BW$9999,
  players, Raw_Data_Daily!$D$2:$D$9999,
  group, Raw_Data_Daily!$B$2:$B$9999,
  segment, Raw_Data_Daily!$C$2:$C$9999,
  IFERROR(SUMPRODUCT(gain, players, --(group="Control"), --(segment=G$4)) / SUMPRODUCT(players, --(group="Control"), --(segment=G$4)), 0)
)</f>
        <v>3.520012993</v>
      </c>
    </row>
    <row r="9">
      <c r="B9" s="151" t="s">
        <v>97</v>
      </c>
      <c r="C9" s="222">
        <f>LET(
  gain, Raw_Data_Daily!$CE$2:$CE$9999,
  players, Raw_Data_Daily!$D$2:$D$9999,
  group, Raw_Data_Daily!$B$2:$B$9999,
  segment, Raw_Data_Daily!$C$2:$C$9999,
  IFERROR(SUMPRODUCT(gain, players, --(group="Control"), --(segment=C$4)) / SUMPRODUCT(players, --(group="Control"), --(segment=C$4)), 0)
)</f>
        <v>0.7435463925</v>
      </c>
      <c r="D9" s="222">
        <f>LET(
  gain, Raw_Data_Daily!$CE$2:$CE$9999,
  players, Raw_Data_Daily!$D$2:$D$9999,
  group, Raw_Data_Daily!$B$2:$B$9999,
  segment, Raw_Data_Daily!$C$2:$C$9999,
  IFERROR(SUMPRODUCT(gain, players, --(group="Control"), --(segment=D$4)) / SUMPRODUCT(players, --(group="Control"), --(segment=D$4)), 0)
)</f>
        <v>1.072912072</v>
      </c>
      <c r="E9" s="222">
        <f>LET(
  gain, Raw_Data_Daily!$CE$2:$CE$9999,
  players, Raw_Data_Daily!$D$2:$D$9999,
  group, Raw_Data_Daily!$B$2:$B$9999,
  segment, Raw_Data_Daily!$C$2:$C$9999,
  IFERROR(SUMPRODUCT(gain, players, --(group="Control"), --(segment=E$4)) / SUMPRODUCT(players, --(group="Control"), --(segment=E$4)), 0)
)</f>
        <v>1.479529185</v>
      </c>
      <c r="F9" s="222">
        <f>LET(
  gain, Raw_Data_Daily!$CE$2:$CE$9999,
  players, Raw_Data_Daily!$D$2:$D$9999,
  group, Raw_Data_Daily!$B$2:$B$9999,
  segment, Raw_Data_Daily!$C$2:$C$9999,
  IFERROR(SUMPRODUCT(gain, players, --(group="Control"), --(segment=F$4)) / SUMPRODUCT(players, --(group="Control"), --(segment=F$4)), 0)
)</f>
        <v>2.022880292</v>
      </c>
      <c r="G9" s="222">
        <f>LET(
  gain, Raw_Data_Daily!$CE$2:$CE$9999,
  players, Raw_Data_Daily!$D$2:$D$9999,
  group, Raw_Data_Daily!$B$2:$B$9999,
  segment, Raw_Data_Daily!$C$2:$C$9999,
  IFERROR(SUMPRODUCT(gain, players, --(group="Control"), --(segment=G$4)) / SUMPRODUCT(players, --(group="Control"), --(segment=G$4)), 0)
)</f>
        <v>2.872314543</v>
      </c>
    </row>
    <row r="10">
      <c r="B10" s="151" t="s">
        <v>103</v>
      </c>
      <c r="C10" s="222">
        <f>LET(
  gain, Raw_Data_Daily!$CI$2:$CI$9999,
  players, Raw_Data_Daily!$D$2:$D$9999,
  group, Raw_Data_Daily!$B$2:$B$9999,
  segment, Raw_Data_Daily!$C$2:$C$9999,
  IFERROR(SUMPRODUCT(gain, players, --(group="Control"), --(segment=C$4)) / SUMPRODUCT(players, --(group="Control"), --(segment=C$4)), 0)
)</f>
        <v>0.554142158</v>
      </c>
      <c r="D10" s="222">
        <f>LET(
  gain, Raw_Data_Daily!$CI$2:$CI$9999,
  players, Raw_Data_Daily!$D$2:$D$9999,
  group, Raw_Data_Daily!$B$2:$B$9999,
  segment, Raw_Data_Daily!$C$2:$C$9999,
  IFERROR(SUMPRODUCT(gain, players, --(group="Control"), --(segment=D$4)) / SUMPRODUCT(players, --(group="Control"), --(segment=D$4)), 0)
)</f>
        <v>1.044217396</v>
      </c>
      <c r="E10" s="222">
        <f>LET(
  gain, Raw_Data_Daily!$CI$2:$CI$9999,
  players, Raw_Data_Daily!$D$2:$D$9999,
  group, Raw_Data_Daily!$B$2:$B$9999,
  segment, Raw_Data_Daily!$C$2:$C$9999,
  IFERROR(SUMPRODUCT(gain, players, --(group="Control"), --(segment=E$4)) / SUMPRODUCT(players, --(group="Control"), --(segment=E$4)), 0)
)</f>
        <v>1.562503758</v>
      </c>
      <c r="F10" s="222">
        <f>LET(
  gain, Raw_Data_Daily!$CI$2:$CI$9999,
  players, Raw_Data_Daily!$D$2:$D$9999,
  group, Raw_Data_Daily!$B$2:$B$9999,
  segment, Raw_Data_Daily!$C$2:$C$9999,
  IFERROR(SUMPRODUCT(gain, players, --(group="Control"), --(segment=F$4)) / SUMPRODUCT(players, --(group="Control"), --(segment=F$4)), 0)
)</f>
        <v>2.404122769</v>
      </c>
      <c r="G10" s="222">
        <f>LET(
  gain, Raw_Data_Daily!$CI$2:$CI$9999,
  players, Raw_Data_Daily!$D$2:$D$9999,
  group, Raw_Data_Daily!$B$2:$B$9999,
  segment, Raw_Data_Daily!$C$2:$C$9999,
  IFERROR(SUMPRODUCT(gain, players, --(group="Control"), --(segment=G$4)) / SUMPRODUCT(players, --(group="Control"), --(segment=G$4)), 0)
)</f>
        <v>3.67279022</v>
      </c>
    </row>
    <row r="11">
      <c r="B11" s="151" t="s">
        <v>240</v>
      </c>
      <c r="C11" s="222">
        <f>LET(
  gain, Raw_Data_Daily!$CA$2:$CA$9999,
  players, Raw_Data_Daily!$D$2:$D$9999,
  group, Raw_Data_Daily!$B$2:$B$9999,
  segment, Raw_Data_Daily!$C$2:$C$9999,
  IFERROR(SUMPRODUCT(gain, players, --(group="Control"), --(segment=C$4)) / SUMPRODUCT(players, --(group="Control"), --(segment=C$4)), 0)
)</f>
        <v>0.3272935879</v>
      </c>
      <c r="D11" s="222">
        <f>LET(
  gain, Raw_Data_Daily!$CA$2:$CA$9999,
  players, Raw_Data_Daily!$D$2:$D$9999,
  group, Raw_Data_Daily!$B$2:$B$9999,
  segment, Raw_Data_Daily!$C$2:$C$9999,
  IFERROR(SUMPRODUCT(gain, players, --(group="Control"), --(segment=D$4)) / SUMPRODUCT(players, --(group="Control"), --(segment=D$4)), 0)
)</f>
        <v>0.5673152079</v>
      </c>
      <c r="E11" s="222">
        <f>LET(
  gain, Raw_Data_Daily!$CA$2:$CA$9999,
  players, Raw_Data_Daily!$D$2:$D$9999,
  group, Raw_Data_Daily!$B$2:$B$9999,
  segment, Raw_Data_Daily!$C$2:$C$9999,
  IFERROR(SUMPRODUCT(gain, players, --(group="Control"), --(segment=E$4)) / SUMPRODUCT(players, --(group="Control"), --(segment=E$4)), 0)
)</f>
        <v>0.9203794737</v>
      </c>
      <c r="F11" s="222">
        <f>LET(
  gain, Raw_Data_Daily!$CA$2:$CA$9999,
  players, Raw_Data_Daily!$D$2:$D$9999,
  group, Raw_Data_Daily!$B$2:$B$9999,
  segment, Raw_Data_Daily!$C$2:$C$9999,
  IFERROR(SUMPRODUCT(gain, players, --(group="Control"), --(segment=F$4)) / SUMPRODUCT(players, --(group="Control"), --(segment=F$4)), 0)
)</f>
        <v>1.697987464</v>
      </c>
      <c r="G11" s="222">
        <f>LET(
  gain, Raw_Data_Daily!$CA$2:$CA$9999,
  players, Raw_Data_Daily!$D$2:$D$9999,
  group, Raw_Data_Daily!$B$2:$B$9999,
  segment, Raw_Data_Daily!$C$2:$C$9999,
  IFERROR(SUMPRODUCT(gain, players, --(group="Control"), --(segment=G$4)) / SUMPRODUCT(players, --(group="Control"), --(segment=G$4)), 0)
)</f>
        <v>2.929824605</v>
      </c>
    </row>
    <row r="12">
      <c r="B12" s="221"/>
      <c r="C12" s="208"/>
      <c r="D12" s="208"/>
      <c r="E12" s="208"/>
      <c r="F12" s="208"/>
      <c r="G12" s="208"/>
    </row>
    <row r="13">
      <c r="B13" s="221"/>
      <c r="C13" s="225" t="s">
        <v>277</v>
      </c>
      <c r="D13" s="208"/>
      <c r="E13" s="208"/>
      <c r="F13" s="208"/>
      <c r="G13" s="208"/>
    </row>
    <row r="14">
      <c r="B14" s="151" t="s">
        <v>273</v>
      </c>
      <c r="C14" s="222">
        <f>LET(
  gain, Raw_Data_Daily!$Q$2:$Q$9999,
  players, Raw_Data_Daily!$D$2:$D$9999,
  group, Raw_Data_Daily!$B$2:$B$9999,
  segment, Raw_Data_Daily!$C$2:$C$9999,
  IFERROR(SUMPRODUCT(gain, players, --(group="Variant"), --(segment=C$4)) / SUMPRODUCT(players, --(group="Variant"), --(segment=C$4)), 0)
)</f>
        <v>55.78651574</v>
      </c>
      <c r="D14" s="222">
        <f>LET(
  gain, Raw_Data_Daily!$Q$2:$Q$9999,
  players, Raw_Data_Daily!$D$2:$D$9999,
  group, Raw_Data_Daily!$B$2:$B$9999,
  segment, Raw_Data_Daily!$C$2:$C$9999,
  IFERROR(SUMPRODUCT(gain, players, --(group="Variant"), --(segment=D$4)) / SUMPRODUCT(players, --(group="Variant"), --(segment=D$4)), 0)
)</f>
        <v>102.4265661</v>
      </c>
      <c r="E14" s="222">
        <f>LET(
  gain, Raw_Data_Daily!$Q$2:$Q$9999,
  players, Raw_Data_Daily!$D$2:$D$9999,
  group, Raw_Data_Daily!$B$2:$B$9999,
  segment, Raw_Data_Daily!$C$2:$C$9999,
  IFERROR(SUMPRODUCT(gain, players, --(group="Variant"), --(segment=E$4)) / SUMPRODUCT(players, --(group="Variant"), --(segment=E$4)), 0)
)</f>
        <v>180.9275483</v>
      </c>
      <c r="F14" s="222">
        <f>LET(
  gain, Raw_Data_Daily!$Q$2:$Q$9999,
  players, Raw_Data_Daily!$D$2:$D$9999,
  group, Raw_Data_Daily!$B$2:$B$9999,
  segment, Raw_Data_Daily!$C$2:$C$9999,
  IFERROR(SUMPRODUCT(gain, players, --(group="Variant"), --(segment=F$4)) / SUMPRODUCT(players, --(group="Variant"), --(segment=F$4)), 0)
)</f>
        <v>336.2677601</v>
      </c>
      <c r="G14" s="222">
        <f>LET(
  gain, Raw_Data_Daily!$Q$2:$Q$9999,
  players, Raw_Data_Daily!$D$2:$D$9999,
  group, Raw_Data_Daily!$B$2:$B$9999,
  segment, Raw_Data_Daily!$C$2:$C$9999,
  IFERROR(SUMPRODUCT(gain, players, --(group="Variant"), --(segment=G$4)) / SUMPRODUCT(players, --(group="Variant"), --(segment=G$4)), 0)
)</f>
        <v>594.8667103</v>
      </c>
    </row>
    <row r="15">
      <c r="B15" s="221" t="s">
        <v>79</v>
      </c>
      <c r="C15" s="222">
        <f>LET(
  gain, Raw_Data_Daily!$BO$2:$BO$9999,
  players, Raw_Data_Daily!$D$2:$D$9999,
  group, Raw_Data_Daily!$B$2:$B$9999,
  segment, Raw_Data_Daily!$C$2:$C$9999,
  IFERROR(SUMPRODUCT(gain, players, --(group="Variant"), --(segment=C$4)) / SUMPRODUCT(players, --(group="Variant"), --(segment=C$4)), 0)
)</f>
        <v>1.233675935</v>
      </c>
      <c r="D15" s="222">
        <f>LET(
  gain, Raw_Data_Daily!$BO$2:$BO$9999,
  players, Raw_Data_Daily!$D$2:$D$9999,
  group, Raw_Data_Daily!$B$2:$B$9999,
  segment, Raw_Data_Daily!$C$2:$C$9999,
  IFERROR(SUMPRODUCT(gain, players, --(group="Variant"), --(segment=D$4)) / SUMPRODUCT(players, --(group="Variant"), --(segment=D$4)), 0)
)</f>
        <v>1.666492353</v>
      </c>
      <c r="E15" s="222">
        <f>LET(
  gain, Raw_Data_Daily!$BO$2:$BO$9999,
  players, Raw_Data_Daily!$D$2:$D$9999,
  group, Raw_Data_Daily!$B$2:$B$9999,
  segment, Raw_Data_Daily!$C$2:$C$9999,
  IFERROR(SUMPRODUCT(gain, players, --(group="Variant"), --(segment=E$4)) / SUMPRODUCT(players, --(group="Variant"), --(segment=E$4)), 0)
)</f>
        <v>1.934239655</v>
      </c>
      <c r="F15" s="222">
        <f>LET(
  gain, Raw_Data_Daily!$BO$2:$BO$9999,
  players, Raw_Data_Daily!$D$2:$D$9999,
  group, Raw_Data_Daily!$B$2:$B$9999,
  segment, Raw_Data_Daily!$C$2:$C$9999,
  IFERROR(SUMPRODUCT(gain, players, --(group="Variant"), --(segment=F$4)) / SUMPRODUCT(players, --(group="Variant"), --(segment=F$4)), 0)
)</f>
        <v>2.239972926</v>
      </c>
      <c r="G15" s="222">
        <f>LET(
  gain, Raw_Data_Daily!$BO$2:$BO$9999,
  players, Raw_Data_Daily!$D$2:$D$9999,
  group, Raw_Data_Daily!$B$2:$B$9999,
  segment, Raw_Data_Daily!$C$2:$C$9999,
  IFERROR(SUMPRODUCT(gain, players, --(group="Variant"), --(segment=G$4)) / SUMPRODUCT(players, --(group="Variant"), --(segment=G$4)), 0)
)</f>
        <v>2.789832988</v>
      </c>
    </row>
    <row r="16">
      <c r="B16" s="221" t="s">
        <v>85</v>
      </c>
      <c r="C16" s="222">
        <f>LET(
  gain, Raw_Data_Daily!$BS$2:$BS$9999,
  players, Raw_Data_Daily!$D$2:$D$9999,
  group, Raw_Data_Daily!$B$2:$B$9999,
  segment, Raw_Data_Daily!$C$2:$C$9999,
  IFERROR(SUMPRODUCT(gain, players, --(group="Variant"), --(segment=C$4)) / SUMPRODUCT(players, --(group="Variant"), --(segment=C$4)), 0)
)</f>
        <v>1.137841027</v>
      </c>
      <c r="D16" s="222">
        <f>LET(
  gain, Raw_Data_Daily!$BS$2:$BS$9999,
  players, Raw_Data_Daily!$D$2:$D$9999,
  group, Raw_Data_Daily!$B$2:$B$9999,
  segment, Raw_Data_Daily!$C$2:$C$9999,
  IFERROR(SUMPRODUCT(gain, players, --(group="Variant"), --(segment=D$4)) / SUMPRODUCT(players, --(group="Variant"), --(segment=D$4)), 0)
)</f>
        <v>1.512218715</v>
      </c>
      <c r="E16" s="222">
        <f>LET(
  gain, Raw_Data_Daily!$BS$2:$BS$9999,
  players, Raw_Data_Daily!$D$2:$D$9999,
  group, Raw_Data_Daily!$B$2:$B$9999,
  segment, Raw_Data_Daily!$C$2:$C$9999,
  IFERROR(SUMPRODUCT(gain, players, --(group="Variant"), --(segment=E$4)) / SUMPRODUCT(players, --(group="Variant"), --(segment=E$4)), 0)
)</f>
        <v>1.947323167</v>
      </c>
      <c r="F16" s="222">
        <f>LET(
  gain, Raw_Data_Daily!$BS$2:$BS$9999,
  players, Raw_Data_Daily!$D$2:$D$9999,
  group, Raw_Data_Daily!$B$2:$B$9999,
  segment, Raw_Data_Daily!$C$2:$C$9999,
  IFERROR(SUMPRODUCT(gain, players, --(group="Variant"), --(segment=F$4)) / SUMPRODUCT(players, --(group="Variant"), --(segment=F$4)), 0)
)</f>
        <v>2.242692865</v>
      </c>
      <c r="G16" s="222">
        <f>LET(
  gain, Raw_Data_Daily!$BS$2:$BS$9999,
  players, Raw_Data_Daily!$D$2:$D$9999,
  group, Raw_Data_Daily!$B$2:$B$9999,
  segment, Raw_Data_Daily!$C$2:$C$9999,
  IFERROR(SUMPRODUCT(gain, players, --(group="Variant"), --(segment=G$4)) / SUMPRODUCT(players, --(group="Variant"), --(segment=G$4)), 0)
)</f>
        <v>2.880902345</v>
      </c>
    </row>
    <row r="17">
      <c r="B17" s="221" t="s">
        <v>91</v>
      </c>
      <c r="C17" s="222">
        <f>LET(
  gain, Raw_Data_Daily!$BW$2:$BW$9999,
  players, Raw_Data_Daily!$D$2:$D$9999,
  group, Raw_Data_Daily!$B$2:$B$9999,
  segment, Raw_Data_Daily!$C$2:$C$9999,
  IFERROR(SUMPRODUCT(gain, players, --(group="Variant"), --(segment=C$4)) / SUMPRODUCT(players, --(group="Variant"), --(segment=C$4)), 0)
)</f>
        <v>0.3724960818</v>
      </c>
      <c r="D17" s="222">
        <f>LET(
  gain, Raw_Data_Daily!$BW$2:$BW$9999,
  players, Raw_Data_Daily!$D$2:$D$9999,
  group, Raw_Data_Daily!$B$2:$B$9999,
  segment, Raw_Data_Daily!$C$2:$C$9999,
  IFERROR(SUMPRODUCT(gain, players, --(group="Variant"), --(segment=D$4)) / SUMPRODUCT(players, --(group="Variant"), --(segment=D$4)), 0)
)</f>
        <v>0.7743223427</v>
      </c>
      <c r="E17" s="222">
        <f>LET(
  gain, Raw_Data_Daily!$BW$2:$BW$9999,
  players, Raw_Data_Daily!$D$2:$D$9999,
  group, Raw_Data_Daily!$B$2:$B$9999,
  segment, Raw_Data_Daily!$C$2:$C$9999,
  IFERROR(SUMPRODUCT(gain, players, --(group="Variant"), --(segment=E$4)) / SUMPRODUCT(players, --(group="Variant"), --(segment=E$4)), 0)
)</f>
        <v>1.289762712</v>
      </c>
      <c r="F17" s="222">
        <f>LET(
  gain, Raw_Data_Daily!$BW$2:$BW$9999,
  players, Raw_Data_Daily!$D$2:$D$9999,
  group, Raw_Data_Daily!$B$2:$B$9999,
  segment, Raw_Data_Daily!$C$2:$C$9999,
  IFERROR(SUMPRODUCT(gain, players, --(group="Variant"), --(segment=F$4)) / SUMPRODUCT(players, --(group="Variant"), --(segment=F$4)), 0)
)</f>
        <v>1.939412878</v>
      </c>
      <c r="G17" s="222">
        <f>LET(
  gain, Raw_Data_Daily!$BW$2:$BW$9999,
  players, Raw_Data_Daily!$D$2:$D$9999,
  group, Raw_Data_Daily!$B$2:$B$9999,
  segment, Raw_Data_Daily!$C$2:$C$9999,
  IFERROR(SUMPRODUCT(gain, players, --(group="Variant"), --(segment=G$4)) / SUMPRODUCT(players, --(group="Variant"), --(segment=G$4)), 0)
)</f>
        <v>2.775820865</v>
      </c>
    </row>
    <row r="18">
      <c r="B18" s="151" t="s">
        <v>97</v>
      </c>
      <c r="C18" s="222">
        <f>LET(
  gain, Raw_Data_Daily!$CE$2:$CE$9999,
  players, Raw_Data_Daily!$D$2:$D$9999,
  group, Raw_Data_Daily!$B$2:$B$9999,
  segment, Raw_Data_Daily!$C$2:$C$9999,
  IFERROR(SUMPRODUCT(gain, players, --(group="Variant"), --(segment=C$4)) / SUMPRODUCT(players, --(group="Variant"), --(segment=C$4)), 0)
)</f>
        <v>0.6563938577</v>
      </c>
      <c r="D18" s="222">
        <f>LET(
  gain, Raw_Data_Daily!$CE$2:$CE$9999,
  players, Raw_Data_Daily!$D$2:$D$9999,
  group, Raw_Data_Daily!$B$2:$B$9999,
  segment, Raw_Data_Daily!$C$2:$C$9999,
  IFERROR(SUMPRODUCT(gain, players, --(group="Variant"), --(segment=D$4)) / SUMPRODUCT(players, --(group="Variant"), --(segment=D$4)), 0)
)</f>
        <v>0.9218822117</v>
      </c>
      <c r="E18" s="222">
        <f>LET(
  gain, Raw_Data_Daily!$CE$2:$CE$9999,
  players, Raw_Data_Daily!$D$2:$D$9999,
  group, Raw_Data_Daily!$B$2:$B$9999,
  segment, Raw_Data_Daily!$C$2:$C$9999,
  IFERROR(SUMPRODUCT(gain, players, --(group="Variant"), --(segment=E$4)) / SUMPRODUCT(players, --(group="Variant"), --(segment=E$4)), 0)
)</f>
        <v>1.241332182</v>
      </c>
      <c r="F18" s="222">
        <f>LET(
  gain, Raw_Data_Daily!$CE$2:$CE$9999,
  players, Raw_Data_Daily!$D$2:$D$9999,
  group, Raw_Data_Daily!$B$2:$B$9999,
  segment, Raw_Data_Daily!$C$2:$C$9999,
  IFERROR(SUMPRODUCT(gain, players, --(group="Variant"), --(segment=F$4)) / SUMPRODUCT(players, --(group="Variant"), --(segment=F$4)), 0)
)</f>
        <v>1.655867231</v>
      </c>
      <c r="G18" s="222">
        <f>LET(
  gain, Raw_Data_Daily!$CE$2:$CE$9999,
  players, Raw_Data_Daily!$D$2:$D$9999,
  group, Raw_Data_Daily!$B$2:$B$9999,
  segment, Raw_Data_Daily!$C$2:$C$9999,
  IFERROR(SUMPRODUCT(gain, players, --(group="Variant"), --(segment=G$4)) / SUMPRODUCT(players, --(group="Variant"), --(segment=G$4)), 0)
)</f>
        <v>2.468790314</v>
      </c>
    </row>
    <row r="19">
      <c r="B19" s="151" t="s">
        <v>103</v>
      </c>
      <c r="C19" s="222">
        <f>LET(
  gain, Raw_Data_Daily!$CI$2:$CI$9999,
  players, Raw_Data_Daily!$D$2:$D$9999,
  group, Raw_Data_Daily!$B$2:$B$9999,
  segment, Raw_Data_Daily!$C$2:$C$9999,
  IFERROR(SUMPRODUCT(gain, players, --(group="Variant"), --(segment=C$4)) / SUMPRODUCT(players, --(group="Variant"), --(segment=C$4)), 0)
)</f>
        <v>0.5151024387</v>
      </c>
      <c r="D19" s="222">
        <f>LET(
  gain, Raw_Data_Daily!$CI$2:$CI$9999,
  players, Raw_Data_Daily!$D$2:$D$9999,
  group, Raw_Data_Daily!$B$2:$B$9999,
  segment, Raw_Data_Daily!$C$2:$C$9999,
  IFERROR(SUMPRODUCT(gain, players, --(group="Variant"), --(segment=D$4)) / SUMPRODUCT(players, --(group="Variant"), --(segment=D$4)), 0)
)</f>
        <v>0.9743709183</v>
      </c>
      <c r="E19" s="222">
        <f>LET(
  gain, Raw_Data_Daily!$CI$2:$CI$9999,
  players, Raw_Data_Daily!$D$2:$D$9999,
  group, Raw_Data_Daily!$B$2:$B$9999,
  segment, Raw_Data_Daily!$C$2:$C$9999,
  IFERROR(SUMPRODUCT(gain, players, --(group="Variant"), --(segment=E$4)) / SUMPRODUCT(players, --(group="Variant"), --(segment=E$4)), 0)
)</f>
        <v>1.47960831</v>
      </c>
      <c r="F19" s="222">
        <f>LET(
  gain, Raw_Data_Daily!$CI$2:$CI$9999,
  players, Raw_Data_Daily!$D$2:$D$9999,
  group, Raw_Data_Daily!$B$2:$B$9999,
  segment, Raw_Data_Daily!$C$2:$C$9999,
  IFERROR(SUMPRODUCT(gain, players, --(group="Variant"), --(segment=F$4)) / SUMPRODUCT(players, --(group="Variant"), --(segment=F$4)), 0)
)</f>
        <v>2.286430956</v>
      </c>
      <c r="G19" s="222">
        <f>LET(
  gain, Raw_Data_Daily!$CI$2:$CI$9999,
  players, Raw_Data_Daily!$D$2:$D$9999,
  group, Raw_Data_Daily!$B$2:$B$9999,
  segment, Raw_Data_Daily!$C$2:$C$9999,
  IFERROR(SUMPRODUCT(gain, players, --(group="Variant"), --(segment=G$4)) / SUMPRODUCT(players, --(group="Variant"), --(segment=G$4)), 0)
)</f>
        <v>3.436503533</v>
      </c>
    </row>
    <row r="20">
      <c r="B20" s="151" t="s">
        <v>240</v>
      </c>
      <c r="C20" s="222">
        <f>LET(
  gain, Raw_Data_Daily!$CA$2:$CA$9999,
  players, Raw_Data_Daily!$D$2:$D$9999,
  group, Raw_Data_Daily!$B$2:$B$9999,
  segment, Raw_Data_Daily!$C$2:$C$9999,
  IFERROR(SUMPRODUCT(gain, players, --(group="Variant"), --(segment=C$4)) / SUMPRODUCT(players, --(group="Variant"), --(segment=C$4)), 0)
)</f>
        <v>0.2340716996</v>
      </c>
      <c r="D20" s="222">
        <f>LET(
  gain, Raw_Data_Daily!$CA$2:$CA$9999,
  players, Raw_Data_Daily!$D$2:$D$9999,
  group, Raw_Data_Daily!$B$2:$B$9999,
  segment, Raw_Data_Daily!$C$2:$C$9999,
  IFERROR(SUMPRODUCT(gain, players, --(group="Variant"), --(segment=D$4)) / SUMPRODUCT(players, --(group="Variant"), --(segment=D$4)), 0)
)</f>
        <v>0.474006382</v>
      </c>
      <c r="E20" s="222">
        <f>LET(
  gain, Raw_Data_Daily!$CA$2:$CA$9999,
  players, Raw_Data_Daily!$D$2:$D$9999,
  group, Raw_Data_Daily!$B$2:$B$9999,
  segment, Raw_Data_Daily!$C$2:$C$9999,
  IFERROR(SUMPRODUCT(gain, players, --(group="Variant"), --(segment=E$4)) / SUMPRODUCT(players, --(group="Variant"), --(segment=E$4)), 0)
)</f>
        <v>0.7320147601</v>
      </c>
      <c r="F20" s="222">
        <f>LET(
  gain, Raw_Data_Daily!$CA$2:$CA$9999,
  players, Raw_Data_Daily!$D$2:$D$9999,
  group, Raw_Data_Daily!$B$2:$B$9999,
  segment, Raw_Data_Daily!$C$2:$C$9999,
  IFERROR(SUMPRODUCT(gain, players, --(group="Variant"), --(segment=F$4)) / SUMPRODUCT(players, --(group="Variant"), --(segment=F$4)), 0)
)</f>
        <v>1.266356354</v>
      </c>
      <c r="G20" s="222">
        <f>LET(
  gain, Raw_Data_Daily!$CA$2:$CA$9999,
  players, Raw_Data_Daily!$D$2:$D$9999,
  group, Raw_Data_Daily!$B$2:$B$9999,
  segment, Raw_Data_Daily!$C$2:$C$9999,
  IFERROR(SUMPRODUCT(gain, players, --(group="Variant"), --(segment=G$4)) / SUMPRODUCT(players, --(group="Variant"), --(segment=G$4)), 0)
)</f>
        <v>2.330490222</v>
      </c>
    </row>
    <row r="21">
      <c r="B21" s="221"/>
      <c r="C21" s="208"/>
      <c r="D21" s="208"/>
      <c r="E21" s="208"/>
      <c r="F21" s="208"/>
      <c r="G21" s="208"/>
    </row>
    <row r="22">
      <c r="B22" s="221"/>
      <c r="C22" s="225" t="s">
        <v>284</v>
      </c>
      <c r="D22" s="208"/>
      <c r="E22" s="208"/>
      <c r="F22" s="208"/>
      <c r="G22" s="208"/>
    </row>
    <row r="23">
      <c r="B23" s="151" t="s">
        <v>273</v>
      </c>
      <c r="C23" s="222">
        <f>LET(
gain, Raw_Data_Daily!$Q$2:$Q$9999,
players, Raw_Data_Daily!$D$2:$D$9999,
group, Raw_Data_Daily!$B$2:$B$9999,
segment, Raw_Data_Daily!$C$2:$C$9999,
ns_change, WeekEND_NS_Config_Change_Est!C57,
ns_change_weekDay, WeekDAY_NS_Config_Change_Est!C57,
saga_change, (Saga_Config_Change_Est!B158-Saga_Config_Change_Est!B157),
rm_change, (SUMIFS(RM_Config_Change_Est!$F$40:$F$69, RM_Config_Change_Est!$V$40:$V$69, "&lt;="&amp;22.29) - SUMIFS(RM_Config_Change_Est!$F$6:$F$35, RM_Config_Change_Est!$V$6:$V$35, "&lt;="&amp;22.29)) / 7,
IFERROR(SUMPRODUCT(gain, players, --(group="Variant"), --(segment=C$4)) / SUMPRODUCT(players, --(group="Variant"), --(segment=C$4)), 0) + (ns_change*0.42) + (ns_change_weekDay*0.58) + saga_change + rm_change)</f>
        <v>55.78651574</v>
      </c>
      <c r="D23" s="222">
        <f>LET(
gain, Raw_Data_Daily!$Q$2:$Q$9999,
players, Raw_Data_Daily!$D$2:$D$9999,
group, Raw_Data_Daily!$B$2:$B$9999,
segment, Raw_Data_Daily!$C$2:$C$9999,
ns_change, WeekEND_NS_Config_Change_Est!D57,
ns_change_weekDay, WeekDAY_NS_Config_Change_Est!D57,
saga_change, (Saga_Config_Change_Est!C158-Saga_Config_Change_Est!C157),
rm_change, (SUMIFS(RM_Config_Change_Est!$F$40:$F$69, RM_Config_Change_Est!$V$40:$V$69, "&lt;="&amp;58.67) - SUMIFS(RM_Config_Change_Est!$F$6:$F$35, RM_Config_Change_Est!$V$6:$V$35, "&lt;="&amp;58.67)) / 7,
IFERROR(SUMPRODUCT(gain, players, --(group="Variant"), --(segment=D$4)) / SUMPRODUCT(players, --(group="Variant"), --(segment=D$4)), 0) + (ns_change*0.42) + (ns_change_weekDay*0.58) + saga_change + rm_change)</f>
        <v>102.4265661</v>
      </c>
      <c r="E23" s="222">
        <f>LET(
gain, Raw_Data_Daily!$Q$2:$Q$9999,
players, Raw_Data_Daily!$D$2:$D$9999,
group, Raw_Data_Daily!$B$2:$B$9999,
segment, Raw_Data_Daily!$C$2:$C$9999,
ns_change, WeekEND_NS_Config_Change_Est!E57,
ns_change_weekDay, WeekDAY_NS_Config_Change_Est!E57,
saga_change, (Saga_Config_Change_Est!D158-Saga_Config_Change_Est!D157),
rm_change, (SUMIFS(RM_Config_Change_Est!$F$40:$F$69, RM_Config_Change_Est!$V$40:$V$69, "&lt;="&amp;108.69) - SUMIFS(RM_Config_Change_Est!$F$6:$F$35, RM_Config_Change_Est!$V$6:$V$35, "&lt;="&amp;108.69)) / 7,
IFERROR(SUMPRODUCT(gain, players, --(group="Variant"), --(segment=E$4)) / SUMPRODUCT(players, --(group="Variant"), --(segment=E$4)), 0) + (ns_change*0.42) + (ns_change_weekDay*0.58) + saga_change + rm_change)</f>
        <v>174.4377674</v>
      </c>
      <c r="F23" s="222">
        <f>LET(
gain, Raw_Data_Daily!$Q$2:$Q$9999,
players, Raw_Data_Daily!$D$2:$D$9999,
group, Raw_Data_Daily!$B$2:$B$9999,
segment, Raw_Data_Daily!$C$2:$C$9999,
ns_change, WeekEND_NS_Config_Change_Est!F57,
ns_change_weekDay, WeekDAY_NS_Config_Change_Est!F57,
saga_change, (Saga_Config_Change_Est!E158-Saga_Config_Change_Est!E157),
rm_change, (SUMIFS(RM_Config_Change_Est!$F$40:$F$69, RM_Config_Change_Est!$V$40:$V$69, "&lt;="&amp;216.38) - SUMIFS(RM_Config_Change_Est!$F$6:$F$35, RM_Config_Change_Est!$V$6:$V$35, "&lt;="&amp;216.38)) / 7,
IFERROR(SUMPRODUCT(gain, players, --(group="Variant"), --(segment=F$4)) / SUMPRODUCT(players, --(group="Variant"), --(segment=F$4)), 0) + (ns_change*0.42) + (ns_change_weekDay*0.58) + saga_change + rm_change)</f>
        <v>307.3156879</v>
      </c>
      <c r="G23" s="222">
        <f>LET(
gain, Raw_Data_Daily!$Q$2:$Q$9999,
players, Raw_Data_Daily!$D$2:$D$9999,
group, Raw_Data_Daily!$B$2:$B$9999,
segment, Raw_Data_Daily!$C$2:$C$9999,
ns_change, WeekEND_NS_Config_Change_Est!G57,
ns_change_weekDay, WeekDAY_NS_Config_Change_Est!G57,
saga_change, (Saga_Config_Change_Est!F158-Saga_Config_Change_Est!F157),
rm_change, (SUMIFS(RM_Config_Change_Est!$F$40:$F$69, RM_Config_Change_Est!$V$40:$V$69, "&lt;="&amp;488.62) - SUMIFS(RM_Config_Change_Est!$F$6:$F$35, RM_Config_Change_Est!$V$6:$V$35, "&lt;="&amp;488.62)) / 7,
IFERROR(SUMPRODUCT(gain, players, --(group="Variant"), --(segment=G$4)) / SUMPRODUCT(players, --(group="Variant"), --(segment=G$4)), 0) + (ns_change*0.42) + saga_change + rm_change)</f>
        <v>531.9466606</v>
      </c>
    </row>
    <row r="24">
      <c r="B24" s="221" t="s">
        <v>79</v>
      </c>
      <c r="C24" s="222">
        <f>LET(
gain, Raw_Data_Daily!$BO$2:$BO$9999,
players, Raw_Data_Daily!$D$2:$D$9999,
group, Raw_Data_Daily!$B$2:$B$9999,
segment, Raw_Data_Daily!$C$2:$C$9999,
ns_change, WeekEND_NS_Config_Change_Est!C62,
saga_change, (Saga_Config_Change_Est!B165-Saga_Config_Change_Est!B164),
rm_change, (SUMIFS(RM_Config_Change_Est!$I$40:$I$69, RM_Config_Change_Est!$W$40:$W$69, "&lt;="&amp;22.29) - SUMIFS(RM_Config_Change_Est!$I$6:$I$35, RM_Config_Change_Est!$W$6:$W$35, "&lt;="&amp;22.29)) / 7,
IFERROR(SUMPRODUCT(gain, players, --(group="Variant"), --(segment=C$4)) / SUMPRODUCT(players, --(group="Variant"), --(segment=C$4)), 0) + (ns_change*0.42) + saga_change + rm_change)</f>
        <v>1.233675935</v>
      </c>
      <c r="D24" s="222">
        <f>LET(
gain, Raw_Data_Daily!$BO$2:$BO$9999,
players, Raw_Data_Daily!$D$2:$D$9999,
group, Raw_Data_Daily!$B$2:$B$9999,
segment, Raw_Data_Daily!$C$2:$C$9999,
ns_change, WeekEND_NS_Config_Change_Est!D62,
saga_change, (Saga_Config_Change_Est!C165-Saga_Config_Change_Est!C164),
rm_change, (SUMIFS(RM_Config_Change_Est!$I$40:$I$69, RM_Config_Change_Est!$W$40:$W$69, "&lt;="&amp;58.67) - SUMIFS(RM_Config_Change_Est!$I$6:$I$35, RM_Config_Change_Est!$W$6:$W$35, "&lt;="&amp;58.67)) / 7,
IFERROR(SUMPRODUCT(gain, players, --(group="Variant"), --(segment=D$4)) / SUMPRODUCT(players, --(group="Variant"), --(segment=D$4)), 0) + (ns_change*0.42) + saga_change + rm_change)</f>
        <v>1.666492353</v>
      </c>
      <c r="E24" s="222">
        <f>LET(
gain, Raw_Data_Daily!$BO$2:$BO$9999,
players, Raw_Data_Daily!$D$2:$D$9999,
group, Raw_Data_Daily!$B$2:$B$9999,
segment, Raw_Data_Daily!$C$2:$C$9999,
ns_change, WeekEND_NS_Config_Change_Est!E62,
saga_change, (Saga_Config_Change_Est!D165-Saga_Config_Change_Est!D164),
rm_change, (SUMIFS(RM_Config_Change_Est!$I$40:$I$69, RM_Config_Change_Est!$W$40:$W$69, "&lt;="&amp;108.69) - SUMIFS(RM_Config_Change_Est!$I$6:$I$35, RM_Config_Change_Est!$W$6:$W$35, "&lt;="&amp;108.69)) / 7,
IFERROR(SUMPRODUCT(gain, players, --(group="Variant"), --(segment=E$4)) / SUMPRODUCT(players, --(group="Variant"), --(segment=E$4)), 0) + (ns_change*0.42) + saga_change + rm_change)</f>
        <v>2.077096798</v>
      </c>
      <c r="F24" s="222">
        <f>LET(
gain, Raw_Data_Daily!$BO$2:$BO$9999,
players, Raw_Data_Daily!$D$2:$D$9999,
group, Raw_Data_Daily!$B$2:$B$9999,
segment, Raw_Data_Daily!$C$2:$C$9999,
ns_change, WeekEND_NS_Config_Change_Est!F62,
saga_change, (Saga_Config_Change_Est!E165-Saga_Config_Change_Est!E164),
rm_change, (SUMIFS(RM_Config_Change_Est!$I$40:$I$69, RM_Config_Change_Est!$W$40:$W$69, "&lt;="&amp;216.38) - SUMIFS(RM_Config_Change_Est!$I$6:$I$35, RM_Config_Change_Est!$W$6:$W$35, "&lt;="&amp;216.38)) / 7,
IFERROR(SUMPRODUCT(gain, players, --(group="Variant"), --(segment=F$4)) / SUMPRODUCT(players, --(group="Variant"), --(segment=F$4)), 0) + (ns_change*0.42) + saga_change + rm_change)</f>
        <v>2.523760826</v>
      </c>
      <c r="G24" s="222">
        <f>LET(
gain, Raw_Data_Daily!$BO$2:$BO$9999,
players, Raw_Data_Daily!$D$2:$D$9999,
group, Raw_Data_Daily!$B$2:$B$9999,
segment, Raw_Data_Daily!$C$2:$C$9999,
ns_change, WeekEND_NS_Config_Change_Est!G62,
saga_change, (Saga_Config_Change_Est!F165-Saga_Config_Change_Est!F164),
rm_change, (SUMIFS(RM_Config_Change_Est!$I$40:$I$69, RM_Config_Change_Est!$W$40:$W$69, "&lt;="&amp;488.62) - SUMIFS(RM_Config_Change_Est!$I$6:$I$35, RM_Config_Change_Est!$W$6:$W$35, "&lt;="&amp;488.62)) / 7,
IFERROR(SUMPRODUCT(gain, players, --(group="Variant"), --(segment=G$4)) / SUMPRODUCT(players, --(group="Variant"), --(segment=G$4)), 0) + (ns_change*0.42) + saga_change + rm_change)</f>
        <v>3.014180289</v>
      </c>
    </row>
    <row r="25">
      <c r="B25" s="221" t="s">
        <v>85</v>
      </c>
      <c r="C25" s="222">
        <f>LET(
gain, Raw_Data_Daily!$BS$2:$BS$9999,
players, Raw_Data_Daily!$D$2:$D$9999,
group, Raw_Data_Daily!$B$2:$B$9999,
segment, Raw_Data_Daily!$C$2:$C$9999,
ns_change, WeekEND_NS_Config_Change_Est!C66,
saga_change, (Saga_Config_Change_Est!B170-Saga_Config_Change_Est!B169),
rm_change, (SUMIFS(RM_Config_Change_Est!$J$40:$J$69, RM_Config_Change_Est!$W$40:$W$69, "&lt;="&amp;22.29) - SUMIFS(RM_Config_Change_Est!$J$6:$J$35, RM_Config_Change_Est!$W$6:$W$35, "&lt;="&amp;22.29)) / 7,
IFERROR(SUMPRODUCT(gain, players, --(group="Variant"), --(segment=C$4)) / SUMPRODUCT(players, --(group="Variant"), --(segment=C$4)), 0) + (ns_change*0.42) + saga_change + rm_change)</f>
        <v>1.103127878</v>
      </c>
      <c r="D25" s="222">
        <f>LET(
gain, Raw_Data_Daily!$BS$2:$BS$9999,
players, Raw_Data_Daily!$D$2:$D$9999,
group, Raw_Data_Daily!$B$2:$B$9999,
segment, Raw_Data_Daily!$C$2:$C$9999,
ns_change, WeekEND_NS_Config_Change_Est!D66,
saga_change, (Saga_Config_Change_Est!C170-Saga_Config_Change_Est!C169),
rm_change, (SUMIFS(RM_Config_Change_Est!$J$40:$J$69, RM_Config_Change_Est!$W$40:$W$69, "&lt;="&amp;58.67) - SUMIFS(RM_Config_Change_Est!$J$6:$J$35, RM_Config_Change_Est!$W$6:$W$35, "&lt;="&amp;58.67)) / 7,
IFERROR(SUMPRODUCT(gain, players, --(group="Variant"), --(segment=D$4)) / SUMPRODUCT(players, --(group="Variant"), --(segment=D$4)), 0) + (ns_change*0.42) + saga_change + rm_change)</f>
        <v>1.49387145</v>
      </c>
      <c r="E25" s="222">
        <f>LET(
gain, Raw_Data_Daily!$BS$2:$BS$9999,
players, Raw_Data_Daily!$D$2:$D$9999,
group, Raw_Data_Daily!$B$2:$B$9999,
segment, Raw_Data_Daily!$C$2:$C$9999,
ns_change, WeekEND_NS_Config_Change_Est!E66,
saga_change, (Saga_Config_Change_Est!D170-Saga_Config_Change_Est!D169),
rm_change, (SUMIFS(RM_Config_Change_Est!$J$40:$J$69, RM_Config_Change_Est!$W$40:$W$69, "&lt;="&amp;108.69) - SUMIFS(RM_Config_Change_Est!$J$6:$J$35, RM_Config_Change_Est!$W$6:$W$35, "&lt;="&amp;108.69)) / 7,
IFERROR(SUMPRODUCT(gain, players, --(group="Variant"), --(segment=E$4)) / SUMPRODUCT(players, --(group="Variant"), --(segment=E$4)), 0) + (ns_change*0.42) + saga_change + rm_change)</f>
        <v>1.92924582</v>
      </c>
      <c r="F25" s="222">
        <f>LET(
gain, Raw_Data_Daily!$BS$2:$BS$9999,
players, Raw_Data_Daily!$D$2:$D$9999,
group, Raw_Data_Daily!$B$2:$B$9999,
segment, Raw_Data_Daily!$C$2:$C$9999,
ns_change, WeekEND_NS_Config_Change_Est!F66,
saga_change, (Saga_Config_Change_Est!E170-Saga_Config_Change_Est!E169),
rm_change, (SUMIFS(RM_Config_Change_Est!$J$40:$J$69, RM_Config_Change_Est!$W$40:$W$69, "&lt;="&amp;216.38) - SUMIFS(RM_Config_Change_Est!$J$6:$J$35, RM_Config_Change_Est!$W$6:$W$35, "&lt;="&amp;216.38)) / 7,
IFERROR(SUMPRODUCT(gain, players, --(group="Variant"), --(segment=F$4)) / SUMPRODUCT(players, --(group="Variant"), --(segment=F$4)), 0) + (ns_change*0.42) + saga_change + rm_change)</f>
        <v>2.526480764</v>
      </c>
      <c r="G25" s="222">
        <f>LET(
gain, Raw_Data_Daily!$BS$2:$BS$9999,
players, Raw_Data_Daily!$D$2:$D$9999,
group, Raw_Data_Daily!$B$2:$B$9999,
segment, Raw_Data_Daily!$C$2:$C$9999,
ns_change, WeekEND_NS_Config_Change_Est!G66,
saga_change, (Saga_Config_Change_Est!F170-Saga_Config_Change_Est!F169),
rm_change, (SUMIFS(RM_Config_Change_Est!$J$40:$J$69, RM_Config_Change_Est!$W$40:$W$69, "&lt;="&amp;488.62) - SUMIFS(RM_Config_Change_Est!$J$6:$J$35, RM_Config_Change_Est!$W$6:$W$35, "&lt;="&amp;488.62)) / 7,
IFERROR(SUMPRODUCT(gain, players, --(group="Variant"), --(segment=G$4)) / SUMPRODUCT(players, --(group="Variant"), --(segment=G$4)), 0) + (ns_change*0.42) + saga_change + rm_change)</f>
        <v>3.105249646</v>
      </c>
    </row>
    <row r="26">
      <c r="B26" s="221" t="s">
        <v>91</v>
      </c>
      <c r="C26" s="222">
        <f>LET(
gain, Raw_Data_Daily!$BW$2:$BW$9999,
players, Raw_Data_Daily!$D$2:$D$9999,
group, Raw_Data_Daily!$B$2:$B$9999,
segment, Raw_Data_Daily!$C$2:$C$9999,
ns_change, WeekEND_NS_Config_Change_Est!C70,
saga_change, (Saga_Config_Change_Est!B175-Saga_Config_Change_Est!B174),
rm_change, (SUMIFS(RM_Config_Change_Est!$K$40:$K$69, RM_Config_Change_Est!$W$40:$W$69, "&lt;="&amp;22.29) - SUMIFS(RM_Config_Change_Est!$K$6:$K$35, RM_Config_Change_Est!$W$6:$W$35, "&lt;="&amp;22.29)) / 7,
IFERROR(SUMPRODUCT(gain, players, --(group="Variant"), --(segment=C$4)) / SUMPRODUCT(players, --(group="Variant"), --(segment=C$4)), 0) + (ns_change*0.42) + saga_change + rm_change)</f>
        <v>0.473357669</v>
      </c>
      <c r="D26" s="222">
        <f>LET(
gain, Raw_Data_Daily!$BW$2:$BW$9999,
players, Raw_Data_Daily!$D$2:$D$9999,
group, Raw_Data_Daily!$B$2:$B$9999,
segment, Raw_Data_Daily!$C$2:$C$9999,
ns_change, WeekEND_NS_Config_Change_Est!D70,
saga_change, (Saga_Config_Change_Est!C175-Saga_Config_Change_Est!C174),
rm_change, (SUMIFS(RM_Config_Change_Est!$K$40:$K$69, RM_Config_Change_Est!$W$40:$W$69, "&lt;="&amp;58.67) - SUMIFS(RM_Config_Change_Est!$K$6:$K$35, RM_Config_Change_Est!$W$6:$W$35, "&lt;="&amp;58.67)) / 7,
IFERROR(SUMPRODUCT(gain, players, --(group="Variant"), --(segment=D$4)) / SUMPRODUCT(players, --(group="Variant"), --(segment=D$4)), 0) + (ns_change*0.42) + saga_change + rm_change)</f>
        <v>0.9317408393</v>
      </c>
      <c r="E26" s="222">
        <f>LET(
gain, Raw_Data_Daily!$BW$2:$BW$9999,
players, Raw_Data_Daily!$D$2:$D$9999,
group, Raw_Data_Daily!$B$2:$B$9999,
segment, Raw_Data_Daily!$C$2:$C$9999,
ns_change, WeekEND_NS_Config_Change_Est!E70,
saga_change, (Saga_Config_Change_Est!D175-Saga_Config_Change_Est!D174),
rm_change, (SUMIFS(RM_Config_Change_Est!$K$40:$K$69, RM_Config_Change_Est!$W$40:$W$69, "&lt;="&amp;108.69) - SUMIFS(RM_Config_Change_Est!$K$6:$K$35, RM_Config_Change_Est!$W$6:$W$35, "&lt;="&amp;108.69)) / 7,
IFERROR(SUMPRODUCT(gain, players, --(group="Variant"), --(segment=E$4)) / SUMPRODUCT(players, --(group="Variant"), --(segment=E$4)), 0) + (ns_change*0.42) + saga_change + rm_change)</f>
        <v>1.560901546</v>
      </c>
      <c r="F26" s="222">
        <f>LET(
gain, Raw_Data_Daily!$BW$2:$BW$9999,
players, Raw_Data_Daily!$D$2:$D$9999,
group, Raw_Data_Daily!$B$2:$B$9999,
segment, Raw_Data_Daily!$C$2:$C$9999,
ns_change, WeekEND_NS_Config_Change_Est!F70,
saga_change, (Saga_Config_Change_Est!E175-Saga_Config_Change_Est!E174),
rm_change, (SUMIFS(RM_Config_Change_Est!$K$40:$K$69, RM_Config_Change_Est!$W$40:$W$69, "&lt;="&amp;216.38) - SUMIFS(RM_Config_Change_Est!$K$6:$K$35, RM_Config_Change_Est!$W$6:$W$35, "&lt;="&amp;216.38)) / 7,
IFERROR(SUMPRODUCT(gain, players, --(group="Variant"), --(segment=F$4)) / SUMPRODUCT(players, --(group="Variant"), --(segment=F$4)), 0) + (ns_change*0.42) + saga_change + rm_change)</f>
        <v>2.472195584</v>
      </c>
      <c r="G26" s="222">
        <f>LET(
gain, Raw_Data_Daily!$BW$2:$BW$9999,
players, Raw_Data_Daily!$D$2:$D$9999,
group, Raw_Data_Daily!$B$2:$B$9999,
segment, Raw_Data_Daily!$C$2:$C$9999,
ns_change, WeekEND_NS_Config_Change_Est!G70,
saga_change, (Saga_Config_Change_Est!F175-Saga_Config_Change_Est!F174),
rm_change, (SUMIFS(RM_Config_Change_Est!$K$40:$K$69, RM_Config_Change_Est!$W$40:$W$69, "&lt;="&amp;488.62) - SUMIFS(RM_Config_Change_Est!$K$6:$K$35, RM_Config_Change_Est!$W$6:$W$35, "&lt;="&amp;488.62)) / 7,
IFERROR(SUMPRODUCT(gain, players, --(group="Variant"), --(segment=G$4)) / SUMPRODUCT(players, --(group="Variant"), --(segment=G$4)), 0) + (ns_change*0.42) + saga_change + rm_change)</f>
        <v>3.928765357</v>
      </c>
    </row>
    <row r="27">
      <c r="B27" s="151" t="s">
        <v>97</v>
      </c>
      <c r="C27" s="222">
        <f>LET(
gain, Raw_Data_Daily!$CE$2:$CE$9999,
players, Raw_Data_Daily!$D$2:$D$9999,
group, Raw_Data_Daily!$B$2:$B$9999,
segment, Raw_Data_Daily!$C$2:$C$9999,
saga_change, (Saga_Config_Change_Est!B182-Saga_Config_Change_Est!B181),
rm_change, (SUMIFS(RM_Config_Change_Est!$L$40:$L$69, RM_Config_Change_Est!$W$40:$W$69, "&lt;="&amp;22.29) - SUMIFS(RM_Config_Change_Est!$L$6:$L$35, RM_Config_Change_Est!$W$6:$W$35, "&lt;="&amp;22.29)) / 7,
IFERROR(SUMPRODUCT(gain, players, --(group="Variant"), --(segment=C$4)) / SUMPRODUCT(players, --(group="Variant"), --(segment=C$4)), 0) + saga_change + rm_change)</f>
        <v>0.6563938577</v>
      </c>
      <c r="D27" s="222">
        <f>LET(
gain, Raw_Data_Daily!$CE$2:$CE$9999,
players, Raw_Data_Daily!$D$2:$D$9999,
group, Raw_Data_Daily!$B$2:$B$9999,
segment, Raw_Data_Daily!$C$2:$C$9999,
saga_change, (Saga_Config_Change_Est!C182-Saga_Config_Change_Est!C181),
rm_change, (SUMIFS(RM_Config_Change_Est!$L$40:$L$69, RM_Config_Change_Est!$W$40:$W$69, "&lt;="&amp;58.67) - SUMIFS(RM_Config_Change_Est!$L$6:$L$35, RM_Config_Change_Est!$W$6:$W$35, "&lt;="&amp;58.67)) / 7,
IFERROR(SUMPRODUCT(gain, players, --(group="Variant"), --(segment=D$4)) / SUMPRODUCT(players, --(group="Variant"), --(segment=D$4)), 0) + saga_change + rm_change)</f>
        <v>0.9218822117</v>
      </c>
      <c r="E27" s="222">
        <f>LET(
gain, Raw_Data_Daily!$CE$2:$CE$9999,
players, Raw_Data_Daily!$D$2:$D$9999,
group, Raw_Data_Daily!$B$2:$B$9999,
segment, Raw_Data_Daily!$C$2:$C$9999,
saga_change, (Saga_Config_Change_Est!D182-Saga_Config_Change_Est!D181),
rm_change, (SUMIFS(RM_Config_Change_Est!$L$40:$L$69, RM_Config_Change_Est!$W$40:$W$69, "&lt;="&amp;108.69) - SUMIFS(RM_Config_Change_Est!$L$6:$L$35, RM_Config_Change_Est!$W$6:$W$35, "&lt;="&amp;108.69)) / 7,
IFERROR(SUMPRODUCT(gain, players, --(group="Variant"), --(segment=E$4)) / SUMPRODUCT(players, --(group="Variant"), --(segment=E$4)), 0) + saga_change + rm_change)</f>
        <v>1.241332182</v>
      </c>
      <c r="F27" s="222">
        <f>LET(
gain, Raw_Data_Daily!$CE$2:$CE$9999,
players, Raw_Data_Daily!$D$2:$D$9999,
group, Raw_Data_Daily!$B$2:$B$9999,
segment, Raw_Data_Daily!$C$2:$C$9999,
saga_change, (Saga_Config_Change_Est!E182-Saga_Config_Change_Est!E181),
rm_change, (SUMIFS(RM_Config_Change_Est!$L$40:$L$69, RM_Config_Change_Est!$W$40:$W$69, "&lt;="&amp;216.38) - SUMIFS(RM_Config_Change_Est!$L$6:$L$35, RM_Config_Change_Est!$W$6:$W$35, "&lt;="&amp;216.38)) / 7,
IFERROR(SUMPRODUCT(gain, players, --(group="Variant"), --(segment=F$4)) / SUMPRODUCT(players, --(group="Variant"), --(segment=F$4)), 0) + saga_change + rm_change)</f>
        <v>1.655867231</v>
      </c>
      <c r="G27" s="222">
        <f>LET(
gain, Raw_Data_Daily!$CE$2:$CE$9999,
players, Raw_Data_Daily!$D$2:$D$9999,
group, Raw_Data_Daily!$B$2:$B$9999,
segment, Raw_Data_Daily!$C$2:$C$9999,
saga_change, (Saga_Config_Change_Est!F182-Saga_Config_Change_Est!F181),
rm_change, (SUMIFS(RM_Config_Change_Est!$L$40:$L$69, RM_Config_Change_Est!$W$40:$W$69, "&lt;="&amp;488.62) - SUMIFS(RM_Config_Change_Est!$L$6:$L$35, RM_Config_Change_Est!$W$6:$W$35, "&lt;="&amp;488.62)) / 7,
IFERROR(SUMPRODUCT(gain, players, --(group="Variant"), --(segment=G$4)) / SUMPRODUCT(players, --(group="Variant"), --(segment=G$4)), 0) + saga_change + rm_change)</f>
        <v>2.468790314</v>
      </c>
    </row>
    <row r="28">
      <c r="B28" s="151" t="s">
        <v>103</v>
      </c>
      <c r="C28" s="222">
        <f>LET(
gain, Raw_Data_Daily!$CI$2:$CI$9999,
players, Raw_Data_Daily!$D$2:$D$9999,
group, Raw_Data_Daily!$B$2:$B$9999,
segment, Raw_Data_Daily!$C$2:$C$9999,
saga_change, (Saga_Config_Change_Est!B187-Saga_Config_Change_Est!B186),
rm_change, (SUMIFS(RM_Config_Change_Est!$M$40:$M$69, RM_Config_Change_Est!$W$40:$W$69, "&lt;="&amp;22.29) - SUMIFS(RM_Config_Change_Est!$M$6:$M$35, RM_Config_Change_Est!$W$6:$W$35, "&lt;="&amp;22.29)) / 7,
IFERROR(SUMPRODUCT(gain, players, --(group="Variant"), --(segment=C$4)) / SUMPRODUCT(players, --(group="Variant"), --(segment=C$4)), 0) + saga_change + rm_change)</f>
        <v>0.5151024387</v>
      </c>
      <c r="D28" s="222">
        <f>LET(
gain, Raw_Data_Daily!$CI$2:$CI$9999,
players, Raw_Data_Daily!$D$2:$D$9999,
group, Raw_Data_Daily!$B$2:$B$9999,
segment, Raw_Data_Daily!$C$2:$C$9999,
saga_change, (Saga_Config_Change_Est!C187-Saga_Config_Change_Est!C186),
rm_change, (SUMIFS(RM_Config_Change_Est!$M$40:$M$69, RM_Config_Change_Est!$W$40:$W$69, "&lt;="&amp;58.67) - SUMIFS(RM_Config_Change_Est!$M$6:$M$35, RM_Config_Change_Est!$W$6:$W$35, "&lt;="&amp;58.67)) / 7,
IFERROR(SUMPRODUCT(gain, players, --(group="Variant"), --(segment=D$4)) / SUMPRODUCT(players, --(group="Variant"), --(segment=D$4)), 0) + saga_change + rm_change)</f>
        <v>0.9743709183</v>
      </c>
      <c r="E28" s="222">
        <f>LET(
gain, Raw_Data_Daily!$CI$2:$CI$9999,
players, Raw_Data_Daily!$D$2:$D$9999,
group, Raw_Data_Daily!$B$2:$B$9999,
segment, Raw_Data_Daily!$C$2:$C$9999,
saga_change, (Saga_Config_Change_Est!D187-Saga_Config_Change_Est!D186),
rm_change, (SUMIFS(RM_Config_Change_Est!$M$40:$M$69, RM_Config_Change_Est!$W$40:$W$69, "&lt;="&amp;108.69) - SUMIFS(RM_Config_Change_Est!$M$6:$M$35, RM_Config_Change_Est!$W$6:$W$35, "&lt;="&amp;108.69)) / 7,
IFERROR(SUMPRODUCT(gain, players, --(group="Variant"), --(segment=E$4)) / SUMPRODUCT(players, --(group="Variant"), --(segment=E$4)), 0) + saga_change + rm_change)</f>
        <v>1.47960831</v>
      </c>
      <c r="F28" s="222">
        <f>LET(
gain, Raw_Data_Daily!$CI$2:$CI$9999,
players, Raw_Data_Daily!$D$2:$D$9999,
group, Raw_Data_Daily!$B$2:$B$9999,
segment, Raw_Data_Daily!$C$2:$C$9999,
saga_change, (Saga_Config_Change_Est!E187-Saga_Config_Change_Est!E186),
rm_change, (SUMIFS(RM_Config_Change_Est!$M$40:$M$69, RM_Config_Change_Est!$W$40:$W$69, "&lt;="&amp;216.38) - SUMIFS(RM_Config_Change_Est!$M$6:$M$35, RM_Config_Change_Est!$W$6:$W$35, "&lt;="&amp;216.38)) / 7,
IFERROR(SUMPRODUCT(gain, players, --(group="Variant"), --(segment=F$4)) / SUMPRODUCT(players, --(group="Variant"), --(segment=F$4)), 0) + saga_change + rm_change)</f>
        <v>2.143573814</v>
      </c>
      <c r="G28" s="222">
        <f>LET(
gain, Raw_Data_Daily!$CI$2:$CI$9999,
players, Raw_Data_Daily!$D$2:$D$9999,
group, Raw_Data_Daily!$B$2:$B$9999,
segment, Raw_Data_Daily!$C$2:$C$9999,
saga_change, (Saga_Config_Change_Est!F187-Saga_Config_Change_Est!F186),
rm_change, (SUMIFS(RM_Config_Change_Est!$M$40:$M$69, RM_Config_Change_Est!$W$40:$W$69, "&lt;="&amp;488.62) - SUMIFS(RM_Config_Change_Est!$M$6:$M$35, RM_Config_Change_Est!$W$6:$W$35, "&lt;="&amp;488.62)) / 7,
IFERROR(SUMPRODUCT(gain, players, --(group="Variant"), --(segment=G$4)) / SUMPRODUCT(players, --(group="Variant"), --(segment=G$4)), 0) + saga_change + rm_change)</f>
        <v>3.29364639</v>
      </c>
    </row>
    <row r="29">
      <c r="B29" s="151" t="s">
        <v>240</v>
      </c>
      <c r="C29" s="222">
        <f>LET(
gain, Raw_Data_Daily!$CA$2:$CA$9999,
players, Raw_Data_Daily!$D$2:$D$9999,
group, Raw_Data_Daily!$B$2:$B$9999,
segment, Raw_Data_Daily!$C$2:$C$9999,
saga_change, (Saga_Config_Change_Est!B192-Saga_Config_Change_Est!B191),
rm_change, (SUMIFS(RM_Config_Change_Est!$N$40:$N$69, RM_Config_Change_Est!$W$40:$W$69, "&lt;="&amp;22.29) - SUMIFS(RM_Config_Change_Est!$N$6:$N$35, RM_Config_Change_Est!$W$6:$W$35, "&lt;="&amp;22.29)) / 7,
IFERROR(SUMPRODUCT(gain, players, --(group="Variant"), --(segment=C$4)) / SUMPRODUCT(players, --(group="Variant"), --(segment=C$4)), 0) + saga_change + rm_change)</f>
        <v>0.3002201372</v>
      </c>
      <c r="D29" s="222">
        <f>LET(
gain, Raw_Data_Daily!$CA$2:$CA$9999,
players, Raw_Data_Daily!$D$2:$D$9999,
group, Raw_Data_Daily!$B$2:$B$9999,
segment, Raw_Data_Daily!$C$2:$C$9999,
saga_change, (Saga_Config_Change_Est!C192-Saga_Config_Change_Est!C191),
rm_change, (SUMIFS(RM_Config_Change_Est!$N$40:$N$69, RM_Config_Change_Est!$W$40:$W$69, "&lt;="&amp;58.67) - SUMIFS(RM_Config_Change_Est!$N$6:$N$35, RM_Config_Change_Est!$W$6:$W$35, "&lt;="&amp;58.67)) / 7,
IFERROR(SUMPRODUCT(gain, players, --(group="Variant"), --(segment=D$4)) / SUMPRODUCT(players, --(group="Variant"), --(segment=D$4)), 0) + saga_change + rm_change)</f>
        <v>0.6168635249</v>
      </c>
      <c r="E29" s="222">
        <f>LET(
gain, Raw_Data_Daily!$CA$2:$CA$9999,
players, Raw_Data_Daily!$D$2:$D$9999,
group, Raw_Data_Daily!$B$2:$B$9999,
segment, Raw_Data_Daily!$C$2:$C$9999,
saga_change, (Saga_Config_Change_Est!D192-Saga_Config_Change_Est!D191),
rm_change, (SUMIFS(RM_Config_Change_Est!$N$40:$N$69, RM_Config_Change_Est!$W$40:$W$69, "&lt;="&amp;108.69) - SUMIFS(RM_Config_Change_Est!$N$6:$N$35, RM_Config_Change_Est!$W$6:$W$35, "&lt;="&amp;108.69)) / 7,
IFERROR(SUMPRODUCT(gain, players, --(group="Variant"), --(segment=E$4)) / SUMPRODUCT(players, --(group="Variant"), --(segment=E$4)), 0) + saga_change + rm_change)</f>
        <v>0.874871903</v>
      </c>
      <c r="F29" s="222">
        <f>LET(
gain, Raw_Data_Daily!$CA$2:$CA$9999,
players, Raw_Data_Daily!$D$2:$D$9999,
group, Raw_Data_Daily!$B$2:$B$9999,
segment, Raw_Data_Daily!$C$2:$C$9999,
saga_change, (Saga_Config_Change_Est!E192-Saga_Config_Change_Est!E191),
rm_change, (SUMIFS(RM_Config_Change_Est!$N$40:$N$69, RM_Config_Change_Est!$W$40:$W$69, "&lt;="&amp;216.38) - SUMIFS(RM_Config_Change_Est!$N$6:$N$35, RM_Config_Change_Est!$W$6:$W$35, "&lt;="&amp;216.38)) / 7,
IFERROR(SUMPRODUCT(gain, players, --(group="Variant"), --(segment=F$4)) / SUMPRODUCT(players, --(group="Variant"), --(segment=F$4)), 0) + saga_change + rm_change)</f>
        <v>1.266356354</v>
      </c>
      <c r="G29" s="222">
        <f>LET(
gain, Raw_Data_Daily!$CA$2:$CA$9999,
players, Raw_Data_Daily!$D$2:$D$9999,
group, Raw_Data_Daily!$B$2:$B$9999,
segment, Raw_Data_Daily!$C$2:$C$9999,
saga_change, (Saga_Config_Change_Est!F192-Saga_Config_Change_Est!F191),
rm_change, (SUMIFS(RM_Config_Change_Est!$N$40:$N$69, RM_Config_Change_Est!$W$40:$W$69, "&lt;="&amp;488.62) - SUMIFS(RM_Config_Change_Est!$N$6:$N$35, RM_Config_Change_Est!$W$6:$W$35, "&lt;="&amp;488.62)) / 7,
IFERROR(SUMPRODUCT(gain, players, --(group="Variant"), --(segment=G$4)) / SUMPRODUCT(players, --(group="Variant"), --(segment=G$4)), 0) + saga_change + rm_change)</f>
        <v>2.330490222</v>
      </c>
    </row>
    <row r="30">
      <c r="B30" s="221"/>
    </row>
    <row r="31">
      <c r="B31" s="221"/>
      <c r="C31" s="146" t="s">
        <v>405</v>
      </c>
    </row>
    <row r="32">
      <c r="B32" s="151" t="s">
        <v>273</v>
      </c>
      <c r="C32" s="238">
        <f t="shared" ref="C32:G32" si="1">IFERROR(C14/C5-1, "")</f>
        <v>-0.02754961576</v>
      </c>
      <c r="D32" s="238">
        <f t="shared" si="1"/>
        <v>0.01087122944</v>
      </c>
      <c r="E32" s="238">
        <f t="shared" si="1"/>
        <v>0.1305911342</v>
      </c>
      <c r="F32" s="238">
        <f t="shared" si="1"/>
        <v>0.2179929654</v>
      </c>
      <c r="G32" s="238">
        <f t="shared" si="1"/>
        <v>0.2973681904</v>
      </c>
    </row>
    <row r="33">
      <c r="B33" s="221" t="s">
        <v>79</v>
      </c>
      <c r="C33" s="238">
        <f t="shared" ref="C33:G33" si="2">IFERROR(C15/C6-1, "")</f>
        <v>0.185084524</v>
      </c>
      <c r="D33" s="238">
        <f t="shared" si="2"/>
        <v>0.07809774445</v>
      </c>
      <c r="E33" s="238">
        <f t="shared" si="2"/>
        <v>0.008739802645</v>
      </c>
      <c r="F33" s="238">
        <f t="shared" si="2"/>
        <v>-0.09523908898</v>
      </c>
      <c r="G33" s="238">
        <f t="shared" si="2"/>
        <v>-0.2430204314</v>
      </c>
    </row>
    <row r="34">
      <c r="B34" s="221" t="s">
        <v>85</v>
      </c>
      <c r="C34" s="238">
        <f t="shared" ref="C34:G34" si="3">IFERROR(C16/C7-1, "")</f>
        <v>0.1944300003</v>
      </c>
      <c r="D34" s="238">
        <f t="shared" si="3"/>
        <v>0.1174917206</v>
      </c>
      <c r="E34" s="238">
        <f t="shared" si="3"/>
        <v>0.01488116177</v>
      </c>
      <c r="F34" s="238">
        <f t="shared" si="3"/>
        <v>-0.1206420103</v>
      </c>
      <c r="G34" s="238">
        <f t="shared" si="3"/>
        <v>-0.2380578558</v>
      </c>
    </row>
    <row r="35">
      <c r="B35" s="221" t="s">
        <v>91</v>
      </c>
      <c r="C35" s="238">
        <f t="shared" ref="C35:G35" si="4">IFERROR(C17/C8-1, "")</f>
        <v>-0.2222277059</v>
      </c>
      <c r="D35" s="238">
        <f t="shared" si="4"/>
        <v>-0.1471281631</v>
      </c>
      <c r="E35" s="238">
        <f t="shared" si="4"/>
        <v>-0.09924923036</v>
      </c>
      <c r="F35" s="238">
        <f t="shared" si="4"/>
        <v>-0.1317806782</v>
      </c>
      <c r="G35" s="238">
        <f t="shared" si="4"/>
        <v>-0.2114174378</v>
      </c>
    </row>
    <row r="36">
      <c r="B36" s="151" t="s">
        <v>97</v>
      </c>
      <c r="C36" s="238">
        <f t="shared" ref="C36:G36" si="5">IFERROR(C18/C9-1, "")</f>
        <v>-0.1172119664</v>
      </c>
      <c r="D36" s="238">
        <f t="shared" si="5"/>
        <v>-0.1407662975</v>
      </c>
      <c r="E36" s="238">
        <f t="shared" si="5"/>
        <v>-0.1609951361</v>
      </c>
      <c r="F36" s="238">
        <f t="shared" si="5"/>
        <v>-0.1814309339</v>
      </c>
      <c r="G36" s="238">
        <f t="shared" si="5"/>
        <v>-0.1404874792</v>
      </c>
    </row>
    <row r="37">
      <c r="B37" s="151" t="s">
        <v>103</v>
      </c>
      <c r="C37" s="238">
        <f t="shared" ref="C37:G37" si="6">IFERROR(C19/C10-1, "")</f>
        <v>-0.07045072949</v>
      </c>
      <c r="D37" s="238">
        <f t="shared" si="6"/>
        <v>-0.0668888279</v>
      </c>
      <c r="E37" s="238">
        <f t="shared" si="6"/>
        <v>-0.053052959</v>
      </c>
      <c r="F37" s="238">
        <f t="shared" si="6"/>
        <v>-0.04895416067</v>
      </c>
      <c r="G37" s="238">
        <f t="shared" si="6"/>
        <v>-0.06433438131</v>
      </c>
    </row>
    <row r="38">
      <c r="B38" s="151" t="s">
        <v>240</v>
      </c>
      <c r="C38" s="238">
        <f t="shared" ref="C38:G38" si="7">IFERROR(C20/C11-1, "")</f>
        <v>-0.2848265037</v>
      </c>
      <c r="D38" s="238">
        <f t="shared" si="7"/>
        <v>-0.1644743956</v>
      </c>
      <c r="E38" s="238">
        <f t="shared" si="7"/>
        <v>-0.2046598375</v>
      </c>
      <c r="F38" s="238">
        <f t="shared" si="7"/>
        <v>-0.2542015882</v>
      </c>
      <c r="G38" s="238">
        <f t="shared" si="7"/>
        <v>-0.2045632295</v>
      </c>
    </row>
    <row r="40">
      <c r="B40" s="221"/>
      <c r="C40" s="146" t="s">
        <v>406</v>
      </c>
    </row>
    <row r="41">
      <c r="B41" s="151" t="s">
        <v>273</v>
      </c>
      <c r="C41" s="238">
        <f t="shared" ref="C41:G41" si="8">IFERROR(C23/C5-1, "")</f>
        <v>-0.02754961576</v>
      </c>
      <c r="D41" s="238">
        <f t="shared" si="8"/>
        <v>0.01087122944</v>
      </c>
      <c r="E41" s="238">
        <f t="shared" si="8"/>
        <v>0.09003739441</v>
      </c>
      <c r="F41" s="238">
        <f t="shared" si="8"/>
        <v>0.1131258787</v>
      </c>
      <c r="G41" s="238">
        <f t="shared" si="8"/>
        <v>0.1601433809</v>
      </c>
    </row>
    <row r="42">
      <c r="B42" s="221" t="s">
        <v>79</v>
      </c>
      <c r="C42" s="238">
        <f t="shared" ref="C42:G42" si="9">IFERROR(C24/C6-1, "")</f>
        <v>0.185084524</v>
      </c>
      <c r="D42" s="238">
        <f t="shared" si="9"/>
        <v>0.07809774445</v>
      </c>
      <c r="E42" s="238">
        <f t="shared" si="9"/>
        <v>0.08324230066</v>
      </c>
      <c r="F42" s="238">
        <f t="shared" si="9"/>
        <v>0.01938738496</v>
      </c>
      <c r="G42" s="238">
        <f t="shared" si="9"/>
        <v>-0.1821471376</v>
      </c>
    </row>
    <row r="43">
      <c r="B43" s="221" t="s">
        <v>85</v>
      </c>
      <c r="C43" s="238">
        <f t="shared" ref="C43:G43" si="10">IFERROR(C25/C7-1, "")</f>
        <v>0.1579904396</v>
      </c>
      <c r="D43" s="238">
        <f t="shared" si="10"/>
        <v>0.1039335523</v>
      </c>
      <c r="E43" s="238">
        <f t="shared" si="10"/>
        <v>0.005459839593</v>
      </c>
      <c r="F43" s="238">
        <f t="shared" si="10"/>
        <v>-0.009369013227</v>
      </c>
      <c r="G43" s="238">
        <f t="shared" si="10"/>
        <v>-0.1787223967</v>
      </c>
    </row>
    <row r="44">
      <c r="B44" s="221" t="s">
        <v>91</v>
      </c>
      <c r="C44" s="238">
        <f t="shared" ref="C44:G44" si="11">IFERROR(C26/C8-1, "")</f>
        <v>-0.01162858329</v>
      </c>
      <c r="D44" s="238">
        <f t="shared" si="11"/>
        <v>0.02625932034</v>
      </c>
      <c r="E44" s="238">
        <f t="shared" si="11"/>
        <v>0.09011002982</v>
      </c>
      <c r="F44" s="238">
        <f t="shared" si="11"/>
        <v>0.1067308038</v>
      </c>
      <c r="G44" s="238">
        <f t="shared" si="11"/>
        <v>0.1161224021</v>
      </c>
    </row>
    <row r="45">
      <c r="B45" s="151" t="s">
        <v>97</v>
      </c>
      <c r="C45" s="238">
        <f t="shared" ref="C45:G45" si="12">IFERROR(C27/C9-1, "")</f>
        <v>-0.1172119664</v>
      </c>
      <c r="D45" s="238">
        <f t="shared" si="12"/>
        <v>-0.1407662975</v>
      </c>
      <c r="E45" s="238">
        <f t="shared" si="12"/>
        <v>-0.1609951361</v>
      </c>
      <c r="F45" s="238">
        <f t="shared" si="12"/>
        <v>-0.1814309339</v>
      </c>
      <c r="G45" s="238">
        <f t="shared" si="12"/>
        <v>-0.1404874792</v>
      </c>
    </row>
    <row r="46">
      <c r="B46" s="151" t="s">
        <v>103</v>
      </c>
      <c r="C46" s="238">
        <f t="shared" ref="C46:G46" si="13">IFERROR(C28/C10-1, "")</f>
        <v>-0.07045072949</v>
      </c>
      <c r="D46" s="238">
        <f t="shared" si="13"/>
        <v>-0.0668888279</v>
      </c>
      <c r="E46" s="238">
        <f t="shared" si="13"/>
        <v>-0.053052959</v>
      </c>
      <c r="F46" s="238">
        <f t="shared" si="13"/>
        <v>-0.1083758943</v>
      </c>
      <c r="G46" s="238">
        <f t="shared" si="13"/>
        <v>-0.1032304615</v>
      </c>
    </row>
    <row r="47">
      <c r="B47" s="151" t="s">
        <v>240</v>
      </c>
      <c r="C47" s="238">
        <f t="shared" ref="C47:G47" si="14">IFERROR(C29/C11-1, "")</f>
        <v>-0.08271916019</v>
      </c>
      <c r="D47" s="238">
        <f t="shared" si="14"/>
        <v>0.08733824908</v>
      </c>
      <c r="E47" s="238">
        <f t="shared" si="14"/>
        <v>-0.04944435637</v>
      </c>
      <c r="F47" s="238">
        <f t="shared" si="14"/>
        <v>-0.2542015882</v>
      </c>
      <c r="G47" s="238">
        <f t="shared" si="14"/>
        <v>-0.2045632295</v>
      </c>
    </row>
  </sheetData>
  <conditionalFormatting sqref="C41:G47">
    <cfRule type="expression" dxfId="8" priority="1" stopIfTrue="1">
      <formula>AND(C41&gt;0.03, C41&lt;&gt;C32)</formula>
    </cfRule>
  </conditionalFormatting>
  <conditionalFormatting sqref="C41:G47">
    <cfRule type="expression" dxfId="9" priority="2" stopIfTrue="1">
      <formula>AND(C41&gt;0.03, C41=C32)</formula>
    </cfRule>
  </conditionalFormatting>
  <conditionalFormatting sqref="C41:G47">
    <cfRule type="expression" dxfId="10" priority="3" stopIfTrue="1">
      <formula>AND(C41&lt;-0.03, C41&lt;&gt;C32)</formula>
    </cfRule>
  </conditionalFormatting>
  <conditionalFormatting sqref="C41:G47">
    <cfRule type="expression" dxfId="11" priority="4" stopIfTrue="1">
      <formula>AND(C41&lt;-0.03, C41=C32)</formula>
    </cfRule>
  </conditionalFormatting>
  <conditionalFormatting sqref="C41:G47">
    <cfRule type="expression" dxfId="12" priority="5" stopIfTrue="1">
      <formula>AND(C41&gt;=-0.03, C41&lt;=0.03, C41&lt;&gt;C32)</formula>
    </cfRule>
  </conditionalFormatting>
  <conditionalFormatting sqref="C41:G47">
    <cfRule type="expression" dxfId="13" priority="6" stopIfTrue="1">
      <formula>AND(C41&gt;=-0.03, C41&lt;=0.03, C41=C32)</formula>
    </cfRule>
  </conditionalFormatting>
  <conditionalFormatting sqref="C32:G39">
    <cfRule type="cellIs" dxfId="14" priority="7" stopIfTrue="1" operator="greaterThan">
      <formula>0.03</formula>
    </cfRule>
  </conditionalFormatting>
  <conditionalFormatting sqref="C32:G39">
    <cfRule type="cellIs" dxfId="15" priority="8" stopIfTrue="1" operator="lessThan">
      <formula>-0.03</formula>
    </cfRule>
  </conditionalFormatting>
  <conditionalFormatting sqref="C32:G39">
    <cfRule type="cellIs" dxfId="16" priority="9" stopIfTrue="1" operator="between">
      <formula>-0.03</formula>
      <formula>0.03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5.29"/>
    <col customWidth="1" min="2" max="2" width="12.0"/>
    <col customWidth="1" min="3" max="3" width="22.0"/>
    <col customWidth="1" min="4" max="5" width="12.0"/>
    <col customWidth="1" min="6" max="6" width="15.0"/>
    <col customWidth="1" min="7" max="7" width="12.0"/>
    <col customWidth="1" min="8" max="8" width="16.0"/>
    <col customWidth="1" min="9" max="9" width="12.0"/>
    <col customWidth="1" min="10" max="10" width="21.0"/>
    <col customWidth="1" min="11" max="11" width="20.0"/>
    <col customWidth="1" min="12" max="12" width="21.0"/>
    <col customWidth="1" min="13" max="16" width="12.0"/>
    <col customWidth="1" min="17" max="17" width="19.0"/>
    <col customWidth="1" min="18" max="18" width="22.0"/>
    <col customWidth="1" min="19" max="21" width="18.0"/>
    <col customWidth="1" min="22" max="22" width="14.0"/>
    <col customWidth="1" min="23" max="24" width="22.0"/>
    <col customWidth="1" min="25" max="27" width="16.0"/>
    <col customWidth="1" min="28" max="29" width="22.0"/>
    <col customWidth="1" min="30" max="34" width="18.0"/>
    <col customWidth="1" min="35" max="37" width="22.0"/>
    <col customWidth="1" min="38" max="38" width="15.0"/>
    <col customWidth="1" min="39" max="39" width="12.0"/>
  </cols>
  <sheetData>
    <row r="1">
      <c r="A1" s="233" t="s">
        <v>285</v>
      </c>
      <c r="B1" s="233" t="s">
        <v>286</v>
      </c>
      <c r="C1" s="233" t="s">
        <v>287</v>
      </c>
      <c r="D1" s="233" t="s">
        <v>288</v>
      </c>
      <c r="E1" s="233" t="s">
        <v>289</v>
      </c>
      <c r="F1" s="233" t="s">
        <v>290</v>
      </c>
      <c r="G1" s="233" t="s">
        <v>291</v>
      </c>
      <c r="H1" s="233" t="s">
        <v>292</v>
      </c>
      <c r="I1" s="233" t="s">
        <v>293</v>
      </c>
      <c r="J1" s="233" t="s">
        <v>294</v>
      </c>
      <c r="K1" s="233" t="s">
        <v>295</v>
      </c>
      <c r="L1" s="233" t="s">
        <v>296</v>
      </c>
      <c r="M1" s="233" t="s">
        <v>297</v>
      </c>
      <c r="N1" s="233" t="s">
        <v>298</v>
      </c>
      <c r="O1" s="233" t="s">
        <v>299</v>
      </c>
      <c r="P1" s="233" t="s">
        <v>300</v>
      </c>
      <c r="Q1" s="233" t="s">
        <v>301</v>
      </c>
      <c r="R1" s="233" t="s">
        <v>302</v>
      </c>
      <c r="S1" s="233" t="s">
        <v>303</v>
      </c>
      <c r="T1" s="233" t="s">
        <v>304</v>
      </c>
      <c r="U1" s="233" t="s">
        <v>305</v>
      </c>
      <c r="V1" s="233" t="s">
        <v>306</v>
      </c>
      <c r="W1" s="233" t="s">
        <v>307</v>
      </c>
      <c r="X1" s="233" t="s">
        <v>308</v>
      </c>
      <c r="Y1" s="233" t="s">
        <v>309</v>
      </c>
      <c r="Z1" s="233" t="s">
        <v>310</v>
      </c>
      <c r="AA1" s="233" t="s">
        <v>311</v>
      </c>
      <c r="AB1" s="233" t="s">
        <v>312</v>
      </c>
      <c r="AC1" s="233" t="s">
        <v>313</v>
      </c>
      <c r="AD1" s="233" t="s">
        <v>314</v>
      </c>
      <c r="AE1" s="233" t="s">
        <v>315</v>
      </c>
      <c r="AF1" s="233" t="s">
        <v>316</v>
      </c>
      <c r="AG1" s="233" t="s">
        <v>317</v>
      </c>
      <c r="AH1" s="233" t="s">
        <v>318</v>
      </c>
      <c r="AI1" s="233" t="s">
        <v>319</v>
      </c>
      <c r="AJ1" s="233" t="s">
        <v>320</v>
      </c>
      <c r="AK1" s="233" t="s">
        <v>321</v>
      </c>
      <c r="AL1" s="233" t="s">
        <v>322</v>
      </c>
      <c r="AM1" s="233" t="s">
        <v>323</v>
      </c>
      <c r="AN1" s="233" t="s">
        <v>324</v>
      </c>
      <c r="AO1" s="233" t="s">
        <v>325</v>
      </c>
      <c r="AP1" s="233" t="s">
        <v>326</v>
      </c>
      <c r="AQ1" s="233" t="s">
        <v>327</v>
      </c>
      <c r="AR1" s="233" t="s">
        <v>328</v>
      </c>
      <c r="AS1" s="233" t="s">
        <v>329</v>
      </c>
      <c r="AT1" s="233" t="s">
        <v>330</v>
      </c>
      <c r="AU1" s="233" t="s">
        <v>331</v>
      </c>
      <c r="AV1" s="234" t="s">
        <v>332</v>
      </c>
      <c r="AW1" s="234" t="s">
        <v>333</v>
      </c>
      <c r="AX1" s="234" t="s">
        <v>334</v>
      </c>
      <c r="AY1" s="234" t="s">
        <v>335</v>
      </c>
      <c r="AZ1" s="234" t="s">
        <v>336</v>
      </c>
      <c r="BA1" s="234" t="s">
        <v>337</v>
      </c>
      <c r="BB1" s="234" t="s">
        <v>338</v>
      </c>
      <c r="BC1" s="234" t="s">
        <v>339</v>
      </c>
      <c r="BD1" s="234" t="s">
        <v>340</v>
      </c>
      <c r="BE1" s="234" t="s">
        <v>341</v>
      </c>
      <c r="BF1" s="234" t="s">
        <v>342</v>
      </c>
      <c r="BG1" s="234" t="s">
        <v>343</v>
      </c>
      <c r="BH1" s="234" t="s">
        <v>344</v>
      </c>
      <c r="BI1" s="234" t="s">
        <v>345</v>
      </c>
      <c r="BJ1" s="234" t="s">
        <v>346</v>
      </c>
      <c r="BK1" s="234" t="s">
        <v>347</v>
      </c>
      <c r="BL1" s="234" t="s">
        <v>348</v>
      </c>
      <c r="BM1" s="234" t="s">
        <v>349</v>
      </c>
      <c r="BN1" s="234" t="s">
        <v>350</v>
      </c>
      <c r="BO1" s="234" t="s">
        <v>351</v>
      </c>
      <c r="BP1" s="234" t="s">
        <v>352</v>
      </c>
      <c r="BQ1" s="234" t="s">
        <v>353</v>
      </c>
      <c r="BR1" s="234" t="s">
        <v>354</v>
      </c>
      <c r="BS1" s="234" t="s">
        <v>355</v>
      </c>
      <c r="BT1" s="234" t="s">
        <v>356</v>
      </c>
      <c r="BU1" s="234" t="s">
        <v>357</v>
      </c>
      <c r="BV1" s="234" t="s">
        <v>358</v>
      </c>
      <c r="BW1" s="234" t="s">
        <v>359</v>
      </c>
      <c r="BX1" s="234" t="s">
        <v>360</v>
      </c>
      <c r="BY1" s="234" t="s">
        <v>361</v>
      </c>
      <c r="BZ1" s="234" t="s">
        <v>362</v>
      </c>
      <c r="CA1" s="234" t="s">
        <v>363</v>
      </c>
      <c r="CB1" s="234" t="s">
        <v>364</v>
      </c>
      <c r="CC1" s="234" t="s">
        <v>365</v>
      </c>
      <c r="CD1" s="234" t="s">
        <v>366</v>
      </c>
      <c r="CE1" s="234" t="s">
        <v>367</v>
      </c>
      <c r="CF1" s="234" t="s">
        <v>368</v>
      </c>
      <c r="CG1" s="234" t="s">
        <v>369</v>
      </c>
      <c r="CH1" s="234" t="s">
        <v>370</v>
      </c>
      <c r="CI1" s="234" t="s">
        <v>371</v>
      </c>
      <c r="CJ1" s="234" t="s">
        <v>372</v>
      </c>
      <c r="CK1" s="234" t="s">
        <v>373</v>
      </c>
      <c r="CL1" s="234" t="s">
        <v>374</v>
      </c>
      <c r="CM1" s="234" t="s">
        <v>375</v>
      </c>
      <c r="CN1" s="234" t="s">
        <v>376</v>
      </c>
      <c r="CO1" s="234" t="s">
        <v>377</v>
      </c>
      <c r="CP1" s="234" t="s">
        <v>378</v>
      </c>
      <c r="CQ1" s="234" t="s">
        <v>379</v>
      </c>
      <c r="CR1" s="234" t="s">
        <v>380</v>
      </c>
      <c r="CS1" s="234" t="s">
        <v>381</v>
      </c>
      <c r="CT1" s="234" t="s">
        <v>382</v>
      </c>
      <c r="CU1" s="234" t="s">
        <v>383</v>
      </c>
      <c r="CV1" s="234" t="s">
        <v>384</v>
      </c>
      <c r="CW1" s="234" t="s">
        <v>385</v>
      </c>
      <c r="CX1" s="234" t="s">
        <v>386</v>
      </c>
      <c r="CY1" s="234" t="s">
        <v>387</v>
      </c>
      <c r="CZ1" s="234" t="s">
        <v>388</v>
      </c>
      <c r="DA1" s="234" t="s">
        <v>389</v>
      </c>
      <c r="DB1" s="234" t="s">
        <v>390</v>
      </c>
      <c r="DC1" s="234" t="s">
        <v>391</v>
      </c>
      <c r="DD1" s="234" t="s">
        <v>392</v>
      </c>
      <c r="DE1" s="234" t="s">
        <v>393</v>
      </c>
      <c r="DF1" s="234" t="s">
        <v>394</v>
      </c>
      <c r="DG1" s="234" t="s">
        <v>395</v>
      </c>
      <c r="DH1" s="234" t="s">
        <v>396</v>
      </c>
      <c r="DI1" s="234" t="s">
        <v>397</v>
      </c>
      <c r="DJ1" s="234" t="s">
        <v>398</v>
      </c>
      <c r="DK1" s="234" t="s">
        <v>399</v>
      </c>
      <c r="DL1" s="234" t="s">
        <v>400</v>
      </c>
      <c r="DM1" s="234" t="s">
        <v>401</v>
      </c>
      <c r="DN1" s="234" t="s">
        <v>402</v>
      </c>
      <c r="DO1" s="234" t="s">
        <v>403</v>
      </c>
      <c r="DP1" s="234" t="s">
        <v>404</v>
      </c>
    </row>
    <row r="2">
      <c r="A2" s="235">
        <v>46255.0</v>
      </c>
      <c r="B2" s="236" t="s">
        <v>4</v>
      </c>
      <c r="C2" s="236" t="s">
        <v>133</v>
      </c>
      <c r="D2" s="236">
        <v>10586.0</v>
      </c>
      <c r="E2" s="236">
        <v>36.86</v>
      </c>
      <c r="F2" s="236">
        <v>429.01</v>
      </c>
      <c r="G2" s="236">
        <v>0.0405</v>
      </c>
      <c r="H2" s="236">
        <v>1.61</v>
      </c>
      <c r="I2" s="236">
        <v>2.5236</v>
      </c>
      <c r="J2" s="236">
        <v>31.96</v>
      </c>
      <c r="K2" s="236">
        <v>15.94</v>
      </c>
      <c r="L2" s="236">
        <v>7.46</v>
      </c>
      <c r="M2" s="236">
        <v>0.4681</v>
      </c>
      <c r="N2" s="236">
        <v>0.653</v>
      </c>
      <c r="O2" s="236">
        <v>0.395</v>
      </c>
      <c r="P2" s="236">
        <v>2.1364</v>
      </c>
      <c r="Q2" s="236">
        <v>75.83</v>
      </c>
      <c r="R2" s="236">
        <v>69.36</v>
      </c>
      <c r="S2" s="236">
        <v>6.47</v>
      </c>
      <c r="T2" s="236">
        <v>3.59</v>
      </c>
      <c r="U2" s="236">
        <v>72.24</v>
      </c>
      <c r="V2" s="236">
        <v>60.66</v>
      </c>
      <c r="W2" s="236">
        <v>3.8041</v>
      </c>
      <c r="X2" s="236">
        <v>4.74</v>
      </c>
      <c r="Y2" s="236">
        <v>183.0</v>
      </c>
      <c r="Z2" s="236">
        <v>457.0</v>
      </c>
      <c r="AA2" s="236">
        <v>2372.0</v>
      </c>
      <c r="AB2" s="236">
        <v>49.2131</v>
      </c>
      <c r="AC2" s="236">
        <v>0.5513</v>
      </c>
      <c r="AD2" s="236">
        <v>6.51</v>
      </c>
      <c r="AE2" s="236">
        <v>2.0</v>
      </c>
      <c r="AF2" s="236">
        <v>4.0</v>
      </c>
      <c r="AG2" s="236">
        <v>9.0</v>
      </c>
      <c r="AH2" s="236">
        <v>15.0</v>
      </c>
      <c r="AI2" s="236">
        <v>62.08</v>
      </c>
      <c r="AJ2" s="236">
        <v>31.38</v>
      </c>
      <c r="AK2" s="236">
        <v>9.33</v>
      </c>
      <c r="AL2" s="236">
        <v>0.2904</v>
      </c>
      <c r="AM2" s="237"/>
      <c r="AQ2" s="153">
        <v>5.7109</v>
      </c>
      <c r="AR2" s="153">
        <v>0.034</v>
      </c>
      <c r="AS2" s="153">
        <v>5.6769</v>
      </c>
      <c r="AT2" s="153">
        <v>4.01</v>
      </c>
      <c r="AU2" s="153">
        <v>0.2515</v>
      </c>
      <c r="AV2" s="153">
        <v>10586.0</v>
      </c>
      <c r="AW2" s="153">
        <v>0.0</v>
      </c>
      <c r="AX2" s="153">
        <v>26.8</v>
      </c>
      <c r="AY2" s="153">
        <v>41.75</v>
      </c>
      <c r="AZ2" s="153">
        <v>2.86</v>
      </c>
      <c r="BA2" s="153">
        <v>3.59</v>
      </c>
      <c r="BB2" s="153">
        <v>0.84</v>
      </c>
      <c r="BC2" s="153">
        <v>34.0</v>
      </c>
      <c r="BD2" s="153">
        <v>24917.0</v>
      </c>
      <c r="BE2" s="153">
        <v>3.8187</v>
      </c>
      <c r="BF2" s="153">
        <v>0.0167</v>
      </c>
      <c r="BG2" s="153">
        <v>3.802</v>
      </c>
      <c r="BH2" s="153">
        <v>2.3797</v>
      </c>
      <c r="BI2" s="153">
        <v>0.1492</v>
      </c>
      <c r="BJ2" s="153">
        <v>1.8922</v>
      </c>
      <c r="BK2" s="153">
        <v>0.0173</v>
      </c>
      <c r="BL2" s="153">
        <v>1.8749</v>
      </c>
      <c r="BM2" s="153">
        <v>1.6304</v>
      </c>
      <c r="BN2" s="153">
        <v>0.1023</v>
      </c>
      <c r="BO2" s="153">
        <v>1.4202</v>
      </c>
      <c r="BP2" s="153">
        <v>0.0057</v>
      </c>
      <c r="BQ2" s="153">
        <v>1.4145</v>
      </c>
      <c r="BR2" s="153">
        <v>0.9239</v>
      </c>
      <c r="BS2" s="153">
        <v>1.6525</v>
      </c>
      <c r="BT2" s="153">
        <v>0.0045</v>
      </c>
      <c r="BU2" s="153">
        <v>1.6479</v>
      </c>
      <c r="BV2" s="153">
        <v>0.9475</v>
      </c>
      <c r="BW2" s="153">
        <v>0.7461</v>
      </c>
      <c r="BX2" s="153">
        <v>0.0065</v>
      </c>
      <c r="BY2" s="153">
        <v>0.7396</v>
      </c>
      <c r="BZ2" s="153">
        <v>0.5083</v>
      </c>
      <c r="CA2" s="153">
        <v>0.3104</v>
      </c>
      <c r="CB2" s="153">
        <v>0.0045</v>
      </c>
      <c r="CC2" s="153">
        <v>0.3059</v>
      </c>
      <c r="CD2" s="153">
        <v>0.3032</v>
      </c>
      <c r="CE2" s="153">
        <v>0.9313</v>
      </c>
      <c r="CF2" s="153">
        <v>0.0071</v>
      </c>
      <c r="CG2" s="153">
        <v>0.9242</v>
      </c>
      <c r="CH2" s="153">
        <v>0.7421</v>
      </c>
      <c r="CI2" s="153">
        <v>0.6505</v>
      </c>
      <c r="CJ2" s="153">
        <v>0.0057</v>
      </c>
      <c r="CK2" s="153">
        <v>0.6448</v>
      </c>
      <c r="CL2" s="153">
        <v>0.585</v>
      </c>
      <c r="CM2" s="153">
        <v>242.76</v>
      </c>
      <c r="CN2" s="153">
        <v>79.41</v>
      </c>
      <c r="CO2" s="153">
        <v>305.72</v>
      </c>
      <c r="CP2" s="153">
        <v>223.0</v>
      </c>
      <c r="CQ2" s="153">
        <v>0.0</v>
      </c>
      <c r="CR2" s="153">
        <v>16.91</v>
      </c>
      <c r="CS2" s="153">
        <v>2.85</v>
      </c>
      <c r="CT2" s="153">
        <v>0.0</v>
      </c>
      <c r="CU2" s="153">
        <v>0.0</v>
      </c>
      <c r="CV2" s="153">
        <v>0.0</v>
      </c>
      <c r="CW2" s="153">
        <v>75.83</v>
      </c>
      <c r="CX2" s="153">
        <v>0.0</v>
      </c>
      <c r="CY2" s="153">
        <v>0.0</v>
      </c>
      <c r="CZ2" s="153">
        <v>113.17</v>
      </c>
      <c r="DA2" s="153">
        <v>1.08</v>
      </c>
      <c r="DB2" s="153">
        <v>112.09</v>
      </c>
      <c r="DC2" s="153">
        <v>100.3</v>
      </c>
      <c r="DD2" s="153">
        <v>0.27</v>
      </c>
      <c r="DE2" s="153">
        <v>100.03</v>
      </c>
      <c r="DF2" s="153">
        <v>6.41</v>
      </c>
      <c r="DG2" s="153">
        <v>0.27</v>
      </c>
      <c r="DH2" s="153">
        <v>6.14</v>
      </c>
      <c r="DI2" s="153">
        <v>5.7</v>
      </c>
      <c r="DJ2" s="153">
        <v>0.27</v>
      </c>
      <c r="DK2" s="153">
        <v>5.43</v>
      </c>
      <c r="DL2" s="153">
        <v>0.76</v>
      </c>
      <c r="DM2" s="153">
        <v>0.27</v>
      </c>
      <c r="DN2" s="153">
        <v>0.49</v>
      </c>
      <c r="DO2" s="153">
        <v>79007.0</v>
      </c>
      <c r="DP2" s="153">
        <v>168790.0</v>
      </c>
    </row>
    <row r="3">
      <c r="A3" s="235">
        <v>46255.0</v>
      </c>
      <c r="B3" s="236" t="s">
        <v>4</v>
      </c>
      <c r="C3" s="236" t="s">
        <v>134</v>
      </c>
      <c r="D3" s="236">
        <v>7200.0</v>
      </c>
      <c r="E3" s="236">
        <v>25.07</v>
      </c>
      <c r="F3" s="236">
        <v>858.95</v>
      </c>
      <c r="G3" s="236">
        <v>0.1193</v>
      </c>
      <c r="H3" s="236">
        <v>2.68</v>
      </c>
      <c r="I3" s="236">
        <v>4.4505</v>
      </c>
      <c r="J3" s="236">
        <v>50.67</v>
      </c>
      <c r="K3" s="236">
        <v>26.25</v>
      </c>
      <c r="L3" s="236">
        <v>15.33</v>
      </c>
      <c r="M3" s="236">
        <v>0.5839</v>
      </c>
      <c r="N3" s="236">
        <v>0.556</v>
      </c>
      <c r="O3" s="236">
        <v>0.3413</v>
      </c>
      <c r="P3" s="236">
        <v>1.7127</v>
      </c>
      <c r="Q3" s="236">
        <v>131.9</v>
      </c>
      <c r="R3" s="236">
        <v>119.83</v>
      </c>
      <c r="S3" s="236">
        <v>12.07</v>
      </c>
      <c r="T3" s="236">
        <v>10.33</v>
      </c>
      <c r="U3" s="236">
        <v>121.57</v>
      </c>
      <c r="V3" s="236">
        <v>112.17</v>
      </c>
      <c r="W3" s="236">
        <v>4.2729</v>
      </c>
      <c r="X3" s="236">
        <v>7.83</v>
      </c>
      <c r="Y3" s="236">
        <v>225.0</v>
      </c>
      <c r="Z3" s="236">
        <v>516.0</v>
      </c>
      <c r="AA3" s="236">
        <v>2258.0</v>
      </c>
      <c r="AB3" s="236">
        <v>52.526</v>
      </c>
      <c r="AC3" s="236">
        <v>0.6815</v>
      </c>
      <c r="AD3" s="236">
        <v>10.74</v>
      </c>
      <c r="AE3" s="236">
        <v>4.0</v>
      </c>
      <c r="AF3" s="236">
        <v>8.0</v>
      </c>
      <c r="AG3" s="236">
        <v>14.0</v>
      </c>
      <c r="AH3" s="236">
        <v>23.0</v>
      </c>
      <c r="AI3" s="236">
        <v>59.53</v>
      </c>
      <c r="AJ3" s="236">
        <v>24.22</v>
      </c>
      <c r="AK3" s="236">
        <v>4.75</v>
      </c>
      <c r="AL3" s="236">
        <v>0.2499</v>
      </c>
      <c r="AM3" s="237"/>
      <c r="AQ3" s="153">
        <v>8.4732</v>
      </c>
      <c r="AR3" s="153">
        <v>0.1214</v>
      </c>
      <c r="AS3" s="153">
        <v>8.3518</v>
      </c>
      <c r="AT3" s="153">
        <v>6.5381</v>
      </c>
      <c r="AU3" s="153">
        <v>0.249</v>
      </c>
      <c r="AV3" s="153">
        <v>7200.0</v>
      </c>
      <c r="AW3" s="153">
        <v>0.0</v>
      </c>
      <c r="AX3" s="153">
        <v>39.27</v>
      </c>
      <c r="AY3" s="153">
        <v>77.16</v>
      </c>
      <c r="AZ3" s="153">
        <v>3.79</v>
      </c>
      <c r="BA3" s="153">
        <v>10.33</v>
      </c>
      <c r="BB3" s="153">
        <v>1.35</v>
      </c>
      <c r="BC3" s="153">
        <v>50.0</v>
      </c>
      <c r="BD3" s="153">
        <v>23698.0</v>
      </c>
      <c r="BE3" s="153">
        <v>5.4751</v>
      </c>
      <c r="BF3" s="153">
        <v>0.0529</v>
      </c>
      <c r="BG3" s="153">
        <v>5.4222</v>
      </c>
      <c r="BH3" s="153">
        <v>3.7583</v>
      </c>
      <c r="BI3" s="153">
        <v>0.1432</v>
      </c>
      <c r="BJ3" s="153">
        <v>2.9981</v>
      </c>
      <c r="BK3" s="153">
        <v>0.0685</v>
      </c>
      <c r="BL3" s="153">
        <v>2.9296</v>
      </c>
      <c r="BM3" s="153">
        <v>2.7797</v>
      </c>
      <c r="BN3" s="153">
        <v>0.1059</v>
      </c>
      <c r="BO3" s="153">
        <v>2.2335</v>
      </c>
      <c r="BP3" s="153">
        <v>0.0172</v>
      </c>
      <c r="BQ3" s="153">
        <v>2.2163</v>
      </c>
      <c r="BR3" s="153">
        <v>1.4936</v>
      </c>
      <c r="BS3" s="153">
        <v>2.0256</v>
      </c>
      <c r="BT3" s="153">
        <v>0.0164</v>
      </c>
      <c r="BU3" s="153">
        <v>2.0092</v>
      </c>
      <c r="BV3" s="153">
        <v>1.3881</v>
      </c>
      <c r="BW3" s="153">
        <v>1.2161</v>
      </c>
      <c r="BX3" s="153">
        <v>0.0193</v>
      </c>
      <c r="BY3" s="153">
        <v>1.1968</v>
      </c>
      <c r="BZ3" s="153">
        <v>0.8767</v>
      </c>
      <c r="CA3" s="153">
        <v>0.5813</v>
      </c>
      <c r="CB3" s="153">
        <v>0.0193</v>
      </c>
      <c r="CC3" s="153">
        <v>0.5619</v>
      </c>
      <c r="CD3" s="153">
        <v>0.6193</v>
      </c>
      <c r="CE3" s="153">
        <v>1.2808</v>
      </c>
      <c r="CF3" s="153">
        <v>0.0271</v>
      </c>
      <c r="CG3" s="153">
        <v>1.2538</v>
      </c>
      <c r="CH3" s="153">
        <v>1.1167</v>
      </c>
      <c r="CI3" s="153">
        <v>1.136</v>
      </c>
      <c r="CJ3" s="153">
        <v>0.0221</v>
      </c>
      <c r="CK3" s="153">
        <v>1.1139</v>
      </c>
      <c r="CL3" s="153">
        <v>1.0438</v>
      </c>
      <c r="CM3" s="153">
        <v>588.87</v>
      </c>
      <c r="CN3" s="153">
        <v>89.71</v>
      </c>
      <c r="CO3" s="153">
        <v>656.43</v>
      </c>
      <c r="CP3" s="153">
        <v>559.11</v>
      </c>
      <c r="CQ3" s="153">
        <v>0.0</v>
      </c>
      <c r="CR3" s="153">
        <v>21.34</v>
      </c>
      <c r="CS3" s="153">
        <v>8.42</v>
      </c>
      <c r="CT3" s="153">
        <v>0.0</v>
      </c>
      <c r="CU3" s="153">
        <v>0.0</v>
      </c>
      <c r="CV3" s="153">
        <v>0.0</v>
      </c>
      <c r="CW3" s="153">
        <v>131.9</v>
      </c>
      <c r="CX3" s="153">
        <v>0.0</v>
      </c>
      <c r="CY3" s="153">
        <v>0.0</v>
      </c>
      <c r="CZ3" s="153">
        <v>167.23</v>
      </c>
      <c r="DA3" s="153">
        <v>2.65</v>
      </c>
      <c r="DB3" s="153">
        <v>164.58</v>
      </c>
      <c r="DC3" s="153">
        <v>150.23</v>
      </c>
      <c r="DD3" s="153">
        <v>0.89</v>
      </c>
      <c r="DE3" s="153">
        <v>149.34</v>
      </c>
      <c r="DF3" s="153">
        <v>7.63</v>
      </c>
      <c r="DG3" s="153">
        <v>0.59</v>
      </c>
      <c r="DH3" s="153">
        <v>7.05</v>
      </c>
      <c r="DI3" s="153">
        <v>6.74</v>
      </c>
      <c r="DJ3" s="153">
        <v>0.59</v>
      </c>
      <c r="DK3" s="153">
        <v>6.16</v>
      </c>
      <c r="DL3" s="153">
        <v>2.63</v>
      </c>
      <c r="DM3" s="153">
        <v>0.59</v>
      </c>
      <c r="DN3" s="153">
        <v>2.04</v>
      </c>
      <c r="DO3" s="153">
        <v>110359.0</v>
      </c>
      <c r="DP3" s="153">
        <v>189017.0</v>
      </c>
    </row>
    <row r="4">
      <c r="A4" s="235">
        <v>46255.0</v>
      </c>
      <c r="B4" s="236" t="s">
        <v>4</v>
      </c>
      <c r="C4" s="236" t="s">
        <v>135</v>
      </c>
      <c r="D4" s="236">
        <v>6285.0</v>
      </c>
      <c r="E4" s="236">
        <v>21.88</v>
      </c>
      <c r="F4" s="236">
        <v>1028.18</v>
      </c>
      <c r="G4" s="236">
        <v>0.1636</v>
      </c>
      <c r="H4" s="236">
        <v>3.45</v>
      </c>
      <c r="I4" s="236">
        <v>4.7382</v>
      </c>
      <c r="J4" s="236">
        <v>70.71</v>
      </c>
      <c r="K4" s="236">
        <v>38.86</v>
      </c>
      <c r="L4" s="236">
        <v>25.65</v>
      </c>
      <c r="M4" s="236">
        <v>0.66</v>
      </c>
      <c r="N4" s="236">
        <v>0.4833</v>
      </c>
      <c r="O4" s="236">
        <v>0.2978</v>
      </c>
      <c r="P4" s="236">
        <v>1.5151</v>
      </c>
      <c r="Q4" s="236">
        <v>182.04</v>
      </c>
      <c r="R4" s="236">
        <v>163.75</v>
      </c>
      <c r="S4" s="236">
        <v>18.3</v>
      </c>
      <c r="T4" s="236">
        <v>12.66</v>
      </c>
      <c r="U4" s="236">
        <v>169.39</v>
      </c>
      <c r="V4" s="236">
        <v>182.33</v>
      </c>
      <c r="W4" s="236">
        <v>4.692</v>
      </c>
      <c r="X4" s="236">
        <v>6.95</v>
      </c>
      <c r="Y4" s="236">
        <v>259.0</v>
      </c>
      <c r="Z4" s="236">
        <v>641.0</v>
      </c>
      <c r="AA4" s="236">
        <v>2211.0</v>
      </c>
      <c r="AB4" s="236">
        <v>54.0055</v>
      </c>
      <c r="AC4" s="236">
        <v>0.705</v>
      </c>
      <c r="AD4" s="236">
        <v>16.05</v>
      </c>
      <c r="AE4" s="236">
        <v>6.0</v>
      </c>
      <c r="AF4" s="236">
        <v>11.0</v>
      </c>
      <c r="AG4" s="236">
        <v>21.0</v>
      </c>
      <c r="AH4" s="236">
        <v>34.0</v>
      </c>
      <c r="AI4" s="236">
        <v>47.99</v>
      </c>
      <c r="AJ4" s="236">
        <v>15.05</v>
      </c>
      <c r="AK4" s="236">
        <v>4.04</v>
      </c>
      <c r="AL4" s="236">
        <v>0.2045</v>
      </c>
      <c r="AM4" s="237"/>
      <c r="AQ4" s="153">
        <v>11.6549</v>
      </c>
      <c r="AR4" s="153">
        <v>0.4102</v>
      </c>
      <c r="AS4" s="153">
        <v>11.2447</v>
      </c>
      <c r="AT4" s="153">
        <v>9.0993</v>
      </c>
      <c r="AU4" s="153">
        <v>0.2342</v>
      </c>
      <c r="AV4" s="153">
        <v>6285.0</v>
      </c>
      <c r="AW4" s="153">
        <v>0.0</v>
      </c>
      <c r="AX4" s="153">
        <v>54.27</v>
      </c>
      <c r="AY4" s="153">
        <v>109.08</v>
      </c>
      <c r="AZ4" s="153">
        <v>3.79</v>
      </c>
      <c r="BA4" s="153">
        <v>12.66</v>
      </c>
      <c r="BB4" s="153">
        <v>2.25</v>
      </c>
      <c r="BC4" s="153">
        <v>75.0</v>
      </c>
      <c r="BD4" s="153">
        <v>22828.0</v>
      </c>
      <c r="BE4" s="153">
        <v>7.573</v>
      </c>
      <c r="BF4" s="153">
        <v>0.3179</v>
      </c>
      <c r="BG4" s="153">
        <v>7.2551</v>
      </c>
      <c r="BH4" s="153">
        <v>5.2344</v>
      </c>
      <c r="BI4" s="153">
        <v>0.1347</v>
      </c>
      <c r="BJ4" s="153">
        <v>4.0819</v>
      </c>
      <c r="BK4" s="153">
        <v>0.0923</v>
      </c>
      <c r="BL4" s="153">
        <v>3.9897</v>
      </c>
      <c r="BM4" s="153">
        <v>3.8649</v>
      </c>
      <c r="BN4" s="153">
        <v>0.0995</v>
      </c>
      <c r="BO4" s="153">
        <v>3.0453</v>
      </c>
      <c r="BP4" s="153">
        <v>0.0974</v>
      </c>
      <c r="BQ4" s="153">
        <v>2.948</v>
      </c>
      <c r="BR4" s="153">
        <v>2.0426</v>
      </c>
      <c r="BS4" s="153">
        <v>2.6471</v>
      </c>
      <c r="BT4" s="153">
        <v>0.1026</v>
      </c>
      <c r="BU4" s="153">
        <v>2.5445</v>
      </c>
      <c r="BV4" s="153">
        <v>1.8716</v>
      </c>
      <c r="BW4" s="153">
        <v>1.8805</v>
      </c>
      <c r="BX4" s="153">
        <v>0.1179</v>
      </c>
      <c r="BY4" s="153">
        <v>1.7626</v>
      </c>
      <c r="BZ4" s="153">
        <v>1.3201</v>
      </c>
      <c r="CA4" s="153">
        <v>0.8528</v>
      </c>
      <c r="CB4" s="153">
        <v>0.0253</v>
      </c>
      <c r="CC4" s="153">
        <v>0.8275</v>
      </c>
      <c r="CD4" s="153">
        <v>0.8387</v>
      </c>
      <c r="CE4" s="153">
        <v>1.685</v>
      </c>
      <c r="CF4" s="153">
        <v>0.039</v>
      </c>
      <c r="CG4" s="153">
        <v>1.646</v>
      </c>
      <c r="CH4" s="153">
        <v>1.4893</v>
      </c>
      <c r="CI4" s="153">
        <v>1.5442</v>
      </c>
      <c r="CJ4" s="153">
        <v>0.028</v>
      </c>
      <c r="CK4" s="153">
        <v>1.5161</v>
      </c>
      <c r="CL4" s="153">
        <v>1.537</v>
      </c>
      <c r="CM4" s="153">
        <v>1143.0</v>
      </c>
      <c r="CN4" s="153">
        <v>94.62</v>
      </c>
      <c r="CO4" s="153">
        <v>1207.96</v>
      </c>
      <c r="CP4" s="153">
        <v>1105.01</v>
      </c>
      <c r="CQ4" s="153">
        <v>0.0</v>
      </c>
      <c r="CR4" s="153">
        <v>26.37</v>
      </c>
      <c r="CS4" s="153">
        <v>11.62</v>
      </c>
      <c r="CT4" s="153">
        <v>0.0</v>
      </c>
      <c r="CU4" s="153">
        <v>0.0</v>
      </c>
      <c r="CV4" s="153">
        <v>0.0</v>
      </c>
      <c r="CW4" s="153">
        <v>182.04</v>
      </c>
      <c r="CX4" s="153">
        <v>0.0</v>
      </c>
      <c r="CY4" s="153">
        <v>0.0</v>
      </c>
      <c r="CZ4" s="153">
        <v>221.7</v>
      </c>
      <c r="DA4" s="153">
        <v>4.31</v>
      </c>
      <c r="DB4" s="153">
        <v>217.38</v>
      </c>
      <c r="DC4" s="153">
        <v>199.29</v>
      </c>
      <c r="DD4" s="153">
        <v>1.2</v>
      </c>
      <c r="DE4" s="153">
        <v>198.09</v>
      </c>
      <c r="DF4" s="153">
        <v>10.52</v>
      </c>
      <c r="DG4" s="153">
        <v>1.04</v>
      </c>
      <c r="DH4" s="153">
        <v>9.48</v>
      </c>
      <c r="DI4" s="153">
        <v>7.6</v>
      </c>
      <c r="DJ4" s="153">
        <v>1.04</v>
      </c>
      <c r="DK4" s="153">
        <v>6.56</v>
      </c>
      <c r="DL4" s="153">
        <v>4.29</v>
      </c>
      <c r="DM4" s="153">
        <v>1.04</v>
      </c>
      <c r="DN4" s="153">
        <v>3.25</v>
      </c>
      <c r="DO4" s="153">
        <v>161198.0</v>
      </c>
      <c r="DP4" s="153">
        <v>244237.0</v>
      </c>
    </row>
    <row r="5">
      <c r="A5" s="235">
        <v>46255.0</v>
      </c>
      <c r="B5" s="236" t="s">
        <v>4</v>
      </c>
      <c r="C5" s="236" t="s">
        <v>136</v>
      </c>
      <c r="D5" s="236">
        <v>4018.0</v>
      </c>
      <c r="E5" s="236">
        <v>13.99</v>
      </c>
      <c r="F5" s="236">
        <v>1223.31</v>
      </c>
      <c r="G5" s="236">
        <v>0.3045</v>
      </c>
      <c r="H5" s="236">
        <v>5.4</v>
      </c>
      <c r="I5" s="236">
        <v>5.6374</v>
      </c>
      <c r="J5" s="236">
        <v>115.5</v>
      </c>
      <c r="K5" s="236">
        <v>67.38</v>
      </c>
      <c r="L5" s="236">
        <v>49.73</v>
      </c>
      <c r="M5" s="236">
        <v>0.738</v>
      </c>
      <c r="N5" s="236">
        <v>0.4119</v>
      </c>
      <c r="O5" s="236">
        <v>0.2611</v>
      </c>
      <c r="P5" s="236">
        <v>1.355</v>
      </c>
      <c r="Q5" s="236">
        <v>288.67</v>
      </c>
      <c r="R5" s="236">
        <v>257.64</v>
      </c>
      <c r="S5" s="236">
        <v>31.04</v>
      </c>
      <c r="T5" s="236">
        <v>27.95</v>
      </c>
      <c r="U5" s="236">
        <v>260.73</v>
      </c>
      <c r="V5" s="236">
        <v>304.72</v>
      </c>
      <c r="W5" s="236">
        <v>4.5224</v>
      </c>
      <c r="X5" s="236">
        <v>9.68</v>
      </c>
      <c r="Y5" s="236">
        <v>327.0</v>
      </c>
      <c r="Z5" s="236">
        <v>889.0</v>
      </c>
      <c r="AA5" s="236">
        <v>3285.0</v>
      </c>
      <c r="AB5" s="236">
        <v>55.5967</v>
      </c>
      <c r="AC5" s="236">
        <v>0.6915</v>
      </c>
      <c r="AD5" s="236">
        <v>27.56</v>
      </c>
      <c r="AE5" s="236">
        <v>11.0</v>
      </c>
      <c r="AF5" s="236">
        <v>20.0</v>
      </c>
      <c r="AG5" s="236">
        <v>36.0</v>
      </c>
      <c r="AH5" s="236">
        <v>58.0</v>
      </c>
      <c r="AI5" s="236">
        <v>32.98</v>
      </c>
      <c r="AJ5" s="236">
        <v>8.79</v>
      </c>
      <c r="AK5" s="236">
        <v>1.77</v>
      </c>
      <c r="AL5" s="236">
        <v>0.1481</v>
      </c>
      <c r="AM5" s="237"/>
      <c r="AQ5" s="153">
        <v>17.0087</v>
      </c>
      <c r="AR5" s="153">
        <v>0.378</v>
      </c>
      <c r="AS5" s="153">
        <v>16.6307</v>
      </c>
      <c r="AT5" s="153">
        <v>15.0841</v>
      </c>
      <c r="AU5" s="153">
        <v>0.2239</v>
      </c>
      <c r="AV5" s="153">
        <v>4018.0</v>
      </c>
      <c r="AW5" s="153">
        <v>0.0</v>
      </c>
      <c r="AX5" s="153">
        <v>82.21</v>
      </c>
      <c r="AY5" s="153">
        <v>168.91</v>
      </c>
      <c r="AZ5" s="153">
        <v>5.53</v>
      </c>
      <c r="BA5" s="153">
        <v>27.99</v>
      </c>
      <c r="BB5" s="153">
        <v>4.1</v>
      </c>
      <c r="BC5" s="153">
        <v>123.0</v>
      </c>
      <c r="BD5" s="153">
        <v>25929.0</v>
      </c>
      <c r="BE5" s="153">
        <v>10.3698</v>
      </c>
      <c r="BF5" s="153">
        <v>0.1635</v>
      </c>
      <c r="BG5" s="153">
        <v>10.2063</v>
      </c>
      <c r="BH5" s="153">
        <v>8.4843</v>
      </c>
      <c r="BI5" s="153">
        <v>0.1259</v>
      </c>
      <c r="BJ5" s="153">
        <v>6.6389</v>
      </c>
      <c r="BK5" s="153">
        <v>0.2145</v>
      </c>
      <c r="BL5" s="153">
        <v>6.4243</v>
      </c>
      <c r="BM5" s="153">
        <v>6.5998</v>
      </c>
      <c r="BN5" s="153">
        <v>0.0979</v>
      </c>
      <c r="BO5" s="153">
        <v>3.7003</v>
      </c>
      <c r="BP5" s="153">
        <v>0.0535</v>
      </c>
      <c r="BQ5" s="153">
        <v>3.6468</v>
      </c>
      <c r="BR5" s="153">
        <v>2.998</v>
      </c>
      <c r="BS5" s="153">
        <v>3.6635</v>
      </c>
      <c r="BT5" s="153">
        <v>0.0528</v>
      </c>
      <c r="BU5" s="153">
        <v>3.6108</v>
      </c>
      <c r="BV5" s="153">
        <v>3.0754</v>
      </c>
      <c r="BW5" s="153">
        <v>3.006</v>
      </c>
      <c r="BX5" s="153">
        <v>0.0572</v>
      </c>
      <c r="BY5" s="153">
        <v>2.9487</v>
      </c>
      <c r="BZ5" s="153">
        <v>2.4109</v>
      </c>
      <c r="CA5" s="153">
        <v>1.5597</v>
      </c>
      <c r="CB5" s="153">
        <v>0.0587</v>
      </c>
      <c r="CC5" s="153">
        <v>1.501</v>
      </c>
      <c r="CD5" s="153">
        <v>1.6772</v>
      </c>
      <c r="CE5" s="153">
        <v>2.6048</v>
      </c>
      <c r="CF5" s="153">
        <v>0.0869</v>
      </c>
      <c r="CG5" s="153">
        <v>2.5179</v>
      </c>
      <c r="CH5" s="153">
        <v>2.3569</v>
      </c>
      <c r="CI5" s="153">
        <v>2.4744</v>
      </c>
      <c r="CJ5" s="153">
        <v>0.0689</v>
      </c>
      <c r="CK5" s="153">
        <v>2.4054</v>
      </c>
      <c r="CL5" s="153">
        <v>2.5657</v>
      </c>
      <c r="CM5" s="153">
        <v>2467.68</v>
      </c>
      <c r="CN5" s="153">
        <v>97.16</v>
      </c>
      <c r="CO5" s="153">
        <v>2539.74</v>
      </c>
      <c r="CP5" s="153">
        <v>2421.48</v>
      </c>
      <c r="CQ5" s="153">
        <v>0.0</v>
      </c>
      <c r="CR5" s="153">
        <v>32.31</v>
      </c>
      <c r="CS5" s="153">
        <v>13.89</v>
      </c>
      <c r="CT5" s="153">
        <v>0.0</v>
      </c>
      <c r="CU5" s="153">
        <v>0.0</v>
      </c>
      <c r="CV5" s="153">
        <v>0.0</v>
      </c>
      <c r="CW5" s="153">
        <v>288.67</v>
      </c>
      <c r="CX5" s="153">
        <v>0.0</v>
      </c>
      <c r="CY5" s="153">
        <v>0.0</v>
      </c>
      <c r="CZ5" s="153">
        <v>298.48</v>
      </c>
      <c r="DA5" s="153">
        <v>5.37</v>
      </c>
      <c r="DB5" s="153">
        <v>293.11</v>
      </c>
      <c r="DC5" s="153">
        <v>274.5</v>
      </c>
      <c r="DD5" s="153">
        <v>1.71</v>
      </c>
      <c r="DE5" s="153">
        <v>272.79</v>
      </c>
      <c r="DF5" s="153">
        <v>11.94</v>
      </c>
      <c r="DG5" s="153">
        <v>1.22</v>
      </c>
      <c r="DH5" s="153">
        <v>10.72</v>
      </c>
      <c r="DI5" s="153">
        <v>7.93</v>
      </c>
      <c r="DJ5" s="153">
        <v>1.22</v>
      </c>
      <c r="DK5" s="153">
        <v>6.71</v>
      </c>
      <c r="DL5" s="153">
        <v>4.12</v>
      </c>
      <c r="DM5" s="153">
        <v>1.22</v>
      </c>
      <c r="DN5" s="153">
        <v>2.9</v>
      </c>
      <c r="DO5" s="153">
        <v>199796.0</v>
      </c>
      <c r="DP5" s="153">
        <v>270731.0</v>
      </c>
    </row>
    <row r="6">
      <c r="A6" s="235">
        <v>46255.0</v>
      </c>
      <c r="B6" s="236" t="s">
        <v>4</v>
      </c>
      <c r="C6" s="236" t="s">
        <v>137</v>
      </c>
      <c r="D6" s="236">
        <v>633.0</v>
      </c>
      <c r="E6" s="236">
        <v>2.2</v>
      </c>
      <c r="F6" s="236">
        <v>785.58</v>
      </c>
      <c r="G6" s="236">
        <v>1.241</v>
      </c>
      <c r="H6" s="236">
        <v>10.11</v>
      </c>
      <c r="I6" s="236">
        <v>12.2747</v>
      </c>
      <c r="J6" s="236">
        <v>203.0</v>
      </c>
      <c r="K6" s="236">
        <v>126.47</v>
      </c>
      <c r="L6" s="236">
        <v>99.73</v>
      </c>
      <c r="M6" s="236">
        <v>0.7886</v>
      </c>
      <c r="N6" s="236">
        <v>0.3485</v>
      </c>
      <c r="O6" s="236">
        <v>0.2267</v>
      </c>
      <c r="P6" s="236">
        <v>1.2681</v>
      </c>
      <c r="Q6" s="236">
        <v>479.16</v>
      </c>
      <c r="R6" s="236">
        <v>428.0</v>
      </c>
      <c r="S6" s="236">
        <v>51.16</v>
      </c>
      <c r="T6" s="236">
        <v>120.14</v>
      </c>
      <c r="U6" s="236">
        <v>359.02</v>
      </c>
      <c r="V6" s="236">
        <v>551.97</v>
      </c>
      <c r="W6" s="236">
        <v>4.3644</v>
      </c>
      <c r="X6" s="236">
        <v>25.07</v>
      </c>
      <c r="Y6" s="236">
        <v>456.0</v>
      </c>
      <c r="Z6" s="236">
        <v>1421.0</v>
      </c>
      <c r="AA6" s="236">
        <v>5593.0</v>
      </c>
      <c r="AB6" s="236">
        <v>57.0645</v>
      </c>
      <c r="AC6" s="236">
        <v>0.5964</v>
      </c>
      <c r="AD6" s="236">
        <v>46.22</v>
      </c>
      <c r="AE6" s="236">
        <v>16.0</v>
      </c>
      <c r="AF6" s="236">
        <v>31.0</v>
      </c>
      <c r="AG6" s="236">
        <v>61.0</v>
      </c>
      <c r="AH6" s="236">
        <v>110.0</v>
      </c>
      <c r="AI6" s="236">
        <v>17.22</v>
      </c>
      <c r="AJ6" s="236">
        <v>3.32</v>
      </c>
      <c r="AK6" s="236">
        <v>0.79</v>
      </c>
      <c r="AL6" s="236">
        <v>0.09</v>
      </c>
      <c r="AM6" s="237"/>
      <c r="AQ6" s="153">
        <v>24.9068</v>
      </c>
      <c r="AR6" s="153">
        <v>1.1406</v>
      </c>
      <c r="AS6" s="153">
        <v>23.7662</v>
      </c>
      <c r="AT6" s="153">
        <v>24.3365</v>
      </c>
      <c r="AU6" s="153">
        <v>0.1924</v>
      </c>
      <c r="AV6" s="153">
        <v>633.0</v>
      </c>
      <c r="AW6" s="153">
        <v>0.0</v>
      </c>
      <c r="AX6" s="153">
        <v>125.08</v>
      </c>
      <c r="AY6" s="153">
        <v>213.63</v>
      </c>
      <c r="AZ6" s="153">
        <v>12.39</v>
      </c>
      <c r="BA6" s="153">
        <v>120.14</v>
      </c>
      <c r="BB6" s="153">
        <v>7.91</v>
      </c>
      <c r="BC6" s="153">
        <v>194.0</v>
      </c>
      <c r="BD6" s="153">
        <v>29037.0</v>
      </c>
      <c r="BE6" s="153">
        <v>14.2433</v>
      </c>
      <c r="BF6" s="153">
        <v>0.4502</v>
      </c>
      <c r="BG6" s="153">
        <v>13.793</v>
      </c>
      <c r="BH6" s="153">
        <v>13.5371</v>
      </c>
      <c r="BI6" s="153">
        <v>0.107</v>
      </c>
      <c r="BJ6" s="153">
        <v>10.6635</v>
      </c>
      <c r="BK6" s="153">
        <v>0.6904</v>
      </c>
      <c r="BL6" s="153">
        <v>9.9731</v>
      </c>
      <c r="BM6" s="153">
        <v>10.7994</v>
      </c>
      <c r="BN6" s="153">
        <v>0.0854</v>
      </c>
      <c r="BO6" s="153">
        <v>4.8847</v>
      </c>
      <c r="BP6" s="153">
        <v>0.1501</v>
      </c>
      <c r="BQ6" s="153">
        <v>4.7346</v>
      </c>
      <c r="BR6" s="153">
        <v>4.7488</v>
      </c>
      <c r="BS6" s="153">
        <v>4.8594</v>
      </c>
      <c r="BT6" s="153">
        <v>0.1501</v>
      </c>
      <c r="BU6" s="153">
        <v>4.7093</v>
      </c>
      <c r="BV6" s="153">
        <v>4.7551</v>
      </c>
      <c r="BW6" s="153">
        <v>4.4992</v>
      </c>
      <c r="BX6" s="153">
        <v>0.1501</v>
      </c>
      <c r="BY6" s="153">
        <v>4.3491</v>
      </c>
      <c r="BZ6" s="153">
        <v>4.0332</v>
      </c>
      <c r="CA6" s="153">
        <v>2.7662</v>
      </c>
      <c r="CB6" s="153">
        <v>0.1817</v>
      </c>
      <c r="CC6" s="153">
        <v>2.5845</v>
      </c>
      <c r="CD6" s="153">
        <v>3.1201</v>
      </c>
      <c r="CE6" s="153">
        <v>3.7946</v>
      </c>
      <c r="CF6" s="153">
        <v>0.2686</v>
      </c>
      <c r="CG6" s="153">
        <v>3.5261</v>
      </c>
      <c r="CH6" s="153">
        <v>3.7773</v>
      </c>
      <c r="CI6" s="153">
        <v>4.1027</v>
      </c>
      <c r="CJ6" s="153">
        <v>0.2401</v>
      </c>
      <c r="CK6" s="153">
        <v>3.8626</v>
      </c>
      <c r="CL6" s="153">
        <v>3.9021</v>
      </c>
      <c r="CM6" s="153">
        <v>5266.85</v>
      </c>
      <c r="CN6" s="153">
        <v>98.1</v>
      </c>
      <c r="CO6" s="153">
        <v>5368.63</v>
      </c>
      <c r="CP6" s="153">
        <v>5212.92</v>
      </c>
      <c r="CQ6" s="153">
        <v>0.0</v>
      </c>
      <c r="CR6" s="153">
        <v>38.96</v>
      </c>
      <c r="CS6" s="153">
        <v>14.98</v>
      </c>
      <c r="CT6" s="153">
        <v>0.0</v>
      </c>
      <c r="CU6" s="153">
        <v>0.0</v>
      </c>
      <c r="CV6" s="153">
        <v>0.0</v>
      </c>
      <c r="CW6" s="153">
        <v>479.16</v>
      </c>
      <c r="CX6" s="153">
        <v>0.0</v>
      </c>
      <c r="CY6" s="153">
        <v>0.0</v>
      </c>
      <c r="CZ6" s="153">
        <v>417.84</v>
      </c>
      <c r="DA6" s="153">
        <v>16.82</v>
      </c>
      <c r="DB6" s="153">
        <v>401.02</v>
      </c>
      <c r="DC6" s="153">
        <v>390.59</v>
      </c>
      <c r="DD6" s="153">
        <v>7.53</v>
      </c>
      <c r="DE6" s="153">
        <v>383.06</v>
      </c>
      <c r="DF6" s="153">
        <v>12.5</v>
      </c>
      <c r="DG6" s="153">
        <v>3.1</v>
      </c>
      <c r="DH6" s="153">
        <v>9.4</v>
      </c>
      <c r="DI6" s="153">
        <v>9.81</v>
      </c>
      <c r="DJ6" s="153">
        <v>3.1</v>
      </c>
      <c r="DK6" s="153">
        <v>6.71</v>
      </c>
      <c r="DL6" s="153">
        <v>4.94</v>
      </c>
      <c r="DM6" s="153">
        <v>3.1</v>
      </c>
      <c r="DN6" s="153">
        <v>1.84</v>
      </c>
      <c r="DO6" s="153">
        <v>63132.0</v>
      </c>
      <c r="DP6" s="153">
        <v>80057.0</v>
      </c>
    </row>
    <row r="7">
      <c r="A7" s="235">
        <v>46255.0</v>
      </c>
      <c r="B7" s="236" t="s">
        <v>5</v>
      </c>
      <c r="C7" s="236" t="s">
        <v>133</v>
      </c>
      <c r="D7" s="236">
        <v>10608.0</v>
      </c>
      <c r="E7" s="236">
        <v>37.15</v>
      </c>
      <c r="F7" s="236">
        <v>417.9</v>
      </c>
      <c r="G7" s="236">
        <v>0.0394</v>
      </c>
      <c r="H7" s="236">
        <v>1.5</v>
      </c>
      <c r="I7" s="236">
        <v>2.6283</v>
      </c>
      <c r="J7" s="236">
        <v>30.36</v>
      </c>
      <c r="K7" s="236">
        <v>14.56</v>
      </c>
      <c r="L7" s="236">
        <v>6.99</v>
      </c>
      <c r="M7" s="236">
        <v>0.4798</v>
      </c>
      <c r="N7" s="236">
        <v>0.647</v>
      </c>
      <c r="O7" s="236">
        <v>0.3924</v>
      </c>
      <c r="P7" s="236">
        <v>2.0842</v>
      </c>
      <c r="Q7" s="236">
        <v>70.2</v>
      </c>
      <c r="R7" s="236">
        <v>64.89</v>
      </c>
      <c r="S7" s="236">
        <v>5.31</v>
      </c>
      <c r="T7" s="236">
        <v>3.13</v>
      </c>
      <c r="U7" s="236">
        <v>67.07</v>
      </c>
      <c r="V7" s="236">
        <v>57.94</v>
      </c>
      <c r="W7" s="236">
        <v>3.9792</v>
      </c>
      <c r="X7" s="236">
        <v>4.45</v>
      </c>
      <c r="Y7" s="236">
        <v>175.0</v>
      </c>
      <c r="Z7" s="236">
        <v>423.0</v>
      </c>
      <c r="AA7" s="236">
        <v>2273.0</v>
      </c>
      <c r="AB7" s="236">
        <v>49.5905</v>
      </c>
      <c r="AC7" s="236">
        <v>0.5601</v>
      </c>
      <c r="AD7" s="236">
        <v>6.33</v>
      </c>
      <c r="AE7" s="236">
        <v>2.0</v>
      </c>
      <c r="AF7" s="236">
        <v>4.0</v>
      </c>
      <c r="AG7" s="236">
        <v>8.0</v>
      </c>
      <c r="AH7" s="236">
        <v>15.0</v>
      </c>
      <c r="AI7" s="236">
        <v>59.74</v>
      </c>
      <c r="AJ7" s="236">
        <v>29.67</v>
      </c>
      <c r="AK7" s="236">
        <v>9.04</v>
      </c>
      <c r="AL7" s="236">
        <v>0.2953</v>
      </c>
      <c r="AM7" s="236">
        <v>52.31</v>
      </c>
      <c r="AN7" s="153">
        <v>52.31</v>
      </c>
      <c r="AO7" s="153">
        <v>31.6</v>
      </c>
      <c r="AP7" s="153">
        <v>15.05</v>
      </c>
      <c r="AQ7" s="153">
        <v>5.0387</v>
      </c>
      <c r="AR7" s="153">
        <v>0.0382</v>
      </c>
      <c r="AS7" s="153">
        <v>5.0005</v>
      </c>
      <c r="AT7" s="153">
        <v>3.9373</v>
      </c>
      <c r="AU7" s="153">
        <v>0.2704</v>
      </c>
      <c r="AV7" s="153">
        <v>10608.0</v>
      </c>
      <c r="AW7" s="153">
        <v>0.0</v>
      </c>
      <c r="AX7" s="153">
        <v>22.47</v>
      </c>
      <c r="AY7" s="153">
        <v>41.12</v>
      </c>
      <c r="AZ7" s="153">
        <v>2.77</v>
      </c>
      <c r="BA7" s="153">
        <v>3.13</v>
      </c>
      <c r="BB7" s="153">
        <v>0.71</v>
      </c>
      <c r="BC7" s="153">
        <v>34.0</v>
      </c>
      <c r="BD7" s="153">
        <v>24186.0</v>
      </c>
      <c r="BE7" s="153">
        <v>3.285</v>
      </c>
      <c r="BF7" s="153">
        <v>0.0212</v>
      </c>
      <c r="BG7" s="153">
        <v>3.2638</v>
      </c>
      <c r="BH7" s="153">
        <v>2.3273</v>
      </c>
      <c r="BI7" s="153">
        <v>0.1598</v>
      </c>
      <c r="BJ7" s="153">
        <v>1.7537</v>
      </c>
      <c r="BK7" s="153">
        <v>0.017</v>
      </c>
      <c r="BL7" s="153">
        <v>1.7367</v>
      </c>
      <c r="BM7" s="153">
        <v>1.61</v>
      </c>
      <c r="BN7" s="153">
        <v>0.1106</v>
      </c>
      <c r="BO7" s="153">
        <v>1.3455</v>
      </c>
      <c r="BP7" s="153">
        <v>0.0074</v>
      </c>
      <c r="BQ7" s="153">
        <v>1.3381</v>
      </c>
      <c r="BR7" s="153">
        <v>0.9311</v>
      </c>
      <c r="BS7" s="153">
        <v>1.3221</v>
      </c>
      <c r="BT7" s="153">
        <v>0.0068</v>
      </c>
      <c r="BU7" s="153">
        <v>1.3153</v>
      </c>
      <c r="BV7" s="153">
        <v>0.9479</v>
      </c>
      <c r="BW7" s="153">
        <v>0.6174</v>
      </c>
      <c r="BX7" s="153">
        <v>0.0071</v>
      </c>
      <c r="BY7" s="153">
        <v>0.6103</v>
      </c>
      <c r="BZ7" s="153">
        <v>0.4483</v>
      </c>
      <c r="CA7" s="153">
        <v>0.2105</v>
      </c>
      <c r="CB7" s="153">
        <v>0.0047</v>
      </c>
      <c r="CC7" s="153">
        <v>0.2058</v>
      </c>
      <c r="CD7" s="153">
        <v>0.2237</v>
      </c>
      <c r="CE7" s="153">
        <v>0.9521</v>
      </c>
      <c r="CF7" s="153">
        <v>0.0061</v>
      </c>
      <c r="CG7" s="153">
        <v>0.946</v>
      </c>
      <c r="CH7" s="153">
        <v>0.8473</v>
      </c>
      <c r="CI7" s="153">
        <v>0.5911</v>
      </c>
      <c r="CJ7" s="153">
        <v>0.0061</v>
      </c>
      <c r="CK7" s="153">
        <v>0.5849</v>
      </c>
      <c r="CL7" s="153">
        <v>0.539</v>
      </c>
      <c r="CM7" s="153">
        <v>231.81</v>
      </c>
      <c r="CN7" s="153">
        <v>79.16</v>
      </c>
      <c r="CO7" s="153">
        <v>292.85</v>
      </c>
      <c r="CP7" s="153">
        <v>208.2</v>
      </c>
      <c r="CQ7" s="153">
        <v>1.99</v>
      </c>
      <c r="CR7" s="153">
        <v>16.61</v>
      </c>
      <c r="CS7" s="153">
        <v>5.01</v>
      </c>
      <c r="CT7" s="153">
        <v>0.0</v>
      </c>
      <c r="CU7" s="153">
        <v>36.0</v>
      </c>
      <c r="CV7" s="153">
        <v>0.05</v>
      </c>
      <c r="CW7" s="153">
        <v>70.25</v>
      </c>
      <c r="CX7" s="153">
        <v>0.14</v>
      </c>
      <c r="CY7" s="153">
        <v>2.14</v>
      </c>
      <c r="CZ7" s="153">
        <v>104.28</v>
      </c>
      <c r="DA7" s="153">
        <v>0.92</v>
      </c>
      <c r="DB7" s="153">
        <v>103.36</v>
      </c>
      <c r="DC7" s="153">
        <v>95.74</v>
      </c>
      <c r="DD7" s="153">
        <v>0.25</v>
      </c>
      <c r="DE7" s="153">
        <v>95.49</v>
      </c>
      <c r="DF7" s="153">
        <v>4.11</v>
      </c>
      <c r="DG7" s="153">
        <v>0.23</v>
      </c>
      <c r="DH7" s="153">
        <v>3.88</v>
      </c>
      <c r="DI7" s="153">
        <v>3.69</v>
      </c>
      <c r="DJ7" s="153">
        <v>0.23</v>
      </c>
      <c r="DK7" s="153">
        <v>3.47</v>
      </c>
      <c r="DL7" s="153">
        <v>0.74</v>
      </c>
      <c r="DM7" s="153">
        <v>0.23</v>
      </c>
      <c r="DN7" s="153">
        <v>0.51</v>
      </c>
      <c r="DO7" s="153">
        <v>74109.0</v>
      </c>
      <c r="DP7" s="153">
        <v>154455.0</v>
      </c>
    </row>
    <row r="8">
      <c r="A8" s="235">
        <v>46255.0</v>
      </c>
      <c r="B8" s="236" t="s">
        <v>5</v>
      </c>
      <c r="C8" s="236" t="s">
        <v>134</v>
      </c>
      <c r="D8" s="236">
        <v>7344.0</v>
      </c>
      <c r="E8" s="236">
        <v>25.72</v>
      </c>
      <c r="F8" s="236">
        <v>631.56</v>
      </c>
      <c r="G8" s="236">
        <v>0.086</v>
      </c>
      <c r="H8" s="236">
        <v>2.31</v>
      </c>
      <c r="I8" s="236">
        <v>3.7151</v>
      </c>
      <c r="J8" s="236">
        <v>49.69</v>
      </c>
      <c r="K8" s="236">
        <v>24.83</v>
      </c>
      <c r="L8" s="236">
        <v>14.36</v>
      </c>
      <c r="M8" s="236">
        <v>0.5784</v>
      </c>
      <c r="N8" s="236">
        <v>0.5658</v>
      </c>
      <c r="O8" s="236">
        <v>0.3503</v>
      </c>
      <c r="P8" s="236">
        <v>1.729</v>
      </c>
      <c r="Q8" s="236">
        <v>121.1</v>
      </c>
      <c r="R8" s="236">
        <v>110.37</v>
      </c>
      <c r="S8" s="236">
        <v>10.73</v>
      </c>
      <c r="T8" s="236">
        <v>6.54</v>
      </c>
      <c r="U8" s="236">
        <v>114.57</v>
      </c>
      <c r="V8" s="236">
        <v>105.82</v>
      </c>
      <c r="W8" s="236">
        <v>4.2623</v>
      </c>
      <c r="X8" s="236">
        <v>5.4</v>
      </c>
      <c r="Y8" s="236">
        <v>206.0</v>
      </c>
      <c r="Z8" s="236">
        <v>427.0</v>
      </c>
      <c r="AA8" s="236">
        <v>1701.0</v>
      </c>
      <c r="AB8" s="236">
        <v>52.5664</v>
      </c>
      <c r="AC8" s="236">
        <v>0.67</v>
      </c>
      <c r="AD8" s="236">
        <v>10.38</v>
      </c>
      <c r="AE8" s="236">
        <v>4.0</v>
      </c>
      <c r="AF8" s="236">
        <v>7.0</v>
      </c>
      <c r="AG8" s="236">
        <v>13.0</v>
      </c>
      <c r="AH8" s="236">
        <v>24.0</v>
      </c>
      <c r="AI8" s="236">
        <v>55.43</v>
      </c>
      <c r="AJ8" s="236">
        <v>22.78</v>
      </c>
      <c r="AK8" s="236">
        <v>4.86</v>
      </c>
      <c r="AL8" s="236">
        <v>0.2372</v>
      </c>
      <c r="AM8" s="236">
        <v>50.53</v>
      </c>
      <c r="AN8" s="153">
        <v>50.53</v>
      </c>
      <c r="AO8" s="153">
        <v>28.46</v>
      </c>
      <c r="AP8" s="153">
        <v>10.51</v>
      </c>
      <c r="AQ8" s="153">
        <v>7.5692</v>
      </c>
      <c r="AR8" s="153">
        <v>0.0881</v>
      </c>
      <c r="AS8" s="153">
        <v>7.4811</v>
      </c>
      <c r="AT8" s="153">
        <v>6.0443</v>
      </c>
      <c r="AU8" s="153">
        <v>0.2435</v>
      </c>
      <c r="AV8" s="153">
        <v>7344.0</v>
      </c>
      <c r="AW8" s="153">
        <v>0.0</v>
      </c>
      <c r="AX8" s="153">
        <v>33.81</v>
      </c>
      <c r="AY8" s="153">
        <v>76.06</v>
      </c>
      <c r="AZ8" s="153">
        <v>3.42</v>
      </c>
      <c r="BA8" s="153">
        <v>6.54</v>
      </c>
      <c r="BB8" s="153">
        <v>1.28</v>
      </c>
      <c r="BC8" s="153">
        <v>49.0</v>
      </c>
      <c r="BD8" s="153">
        <v>22740.0</v>
      </c>
      <c r="BE8" s="153">
        <v>4.5716</v>
      </c>
      <c r="BF8" s="153">
        <v>0.0482</v>
      </c>
      <c r="BG8" s="153">
        <v>4.5234</v>
      </c>
      <c r="BH8" s="153">
        <v>3.276</v>
      </c>
      <c r="BI8" s="153">
        <v>0.132</v>
      </c>
      <c r="BJ8" s="153">
        <v>2.9975</v>
      </c>
      <c r="BK8" s="153">
        <v>0.0399</v>
      </c>
      <c r="BL8" s="153">
        <v>2.9577</v>
      </c>
      <c r="BM8" s="153">
        <v>2.7682</v>
      </c>
      <c r="BN8" s="153">
        <v>0.1115</v>
      </c>
      <c r="BO8" s="153">
        <v>1.7538</v>
      </c>
      <c r="BP8" s="153">
        <v>0.015</v>
      </c>
      <c r="BQ8" s="153">
        <v>1.7388</v>
      </c>
      <c r="BR8" s="153">
        <v>1.2255</v>
      </c>
      <c r="BS8" s="153">
        <v>1.756</v>
      </c>
      <c r="BT8" s="153">
        <v>0.015</v>
      </c>
      <c r="BU8" s="153">
        <v>1.741</v>
      </c>
      <c r="BV8" s="153">
        <v>1.2885</v>
      </c>
      <c r="BW8" s="153">
        <v>1.0618</v>
      </c>
      <c r="BX8" s="153">
        <v>0.0182</v>
      </c>
      <c r="BY8" s="153">
        <v>1.0436</v>
      </c>
      <c r="BZ8" s="153">
        <v>0.762</v>
      </c>
      <c r="CA8" s="153">
        <v>0.4657</v>
      </c>
      <c r="CB8" s="153">
        <v>0.0098</v>
      </c>
      <c r="CC8" s="153">
        <v>0.4559</v>
      </c>
      <c r="CD8" s="153">
        <v>0.467</v>
      </c>
      <c r="CE8" s="153">
        <v>1.4037</v>
      </c>
      <c r="CF8" s="153">
        <v>0.0161</v>
      </c>
      <c r="CG8" s="153">
        <v>1.3877</v>
      </c>
      <c r="CH8" s="153">
        <v>1.2482</v>
      </c>
      <c r="CI8" s="153">
        <v>1.1281</v>
      </c>
      <c r="CJ8" s="153">
        <v>0.014</v>
      </c>
      <c r="CK8" s="153">
        <v>1.1141</v>
      </c>
      <c r="CL8" s="153">
        <v>1.053</v>
      </c>
      <c r="CM8" s="153">
        <v>561.23</v>
      </c>
      <c r="CN8" s="153">
        <v>89.28</v>
      </c>
      <c r="CO8" s="153">
        <v>628.59</v>
      </c>
      <c r="CP8" s="153">
        <v>524.89</v>
      </c>
      <c r="CQ8" s="153">
        <v>2.69</v>
      </c>
      <c r="CR8" s="153">
        <v>20.89</v>
      </c>
      <c r="CS8" s="153">
        <v>12.76</v>
      </c>
      <c r="CT8" s="153">
        <v>0.0</v>
      </c>
      <c r="CU8" s="153">
        <v>15.0</v>
      </c>
      <c r="CV8" s="153">
        <v>0.04</v>
      </c>
      <c r="CW8" s="153">
        <v>121.14</v>
      </c>
      <c r="CX8" s="153">
        <v>0.07</v>
      </c>
      <c r="CY8" s="153">
        <v>2.75</v>
      </c>
      <c r="CZ8" s="153">
        <v>141.08</v>
      </c>
      <c r="DA8" s="153">
        <v>1.19</v>
      </c>
      <c r="DB8" s="153">
        <v>139.88</v>
      </c>
      <c r="DC8" s="153">
        <v>129.25</v>
      </c>
      <c r="DD8" s="153">
        <v>0.34</v>
      </c>
      <c r="DE8" s="153">
        <v>128.91</v>
      </c>
      <c r="DF8" s="153">
        <v>6.77</v>
      </c>
      <c r="DG8" s="153">
        <v>0.28</v>
      </c>
      <c r="DH8" s="153">
        <v>6.48</v>
      </c>
      <c r="DI8" s="153">
        <v>4.17</v>
      </c>
      <c r="DJ8" s="153">
        <v>0.28</v>
      </c>
      <c r="DK8" s="153">
        <v>3.89</v>
      </c>
      <c r="DL8" s="153">
        <v>0.89</v>
      </c>
      <c r="DM8" s="153">
        <v>0.28</v>
      </c>
      <c r="DN8" s="153">
        <v>0.61</v>
      </c>
      <c r="DO8" s="153">
        <v>105456.0</v>
      </c>
      <c r="DP8" s="153">
        <v>182333.0</v>
      </c>
    </row>
    <row r="9">
      <c r="A9" s="235">
        <v>46255.0</v>
      </c>
      <c r="B9" s="236" t="s">
        <v>5</v>
      </c>
      <c r="C9" s="236" t="s">
        <v>135</v>
      </c>
      <c r="D9" s="236">
        <v>6325.0</v>
      </c>
      <c r="E9" s="236">
        <v>22.15</v>
      </c>
      <c r="F9" s="236">
        <v>1041.46</v>
      </c>
      <c r="G9" s="236">
        <v>0.1647</v>
      </c>
      <c r="H9" s="236">
        <v>3.23</v>
      </c>
      <c r="I9" s="236">
        <v>5.1052</v>
      </c>
      <c r="J9" s="236">
        <v>72.83</v>
      </c>
      <c r="K9" s="236">
        <v>39.33</v>
      </c>
      <c r="L9" s="236">
        <v>26.48</v>
      </c>
      <c r="M9" s="236">
        <v>0.6732</v>
      </c>
      <c r="N9" s="236">
        <v>0.4756</v>
      </c>
      <c r="O9" s="236">
        <v>0.2967</v>
      </c>
      <c r="P9" s="236">
        <v>1.4854</v>
      </c>
      <c r="Q9" s="236">
        <v>223.08</v>
      </c>
      <c r="R9" s="236">
        <v>205.67</v>
      </c>
      <c r="S9" s="236">
        <v>17.41</v>
      </c>
      <c r="T9" s="236">
        <v>13.19</v>
      </c>
      <c r="U9" s="236">
        <v>209.9</v>
      </c>
      <c r="V9" s="236">
        <v>189.93</v>
      </c>
      <c r="W9" s="236">
        <v>4.8287</v>
      </c>
      <c r="X9" s="236">
        <v>5.91</v>
      </c>
      <c r="Y9" s="236">
        <v>284.0</v>
      </c>
      <c r="Z9" s="236">
        <v>546.0</v>
      </c>
      <c r="AA9" s="236">
        <v>1873.0</v>
      </c>
      <c r="AB9" s="236">
        <v>53.6571</v>
      </c>
      <c r="AC9" s="236">
        <v>0.6866</v>
      </c>
      <c r="AD9" s="236">
        <v>16.41</v>
      </c>
      <c r="AE9" s="236">
        <v>6.0</v>
      </c>
      <c r="AF9" s="236">
        <v>12.0</v>
      </c>
      <c r="AG9" s="236">
        <v>22.0</v>
      </c>
      <c r="AH9" s="236">
        <v>37.0</v>
      </c>
      <c r="AI9" s="236">
        <v>47.45</v>
      </c>
      <c r="AJ9" s="236">
        <v>15.94</v>
      </c>
      <c r="AK9" s="236">
        <v>4.36</v>
      </c>
      <c r="AL9" s="236">
        <v>0.2066</v>
      </c>
      <c r="AM9" s="236">
        <v>50.77</v>
      </c>
      <c r="AN9" s="153">
        <v>50.77</v>
      </c>
      <c r="AO9" s="153">
        <v>26.29</v>
      </c>
      <c r="AP9" s="153">
        <v>12.19</v>
      </c>
      <c r="AQ9" s="153">
        <v>10.433</v>
      </c>
      <c r="AR9" s="153">
        <v>0.1665</v>
      </c>
      <c r="AS9" s="153">
        <v>10.2666</v>
      </c>
      <c r="AT9" s="153">
        <v>8.2968</v>
      </c>
      <c r="AU9" s="153">
        <v>0.2109</v>
      </c>
      <c r="AV9" s="153">
        <v>6325.0</v>
      </c>
      <c r="AW9" s="153">
        <v>0.0</v>
      </c>
      <c r="AX9" s="153">
        <v>51.55</v>
      </c>
      <c r="AY9" s="153">
        <v>152.04</v>
      </c>
      <c r="AZ9" s="153">
        <v>4.03</v>
      </c>
      <c r="BA9" s="153">
        <v>13.19</v>
      </c>
      <c r="BB9" s="153">
        <v>2.35</v>
      </c>
      <c r="BC9" s="153">
        <v>74.0</v>
      </c>
      <c r="BD9" s="153">
        <v>22766.0</v>
      </c>
      <c r="BE9" s="153">
        <v>5.9885</v>
      </c>
      <c r="BF9" s="153">
        <v>0.0702</v>
      </c>
      <c r="BG9" s="153">
        <v>5.9183</v>
      </c>
      <c r="BH9" s="153">
        <v>4.3734</v>
      </c>
      <c r="BI9" s="153">
        <v>0.1112</v>
      </c>
      <c r="BJ9" s="153">
        <v>4.4446</v>
      </c>
      <c r="BK9" s="153">
        <v>0.0963</v>
      </c>
      <c r="BL9" s="153">
        <v>4.3483</v>
      </c>
      <c r="BM9" s="153">
        <v>3.9233</v>
      </c>
      <c r="BN9" s="153">
        <v>0.0997</v>
      </c>
      <c r="BO9" s="153">
        <v>2.2046</v>
      </c>
      <c r="BP9" s="153">
        <v>0.022</v>
      </c>
      <c r="BQ9" s="153">
        <v>2.1826</v>
      </c>
      <c r="BR9" s="153">
        <v>1.6234</v>
      </c>
      <c r="BS9" s="153">
        <v>2.3129</v>
      </c>
      <c r="BT9" s="153">
        <v>0.021</v>
      </c>
      <c r="BU9" s="153">
        <v>2.2919</v>
      </c>
      <c r="BV9" s="153">
        <v>1.6908</v>
      </c>
      <c r="BW9" s="153">
        <v>1.471</v>
      </c>
      <c r="BX9" s="153">
        <v>0.0272</v>
      </c>
      <c r="BY9" s="153">
        <v>1.4438</v>
      </c>
      <c r="BZ9" s="153">
        <v>1.0593</v>
      </c>
      <c r="CA9" s="153">
        <v>0.7209</v>
      </c>
      <c r="CB9" s="153">
        <v>0.0239</v>
      </c>
      <c r="CC9" s="153">
        <v>0.6971</v>
      </c>
      <c r="CD9" s="153">
        <v>0.6561</v>
      </c>
      <c r="CE9" s="153">
        <v>1.847</v>
      </c>
      <c r="CF9" s="153">
        <v>0.0438</v>
      </c>
      <c r="CG9" s="153">
        <v>1.8032</v>
      </c>
      <c r="CH9" s="153">
        <v>1.6876</v>
      </c>
      <c r="CI9" s="153">
        <v>1.8767</v>
      </c>
      <c r="CJ9" s="153">
        <v>0.0286</v>
      </c>
      <c r="CK9" s="153">
        <v>1.8481</v>
      </c>
      <c r="CL9" s="153">
        <v>1.5796</v>
      </c>
      <c r="CM9" s="153">
        <v>1087.04</v>
      </c>
      <c r="CN9" s="153">
        <v>94.45</v>
      </c>
      <c r="CO9" s="153">
        <v>1150.9</v>
      </c>
      <c r="CP9" s="153">
        <v>1037.63</v>
      </c>
      <c r="CQ9" s="153">
        <v>3.43</v>
      </c>
      <c r="CR9" s="153">
        <v>25.73</v>
      </c>
      <c r="CS9" s="153">
        <v>20.25</v>
      </c>
      <c r="CT9" s="153">
        <v>0.0</v>
      </c>
      <c r="CU9" s="153">
        <v>18.0</v>
      </c>
      <c r="CV9" s="153">
        <v>0.09</v>
      </c>
      <c r="CW9" s="153">
        <v>223.17</v>
      </c>
      <c r="CX9" s="153">
        <v>0.14</v>
      </c>
      <c r="CY9" s="153">
        <v>3.57</v>
      </c>
      <c r="CZ9" s="153">
        <v>189.2</v>
      </c>
      <c r="DA9" s="153">
        <v>2.46</v>
      </c>
      <c r="DB9" s="153">
        <v>186.74</v>
      </c>
      <c r="DC9" s="153">
        <v>170.12</v>
      </c>
      <c r="DD9" s="153">
        <v>0.8</v>
      </c>
      <c r="DE9" s="153">
        <v>169.32</v>
      </c>
      <c r="DF9" s="153">
        <v>10.09</v>
      </c>
      <c r="DG9" s="153">
        <v>0.55</v>
      </c>
      <c r="DH9" s="153">
        <v>9.53</v>
      </c>
      <c r="DI9" s="153">
        <v>7.18</v>
      </c>
      <c r="DJ9" s="153">
        <v>0.55</v>
      </c>
      <c r="DK9" s="153">
        <v>6.63</v>
      </c>
      <c r="DL9" s="153">
        <v>1.81</v>
      </c>
      <c r="DM9" s="153">
        <v>0.55</v>
      </c>
      <c r="DN9" s="153">
        <v>1.26</v>
      </c>
      <c r="DO9" s="153">
        <v>167487.0</v>
      </c>
      <c r="DP9" s="153">
        <v>248785.0</v>
      </c>
    </row>
    <row r="10">
      <c r="A10" s="235">
        <v>46255.0</v>
      </c>
      <c r="B10" s="236" t="s">
        <v>5</v>
      </c>
      <c r="C10" s="236" t="s">
        <v>136</v>
      </c>
      <c r="D10" s="236">
        <v>3740.0</v>
      </c>
      <c r="E10" s="236">
        <v>13.1</v>
      </c>
      <c r="F10" s="236">
        <v>1317.2</v>
      </c>
      <c r="G10" s="236">
        <v>0.3522</v>
      </c>
      <c r="H10" s="236">
        <v>5.29</v>
      </c>
      <c r="I10" s="236">
        <v>6.6525</v>
      </c>
      <c r="J10" s="236">
        <v>118.37</v>
      </c>
      <c r="K10" s="236">
        <v>69.74</v>
      </c>
      <c r="L10" s="236">
        <v>52.43</v>
      </c>
      <c r="M10" s="236">
        <v>0.7519</v>
      </c>
      <c r="N10" s="236">
        <v>0.3972</v>
      </c>
      <c r="O10" s="236">
        <v>0.2529</v>
      </c>
      <c r="P10" s="236">
        <v>1.33</v>
      </c>
      <c r="Q10" s="236">
        <v>395.67</v>
      </c>
      <c r="R10" s="236">
        <v>365.31</v>
      </c>
      <c r="S10" s="236">
        <v>30.36</v>
      </c>
      <c r="T10" s="236">
        <v>27.97</v>
      </c>
      <c r="U10" s="236">
        <v>367.7</v>
      </c>
      <c r="V10" s="236">
        <v>355.56</v>
      </c>
      <c r="W10" s="236">
        <v>5.0985</v>
      </c>
      <c r="X10" s="236">
        <v>7.07</v>
      </c>
      <c r="Y10" s="236">
        <v>350.0</v>
      </c>
      <c r="Z10" s="236">
        <v>809.0</v>
      </c>
      <c r="AA10" s="236">
        <v>2923.0</v>
      </c>
      <c r="AB10" s="236">
        <v>54.7618</v>
      </c>
      <c r="AC10" s="236">
        <v>0.6465</v>
      </c>
      <c r="AD10" s="236">
        <v>28.2</v>
      </c>
      <c r="AE10" s="236">
        <v>10.0</v>
      </c>
      <c r="AF10" s="236">
        <v>20.0</v>
      </c>
      <c r="AG10" s="236">
        <v>39.0</v>
      </c>
      <c r="AH10" s="236">
        <v>64.0</v>
      </c>
      <c r="AI10" s="236">
        <v>33.18</v>
      </c>
      <c r="AJ10" s="236">
        <v>9.76</v>
      </c>
      <c r="AK10" s="236">
        <v>1.84</v>
      </c>
      <c r="AL10" s="236">
        <v>0.134</v>
      </c>
      <c r="AM10" s="236">
        <v>45.64</v>
      </c>
      <c r="AN10" s="153">
        <v>45.64</v>
      </c>
      <c r="AO10" s="153">
        <v>23.85</v>
      </c>
      <c r="AP10" s="153">
        <v>11.31</v>
      </c>
      <c r="AQ10" s="153">
        <v>13.5896</v>
      </c>
      <c r="AR10" s="153">
        <v>0.5548</v>
      </c>
      <c r="AS10" s="153">
        <v>13.0348</v>
      </c>
      <c r="AT10" s="153">
        <v>12.1944</v>
      </c>
      <c r="AU10" s="153">
        <v>0.1749</v>
      </c>
      <c r="AV10" s="153">
        <v>3740.0</v>
      </c>
      <c r="AW10" s="153">
        <v>0.0</v>
      </c>
      <c r="AX10" s="153">
        <v>79.55</v>
      </c>
      <c r="AY10" s="153">
        <v>278.11</v>
      </c>
      <c r="AZ10" s="153">
        <v>6.12</v>
      </c>
      <c r="BA10" s="153">
        <v>27.97</v>
      </c>
      <c r="BB10" s="153">
        <v>4.06</v>
      </c>
      <c r="BC10" s="153">
        <v>114.0</v>
      </c>
      <c r="BD10" s="153">
        <v>27225.0</v>
      </c>
      <c r="BE10" s="153">
        <v>7.6594</v>
      </c>
      <c r="BF10" s="153">
        <v>0.3217</v>
      </c>
      <c r="BG10" s="153">
        <v>7.3377</v>
      </c>
      <c r="BH10" s="153">
        <v>6.2754</v>
      </c>
      <c r="BI10" s="153">
        <v>0.09</v>
      </c>
      <c r="BJ10" s="153">
        <v>5.9302</v>
      </c>
      <c r="BK10" s="153">
        <v>0.2332</v>
      </c>
      <c r="BL10" s="153">
        <v>5.6971</v>
      </c>
      <c r="BM10" s="153">
        <v>5.919</v>
      </c>
      <c r="BN10" s="153">
        <v>0.0849</v>
      </c>
      <c r="BO10" s="153">
        <v>2.5832</v>
      </c>
      <c r="BP10" s="153">
        <v>0.0805</v>
      </c>
      <c r="BQ10" s="153">
        <v>2.5027</v>
      </c>
      <c r="BR10" s="153">
        <v>2.1727</v>
      </c>
      <c r="BS10" s="153">
        <v>2.996</v>
      </c>
      <c r="BT10" s="153">
        <v>0.1037</v>
      </c>
      <c r="BU10" s="153">
        <v>2.8922</v>
      </c>
      <c r="BV10" s="153">
        <v>2.4527</v>
      </c>
      <c r="BW10" s="153">
        <v>2.0802</v>
      </c>
      <c r="BX10" s="153">
        <v>0.1374</v>
      </c>
      <c r="BY10" s="153">
        <v>1.9428</v>
      </c>
      <c r="BZ10" s="153">
        <v>1.65</v>
      </c>
      <c r="CA10" s="153">
        <v>1.1979</v>
      </c>
      <c r="CB10" s="153">
        <v>0.057</v>
      </c>
      <c r="CC10" s="153">
        <v>1.1409</v>
      </c>
      <c r="CD10" s="153">
        <v>1.1519</v>
      </c>
      <c r="CE10" s="153">
        <v>2.0872</v>
      </c>
      <c r="CF10" s="153">
        <v>0.1005</v>
      </c>
      <c r="CG10" s="153">
        <v>1.9866</v>
      </c>
      <c r="CH10" s="153">
        <v>2.0567</v>
      </c>
      <c r="CI10" s="153">
        <v>2.6452</v>
      </c>
      <c r="CJ10" s="153">
        <v>0.0757</v>
      </c>
      <c r="CK10" s="153">
        <v>2.5695</v>
      </c>
      <c r="CL10" s="153">
        <v>2.7104</v>
      </c>
      <c r="CM10" s="153">
        <v>2346.23</v>
      </c>
      <c r="CN10" s="153">
        <v>97.3</v>
      </c>
      <c r="CO10" s="153">
        <v>2411.35</v>
      </c>
      <c r="CP10" s="153">
        <v>2276.68</v>
      </c>
      <c r="CQ10" s="153">
        <v>7.18</v>
      </c>
      <c r="CR10" s="153">
        <v>31.82</v>
      </c>
      <c r="CS10" s="153">
        <v>30.55</v>
      </c>
      <c r="CT10" s="153">
        <v>0.0</v>
      </c>
      <c r="CU10" s="153">
        <v>9.0</v>
      </c>
      <c r="CV10" s="153">
        <v>0.13</v>
      </c>
      <c r="CW10" s="153">
        <v>395.8</v>
      </c>
      <c r="CX10" s="153">
        <v>0.02</v>
      </c>
      <c r="CY10" s="153">
        <v>7.2</v>
      </c>
      <c r="CZ10" s="153">
        <v>277.72</v>
      </c>
      <c r="DA10" s="153">
        <v>5.36</v>
      </c>
      <c r="DB10" s="153">
        <v>272.36</v>
      </c>
      <c r="DC10" s="153">
        <v>248.03</v>
      </c>
      <c r="DD10" s="153">
        <v>2.01</v>
      </c>
      <c r="DE10" s="153">
        <v>246.03</v>
      </c>
      <c r="DF10" s="153">
        <v>14.49</v>
      </c>
      <c r="DG10" s="153">
        <v>1.12</v>
      </c>
      <c r="DH10" s="153">
        <v>13.37</v>
      </c>
      <c r="DI10" s="153">
        <v>10.74</v>
      </c>
      <c r="DJ10" s="153">
        <v>1.12</v>
      </c>
      <c r="DK10" s="153">
        <v>9.62</v>
      </c>
      <c r="DL10" s="153">
        <v>4.46</v>
      </c>
      <c r="DM10" s="153">
        <v>1.12</v>
      </c>
      <c r="DN10" s="153">
        <v>3.34</v>
      </c>
      <c r="DO10" s="153">
        <v>196102.0</v>
      </c>
      <c r="DP10" s="153">
        <v>260820.0</v>
      </c>
    </row>
    <row r="11">
      <c r="A11" s="235">
        <v>46255.0</v>
      </c>
      <c r="B11" s="236" t="s">
        <v>5</v>
      </c>
      <c r="C11" s="236" t="s">
        <v>137</v>
      </c>
      <c r="D11" s="236">
        <v>537.0</v>
      </c>
      <c r="E11" s="236">
        <v>1.88</v>
      </c>
      <c r="F11" s="236">
        <v>422.25</v>
      </c>
      <c r="G11" s="236">
        <v>0.7863</v>
      </c>
      <c r="H11" s="236">
        <v>7.64</v>
      </c>
      <c r="I11" s="236">
        <v>10.2988</v>
      </c>
      <c r="J11" s="236">
        <v>222.85</v>
      </c>
      <c r="K11" s="236">
        <v>136.28</v>
      </c>
      <c r="L11" s="236">
        <v>109.67</v>
      </c>
      <c r="M11" s="236">
        <v>0.8047</v>
      </c>
      <c r="N11" s="236">
        <v>0.3369</v>
      </c>
      <c r="O11" s="236">
        <v>0.2196</v>
      </c>
      <c r="P11" s="236">
        <v>1.2427</v>
      </c>
      <c r="Q11" s="236">
        <v>693.41</v>
      </c>
      <c r="R11" s="236">
        <v>639.4</v>
      </c>
      <c r="S11" s="236">
        <v>54.01</v>
      </c>
      <c r="T11" s="236">
        <v>84.82</v>
      </c>
      <c r="U11" s="236">
        <v>608.59</v>
      </c>
      <c r="V11" s="236">
        <v>674.02</v>
      </c>
      <c r="W11" s="236">
        <v>4.9457</v>
      </c>
      <c r="X11" s="236">
        <v>12.23</v>
      </c>
      <c r="Y11" s="236">
        <v>504.0</v>
      </c>
      <c r="Z11" s="236">
        <v>1221.0</v>
      </c>
      <c r="AA11" s="236">
        <v>4511.0</v>
      </c>
      <c r="AB11" s="236">
        <v>56.9946</v>
      </c>
      <c r="AC11" s="236">
        <v>0.5622</v>
      </c>
      <c r="AD11" s="236">
        <v>54.0</v>
      </c>
      <c r="AE11" s="236">
        <v>19.0</v>
      </c>
      <c r="AF11" s="236">
        <v>37.0</v>
      </c>
      <c r="AG11" s="236">
        <v>64.0</v>
      </c>
      <c r="AH11" s="236">
        <v>120.0</v>
      </c>
      <c r="AI11" s="236">
        <v>18.81</v>
      </c>
      <c r="AJ11" s="236">
        <v>4.28</v>
      </c>
      <c r="AK11" s="236">
        <v>1.12</v>
      </c>
      <c r="AL11" s="236">
        <v>0.0838</v>
      </c>
      <c r="AM11" s="236">
        <v>43.95</v>
      </c>
      <c r="AN11" s="153">
        <v>43.95</v>
      </c>
      <c r="AO11" s="153">
        <v>23.09</v>
      </c>
      <c r="AP11" s="153">
        <v>12.48</v>
      </c>
      <c r="AQ11" s="153">
        <v>19.7803</v>
      </c>
      <c r="AR11" s="153">
        <v>0.9125</v>
      </c>
      <c r="AS11" s="153">
        <v>18.8678</v>
      </c>
      <c r="AT11" s="153">
        <v>19.3426</v>
      </c>
      <c r="AU11" s="153">
        <v>0.1419</v>
      </c>
      <c r="AV11" s="153">
        <v>537.0</v>
      </c>
      <c r="AW11" s="153">
        <v>0.0</v>
      </c>
      <c r="AX11" s="153">
        <v>130.99</v>
      </c>
      <c r="AY11" s="153">
        <v>466.86</v>
      </c>
      <c r="AZ11" s="153">
        <v>14.61</v>
      </c>
      <c r="BA11" s="153">
        <v>84.82</v>
      </c>
      <c r="BB11" s="153">
        <v>6.15</v>
      </c>
      <c r="BC11" s="153">
        <v>280.0</v>
      </c>
      <c r="BD11" s="153">
        <v>25825.0</v>
      </c>
      <c r="BE11" s="153">
        <v>9.095</v>
      </c>
      <c r="BF11" s="153">
        <v>0.3575</v>
      </c>
      <c r="BG11" s="153">
        <v>8.7374</v>
      </c>
      <c r="BH11" s="153">
        <v>8.2235</v>
      </c>
      <c r="BI11" s="153">
        <v>0.0603</v>
      </c>
      <c r="BJ11" s="153">
        <v>10.6853</v>
      </c>
      <c r="BK11" s="153">
        <v>0.5549</v>
      </c>
      <c r="BL11" s="153">
        <v>10.1304</v>
      </c>
      <c r="BM11" s="153">
        <v>11.1192</v>
      </c>
      <c r="BN11" s="153">
        <v>0.0816</v>
      </c>
      <c r="BO11" s="153">
        <v>3.1583</v>
      </c>
      <c r="BP11" s="153">
        <v>0.1117</v>
      </c>
      <c r="BQ11" s="153">
        <v>3.0466</v>
      </c>
      <c r="BR11" s="153">
        <v>2.7654</v>
      </c>
      <c r="BS11" s="153">
        <v>3.3799</v>
      </c>
      <c r="BT11" s="153">
        <v>0.1229</v>
      </c>
      <c r="BU11" s="153">
        <v>3.257</v>
      </c>
      <c r="BV11" s="153">
        <v>3.067</v>
      </c>
      <c r="BW11" s="153">
        <v>2.5568</v>
      </c>
      <c r="BX11" s="153">
        <v>0.1229</v>
      </c>
      <c r="BY11" s="153">
        <v>2.4339</v>
      </c>
      <c r="BZ11" s="153">
        <v>2.3911</v>
      </c>
      <c r="CA11" s="153">
        <v>2.9888</v>
      </c>
      <c r="CB11" s="153">
        <v>0.1527</v>
      </c>
      <c r="CC11" s="153">
        <v>2.8361</v>
      </c>
      <c r="CD11" s="153">
        <v>3.9721</v>
      </c>
      <c r="CE11" s="153">
        <v>3.5326</v>
      </c>
      <c r="CF11" s="153">
        <v>0.2346</v>
      </c>
      <c r="CG11" s="153">
        <v>3.298</v>
      </c>
      <c r="CH11" s="153">
        <v>3.2626</v>
      </c>
      <c r="CI11" s="153">
        <v>4.1639</v>
      </c>
      <c r="CJ11" s="153">
        <v>0.1676</v>
      </c>
      <c r="CK11" s="153">
        <v>3.9963</v>
      </c>
      <c r="CL11" s="153">
        <v>3.8845</v>
      </c>
      <c r="CM11" s="153">
        <v>5400.16</v>
      </c>
      <c r="CN11" s="153">
        <v>99.44</v>
      </c>
      <c r="CO11" s="153">
        <v>5430.49</v>
      </c>
      <c r="CP11" s="153">
        <v>5305.51</v>
      </c>
      <c r="CQ11" s="153">
        <v>11.82</v>
      </c>
      <c r="CR11" s="153">
        <v>43.31</v>
      </c>
      <c r="CS11" s="153">
        <v>39.51</v>
      </c>
      <c r="CT11" s="153">
        <v>0.0</v>
      </c>
      <c r="CU11" s="153">
        <v>11.0</v>
      </c>
      <c r="CV11" s="153">
        <v>131.47</v>
      </c>
      <c r="CW11" s="153">
        <v>824.88</v>
      </c>
      <c r="CX11" s="153">
        <v>0.56</v>
      </c>
      <c r="CY11" s="153">
        <v>12.38</v>
      </c>
      <c r="CZ11" s="153">
        <v>429.87</v>
      </c>
      <c r="DA11" s="153">
        <v>7.89</v>
      </c>
      <c r="DB11" s="153">
        <v>421.98</v>
      </c>
      <c r="DC11" s="153">
        <v>388.76</v>
      </c>
      <c r="DD11" s="153">
        <v>4.09</v>
      </c>
      <c r="DE11" s="153">
        <v>384.67</v>
      </c>
      <c r="DF11" s="153">
        <v>19.02</v>
      </c>
      <c r="DG11" s="153">
        <v>1.27</v>
      </c>
      <c r="DH11" s="153">
        <v>17.76</v>
      </c>
      <c r="DI11" s="153">
        <v>13.73</v>
      </c>
      <c r="DJ11" s="153">
        <v>1.27</v>
      </c>
      <c r="DK11" s="153">
        <v>12.47</v>
      </c>
      <c r="DL11" s="153">
        <v>8.35</v>
      </c>
      <c r="DM11" s="153">
        <v>1.27</v>
      </c>
      <c r="DN11" s="153">
        <v>7.09</v>
      </c>
      <c r="DO11" s="153">
        <v>58891.0</v>
      </c>
      <c r="DP11" s="153">
        <v>73185.0</v>
      </c>
    </row>
    <row r="12">
      <c r="A12" s="235">
        <v>46256.0</v>
      </c>
      <c r="B12" s="236" t="s">
        <v>4</v>
      </c>
      <c r="C12" s="236" t="s">
        <v>133</v>
      </c>
      <c r="D12" s="236">
        <v>10194.0</v>
      </c>
      <c r="E12" s="236">
        <v>36.35</v>
      </c>
      <c r="F12" s="236">
        <v>429.72</v>
      </c>
      <c r="G12" s="236">
        <v>0.0422</v>
      </c>
      <c r="H12" s="236">
        <v>1.64</v>
      </c>
      <c r="I12" s="236">
        <v>2.5732</v>
      </c>
      <c r="J12" s="236">
        <v>30.05</v>
      </c>
      <c r="K12" s="236">
        <v>15.1</v>
      </c>
      <c r="L12" s="236">
        <v>6.97</v>
      </c>
      <c r="M12" s="236">
        <v>0.4616</v>
      </c>
      <c r="N12" s="236">
        <v>0.6591</v>
      </c>
      <c r="O12" s="236">
        <v>0.3991</v>
      </c>
      <c r="P12" s="236">
        <v>2.1663</v>
      </c>
      <c r="Q12" s="236">
        <v>57.07</v>
      </c>
      <c r="R12" s="236">
        <v>51.23</v>
      </c>
      <c r="S12" s="236">
        <v>5.85</v>
      </c>
      <c r="T12" s="236">
        <v>3.68</v>
      </c>
      <c r="U12" s="236">
        <v>53.39</v>
      </c>
      <c r="V12" s="236">
        <v>57.97</v>
      </c>
      <c r="W12" s="236">
        <v>3.8398</v>
      </c>
      <c r="X12" s="236">
        <v>6.45</v>
      </c>
      <c r="Y12" s="236">
        <v>171.0</v>
      </c>
      <c r="Z12" s="236">
        <v>471.0</v>
      </c>
      <c r="AA12" s="236">
        <v>2588.0</v>
      </c>
      <c r="AB12" s="236">
        <v>49.0796</v>
      </c>
      <c r="AC12" s="236">
        <v>0.5503</v>
      </c>
      <c r="AD12" s="236">
        <v>6.39</v>
      </c>
      <c r="AE12" s="236">
        <v>2.0</v>
      </c>
      <c r="AF12" s="236">
        <v>4.0</v>
      </c>
      <c r="AG12" s="236">
        <v>8.0</v>
      </c>
      <c r="AH12" s="236">
        <v>14.0</v>
      </c>
      <c r="AI12" s="236">
        <v>58.42</v>
      </c>
      <c r="AJ12" s="236">
        <v>29.12</v>
      </c>
      <c r="AK12" s="236">
        <v>8.52</v>
      </c>
      <c r="AL12" s="236">
        <v>0.2892</v>
      </c>
      <c r="AM12" s="236"/>
      <c r="AQ12" s="153">
        <v>4.2001</v>
      </c>
      <c r="AR12" s="153">
        <v>0.0381</v>
      </c>
      <c r="AS12" s="153">
        <v>4.1621</v>
      </c>
      <c r="AT12" s="153">
        <v>3.693</v>
      </c>
      <c r="AU12" s="153">
        <v>0.2446</v>
      </c>
      <c r="AV12" s="153">
        <v>10194.0</v>
      </c>
      <c r="AW12" s="153">
        <v>0.0</v>
      </c>
      <c r="AX12" s="153">
        <v>26.83</v>
      </c>
      <c r="AY12" s="153">
        <v>23.0</v>
      </c>
      <c r="AZ12" s="153">
        <v>2.93</v>
      </c>
      <c r="BA12" s="153">
        <v>3.68</v>
      </c>
      <c r="BB12" s="153">
        <v>0.65</v>
      </c>
      <c r="BC12" s="153">
        <v>36.0</v>
      </c>
      <c r="BD12" s="153">
        <v>25659.0</v>
      </c>
      <c r="BE12" s="153">
        <v>2.6608</v>
      </c>
      <c r="BF12" s="153">
        <v>0.0188</v>
      </c>
      <c r="BG12" s="153">
        <v>2.6419</v>
      </c>
      <c r="BH12" s="153">
        <v>2.1814</v>
      </c>
      <c r="BI12" s="153">
        <v>0.1445</v>
      </c>
      <c r="BJ12" s="153">
        <v>1.5393</v>
      </c>
      <c r="BK12" s="153">
        <v>0.0192</v>
      </c>
      <c r="BL12" s="153">
        <v>1.5201</v>
      </c>
      <c r="BM12" s="153">
        <v>1.5116</v>
      </c>
      <c r="BN12" s="153">
        <v>0.1001</v>
      </c>
      <c r="BO12" s="153">
        <v>1.1365</v>
      </c>
      <c r="BP12" s="153">
        <v>0.0058</v>
      </c>
      <c r="BQ12" s="153">
        <v>1.1307</v>
      </c>
      <c r="BR12" s="153">
        <v>0.8992</v>
      </c>
      <c r="BS12" s="153">
        <v>1.0296</v>
      </c>
      <c r="BT12" s="153">
        <v>0.0049</v>
      </c>
      <c r="BU12" s="153">
        <v>1.0247</v>
      </c>
      <c r="BV12" s="153">
        <v>0.8483</v>
      </c>
      <c r="BW12" s="153">
        <v>0.4947</v>
      </c>
      <c r="BX12" s="153">
        <v>0.0081</v>
      </c>
      <c r="BY12" s="153">
        <v>0.4866</v>
      </c>
      <c r="BZ12" s="153">
        <v>0.4339</v>
      </c>
      <c r="CA12" s="153">
        <v>0.2528</v>
      </c>
      <c r="CB12" s="153">
        <v>0.0039</v>
      </c>
      <c r="CC12" s="153">
        <v>0.2489</v>
      </c>
      <c r="CD12" s="153">
        <v>0.2818</v>
      </c>
      <c r="CE12" s="153">
        <v>0.7589</v>
      </c>
      <c r="CF12" s="153">
        <v>0.0071</v>
      </c>
      <c r="CG12" s="153">
        <v>0.7518</v>
      </c>
      <c r="CH12" s="153">
        <v>0.685</v>
      </c>
      <c r="CI12" s="153">
        <v>0.5277</v>
      </c>
      <c r="CJ12" s="153">
        <v>0.0082</v>
      </c>
      <c r="CK12" s="153">
        <v>0.5194</v>
      </c>
      <c r="CL12" s="153">
        <v>0.5447</v>
      </c>
      <c r="CM12" s="153">
        <v>125.91</v>
      </c>
      <c r="CN12" s="153">
        <v>74.48</v>
      </c>
      <c r="CO12" s="153">
        <v>169.07</v>
      </c>
      <c r="CP12" s="153">
        <v>113.5</v>
      </c>
      <c r="CQ12" s="153">
        <v>0.0</v>
      </c>
      <c r="CR12" s="153">
        <v>7.85</v>
      </c>
      <c r="CS12" s="153">
        <v>4.56</v>
      </c>
      <c r="CT12" s="153">
        <v>0.0</v>
      </c>
      <c r="CU12" s="153">
        <v>0.0</v>
      </c>
      <c r="CV12" s="153">
        <v>0.0</v>
      </c>
      <c r="CW12" s="153">
        <v>57.07</v>
      </c>
      <c r="CX12" s="153">
        <v>0.0</v>
      </c>
      <c r="CY12" s="153">
        <v>0.0</v>
      </c>
      <c r="CZ12" s="153">
        <v>79.25</v>
      </c>
      <c r="DA12" s="153">
        <v>1.25</v>
      </c>
      <c r="DB12" s="153">
        <v>78.01</v>
      </c>
      <c r="DC12" s="153">
        <v>71.27</v>
      </c>
      <c r="DD12" s="153">
        <v>0.33</v>
      </c>
      <c r="DE12" s="153">
        <v>70.94</v>
      </c>
      <c r="DF12" s="153">
        <v>3.59</v>
      </c>
      <c r="DG12" s="153">
        <v>0.3</v>
      </c>
      <c r="DH12" s="153">
        <v>3.29</v>
      </c>
      <c r="DI12" s="153">
        <v>3.56</v>
      </c>
      <c r="DJ12" s="153">
        <v>0.3</v>
      </c>
      <c r="DK12" s="153">
        <v>3.26</v>
      </c>
      <c r="DL12" s="153">
        <v>0.83</v>
      </c>
      <c r="DM12" s="153">
        <v>0.3</v>
      </c>
      <c r="DN12" s="153">
        <v>0.52</v>
      </c>
      <c r="DO12" s="153">
        <v>71037.0</v>
      </c>
      <c r="DP12" s="153">
        <v>153890.0</v>
      </c>
    </row>
    <row r="13">
      <c r="A13" s="235">
        <v>46256.0</v>
      </c>
      <c r="B13" s="236" t="s">
        <v>4</v>
      </c>
      <c r="C13" s="236" t="s">
        <v>134</v>
      </c>
      <c r="D13" s="236">
        <v>7183.0</v>
      </c>
      <c r="E13" s="236">
        <v>25.61</v>
      </c>
      <c r="F13" s="236">
        <v>528.83</v>
      </c>
      <c r="G13" s="236">
        <v>0.0736</v>
      </c>
      <c r="H13" s="236">
        <v>2.46</v>
      </c>
      <c r="I13" s="236">
        <v>2.9877</v>
      </c>
      <c r="J13" s="236">
        <v>47.17</v>
      </c>
      <c r="K13" s="236">
        <v>24.63</v>
      </c>
      <c r="L13" s="236">
        <v>14.35</v>
      </c>
      <c r="M13" s="236">
        <v>0.5826</v>
      </c>
      <c r="N13" s="236">
        <v>0.5589</v>
      </c>
      <c r="O13" s="236">
        <v>0.3432</v>
      </c>
      <c r="P13" s="236">
        <v>1.7166</v>
      </c>
      <c r="Q13" s="236">
        <v>103.13</v>
      </c>
      <c r="R13" s="236">
        <v>91.65</v>
      </c>
      <c r="S13" s="236">
        <v>11.48</v>
      </c>
      <c r="T13" s="236">
        <v>6.68</v>
      </c>
      <c r="U13" s="236">
        <v>96.45</v>
      </c>
      <c r="V13" s="236">
        <v>104.32</v>
      </c>
      <c r="W13" s="236">
        <v>4.2348</v>
      </c>
      <c r="X13" s="236">
        <v>6.48</v>
      </c>
      <c r="Y13" s="236">
        <v>203.0</v>
      </c>
      <c r="Z13" s="236">
        <v>514.0</v>
      </c>
      <c r="AA13" s="236">
        <v>2088.0</v>
      </c>
      <c r="AB13" s="236">
        <v>52.6466</v>
      </c>
      <c r="AC13" s="236">
        <v>0.6855</v>
      </c>
      <c r="AD13" s="236">
        <v>10.37</v>
      </c>
      <c r="AE13" s="236">
        <v>4.0</v>
      </c>
      <c r="AF13" s="236">
        <v>7.0</v>
      </c>
      <c r="AG13" s="236">
        <v>13.0</v>
      </c>
      <c r="AH13" s="236">
        <v>23.0</v>
      </c>
      <c r="AI13" s="236">
        <v>55.7</v>
      </c>
      <c r="AJ13" s="236">
        <v>22.19</v>
      </c>
      <c r="AK13" s="236">
        <v>4.34</v>
      </c>
      <c r="AL13" s="236">
        <v>0.2488</v>
      </c>
      <c r="AM13" s="236"/>
      <c r="AQ13" s="153">
        <v>6.5533</v>
      </c>
      <c r="AR13" s="153">
        <v>0.1103</v>
      </c>
      <c r="AS13" s="153">
        <v>6.443</v>
      </c>
      <c r="AT13" s="153">
        <v>6.2766</v>
      </c>
      <c r="AU13" s="153">
        <v>0.2548</v>
      </c>
      <c r="AV13" s="153">
        <v>7183.0</v>
      </c>
      <c r="AW13" s="153">
        <v>0.0</v>
      </c>
      <c r="AX13" s="153">
        <v>40.01</v>
      </c>
      <c r="AY13" s="153">
        <v>51.7</v>
      </c>
      <c r="AZ13" s="153">
        <v>3.3</v>
      </c>
      <c r="BA13" s="153">
        <v>6.68</v>
      </c>
      <c r="BB13" s="153">
        <v>1.45</v>
      </c>
      <c r="BC13" s="153">
        <v>51.0</v>
      </c>
      <c r="BD13" s="153">
        <v>23722.0</v>
      </c>
      <c r="BE13" s="153">
        <v>3.885</v>
      </c>
      <c r="BF13" s="153">
        <v>0.0689</v>
      </c>
      <c r="BG13" s="153">
        <v>3.8161</v>
      </c>
      <c r="BH13" s="153">
        <v>3.5283</v>
      </c>
      <c r="BI13" s="153">
        <v>0.1432</v>
      </c>
      <c r="BJ13" s="153">
        <v>2.6682</v>
      </c>
      <c r="BK13" s="153">
        <v>0.0413</v>
      </c>
      <c r="BL13" s="153">
        <v>2.6269</v>
      </c>
      <c r="BM13" s="153">
        <v>2.7483</v>
      </c>
      <c r="BN13" s="153">
        <v>0.1116</v>
      </c>
      <c r="BO13" s="153">
        <v>1.6422</v>
      </c>
      <c r="BP13" s="153">
        <v>0.0237</v>
      </c>
      <c r="BQ13" s="153">
        <v>1.6185</v>
      </c>
      <c r="BR13" s="153">
        <v>1.4289</v>
      </c>
      <c r="BS13" s="153">
        <v>1.3638</v>
      </c>
      <c r="BT13" s="153">
        <v>0.0216</v>
      </c>
      <c r="BU13" s="153">
        <v>1.3422</v>
      </c>
      <c r="BV13" s="153">
        <v>1.2988</v>
      </c>
      <c r="BW13" s="153">
        <v>0.879</v>
      </c>
      <c r="BX13" s="153">
        <v>0.0237</v>
      </c>
      <c r="BY13" s="153">
        <v>0.8554</v>
      </c>
      <c r="BZ13" s="153">
        <v>0.8006</v>
      </c>
      <c r="CA13" s="153">
        <v>0.4907</v>
      </c>
      <c r="CB13" s="153">
        <v>0.0103</v>
      </c>
      <c r="CC13" s="153">
        <v>0.4804</v>
      </c>
      <c r="CD13" s="153">
        <v>0.6404</v>
      </c>
      <c r="CE13" s="153">
        <v>1.1119</v>
      </c>
      <c r="CF13" s="153">
        <v>0.0178</v>
      </c>
      <c r="CG13" s="153">
        <v>1.0941</v>
      </c>
      <c r="CH13" s="153">
        <v>1.0361</v>
      </c>
      <c r="CI13" s="153">
        <v>1.0656</v>
      </c>
      <c r="CJ13" s="153">
        <v>0.0132</v>
      </c>
      <c r="CK13" s="153">
        <v>1.0523</v>
      </c>
      <c r="CL13" s="153">
        <v>1.0718</v>
      </c>
      <c r="CM13" s="153">
        <v>254.25</v>
      </c>
      <c r="CN13" s="153">
        <v>88.04</v>
      </c>
      <c r="CO13" s="153">
        <v>288.78</v>
      </c>
      <c r="CP13" s="153">
        <v>233.67</v>
      </c>
      <c r="CQ13" s="153">
        <v>0.0</v>
      </c>
      <c r="CR13" s="153">
        <v>8.06</v>
      </c>
      <c r="CS13" s="153">
        <v>12.52</v>
      </c>
      <c r="CT13" s="153">
        <v>0.0</v>
      </c>
      <c r="CU13" s="153">
        <v>0.0</v>
      </c>
      <c r="CV13" s="153">
        <v>0.0</v>
      </c>
      <c r="CW13" s="153">
        <v>103.13</v>
      </c>
      <c r="CX13" s="153">
        <v>0.0</v>
      </c>
      <c r="CY13" s="153">
        <v>0.0</v>
      </c>
      <c r="CZ13" s="153">
        <v>108.72</v>
      </c>
      <c r="DA13" s="153">
        <v>1.52</v>
      </c>
      <c r="DB13" s="153">
        <v>107.2</v>
      </c>
      <c r="DC13" s="153">
        <v>99.65</v>
      </c>
      <c r="DD13" s="153">
        <v>0.39</v>
      </c>
      <c r="DE13" s="153">
        <v>99.26</v>
      </c>
      <c r="DF13" s="153">
        <v>4.4</v>
      </c>
      <c r="DG13" s="153">
        <v>0.38</v>
      </c>
      <c r="DH13" s="153">
        <v>4.03</v>
      </c>
      <c r="DI13" s="153">
        <v>3.47</v>
      </c>
      <c r="DJ13" s="153">
        <v>0.38</v>
      </c>
      <c r="DK13" s="153">
        <v>3.09</v>
      </c>
      <c r="DL13" s="153">
        <v>1.2</v>
      </c>
      <c r="DM13" s="153">
        <v>0.38</v>
      </c>
      <c r="DN13" s="153">
        <v>0.82</v>
      </c>
      <c r="DO13" s="153">
        <v>103077.0</v>
      </c>
      <c r="DP13" s="153">
        <v>176938.0</v>
      </c>
    </row>
    <row r="14">
      <c r="A14" s="235">
        <v>46256.0</v>
      </c>
      <c r="B14" s="236" t="s">
        <v>4</v>
      </c>
      <c r="C14" s="236" t="s">
        <v>135</v>
      </c>
      <c r="D14" s="236">
        <v>6114.0</v>
      </c>
      <c r="E14" s="236">
        <v>21.8</v>
      </c>
      <c r="F14" s="236">
        <v>1190.91</v>
      </c>
      <c r="G14" s="236">
        <v>0.1948</v>
      </c>
      <c r="H14" s="236">
        <v>3.65</v>
      </c>
      <c r="I14" s="236">
        <v>5.3404</v>
      </c>
      <c r="J14" s="236">
        <v>69.01</v>
      </c>
      <c r="K14" s="236">
        <v>38.1</v>
      </c>
      <c r="L14" s="236">
        <v>25.28</v>
      </c>
      <c r="M14" s="236">
        <v>0.6636</v>
      </c>
      <c r="N14" s="236">
        <v>0.4835</v>
      </c>
      <c r="O14" s="236">
        <v>0.3003</v>
      </c>
      <c r="P14" s="236">
        <v>1.5069</v>
      </c>
      <c r="Q14" s="236">
        <v>166.92</v>
      </c>
      <c r="R14" s="236">
        <v>148.91</v>
      </c>
      <c r="S14" s="236">
        <v>18.01</v>
      </c>
      <c r="T14" s="236">
        <v>14.84</v>
      </c>
      <c r="U14" s="236">
        <v>152.08</v>
      </c>
      <c r="V14" s="236">
        <v>169.53</v>
      </c>
      <c r="W14" s="236">
        <v>4.4498</v>
      </c>
      <c r="X14" s="236">
        <v>8.89</v>
      </c>
      <c r="Y14" s="236">
        <v>238.0</v>
      </c>
      <c r="Z14" s="236">
        <v>592.0</v>
      </c>
      <c r="AA14" s="236">
        <v>2016.0</v>
      </c>
      <c r="AB14" s="236">
        <v>53.8434</v>
      </c>
      <c r="AC14" s="236">
        <v>0.6963</v>
      </c>
      <c r="AD14" s="236">
        <v>15.96</v>
      </c>
      <c r="AE14" s="236">
        <v>6.0</v>
      </c>
      <c r="AF14" s="236">
        <v>11.0</v>
      </c>
      <c r="AG14" s="236">
        <v>21.0</v>
      </c>
      <c r="AH14" s="236">
        <v>35.0</v>
      </c>
      <c r="AI14" s="236">
        <v>45.18</v>
      </c>
      <c r="AJ14" s="236">
        <v>14.18</v>
      </c>
      <c r="AK14" s="236">
        <v>3.94</v>
      </c>
      <c r="AL14" s="236">
        <v>0.2026</v>
      </c>
      <c r="AM14" s="237"/>
      <c r="AQ14" s="153">
        <v>9.4269</v>
      </c>
      <c r="AR14" s="153">
        <v>0.2476</v>
      </c>
      <c r="AS14" s="153">
        <v>9.1793</v>
      </c>
      <c r="AT14" s="153">
        <v>9.1552</v>
      </c>
      <c r="AU14" s="153">
        <v>0.2403</v>
      </c>
      <c r="AV14" s="153">
        <v>6114.0</v>
      </c>
      <c r="AW14" s="153">
        <v>0.0</v>
      </c>
      <c r="AX14" s="153">
        <v>55.14</v>
      </c>
      <c r="AY14" s="153">
        <v>91.22</v>
      </c>
      <c r="AZ14" s="153">
        <v>3.66</v>
      </c>
      <c r="BA14" s="153">
        <v>14.84</v>
      </c>
      <c r="BB14" s="153">
        <v>2.06</v>
      </c>
      <c r="BC14" s="153">
        <v>79.0</v>
      </c>
      <c r="BD14" s="153">
        <v>22791.0</v>
      </c>
      <c r="BE14" s="153">
        <v>5.3916</v>
      </c>
      <c r="BF14" s="153">
        <v>0.1359</v>
      </c>
      <c r="BG14" s="153">
        <v>5.2556</v>
      </c>
      <c r="BH14" s="153">
        <v>5.0258</v>
      </c>
      <c r="BI14" s="153">
        <v>0.1319</v>
      </c>
      <c r="BJ14" s="153">
        <v>4.0353</v>
      </c>
      <c r="BK14" s="153">
        <v>0.1117</v>
      </c>
      <c r="BL14" s="153">
        <v>3.9236</v>
      </c>
      <c r="BM14" s="153">
        <v>4.1294</v>
      </c>
      <c r="BN14" s="153">
        <v>0.1084</v>
      </c>
      <c r="BO14" s="153">
        <v>2.0186</v>
      </c>
      <c r="BP14" s="153">
        <v>0.0412</v>
      </c>
      <c r="BQ14" s="153">
        <v>1.9774</v>
      </c>
      <c r="BR14" s="153">
        <v>1.8678</v>
      </c>
      <c r="BS14" s="153">
        <v>1.9223</v>
      </c>
      <c r="BT14" s="153">
        <v>0.0466</v>
      </c>
      <c r="BU14" s="153">
        <v>1.8757</v>
      </c>
      <c r="BV14" s="153">
        <v>1.8505</v>
      </c>
      <c r="BW14" s="153">
        <v>1.4506</v>
      </c>
      <c r="BX14" s="153">
        <v>0.0481</v>
      </c>
      <c r="BY14" s="153">
        <v>1.4025</v>
      </c>
      <c r="BZ14" s="153">
        <v>1.3075</v>
      </c>
      <c r="CA14" s="153">
        <v>0.8606</v>
      </c>
      <c r="CB14" s="153">
        <v>0.0325</v>
      </c>
      <c r="CC14" s="153">
        <v>0.8281</v>
      </c>
      <c r="CD14" s="153">
        <v>1.0352</v>
      </c>
      <c r="CE14" s="153">
        <v>1.4854</v>
      </c>
      <c r="CF14" s="153">
        <v>0.045</v>
      </c>
      <c r="CG14" s="153">
        <v>1.4405</v>
      </c>
      <c r="CH14" s="153">
        <v>1.4735</v>
      </c>
      <c r="CI14" s="153">
        <v>1.6892</v>
      </c>
      <c r="CJ14" s="153">
        <v>0.0342</v>
      </c>
      <c r="CK14" s="153">
        <v>1.6551</v>
      </c>
      <c r="CL14" s="153">
        <v>1.6207</v>
      </c>
      <c r="CM14" s="153">
        <v>426.5</v>
      </c>
      <c r="CN14" s="153">
        <v>92.85</v>
      </c>
      <c r="CO14" s="153">
        <v>459.34</v>
      </c>
      <c r="CP14" s="153">
        <v>399.12</v>
      </c>
      <c r="CQ14" s="153">
        <v>0.0</v>
      </c>
      <c r="CR14" s="153">
        <v>7.85</v>
      </c>
      <c r="CS14" s="153">
        <v>19.53</v>
      </c>
      <c r="CT14" s="153">
        <v>0.0</v>
      </c>
      <c r="CU14" s="153">
        <v>0.0</v>
      </c>
      <c r="CV14" s="153">
        <v>0.0</v>
      </c>
      <c r="CW14" s="153">
        <v>166.92</v>
      </c>
      <c r="CX14" s="153">
        <v>0.0</v>
      </c>
      <c r="CY14" s="153">
        <v>0.0</v>
      </c>
      <c r="CZ14" s="153">
        <v>150.18</v>
      </c>
      <c r="DA14" s="153">
        <v>3.19</v>
      </c>
      <c r="DB14" s="153">
        <v>146.99</v>
      </c>
      <c r="DC14" s="153">
        <v>137.59</v>
      </c>
      <c r="DD14" s="153">
        <v>1.08</v>
      </c>
      <c r="DE14" s="153">
        <v>136.51</v>
      </c>
      <c r="DF14" s="153">
        <v>6.45</v>
      </c>
      <c r="DG14" s="153">
        <v>0.7</v>
      </c>
      <c r="DH14" s="153">
        <v>5.74</v>
      </c>
      <c r="DI14" s="153">
        <v>4.3</v>
      </c>
      <c r="DJ14" s="153">
        <v>0.7</v>
      </c>
      <c r="DK14" s="153">
        <v>3.59</v>
      </c>
      <c r="DL14" s="153">
        <v>1.84</v>
      </c>
      <c r="DM14" s="153">
        <v>0.7</v>
      </c>
      <c r="DN14" s="153">
        <v>1.14</v>
      </c>
      <c r="DO14" s="153">
        <v>154582.0</v>
      </c>
      <c r="DP14" s="153">
        <v>232932.0</v>
      </c>
    </row>
    <row r="15">
      <c r="A15" s="235">
        <v>46256.0</v>
      </c>
      <c r="B15" s="236" t="s">
        <v>4</v>
      </c>
      <c r="C15" s="236" t="s">
        <v>136</v>
      </c>
      <c r="D15" s="236">
        <v>3942.0</v>
      </c>
      <c r="E15" s="236">
        <v>14.06</v>
      </c>
      <c r="F15" s="236">
        <v>1486.84</v>
      </c>
      <c r="G15" s="236">
        <v>0.3772</v>
      </c>
      <c r="H15" s="236">
        <v>5.96</v>
      </c>
      <c r="I15" s="236">
        <v>6.327</v>
      </c>
      <c r="J15" s="236">
        <v>108.32</v>
      </c>
      <c r="K15" s="236">
        <v>64.18</v>
      </c>
      <c r="L15" s="236">
        <v>47.87</v>
      </c>
      <c r="M15" s="236">
        <v>0.7459</v>
      </c>
      <c r="N15" s="236">
        <v>0.4046</v>
      </c>
      <c r="O15" s="236">
        <v>0.26</v>
      </c>
      <c r="P15" s="236">
        <v>1.3406</v>
      </c>
      <c r="Q15" s="236">
        <v>301.74</v>
      </c>
      <c r="R15" s="236">
        <v>271.08</v>
      </c>
      <c r="S15" s="236">
        <v>30.66</v>
      </c>
      <c r="T15" s="236">
        <v>33.26</v>
      </c>
      <c r="U15" s="236">
        <v>268.48</v>
      </c>
      <c r="V15" s="236">
        <v>308.07</v>
      </c>
      <c r="W15" s="236">
        <v>4.8001</v>
      </c>
      <c r="X15" s="236">
        <v>11.02</v>
      </c>
      <c r="Y15" s="236">
        <v>299.0</v>
      </c>
      <c r="Z15" s="236">
        <v>840.0</v>
      </c>
      <c r="AA15" s="236">
        <v>3070.0</v>
      </c>
      <c r="AB15" s="236">
        <v>55.5552</v>
      </c>
      <c r="AC15" s="236">
        <v>0.6777</v>
      </c>
      <c r="AD15" s="236">
        <v>27.01</v>
      </c>
      <c r="AE15" s="236">
        <v>10.0</v>
      </c>
      <c r="AF15" s="236">
        <v>19.0</v>
      </c>
      <c r="AG15" s="236">
        <v>36.0</v>
      </c>
      <c r="AH15" s="236">
        <v>58.0</v>
      </c>
      <c r="AI15" s="236">
        <v>31.15</v>
      </c>
      <c r="AJ15" s="236">
        <v>8.24</v>
      </c>
      <c r="AK15" s="236">
        <v>2.03</v>
      </c>
      <c r="AL15" s="236">
        <v>0.1416</v>
      </c>
      <c r="AM15" s="237"/>
      <c r="AQ15" s="153">
        <v>13.4723</v>
      </c>
      <c r="AR15" s="153">
        <v>0.6205</v>
      </c>
      <c r="AS15" s="153">
        <v>12.8519</v>
      </c>
      <c r="AT15" s="153">
        <v>13.7514</v>
      </c>
      <c r="AU15" s="153">
        <v>0.2143</v>
      </c>
      <c r="AV15" s="153">
        <v>3942.0</v>
      </c>
      <c r="AW15" s="153">
        <v>0.0</v>
      </c>
      <c r="AX15" s="153">
        <v>80.74</v>
      </c>
      <c r="AY15" s="153">
        <v>178.15</v>
      </c>
      <c r="AZ15" s="153">
        <v>5.86</v>
      </c>
      <c r="BA15" s="153">
        <v>33.26</v>
      </c>
      <c r="BB15" s="153">
        <v>3.8</v>
      </c>
      <c r="BC15" s="153">
        <v>131.0</v>
      </c>
      <c r="BD15" s="153">
        <v>25876.0</v>
      </c>
      <c r="BE15" s="153">
        <v>6.963</v>
      </c>
      <c r="BF15" s="153">
        <v>0.3904</v>
      </c>
      <c r="BG15" s="153">
        <v>6.5726</v>
      </c>
      <c r="BH15" s="153">
        <v>7.1641</v>
      </c>
      <c r="BI15" s="153">
        <v>0.1116</v>
      </c>
      <c r="BJ15" s="153">
        <v>6.5094</v>
      </c>
      <c r="BK15" s="153">
        <v>0.2301</v>
      </c>
      <c r="BL15" s="153">
        <v>6.2793</v>
      </c>
      <c r="BM15" s="153">
        <v>6.5873</v>
      </c>
      <c r="BN15" s="153">
        <v>0.1026</v>
      </c>
      <c r="BO15" s="153">
        <v>2.3399</v>
      </c>
      <c r="BP15" s="153">
        <v>0.1116</v>
      </c>
      <c r="BQ15" s="153">
        <v>2.2283</v>
      </c>
      <c r="BR15" s="153">
        <v>2.4835</v>
      </c>
      <c r="BS15" s="153">
        <v>2.4267</v>
      </c>
      <c r="BT15" s="153">
        <v>0.1337</v>
      </c>
      <c r="BU15" s="153">
        <v>2.293</v>
      </c>
      <c r="BV15" s="153">
        <v>2.5863</v>
      </c>
      <c r="BW15" s="153">
        <v>2.1963</v>
      </c>
      <c r="BX15" s="153">
        <v>0.1451</v>
      </c>
      <c r="BY15" s="153">
        <v>2.0512</v>
      </c>
      <c r="BZ15" s="153">
        <v>2.0944</v>
      </c>
      <c r="CA15" s="153">
        <v>1.7887</v>
      </c>
      <c r="CB15" s="153">
        <v>0.0665</v>
      </c>
      <c r="CC15" s="153">
        <v>1.7222</v>
      </c>
      <c r="CD15" s="153">
        <v>1.8716</v>
      </c>
      <c r="CE15" s="153">
        <v>2.0769</v>
      </c>
      <c r="CF15" s="153">
        <v>0.0883</v>
      </c>
      <c r="CG15" s="153">
        <v>1.9886</v>
      </c>
      <c r="CH15" s="153">
        <v>2.1829</v>
      </c>
      <c r="CI15" s="153">
        <v>2.6438</v>
      </c>
      <c r="CJ15" s="153">
        <v>0.0753</v>
      </c>
      <c r="CK15" s="153">
        <v>2.5685</v>
      </c>
      <c r="CL15" s="153">
        <v>2.5327</v>
      </c>
      <c r="CM15" s="153">
        <v>738.91</v>
      </c>
      <c r="CN15" s="153">
        <v>95.79</v>
      </c>
      <c r="CO15" s="153">
        <v>771.39</v>
      </c>
      <c r="CP15" s="153">
        <v>701.05</v>
      </c>
      <c r="CQ15" s="153">
        <v>0.0</v>
      </c>
      <c r="CR15" s="153">
        <v>7.2</v>
      </c>
      <c r="CS15" s="153">
        <v>30.65</v>
      </c>
      <c r="CT15" s="153">
        <v>0.0</v>
      </c>
      <c r="CU15" s="153">
        <v>0.0</v>
      </c>
      <c r="CV15" s="153">
        <v>0.0</v>
      </c>
      <c r="CW15" s="153">
        <v>301.74</v>
      </c>
      <c r="CX15" s="153">
        <v>0.0</v>
      </c>
      <c r="CY15" s="153">
        <v>0.0</v>
      </c>
      <c r="CZ15" s="153">
        <v>220.68</v>
      </c>
      <c r="DA15" s="153">
        <v>5.63</v>
      </c>
      <c r="DB15" s="153">
        <v>215.04</v>
      </c>
      <c r="DC15" s="153">
        <v>202.13</v>
      </c>
      <c r="DD15" s="153">
        <v>1.98</v>
      </c>
      <c r="DE15" s="153">
        <v>200.14</v>
      </c>
      <c r="DF15" s="153">
        <v>9.38</v>
      </c>
      <c r="DG15" s="153">
        <v>1.22</v>
      </c>
      <c r="DH15" s="153">
        <v>8.17</v>
      </c>
      <c r="DI15" s="153">
        <v>6.6</v>
      </c>
      <c r="DJ15" s="153">
        <v>1.22</v>
      </c>
      <c r="DK15" s="153">
        <v>5.38</v>
      </c>
      <c r="DL15" s="153">
        <v>2.57</v>
      </c>
      <c r="DM15" s="153">
        <v>1.22</v>
      </c>
      <c r="DN15" s="153">
        <v>1.35</v>
      </c>
      <c r="DO15" s="153">
        <v>188713.0</v>
      </c>
      <c r="DP15" s="153">
        <v>252996.0</v>
      </c>
    </row>
    <row r="16">
      <c r="A16" s="235">
        <v>46256.0</v>
      </c>
      <c r="B16" s="236" t="s">
        <v>4</v>
      </c>
      <c r="C16" s="236" t="s">
        <v>137</v>
      </c>
      <c r="D16" s="236">
        <v>610.0</v>
      </c>
      <c r="E16" s="236">
        <v>2.18</v>
      </c>
      <c r="F16" s="236">
        <v>412.84</v>
      </c>
      <c r="G16" s="236">
        <v>0.6768</v>
      </c>
      <c r="H16" s="236">
        <v>7.21</v>
      </c>
      <c r="I16" s="236">
        <v>9.3827</v>
      </c>
      <c r="J16" s="236">
        <v>196.69</v>
      </c>
      <c r="K16" s="236">
        <v>126.06</v>
      </c>
      <c r="L16" s="236">
        <v>100.17</v>
      </c>
      <c r="M16" s="236">
        <v>0.7946</v>
      </c>
      <c r="N16" s="236">
        <v>0.3413</v>
      </c>
      <c r="O16" s="236">
        <v>0.2218</v>
      </c>
      <c r="P16" s="236">
        <v>1.2585</v>
      </c>
      <c r="Q16" s="236">
        <v>472.02</v>
      </c>
      <c r="R16" s="236">
        <v>419.22</v>
      </c>
      <c r="S16" s="236">
        <v>52.8</v>
      </c>
      <c r="T16" s="236">
        <v>64.51</v>
      </c>
      <c r="U16" s="236">
        <v>407.51</v>
      </c>
      <c r="V16" s="236">
        <v>510.9</v>
      </c>
      <c r="W16" s="236">
        <v>4.053</v>
      </c>
      <c r="X16" s="236">
        <v>13.67</v>
      </c>
      <c r="Y16" s="236">
        <v>424.0</v>
      </c>
      <c r="Z16" s="236">
        <v>1316.0</v>
      </c>
      <c r="AA16" s="236">
        <v>5463.0</v>
      </c>
      <c r="AB16" s="236">
        <v>57.0815</v>
      </c>
      <c r="AC16" s="236">
        <v>0.5815</v>
      </c>
      <c r="AD16" s="236">
        <v>44.93</v>
      </c>
      <c r="AE16" s="236">
        <v>18.0</v>
      </c>
      <c r="AF16" s="236">
        <v>32.0</v>
      </c>
      <c r="AG16" s="236">
        <v>59.0</v>
      </c>
      <c r="AH16" s="236">
        <v>96.0</v>
      </c>
      <c r="AI16" s="236">
        <v>16.39</v>
      </c>
      <c r="AJ16" s="236">
        <v>3.44</v>
      </c>
      <c r="AK16" s="236">
        <v>0.49</v>
      </c>
      <c r="AL16" s="236">
        <v>0.0934</v>
      </c>
      <c r="AM16" s="237"/>
      <c r="AQ16" s="153">
        <v>18.9705</v>
      </c>
      <c r="AR16" s="153">
        <v>0.5295</v>
      </c>
      <c r="AS16" s="153">
        <v>18.441</v>
      </c>
      <c r="AT16" s="153">
        <v>20.9885</v>
      </c>
      <c r="AU16" s="153">
        <v>0.1665</v>
      </c>
      <c r="AV16" s="153">
        <v>610.0</v>
      </c>
      <c r="AW16" s="153">
        <v>0.0</v>
      </c>
      <c r="AX16" s="153">
        <v>127.64</v>
      </c>
      <c r="AY16" s="153">
        <v>262.55</v>
      </c>
      <c r="AZ16" s="153">
        <v>12.02</v>
      </c>
      <c r="BA16" s="153">
        <v>64.51</v>
      </c>
      <c r="BB16" s="153">
        <v>5.42</v>
      </c>
      <c r="BC16" s="153">
        <v>201.0</v>
      </c>
      <c r="BD16" s="153">
        <v>29128.0</v>
      </c>
      <c r="BE16" s="153">
        <v>9.4852</v>
      </c>
      <c r="BF16" s="153">
        <v>0.1721</v>
      </c>
      <c r="BG16" s="153">
        <v>9.3131</v>
      </c>
      <c r="BH16" s="153">
        <v>11.1951</v>
      </c>
      <c r="BI16" s="153">
        <v>0.0888</v>
      </c>
      <c r="BJ16" s="153">
        <v>9.4852</v>
      </c>
      <c r="BK16" s="153">
        <v>0.3574</v>
      </c>
      <c r="BL16" s="153">
        <v>9.1279</v>
      </c>
      <c r="BM16" s="153">
        <v>9.7934</v>
      </c>
      <c r="BN16" s="153">
        <v>0.0777</v>
      </c>
      <c r="BO16" s="153">
        <v>3.1705</v>
      </c>
      <c r="BP16" s="153">
        <v>0.0574</v>
      </c>
      <c r="BQ16" s="153">
        <v>3.1131</v>
      </c>
      <c r="BR16" s="153">
        <v>3.8426</v>
      </c>
      <c r="BS16" s="153">
        <v>3.2574</v>
      </c>
      <c r="BT16" s="153">
        <v>0.0574</v>
      </c>
      <c r="BU16" s="153">
        <v>3.2</v>
      </c>
      <c r="BV16" s="153">
        <v>3.9115</v>
      </c>
      <c r="BW16" s="153">
        <v>3.0574</v>
      </c>
      <c r="BX16" s="153">
        <v>0.0574</v>
      </c>
      <c r="BY16" s="153">
        <v>3.0</v>
      </c>
      <c r="BZ16" s="153">
        <v>3.441</v>
      </c>
      <c r="CA16" s="153">
        <v>3.177</v>
      </c>
      <c r="CB16" s="153">
        <v>0.0721</v>
      </c>
      <c r="CC16" s="153">
        <v>3.1049</v>
      </c>
      <c r="CD16" s="153">
        <v>3.0803</v>
      </c>
      <c r="CE16" s="153">
        <v>2.6934</v>
      </c>
      <c r="CF16" s="153">
        <v>0.2016</v>
      </c>
      <c r="CG16" s="153">
        <v>2.4918</v>
      </c>
      <c r="CH16" s="153">
        <v>3.0672</v>
      </c>
      <c r="CI16" s="153">
        <v>3.6148</v>
      </c>
      <c r="CJ16" s="153">
        <v>0.0836</v>
      </c>
      <c r="CK16" s="153">
        <v>3.5311</v>
      </c>
      <c r="CL16" s="153">
        <v>3.6459</v>
      </c>
      <c r="CM16" s="153">
        <v>1426.76</v>
      </c>
      <c r="CN16" s="153">
        <v>98.2</v>
      </c>
      <c r="CO16" s="153">
        <v>1452.96</v>
      </c>
      <c r="CP16" s="153">
        <v>1378.37</v>
      </c>
      <c r="CQ16" s="153">
        <v>0.0</v>
      </c>
      <c r="CR16" s="153">
        <v>7.61</v>
      </c>
      <c r="CS16" s="153">
        <v>40.78</v>
      </c>
      <c r="CT16" s="153">
        <v>0.0</v>
      </c>
      <c r="CU16" s="153">
        <v>0.0</v>
      </c>
      <c r="CV16" s="153">
        <v>0.0</v>
      </c>
      <c r="CW16" s="153">
        <v>472.02</v>
      </c>
      <c r="CX16" s="153">
        <v>0.0</v>
      </c>
      <c r="CY16" s="153">
        <v>0.0</v>
      </c>
      <c r="CZ16" s="153">
        <v>327.84</v>
      </c>
      <c r="DA16" s="153">
        <v>6.59</v>
      </c>
      <c r="DB16" s="153">
        <v>321.25</v>
      </c>
      <c r="DC16" s="153">
        <v>307.65</v>
      </c>
      <c r="DD16" s="153">
        <v>2.36</v>
      </c>
      <c r="DE16" s="153">
        <v>305.29</v>
      </c>
      <c r="DF16" s="153">
        <v>8.93</v>
      </c>
      <c r="DG16" s="153">
        <v>1.41</v>
      </c>
      <c r="DH16" s="153">
        <v>7.52</v>
      </c>
      <c r="DI16" s="153">
        <v>8.66</v>
      </c>
      <c r="DJ16" s="153">
        <v>1.41</v>
      </c>
      <c r="DK16" s="153">
        <v>7.25</v>
      </c>
      <c r="DL16" s="153">
        <v>2.61</v>
      </c>
      <c r="DM16" s="153">
        <v>1.41</v>
      </c>
      <c r="DN16" s="153">
        <v>1.2</v>
      </c>
      <c r="DO16" s="153">
        <v>61102.0</v>
      </c>
      <c r="DP16" s="153">
        <v>76894.0</v>
      </c>
    </row>
    <row r="17">
      <c r="A17" s="235">
        <v>46256.0</v>
      </c>
      <c r="B17" s="236" t="s">
        <v>5</v>
      </c>
      <c r="C17" s="236" t="s">
        <v>133</v>
      </c>
      <c r="D17" s="236">
        <v>10286.0</v>
      </c>
      <c r="E17" s="236">
        <v>36.74</v>
      </c>
      <c r="F17" s="236">
        <v>327.76</v>
      </c>
      <c r="G17" s="236">
        <v>0.0319</v>
      </c>
      <c r="H17" s="236">
        <v>1.12</v>
      </c>
      <c r="I17" s="236">
        <v>2.8501</v>
      </c>
      <c r="J17" s="236">
        <v>28.5</v>
      </c>
      <c r="K17" s="236">
        <v>14.09</v>
      </c>
      <c r="L17" s="236">
        <v>6.63</v>
      </c>
      <c r="M17" s="236">
        <v>0.4709</v>
      </c>
      <c r="N17" s="236">
        <v>0.653</v>
      </c>
      <c r="O17" s="236">
        <v>0.3952</v>
      </c>
      <c r="P17" s="236">
        <v>2.1236</v>
      </c>
      <c r="Q17" s="236">
        <v>48.81</v>
      </c>
      <c r="R17" s="236">
        <v>43.8</v>
      </c>
      <c r="S17" s="236">
        <v>5.0</v>
      </c>
      <c r="T17" s="236">
        <v>2.6</v>
      </c>
      <c r="U17" s="236">
        <v>46.21</v>
      </c>
      <c r="V17" s="236">
        <v>53.26</v>
      </c>
      <c r="W17" s="236">
        <v>3.78</v>
      </c>
      <c r="X17" s="236">
        <v>5.32</v>
      </c>
      <c r="Y17" s="236">
        <v>154.0</v>
      </c>
      <c r="Z17" s="236">
        <v>431.0</v>
      </c>
      <c r="AA17" s="236">
        <v>2498.0</v>
      </c>
      <c r="AB17" s="236">
        <v>49.5394</v>
      </c>
      <c r="AC17" s="236">
        <v>0.5665</v>
      </c>
      <c r="AD17" s="236">
        <v>6.24</v>
      </c>
      <c r="AE17" s="236">
        <v>2.0</v>
      </c>
      <c r="AF17" s="236">
        <v>4.0</v>
      </c>
      <c r="AG17" s="236">
        <v>8.0</v>
      </c>
      <c r="AH17" s="236">
        <v>14.0</v>
      </c>
      <c r="AI17" s="236">
        <v>57.89</v>
      </c>
      <c r="AJ17" s="236">
        <v>28.66</v>
      </c>
      <c r="AK17" s="236">
        <v>8.57</v>
      </c>
      <c r="AL17" s="236">
        <v>0.2863</v>
      </c>
      <c r="AM17" s="236">
        <v>50.35</v>
      </c>
      <c r="AN17" s="153">
        <v>50.35</v>
      </c>
      <c r="AO17" s="153">
        <v>30.28</v>
      </c>
      <c r="AP17" s="153">
        <v>14.5</v>
      </c>
      <c r="AQ17" s="153">
        <v>3.3523</v>
      </c>
      <c r="AR17" s="153">
        <v>0.0354</v>
      </c>
      <c r="AS17" s="153">
        <v>3.3169</v>
      </c>
      <c r="AT17" s="153">
        <v>3.4021</v>
      </c>
      <c r="AU17" s="153">
        <v>0.2415</v>
      </c>
      <c r="AV17" s="153">
        <v>10286.0</v>
      </c>
      <c r="AW17" s="153">
        <v>0.0</v>
      </c>
      <c r="AX17" s="153">
        <v>23.3</v>
      </c>
      <c r="AY17" s="153">
        <v>19.69</v>
      </c>
      <c r="AZ17" s="153">
        <v>2.63</v>
      </c>
      <c r="BA17" s="153">
        <v>2.6</v>
      </c>
      <c r="BB17" s="153">
        <v>0.6</v>
      </c>
      <c r="BC17" s="153">
        <v>34.0</v>
      </c>
      <c r="BD17" s="153">
        <v>23626.0</v>
      </c>
      <c r="BE17" s="153">
        <v>2.2236</v>
      </c>
      <c r="BF17" s="153">
        <v>0.016</v>
      </c>
      <c r="BG17" s="153">
        <v>2.2076</v>
      </c>
      <c r="BH17" s="153">
        <v>1.982</v>
      </c>
      <c r="BI17" s="153">
        <v>0.1407</v>
      </c>
      <c r="BJ17" s="153">
        <v>1.1287</v>
      </c>
      <c r="BK17" s="153">
        <v>0.0193</v>
      </c>
      <c r="BL17" s="153">
        <v>1.1094</v>
      </c>
      <c r="BM17" s="153">
        <v>1.4201</v>
      </c>
      <c r="BN17" s="153">
        <v>0.1008</v>
      </c>
      <c r="BO17" s="153">
        <v>0.9521</v>
      </c>
      <c r="BP17" s="153">
        <v>0.0064</v>
      </c>
      <c r="BQ17" s="153">
        <v>0.9457</v>
      </c>
      <c r="BR17" s="153">
        <v>0.818</v>
      </c>
      <c r="BS17" s="153">
        <v>0.9247</v>
      </c>
      <c r="BT17" s="153">
        <v>0.0044</v>
      </c>
      <c r="BU17" s="153">
        <v>0.9203</v>
      </c>
      <c r="BV17" s="153">
        <v>0.8174</v>
      </c>
      <c r="BW17" s="153">
        <v>0.3469</v>
      </c>
      <c r="BX17" s="153">
        <v>0.0052</v>
      </c>
      <c r="BY17" s="153">
        <v>0.3416</v>
      </c>
      <c r="BZ17" s="153">
        <v>0.3466</v>
      </c>
      <c r="CA17" s="153">
        <v>0.1226</v>
      </c>
      <c r="CB17" s="153">
        <v>0.004</v>
      </c>
      <c r="CC17" s="153">
        <v>0.1186</v>
      </c>
      <c r="CD17" s="153">
        <v>0.1927</v>
      </c>
      <c r="CE17" s="153">
        <v>0.6057</v>
      </c>
      <c r="CF17" s="153">
        <v>0.0097</v>
      </c>
      <c r="CG17" s="153">
        <v>0.596</v>
      </c>
      <c r="CH17" s="153">
        <v>0.7368</v>
      </c>
      <c r="CI17" s="153">
        <v>0.4004</v>
      </c>
      <c r="CJ17" s="153">
        <v>0.0056</v>
      </c>
      <c r="CK17" s="153">
        <v>0.3948</v>
      </c>
      <c r="CL17" s="153">
        <v>0.4906</v>
      </c>
      <c r="CM17" s="153">
        <v>113.51</v>
      </c>
      <c r="CN17" s="153">
        <v>74.12</v>
      </c>
      <c r="CO17" s="153">
        <v>153.15</v>
      </c>
      <c r="CP17" s="153">
        <v>99.55</v>
      </c>
      <c r="CQ17" s="153">
        <v>0.14</v>
      </c>
      <c r="CR17" s="153">
        <v>7.73</v>
      </c>
      <c r="CS17" s="153">
        <v>6.09</v>
      </c>
      <c r="CT17" s="153">
        <v>0.0</v>
      </c>
      <c r="CU17" s="153">
        <v>6.0</v>
      </c>
      <c r="CV17" s="153">
        <v>0.01</v>
      </c>
      <c r="CW17" s="153">
        <v>48.82</v>
      </c>
      <c r="CX17" s="153">
        <v>0.0</v>
      </c>
      <c r="CY17" s="153">
        <v>0.14</v>
      </c>
      <c r="CZ17" s="153">
        <v>87.05</v>
      </c>
      <c r="DA17" s="153">
        <v>0.59</v>
      </c>
      <c r="DB17" s="153">
        <v>86.46</v>
      </c>
      <c r="DC17" s="153">
        <v>78.76</v>
      </c>
      <c r="DD17" s="153">
        <v>0.16</v>
      </c>
      <c r="DE17" s="153">
        <v>78.59</v>
      </c>
      <c r="DF17" s="153">
        <v>4.03</v>
      </c>
      <c r="DG17" s="153">
        <v>0.14</v>
      </c>
      <c r="DH17" s="153">
        <v>3.89</v>
      </c>
      <c r="DI17" s="153">
        <v>3.53</v>
      </c>
      <c r="DJ17" s="153">
        <v>0.14</v>
      </c>
      <c r="DK17" s="153">
        <v>3.39</v>
      </c>
      <c r="DL17" s="153">
        <v>0.73</v>
      </c>
      <c r="DM17" s="153">
        <v>0.14</v>
      </c>
      <c r="DN17" s="153">
        <v>0.59</v>
      </c>
      <c r="DO17" s="153">
        <v>68243.0</v>
      </c>
      <c r="DP17" s="153">
        <v>144920.0</v>
      </c>
    </row>
    <row r="18">
      <c r="A18" s="235">
        <v>46256.0</v>
      </c>
      <c r="B18" s="236" t="s">
        <v>5</v>
      </c>
      <c r="C18" s="236" t="s">
        <v>134</v>
      </c>
      <c r="D18" s="236">
        <v>7294.0</v>
      </c>
      <c r="E18" s="236">
        <v>26.05</v>
      </c>
      <c r="F18" s="236">
        <v>960.6</v>
      </c>
      <c r="G18" s="236">
        <v>0.1317</v>
      </c>
      <c r="H18" s="236">
        <v>3.1</v>
      </c>
      <c r="I18" s="236">
        <v>4.2504</v>
      </c>
      <c r="J18" s="236">
        <v>47.76</v>
      </c>
      <c r="K18" s="236">
        <v>25.0</v>
      </c>
      <c r="L18" s="236">
        <v>14.15</v>
      </c>
      <c r="M18" s="236">
        <v>0.5661</v>
      </c>
      <c r="N18" s="236">
        <v>0.5705</v>
      </c>
      <c r="O18" s="236">
        <v>0.345</v>
      </c>
      <c r="P18" s="236">
        <v>1.7664</v>
      </c>
      <c r="Q18" s="236">
        <v>97.36</v>
      </c>
      <c r="R18" s="236">
        <v>87.06</v>
      </c>
      <c r="S18" s="236">
        <v>10.3</v>
      </c>
      <c r="T18" s="236">
        <v>9.95</v>
      </c>
      <c r="U18" s="236">
        <v>87.41</v>
      </c>
      <c r="V18" s="236">
        <v>102.95</v>
      </c>
      <c r="W18" s="236">
        <v>4.1186</v>
      </c>
      <c r="X18" s="236">
        <v>10.22</v>
      </c>
      <c r="Y18" s="236">
        <v>187.0</v>
      </c>
      <c r="Z18" s="236">
        <v>432.0</v>
      </c>
      <c r="AA18" s="236">
        <v>1698.0</v>
      </c>
      <c r="AB18" s="236">
        <v>52.4146</v>
      </c>
      <c r="AC18" s="236">
        <v>0.6707</v>
      </c>
      <c r="AD18" s="236">
        <v>10.18</v>
      </c>
      <c r="AE18" s="236">
        <v>3.0</v>
      </c>
      <c r="AF18" s="236">
        <v>7.0</v>
      </c>
      <c r="AG18" s="236">
        <v>13.0</v>
      </c>
      <c r="AH18" s="236">
        <v>23.0</v>
      </c>
      <c r="AI18" s="236">
        <v>53.83</v>
      </c>
      <c r="AJ18" s="236">
        <v>20.48</v>
      </c>
      <c r="AK18" s="236">
        <v>4.69</v>
      </c>
      <c r="AL18" s="236">
        <v>0.2418</v>
      </c>
      <c r="AM18" s="236">
        <v>49.7</v>
      </c>
      <c r="AN18" s="153">
        <v>49.7</v>
      </c>
      <c r="AO18" s="153">
        <v>27.15</v>
      </c>
      <c r="AP18" s="153">
        <v>10.5</v>
      </c>
      <c r="AQ18" s="153">
        <v>5.0114</v>
      </c>
      <c r="AR18" s="153">
        <v>0.1249</v>
      </c>
      <c r="AS18" s="153">
        <v>4.8865</v>
      </c>
      <c r="AT18" s="153">
        <v>5.3023</v>
      </c>
      <c r="AU18" s="153">
        <v>0.2121</v>
      </c>
      <c r="AV18" s="153">
        <v>7294.0</v>
      </c>
      <c r="AW18" s="153">
        <v>0.0</v>
      </c>
      <c r="AX18" s="153">
        <v>35.88</v>
      </c>
      <c r="AY18" s="153">
        <v>46.82</v>
      </c>
      <c r="AZ18" s="153">
        <v>3.32</v>
      </c>
      <c r="BA18" s="153">
        <v>9.95</v>
      </c>
      <c r="BB18" s="153">
        <v>1.41</v>
      </c>
      <c r="BC18" s="153">
        <v>51.0</v>
      </c>
      <c r="BD18" s="153">
        <v>23038.0</v>
      </c>
      <c r="BE18" s="153">
        <v>3.1134</v>
      </c>
      <c r="BF18" s="153">
        <v>0.0584</v>
      </c>
      <c r="BG18" s="153">
        <v>3.055</v>
      </c>
      <c r="BH18" s="153">
        <v>2.9844</v>
      </c>
      <c r="BI18" s="153">
        <v>0.1194</v>
      </c>
      <c r="BJ18" s="153">
        <v>1.898</v>
      </c>
      <c r="BK18" s="153">
        <v>0.0665</v>
      </c>
      <c r="BL18" s="153">
        <v>1.8315</v>
      </c>
      <c r="BM18" s="153">
        <v>2.3179</v>
      </c>
      <c r="BN18" s="153">
        <v>0.0927</v>
      </c>
      <c r="BO18" s="153">
        <v>1.3617</v>
      </c>
      <c r="BP18" s="153">
        <v>0.0203</v>
      </c>
      <c r="BQ18" s="153">
        <v>1.3414</v>
      </c>
      <c r="BR18" s="153">
        <v>1.2181</v>
      </c>
      <c r="BS18" s="153">
        <v>1.1693</v>
      </c>
      <c r="BT18" s="153">
        <v>0.0191</v>
      </c>
      <c r="BU18" s="153">
        <v>1.1503</v>
      </c>
      <c r="BV18" s="153">
        <v>1.1567</v>
      </c>
      <c r="BW18" s="153">
        <v>0.5824</v>
      </c>
      <c r="BX18" s="153">
        <v>0.0191</v>
      </c>
      <c r="BY18" s="153">
        <v>0.5633</v>
      </c>
      <c r="BZ18" s="153">
        <v>0.6095</v>
      </c>
      <c r="CA18" s="153">
        <v>0.2695</v>
      </c>
      <c r="CB18" s="153">
        <v>0.0173</v>
      </c>
      <c r="CC18" s="153">
        <v>0.2523</v>
      </c>
      <c r="CD18" s="153">
        <v>0.3866</v>
      </c>
      <c r="CE18" s="153">
        <v>0.8412</v>
      </c>
      <c r="CF18" s="153">
        <v>0.0265</v>
      </c>
      <c r="CG18" s="153">
        <v>0.8148</v>
      </c>
      <c r="CH18" s="153">
        <v>1.0387</v>
      </c>
      <c r="CI18" s="153">
        <v>0.7872</v>
      </c>
      <c r="CJ18" s="153">
        <v>0.0228</v>
      </c>
      <c r="CK18" s="153">
        <v>0.7645</v>
      </c>
      <c r="CL18" s="153">
        <v>0.8927</v>
      </c>
      <c r="CM18" s="153">
        <v>226.61</v>
      </c>
      <c r="CN18" s="153">
        <v>87.81</v>
      </c>
      <c r="CO18" s="153">
        <v>258.07</v>
      </c>
      <c r="CP18" s="153">
        <v>201.52</v>
      </c>
      <c r="CQ18" s="153">
        <v>0.21</v>
      </c>
      <c r="CR18" s="153">
        <v>8.19</v>
      </c>
      <c r="CS18" s="153">
        <v>16.69</v>
      </c>
      <c r="CT18" s="153">
        <v>0.0</v>
      </c>
      <c r="CU18" s="153">
        <v>6.0</v>
      </c>
      <c r="CV18" s="153">
        <v>0.02</v>
      </c>
      <c r="CW18" s="153">
        <v>97.38</v>
      </c>
      <c r="CX18" s="153">
        <v>0.01</v>
      </c>
      <c r="CY18" s="153">
        <v>0.21</v>
      </c>
      <c r="CZ18" s="153">
        <v>123.77</v>
      </c>
      <c r="DA18" s="153">
        <v>2.64</v>
      </c>
      <c r="DB18" s="153">
        <v>121.13</v>
      </c>
      <c r="DC18" s="153">
        <v>110.97</v>
      </c>
      <c r="DD18" s="153">
        <v>0.82</v>
      </c>
      <c r="DE18" s="153">
        <v>110.15</v>
      </c>
      <c r="DF18" s="153">
        <v>5.95</v>
      </c>
      <c r="DG18" s="153">
        <v>0.61</v>
      </c>
      <c r="DH18" s="153">
        <v>5.34</v>
      </c>
      <c r="DI18" s="153">
        <v>5.21</v>
      </c>
      <c r="DJ18" s="153">
        <v>0.61</v>
      </c>
      <c r="DK18" s="153">
        <v>4.6</v>
      </c>
      <c r="DL18" s="153">
        <v>1.65</v>
      </c>
      <c r="DM18" s="153">
        <v>0.61</v>
      </c>
      <c r="DN18" s="153">
        <v>1.04</v>
      </c>
      <c r="DO18" s="153">
        <v>103222.0</v>
      </c>
      <c r="DP18" s="153">
        <v>182332.0</v>
      </c>
    </row>
    <row r="19">
      <c r="A19" s="235">
        <v>46256.0</v>
      </c>
      <c r="B19" s="236" t="s">
        <v>5</v>
      </c>
      <c r="C19" s="236" t="s">
        <v>135</v>
      </c>
      <c r="D19" s="236">
        <v>6115.0</v>
      </c>
      <c r="E19" s="236">
        <v>21.84</v>
      </c>
      <c r="F19" s="236">
        <v>744.07</v>
      </c>
      <c r="G19" s="236">
        <v>0.1217</v>
      </c>
      <c r="H19" s="236">
        <v>3.48</v>
      </c>
      <c r="I19" s="236">
        <v>3.4933</v>
      </c>
      <c r="J19" s="236">
        <v>70.61</v>
      </c>
      <c r="K19" s="236">
        <v>38.85</v>
      </c>
      <c r="L19" s="236">
        <v>25.25</v>
      </c>
      <c r="M19" s="236">
        <v>0.65</v>
      </c>
      <c r="N19" s="236">
        <v>0.4935</v>
      </c>
      <c r="O19" s="236">
        <v>0.3018</v>
      </c>
      <c r="P19" s="236">
        <v>1.5386</v>
      </c>
      <c r="Q19" s="236">
        <v>158.7</v>
      </c>
      <c r="R19" s="236">
        <v>142.16</v>
      </c>
      <c r="S19" s="236">
        <v>16.53</v>
      </c>
      <c r="T19" s="236">
        <v>11.13</v>
      </c>
      <c r="U19" s="236">
        <v>147.57</v>
      </c>
      <c r="V19" s="236">
        <v>161.1</v>
      </c>
      <c r="W19" s="236">
        <v>4.1466</v>
      </c>
      <c r="X19" s="236">
        <v>7.01</v>
      </c>
      <c r="Y19" s="236">
        <v>227.0</v>
      </c>
      <c r="Z19" s="236">
        <v>519.0</v>
      </c>
      <c r="AA19" s="236">
        <v>1721.0</v>
      </c>
      <c r="AB19" s="236">
        <v>53.6194</v>
      </c>
      <c r="AC19" s="236">
        <v>0.6915</v>
      </c>
      <c r="AD19" s="236">
        <v>15.54</v>
      </c>
      <c r="AE19" s="236">
        <v>5.0</v>
      </c>
      <c r="AF19" s="236">
        <v>10.0</v>
      </c>
      <c r="AG19" s="236">
        <v>20.0</v>
      </c>
      <c r="AH19" s="236">
        <v>35.0</v>
      </c>
      <c r="AI19" s="236">
        <v>42.37</v>
      </c>
      <c r="AJ19" s="236">
        <v>13.7</v>
      </c>
      <c r="AK19" s="236">
        <v>4.35</v>
      </c>
      <c r="AL19" s="236">
        <v>0.1972</v>
      </c>
      <c r="AM19" s="236">
        <v>46.84</v>
      </c>
      <c r="AN19" s="153">
        <v>46.84</v>
      </c>
      <c r="AO19" s="153">
        <v>23.04</v>
      </c>
      <c r="AP19" s="153">
        <v>11.51</v>
      </c>
      <c r="AQ19" s="153">
        <v>6.4317</v>
      </c>
      <c r="AR19" s="153">
        <v>0.1266</v>
      </c>
      <c r="AS19" s="153">
        <v>6.3052</v>
      </c>
      <c r="AT19" s="153">
        <v>7.1426</v>
      </c>
      <c r="AU19" s="153">
        <v>0.1838</v>
      </c>
      <c r="AV19" s="153">
        <v>6115.0</v>
      </c>
      <c r="AW19" s="153">
        <v>0.0</v>
      </c>
      <c r="AX19" s="153">
        <v>50.49</v>
      </c>
      <c r="AY19" s="153">
        <v>91.14</v>
      </c>
      <c r="AZ19" s="153">
        <v>3.71</v>
      </c>
      <c r="BA19" s="153">
        <v>11.13</v>
      </c>
      <c r="BB19" s="153">
        <v>2.26</v>
      </c>
      <c r="BC19" s="153">
        <v>75.0</v>
      </c>
      <c r="BD19" s="153">
        <v>21249.0</v>
      </c>
      <c r="BE19" s="153">
        <v>3.8885</v>
      </c>
      <c r="BF19" s="153">
        <v>0.0471</v>
      </c>
      <c r="BG19" s="153">
        <v>3.8414</v>
      </c>
      <c r="BH19" s="153">
        <v>3.9666</v>
      </c>
      <c r="BI19" s="153">
        <v>0.1021</v>
      </c>
      <c r="BJ19" s="153">
        <v>2.5433</v>
      </c>
      <c r="BK19" s="153">
        <v>0.0795</v>
      </c>
      <c r="BL19" s="153">
        <v>2.4638</v>
      </c>
      <c r="BM19" s="153">
        <v>3.176</v>
      </c>
      <c r="BN19" s="153">
        <v>0.0817</v>
      </c>
      <c r="BO19" s="153">
        <v>1.5596</v>
      </c>
      <c r="BP19" s="153">
        <v>0.015</v>
      </c>
      <c r="BQ19" s="153">
        <v>1.5446</v>
      </c>
      <c r="BR19" s="153">
        <v>1.5339</v>
      </c>
      <c r="BS19" s="153">
        <v>1.4433</v>
      </c>
      <c r="BT19" s="153">
        <v>0.015</v>
      </c>
      <c r="BU19" s="153">
        <v>1.4283</v>
      </c>
      <c r="BV19" s="153">
        <v>1.5212</v>
      </c>
      <c r="BW19" s="153">
        <v>0.8855</v>
      </c>
      <c r="BX19" s="153">
        <v>0.017</v>
      </c>
      <c r="BY19" s="153">
        <v>0.8685</v>
      </c>
      <c r="BZ19" s="153">
        <v>0.9115</v>
      </c>
      <c r="CA19" s="153">
        <v>0.4239</v>
      </c>
      <c r="CB19" s="153">
        <v>0.0203</v>
      </c>
      <c r="CC19" s="153">
        <v>0.4036</v>
      </c>
      <c r="CD19" s="153">
        <v>0.5392</v>
      </c>
      <c r="CE19" s="153">
        <v>1.015</v>
      </c>
      <c r="CF19" s="153">
        <v>0.034</v>
      </c>
      <c r="CG19" s="153">
        <v>0.981</v>
      </c>
      <c r="CH19" s="153">
        <v>1.3117</v>
      </c>
      <c r="CI19" s="153">
        <v>1.1043</v>
      </c>
      <c r="CJ19" s="153">
        <v>0.0252</v>
      </c>
      <c r="CK19" s="153">
        <v>1.0791</v>
      </c>
      <c r="CL19" s="153">
        <v>1.3251</v>
      </c>
      <c r="CM19" s="153">
        <v>370.08</v>
      </c>
      <c r="CN19" s="153">
        <v>92.84</v>
      </c>
      <c r="CO19" s="153">
        <v>398.63</v>
      </c>
      <c r="CP19" s="153">
        <v>336.75</v>
      </c>
      <c r="CQ19" s="153">
        <v>0.23</v>
      </c>
      <c r="CR19" s="153">
        <v>7.23</v>
      </c>
      <c r="CS19" s="153">
        <v>25.87</v>
      </c>
      <c r="CT19" s="153">
        <v>0.0</v>
      </c>
      <c r="CU19" s="153">
        <v>5.0</v>
      </c>
      <c r="CV19" s="153">
        <v>0.02</v>
      </c>
      <c r="CW19" s="153">
        <v>158.72</v>
      </c>
      <c r="CX19" s="153">
        <v>0.0</v>
      </c>
      <c r="CY19" s="153">
        <v>0.23</v>
      </c>
      <c r="CZ19" s="153">
        <v>162.01</v>
      </c>
      <c r="DA19" s="153">
        <v>1.74</v>
      </c>
      <c r="DB19" s="153">
        <v>160.26</v>
      </c>
      <c r="DC19" s="153">
        <v>146.64</v>
      </c>
      <c r="DD19" s="153">
        <v>0.53</v>
      </c>
      <c r="DE19" s="153">
        <v>146.12</v>
      </c>
      <c r="DF19" s="153">
        <v>6.88</v>
      </c>
      <c r="DG19" s="153">
        <v>0.41</v>
      </c>
      <c r="DH19" s="153">
        <v>6.48</v>
      </c>
      <c r="DI19" s="153">
        <v>5.59</v>
      </c>
      <c r="DJ19" s="153">
        <v>0.41</v>
      </c>
      <c r="DK19" s="153">
        <v>5.18</v>
      </c>
      <c r="DL19" s="153">
        <v>2.89</v>
      </c>
      <c r="DM19" s="153">
        <v>0.41</v>
      </c>
      <c r="DN19" s="153">
        <v>2.49</v>
      </c>
      <c r="DO19" s="153">
        <v>154408.0</v>
      </c>
      <c r="DP19" s="153">
        <v>237569.0</v>
      </c>
    </row>
    <row r="20" ht="15.75" customHeight="1">
      <c r="A20" s="235">
        <v>46256.0</v>
      </c>
      <c r="B20" s="236" t="s">
        <v>5</v>
      </c>
      <c r="C20" s="236" t="s">
        <v>136</v>
      </c>
      <c r="D20" s="236">
        <v>3737.0</v>
      </c>
      <c r="E20" s="236">
        <v>13.35</v>
      </c>
      <c r="F20" s="236">
        <v>1406.28</v>
      </c>
      <c r="G20" s="236">
        <v>0.3763</v>
      </c>
      <c r="H20" s="236">
        <v>5.35</v>
      </c>
      <c r="I20" s="236">
        <v>7.0314</v>
      </c>
      <c r="J20" s="236">
        <v>112.39</v>
      </c>
      <c r="K20" s="236">
        <v>66.44</v>
      </c>
      <c r="L20" s="236">
        <v>48.82</v>
      </c>
      <c r="M20" s="236">
        <v>0.7348</v>
      </c>
      <c r="N20" s="236">
        <v>0.4115</v>
      </c>
      <c r="O20" s="236">
        <v>0.2571</v>
      </c>
      <c r="P20" s="236">
        <v>1.3609</v>
      </c>
      <c r="Q20" s="236">
        <v>292.4</v>
      </c>
      <c r="R20" s="236">
        <v>263.9</v>
      </c>
      <c r="S20" s="236">
        <v>28.5</v>
      </c>
      <c r="T20" s="236">
        <v>34.33</v>
      </c>
      <c r="U20" s="236">
        <v>258.07</v>
      </c>
      <c r="V20" s="236">
        <v>311.69</v>
      </c>
      <c r="W20" s="236">
        <v>4.6911</v>
      </c>
      <c r="X20" s="236">
        <v>11.74</v>
      </c>
      <c r="Y20" s="236">
        <v>296.0</v>
      </c>
      <c r="Z20" s="236">
        <v>768.0</v>
      </c>
      <c r="AA20" s="236">
        <v>2813.0</v>
      </c>
      <c r="AB20" s="236">
        <v>54.8808</v>
      </c>
      <c r="AC20" s="236">
        <v>0.6623</v>
      </c>
      <c r="AD20" s="236">
        <v>26.38</v>
      </c>
      <c r="AE20" s="236">
        <v>10.0</v>
      </c>
      <c r="AF20" s="236">
        <v>18.0</v>
      </c>
      <c r="AG20" s="236">
        <v>34.0</v>
      </c>
      <c r="AH20" s="236">
        <v>60.0</v>
      </c>
      <c r="AI20" s="236">
        <v>28.18</v>
      </c>
      <c r="AJ20" s="236">
        <v>8.83</v>
      </c>
      <c r="AK20" s="236">
        <v>2.27</v>
      </c>
      <c r="AL20" s="236">
        <v>0.1458</v>
      </c>
      <c r="AM20" s="236">
        <v>42.04</v>
      </c>
      <c r="AN20" s="153">
        <v>42.04</v>
      </c>
      <c r="AO20" s="153">
        <v>20.58</v>
      </c>
      <c r="AP20" s="153">
        <v>10.36</v>
      </c>
      <c r="AQ20" s="153">
        <v>8.8301</v>
      </c>
      <c r="AR20" s="153">
        <v>0.4884</v>
      </c>
      <c r="AS20" s="153">
        <v>8.3417</v>
      </c>
      <c r="AT20" s="153">
        <v>10.3021</v>
      </c>
      <c r="AU20" s="153">
        <v>0.155</v>
      </c>
      <c r="AV20" s="153">
        <v>3737.0</v>
      </c>
      <c r="AW20" s="153">
        <v>0.0</v>
      </c>
      <c r="AX20" s="153">
        <v>77.15</v>
      </c>
      <c r="AY20" s="153">
        <v>170.58</v>
      </c>
      <c r="AZ20" s="153">
        <v>5.89</v>
      </c>
      <c r="BA20" s="153">
        <v>34.33</v>
      </c>
      <c r="BB20" s="153">
        <v>4.5</v>
      </c>
      <c r="BC20" s="153">
        <v>133.0</v>
      </c>
      <c r="BD20" s="153">
        <v>27223.0</v>
      </c>
      <c r="BE20" s="153">
        <v>4.6952</v>
      </c>
      <c r="BF20" s="153">
        <v>0.2489</v>
      </c>
      <c r="BG20" s="153">
        <v>4.4463</v>
      </c>
      <c r="BH20" s="153">
        <v>5.1723</v>
      </c>
      <c r="BI20" s="153">
        <v>0.0778</v>
      </c>
      <c r="BJ20" s="153">
        <v>4.1349</v>
      </c>
      <c r="BK20" s="153">
        <v>0.2395</v>
      </c>
      <c r="BL20" s="153">
        <v>3.8954</v>
      </c>
      <c r="BM20" s="153">
        <v>5.1298</v>
      </c>
      <c r="BN20" s="153">
        <v>0.0772</v>
      </c>
      <c r="BO20" s="153">
        <v>1.6784</v>
      </c>
      <c r="BP20" s="153">
        <v>0.0685</v>
      </c>
      <c r="BQ20" s="153">
        <v>1.6098</v>
      </c>
      <c r="BR20" s="153">
        <v>1.8381</v>
      </c>
      <c r="BS20" s="153">
        <v>1.6321</v>
      </c>
      <c r="BT20" s="153">
        <v>0.0725</v>
      </c>
      <c r="BU20" s="153">
        <v>1.5595</v>
      </c>
      <c r="BV20" s="153">
        <v>1.9109</v>
      </c>
      <c r="BW20" s="153">
        <v>1.3848</v>
      </c>
      <c r="BX20" s="153">
        <v>0.1078</v>
      </c>
      <c r="BY20" s="153">
        <v>1.277</v>
      </c>
      <c r="BZ20" s="153">
        <v>1.4233</v>
      </c>
      <c r="CA20" s="153">
        <v>0.9355</v>
      </c>
      <c r="CB20" s="153">
        <v>0.0618</v>
      </c>
      <c r="CC20" s="153">
        <v>0.8737</v>
      </c>
      <c r="CD20" s="153">
        <v>1.0605</v>
      </c>
      <c r="CE20" s="153">
        <v>1.4683</v>
      </c>
      <c r="CF20" s="153">
        <v>0.1025</v>
      </c>
      <c r="CG20" s="153">
        <v>1.3658</v>
      </c>
      <c r="CH20" s="153">
        <v>1.7099</v>
      </c>
      <c r="CI20" s="153">
        <v>1.7311</v>
      </c>
      <c r="CJ20" s="153">
        <v>0.0752</v>
      </c>
      <c r="CK20" s="153">
        <v>1.6559</v>
      </c>
      <c r="CL20" s="153">
        <v>2.3594</v>
      </c>
      <c r="CM20" s="153">
        <v>640.46</v>
      </c>
      <c r="CN20" s="153">
        <v>96.55</v>
      </c>
      <c r="CO20" s="153">
        <v>663.36</v>
      </c>
      <c r="CP20" s="153">
        <v>598.29</v>
      </c>
      <c r="CQ20" s="153">
        <v>0.07</v>
      </c>
      <c r="CR20" s="153">
        <v>7.43</v>
      </c>
      <c r="CS20" s="153">
        <v>34.66</v>
      </c>
      <c r="CT20" s="153">
        <v>0.0</v>
      </c>
      <c r="CU20" s="153">
        <v>1.0</v>
      </c>
      <c r="CV20" s="153">
        <v>0.01</v>
      </c>
      <c r="CW20" s="153">
        <v>292.4</v>
      </c>
      <c r="CX20" s="153">
        <v>0.0</v>
      </c>
      <c r="CY20" s="153">
        <v>0.07</v>
      </c>
      <c r="CZ20" s="153">
        <v>248.38</v>
      </c>
      <c r="DA20" s="153">
        <v>4.23</v>
      </c>
      <c r="DB20" s="153">
        <v>244.15</v>
      </c>
      <c r="DC20" s="153">
        <v>223.36</v>
      </c>
      <c r="DD20" s="153">
        <v>1.9</v>
      </c>
      <c r="DE20" s="153">
        <v>221.46</v>
      </c>
      <c r="DF20" s="153">
        <v>11.59</v>
      </c>
      <c r="DG20" s="153">
        <v>0.78</v>
      </c>
      <c r="DH20" s="153">
        <v>10.81</v>
      </c>
      <c r="DI20" s="153">
        <v>7.61</v>
      </c>
      <c r="DJ20" s="153">
        <v>0.78</v>
      </c>
      <c r="DK20" s="153">
        <v>6.84</v>
      </c>
      <c r="DL20" s="153">
        <v>5.81</v>
      </c>
      <c r="DM20" s="153">
        <v>0.78</v>
      </c>
      <c r="DN20" s="153">
        <v>5.04</v>
      </c>
      <c r="DO20" s="153">
        <v>182453.0</v>
      </c>
      <c r="DP20" s="153">
        <v>248302.0</v>
      </c>
    </row>
    <row r="21" ht="15.75" customHeight="1">
      <c r="A21" s="235">
        <v>46256.0</v>
      </c>
      <c r="B21" s="236" t="s">
        <v>5</v>
      </c>
      <c r="C21" s="236" t="s">
        <v>137</v>
      </c>
      <c r="D21" s="236">
        <v>565.0</v>
      </c>
      <c r="E21" s="236">
        <v>2.02</v>
      </c>
      <c r="F21" s="236">
        <v>623.58</v>
      </c>
      <c r="G21" s="236">
        <v>1.1037</v>
      </c>
      <c r="H21" s="236">
        <v>7.79</v>
      </c>
      <c r="I21" s="236">
        <v>14.1723</v>
      </c>
      <c r="J21" s="236">
        <v>202.5</v>
      </c>
      <c r="K21" s="236">
        <v>124.52</v>
      </c>
      <c r="L21" s="236">
        <v>97.05</v>
      </c>
      <c r="M21" s="236">
        <v>0.7794</v>
      </c>
      <c r="N21" s="236">
        <v>0.3535</v>
      </c>
      <c r="O21" s="236">
        <v>0.2215</v>
      </c>
      <c r="P21" s="236">
        <v>1.2831</v>
      </c>
      <c r="Q21" s="236">
        <v>504.72</v>
      </c>
      <c r="R21" s="236">
        <v>456.13</v>
      </c>
      <c r="S21" s="236">
        <v>48.58</v>
      </c>
      <c r="T21" s="236">
        <v>112.39</v>
      </c>
      <c r="U21" s="236">
        <v>392.33</v>
      </c>
      <c r="V21" s="236">
        <v>540.35</v>
      </c>
      <c r="W21" s="236">
        <v>4.3395</v>
      </c>
      <c r="X21" s="236">
        <v>22.27</v>
      </c>
      <c r="Y21" s="236">
        <v>324.0</v>
      </c>
      <c r="Z21" s="236">
        <v>1017.0</v>
      </c>
      <c r="AA21" s="236">
        <v>3987.0</v>
      </c>
      <c r="AB21" s="236">
        <v>56.6097</v>
      </c>
      <c r="AC21" s="236">
        <v>0.5729</v>
      </c>
      <c r="AD21" s="236">
        <v>43.56</v>
      </c>
      <c r="AE21" s="236">
        <v>16.0</v>
      </c>
      <c r="AF21" s="236">
        <v>28.0</v>
      </c>
      <c r="AG21" s="236">
        <v>56.0</v>
      </c>
      <c r="AH21" s="236">
        <v>103.0</v>
      </c>
      <c r="AI21" s="236">
        <v>13.45</v>
      </c>
      <c r="AJ21" s="236">
        <v>3.01</v>
      </c>
      <c r="AK21" s="236">
        <v>0.0</v>
      </c>
      <c r="AL21" s="236">
        <v>0.0761</v>
      </c>
      <c r="AM21" s="236">
        <v>37.35</v>
      </c>
      <c r="AN21" s="153">
        <v>37.35</v>
      </c>
      <c r="AO21" s="153">
        <v>21.95</v>
      </c>
      <c r="AP21" s="153">
        <v>12.39</v>
      </c>
      <c r="AQ21" s="153">
        <v>12.8619</v>
      </c>
      <c r="AR21" s="153">
        <v>1.3717</v>
      </c>
      <c r="AS21" s="153">
        <v>11.4903</v>
      </c>
      <c r="AT21" s="153">
        <v>16.4319</v>
      </c>
      <c r="AU21" s="153">
        <v>0.132</v>
      </c>
      <c r="AV21" s="153">
        <v>565.0</v>
      </c>
      <c r="AW21" s="153">
        <v>0.0</v>
      </c>
      <c r="AX21" s="153">
        <v>119.13</v>
      </c>
      <c r="AY21" s="153">
        <v>253.56</v>
      </c>
      <c r="AZ21" s="153">
        <v>13.5</v>
      </c>
      <c r="BA21" s="153">
        <v>112.39</v>
      </c>
      <c r="BB21" s="153">
        <v>7.03</v>
      </c>
      <c r="BC21" s="153">
        <v>190.0</v>
      </c>
      <c r="BD21" s="153">
        <v>25345.0</v>
      </c>
      <c r="BE21" s="153">
        <v>5.8018</v>
      </c>
      <c r="BF21" s="153">
        <v>0.5469</v>
      </c>
      <c r="BG21" s="153">
        <v>5.2549</v>
      </c>
      <c r="BH21" s="153">
        <v>7.3646</v>
      </c>
      <c r="BI21" s="153">
        <v>0.0591</v>
      </c>
      <c r="BJ21" s="153">
        <v>7.0602</v>
      </c>
      <c r="BK21" s="153">
        <v>0.8248</v>
      </c>
      <c r="BL21" s="153">
        <v>6.2354</v>
      </c>
      <c r="BM21" s="153">
        <v>9.0673</v>
      </c>
      <c r="BN21" s="153">
        <v>0.0728</v>
      </c>
      <c r="BO21" s="153">
        <v>1.8903</v>
      </c>
      <c r="BP21" s="153">
        <v>0.1876</v>
      </c>
      <c r="BQ21" s="153">
        <v>1.7027</v>
      </c>
      <c r="BR21" s="153">
        <v>2.5522</v>
      </c>
      <c r="BS21" s="153">
        <v>1.8832</v>
      </c>
      <c r="BT21" s="153">
        <v>0.1717</v>
      </c>
      <c r="BU21" s="153">
        <v>1.7115</v>
      </c>
      <c r="BV21" s="153">
        <v>2.5133</v>
      </c>
      <c r="BW21" s="153">
        <v>2.0283</v>
      </c>
      <c r="BX21" s="153">
        <v>0.1876</v>
      </c>
      <c r="BY21" s="153">
        <v>1.8407</v>
      </c>
      <c r="BZ21" s="153">
        <v>2.2991</v>
      </c>
      <c r="CA21" s="153">
        <v>1.9876</v>
      </c>
      <c r="CB21" s="153">
        <v>0.2088</v>
      </c>
      <c r="CC21" s="153">
        <v>1.7788</v>
      </c>
      <c r="CD21" s="153">
        <v>3.1841</v>
      </c>
      <c r="CE21" s="153">
        <v>2.354</v>
      </c>
      <c r="CF21" s="153">
        <v>0.3345</v>
      </c>
      <c r="CG21" s="153">
        <v>2.0195</v>
      </c>
      <c r="CH21" s="153">
        <v>2.7062</v>
      </c>
      <c r="CI21" s="153">
        <v>2.7186</v>
      </c>
      <c r="CJ21" s="153">
        <v>0.2814</v>
      </c>
      <c r="CK21" s="153">
        <v>2.4372</v>
      </c>
      <c r="CL21" s="153">
        <v>3.177</v>
      </c>
      <c r="CM21" s="153">
        <v>1114.36</v>
      </c>
      <c r="CN21" s="153">
        <v>98.05</v>
      </c>
      <c r="CO21" s="153">
        <v>1136.49</v>
      </c>
      <c r="CP21" s="153">
        <v>1058.67</v>
      </c>
      <c r="CQ21" s="153">
        <v>0.0</v>
      </c>
      <c r="CR21" s="153">
        <v>12.74</v>
      </c>
      <c r="CS21" s="153">
        <v>42.95</v>
      </c>
      <c r="CT21" s="153">
        <v>0.0</v>
      </c>
      <c r="CU21" s="153">
        <v>1.0</v>
      </c>
      <c r="CV21" s="153">
        <v>0.88</v>
      </c>
      <c r="CW21" s="153">
        <v>505.6</v>
      </c>
      <c r="CX21" s="153">
        <v>0.0</v>
      </c>
      <c r="CY21" s="153">
        <v>0.0</v>
      </c>
      <c r="CZ21" s="153">
        <v>374.01</v>
      </c>
      <c r="DA21" s="153">
        <v>10.94</v>
      </c>
      <c r="DB21" s="153">
        <v>363.07</v>
      </c>
      <c r="DC21" s="153">
        <v>339.94</v>
      </c>
      <c r="DD21" s="153">
        <v>5.84</v>
      </c>
      <c r="DE21" s="153">
        <v>334.1</v>
      </c>
      <c r="DF21" s="153">
        <v>11.83</v>
      </c>
      <c r="DG21" s="153">
        <v>1.7</v>
      </c>
      <c r="DH21" s="153">
        <v>10.13</v>
      </c>
      <c r="DI21" s="153">
        <v>11.43</v>
      </c>
      <c r="DJ21" s="153">
        <v>1.7</v>
      </c>
      <c r="DK21" s="153">
        <v>9.73</v>
      </c>
      <c r="DL21" s="153">
        <v>10.81</v>
      </c>
      <c r="DM21" s="153">
        <v>1.7</v>
      </c>
      <c r="DN21" s="153">
        <v>9.11</v>
      </c>
      <c r="DO21" s="153">
        <v>54831.0</v>
      </c>
      <c r="DP21" s="153">
        <v>70353.0</v>
      </c>
    </row>
    <row r="22" ht="15.75" customHeight="1">
      <c r="A22" s="235">
        <v>46257.0</v>
      </c>
      <c r="B22" s="236" t="s">
        <v>4</v>
      </c>
      <c r="C22" s="236" t="s">
        <v>133</v>
      </c>
      <c r="D22" s="236">
        <v>10131.0</v>
      </c>
      <c r="E22" s="236">
        <v>36.18</v>
      </c>
      <c r="F22" s="236">
        <v>417.83</v>
      </c>
      <c r="G22" s="236">
        <v>0.0412</v>
      </c>
      <c r="H22" s="236">
        <v>1.56</v>
      </c>
      <c r="I22" s="236">
        <v>2.6445</v>
      </c>
      <c r="J22" s="236">
        <v>31.58</v>
      </c>
      <c r="K22" s="236">
        <v>16.08</v>
      </c>
      <c r="L22" s="236">
        <v>7.02</v>
      </c>
      <c r="M22" s="236">
        <v>0.4367</v>
      </c>
      <c r="N22" s="236">
        <v>0.6781</v>
      </c>
      <c r="O22" s="236">
        <v>0.4062</v>
      </c>
      <c r="P22" s="236">
        <v>2.2901</v>
      </c>
      <c r="Q22" s="236">
        <v>47.84</v>
      </c>
      <c r="R22" s="236">
        <v>42.1</v>
      </c>
      <c r="S22" s="236">
        <v>5.74</v>
      </c>
      <c r="T22" s="236">
        <v>3.2</v>
      </c>
      <c r="U22" s="236">
        <v>44.64</v>
      </c>
      <c r="V22" s="236">
        <v>54.56</v>
      </c>
      <c r="W22" s="236">
        <v>3.3928</v>
      </c>
      <c r="X22" s="236">
        <v>6.69</v>
      </c>
      <c r="Y22" s="236">
        <v>162.0</v>
      </c>
      <c r="Z22" s="236">
        <v>431.0</v>
      </c>
      <c r="AA22" s="236">
        <v>2297.0</v>
      </c>
      <c r="AB22" s="236">
        <v>49.2098</v>
      </c>
      <c r="AC22" s="236">
        <v>0.5535</v>
      </c>
      <c r="AD22" s="236">
        <v>6.14</v>
      </c>
      <c r="AE22" s="236">
        <v>2.0</v>
      </c>
      <c r="AF22" s="236">
        <v>4.0</v>
      </c>
      <c r="AG22" s="236">
        <v>8.0</v>
      </c>
      <c r="AH22" s="236">
        <v>14.0</v>
      </c>
      <c r="AI22" s="236">
        <v>57.71</v>
      </c>
      <c r="AJ22" s="236">
        <v>27.65</v>
      </c>
      <c r="AK22" s="236">
        <v>7.49</v>
      </c>
      <c r="AL22" s="236">
        <v>0.2871</v>
      </c>
      <c r="AM22" s="236"/>
      <c r="AQ22" s="153">
        <v>3.5518</v>
      </c>
      <c r="AR22" s="153">
        <v>0.0539</v>
      </c>
      <c r="AS22" s="153">
        <v>3.4979</v>
      </c>
      <c r="AT22" s="153">
        <v>3.5291</v>
      </c>
      <c r="AU22" s="153">
        <v>0.2195</v>
      </c>
      <c r="AV22" s="153">
        <v>10131.0</v>
      </c>
      <c r="AW22" s="153">
        <v>0.0</v>
      </c>
      <c r="AX22" s="153">
        <v>26.72</v>
      </c>
      <c r="AY22" s="153">
        <v>14.33</v>
      </c>
      <c r="AZ22" s="153">
        <v>2.96</v>
      </c>
      <c r="BA22" s="153">
        <v>3.2</v>
      </c>
      <c r="BB22" s="153">
        <v>0.65</v>
      </c>
      <c r="BC22" s="153">
        <v>33.0</v>
      </c>
      <c r="BD22" s="153">
        <v>24451.0</v>
      </c>
      <c r="BE22" s="153">
        <v>2.2712</v>
      </c>
      <c r="BF22" s="153">
        <v>0.0361</v>
      </c>
      <c r="BG22" s="153">
        <v>2.2351</v>
      </c>
      <c r="BH22" s="153">
        <v>2.0653</v>
      </c>
      <c r="BI22" s="153">
        <v>0.1284</v>
      </c>
      <c r="BJ22" s="153">
        <v>1.2805</v>
      </c>
      <c r="BK22" s="153">
        <v>0.0178</v>
      </c>
      <c r="BL22" s="153">
        <v>1.2628</v>
      </c>
      <c r="BM22" s="153">
        <v>1.4637</v>
      </c>
      <c r="BN22" s="153">
        <v>0.091</v>
      </c>
      <c r="BO22" s="153">
        <v>1.0101</v>
      </c>
      <c r="BP22" s="153">
        <v>0.0123</v>
      </c>
      <c r="BQ22" s="153">
        <v>0.9977</v>
      </c>
      <c r="BR22" s="153">
        <v>0.8714</v>
      </c>
      <c r="BS22" s="153">
        <v>0.8556</v>
      </c>
      <c r="BT22" s="153">
        <v>0.0115</v>
      </c>
      <c r="BU22" s="153">
        <v>0.8441</v>
      </c>
      <c r="BV22" s="153">
        <v>0.7968</v>
      </c>
      <c r="BW22" s="153">
        <v>0.4056</v>
      </c>
      <c r="BX22" s="153">
        <v>0.0123</v>
      </c>
      <c r="BY22" s="153">
        <v>0.3932</v>
      </c>
      <c r="BZ22" s="153">
        <v>0.3972</v>
      </c>
      <c r="CA22" s="153">
        <v>0.225</v>
      </c>
      <c r="CB22" s="153">
        <v>0.0039</v>
      </c>
      <c r="CC22" s="153">
        <v>0.221</v>
      </c>
      <c r="CD22" s="153">
        <v>0.2662</v>
      </c>
      <c r="CE22" s="153">
        <v>0.5955</v>
      </c>
      <c r="CF22" s="153">
        <v>0.0066</v>
      </c>
      <c r="CG22" s="153">
        <v>0.5889</v>
      </c>
      <c r="CH22" s="153">
        <v>0.6562</v>
      </c>
      <c r="CI22" s="153">
        <v>0.4601</v>
      </c>
      <c r="CJ22" s="153">
        <v>0.0072</v>
      </c>
      <c r="CK22" s="153">
        <v>0.4529</v>
      </c>
      <c r="CL22" s="153">
        <v>0.5413</v>
      </c>
      <c r="CM22" s="153">
        <v>107.85</v>
      </c>
      <c r="CN22" s="153">
        <v>73.2</v>
      </c>
      <c r="CO22" s="153">
        <v>147.33</v>
      </c>
      <c r="CP22" s="153">
        <v>100.87</v>
      </c>
      <c r="CQ22" s="153">
        <v>0.0</v>
      </c>
      <c r="CR22" s="153">
        <v>3.98</v>
      </c>
      <c r="CS22" s="153">
        <v>3.0</v>
      </c>
      <c r="CT22" s="153">
        <v>0.0</v>
      </c>
      <c r="CU22" s="153">
        <v>0.0</v>
      </c>
      <c r="CV22" s="153">
        <v>0.0</v>
      </c>
      <c r="CW22" s="153">
        <v>47.84</v>
      </c>
      <c r="CX22" s="153">
        <v>0.0</v>
      </c>
      <c r="CY22" s="153">
        <v>0.0</v>
      </c>
      <c r="CZ22" s="153">
        <v>100.31</v>
      </c>
      <c r="DA22" s="153">
        <v>1.49</v>
      </c>
      <c r="DB22" s="153">
        <v>98.81</v>
      </c>
      <c r="DC22" s="153">
        <v>93.49</v>
      </c>
      <c r="DD22" s="153">
        <v>0.39</v>
      </c>
      <c r="DE22" s="153">
        <v>93.11</v>
      </c>
      <c r="DF22" s="153">
        <v>3.0</v>
      </c>
      <c r="DG22" s="153">
        <v>0.37</v>
      </c>
      <c r="DH22" s="153">
        <v>2.63</v>
      </c>
      <c r="DI22" s="153">
        <v>2.83</v>
      </c>
      <c r="DJ22" s="153">
        <v>0.37</v>
      </c>
      <c r="DK22" s="153">
        <v>2.46</v>
      </c>
      <c r="DL22" s="153">
        <v>0.99</v>
      </c>
      <c r="DM22" s="153">
        <v>0.37</v>
      </c>
      <c r="DN22" s="153">
        <v>0.62</v>
      </c>
      <c r="DO22" s="153">
        <v>71135.0</v>
      </c>
      <c r="DP22" s="153">
        <v>162903.0</v>
      </c>
    </row>
    <row r="23" ht="15.75" customHeight="1">
      <c r="A23" s="235">
        <v>46257.0</v>
      </c>
      <c r="B23" s="236" t="s">
        <v>4</v>
      </c>
      <c r="C23" s="236" t="s">
        <v>134</v>
      </c>
      <c r="D23" s="236">
        <v>7216.0</v>
      </c>
      <c r="E23" s="236">
        <v>25.77</v>
      </c>
      <c r="F23" s="236">
        <v>648.49</v>
      </c>
      <c r="G23" s="236">
        <v>0.0899</v>
      </c>
      <c r="H23" s="236">
        <v>2.37</v>
      </c>
      <c r="I23" s="236">
        <v>3.7923</v>
      </c>
      <c r="J23" s="236">
        <v>49.83</v>
      </c>
      <c r="K23" s="236">
        <v>26.45</v>
      </c>
      <c r="L23" s="236">
        <v>14.5</v>
      </c>
      <c r="M23" s="236">
        <v>0.5481</v>
      </c>
      <c r="N23" s="236">
        <v>0.588</v>
      </c>
      <c r="O23" s="236">
        <v>0.3565</v>
      </c>
      <c r="P23" s="236">
        <v>1.8245</v>
      </c>
      <c r="Q23" s="236">
        <v>85.17</v>
      </c>
      <c r="R23" s="236">
        <v>73.83</v>
      </c>
      <c r="S23" s="236">
        <v>11.33</v>
      </c>
      <c r="T23" s="236">
        <v>7.59</v>
      </c>
      <c r="U23" s="236">
        <v>77.57</v>
      </c>
      <c r="V23" s="236">
        <v>97.97</v>
      </c>
      <c r="W23" s="236">
        <v>3.7044</v>
      </c>
      <c r="X23" s="236">
        <v>8.92</v>
      </c>
      <c r="Y23" s="236">
        <v>186.0</v>
      </c>
      <c r="Z23" s="236">
        <v>498.0</v>
      </c>
      <c r="AA23" s="236">
        <v>2245.0</v>
      </c>
      <c r="AB23" s="236">
        <v>52.5384</v>
      </c>
      <c r="AC23" s="236">
        <v>0.6822</v>
      </c>
      <c r="AD23" s="236">
        <v>10.02</v>
      </c>
      <c r="AE23" s="236">
        <v>3.0</v>
      </c>
      <c r="AF23" s="236">
        <v>7.0</v>
      </c>
      <c r="AG23" s="236">
        <v>13.0</v>
      </c>
      <c r="AH23" s="236">
        <v>22.0</v>
      </c>
      <c r="AI23" s="236">
        <v>53.89</v>
      </c>
      <c r="AJ23" s="236">
        <v>20.75</v>
      </c>
      <c r="AK23" s="236">
        <v>4.13</v>
      </c>
      <c r="AL23" s="236">
        <v>0.253</v>
      </c>
      <c r="AM23" s="236"/>
      <c r="AQ23" s="153">
        <v>5.6652</v>
      </c>
      <c r="AR23" s="153">
        <v>0.1203</v>
      </c>
      <c r="AS23" s="153">
        <v>5.5449</v>
      </c>
      <c r="AT23" s="153">
        <v>6.1649</v>
      </c>
      <c r="AU23" s="153">
        <v>0.2331</v>
      </c>
      <c r="AV23" s="153">
        <v>7216.0</v>
      </c>
      <c r="AW23" s="153">
        <v>0.0</v>
      </c>
      <c r="AX23" s="153">
        <v>38.67</v>
      </c>
      <c r="AY23" s="153">
        <v>33.43</v>
      </c>
      <c r="AZ23" s="153">
        <v>3.98</v>
      </c>
      <c r="BA23" s="153">
        <v>7.59</v>
      </c>
      <c r="BB23" s="153">
        <v>1.48</v>
      </c>
      <c r="BC23" s="153">
        <v>51.0</v>
      </c>
      <c r="BD23" s="153">
        <v>23940.0</v>
      </c>
      <c r="BE23" s="153">
        <v>3.4347</v>
      </c>
      <c r="BF23" s="153">
        <v>0.0553</v>
      </c>
      <c r="BG23" s="153">
        <v>3.3794</v>
      </c>
      <c r="BH23" s="153">
        <v>3.5104</v>
      </c>
      <c r="BI23" s="153">
        <v>0.1327</v>
      </c>
      <c r="BJ23" s="153">
        <v>2.2305</v>
      </c>
      <c r="BK23" s="153">
        <v>0.065</v>
      </c>
      <c r="BL23" s="153">
        <v>2.1655</v>
      </c>
      <c r="BM23" s="153">
        <v>2.6545</v>
      </c>
      <c r="BN23" s="153">
        <v>0.1004</v>
      </c>
      <c r="BO23" s="153">
        <v>1.4573</v>
      </c>
      <c r="BP23" s="153">
        <v>0.018</v>
      </c>
      <c r="BQ23" s="153">
        <v>1.4393</v>
      </c>
      <c r="BR23" s="153">
        <v>1.4065</v>
      </c>
      <c r="BS23" s="153">
        <v>1.1587</v>
      </c>
      <c r="BT23" s="153">
        <v>0.0159</v>
      </c>
      <c r="BU23" s="153">
        <v>1.1427</v>
      </c>
      <c r="BV23" s="153">
        <v>1.2828</v>
      </c>
      <c r="BW23" s="153">
        <v>0.8187</v>
      </c>
      <c r="BX23" s="153">
        <v>0.0213</v>
      </c>
      <c r="BY23" s="153">
        <v>0.7974</v>
      </c>
      <c r="BZ23" s="153">
        <v>0.8211</v>
      </c>
      <c r="CA23" s="153">
        <v>0.4476</v>
      </c>
      <c r="CB23" s="153">
        <v>0.0179</v>
      </c>
      <c r="CC23" s="153">
        <v>0.4297</v>
      </c>
      <c r="CD23" s="153">
        <v>0.6294</v>
      </c>
      <c r="CE23" s="153">
        <v>0.8458</v>
      </c>
      <c r="CF23" s="153">
        <v>0.024</v>
      </c>
      <c r="CG23" s="153">
        <v>0.8218</v>
      </c>
      <c r="CH23" s="153">
        <v>1.0012</v>
      </c>
      <c r="CI23" s="153">
        <v>0.9371</v>
      </c>
      <c r="CJ23" s="153">
        <v>0.0231</v>
      </c>
      <c r="CK23" s="153">
        <v>0.9139</v>
      </c>
      <c r="CL23" s="153">
        <v>1.0238</v>
      </c>
      <c r="CM23" s="153">
        <v>204.39</v>
      </c>
      <c r="CN23" s="153">
        <v>87.56</v>
      </c>
      <c r="CO23" s="153">
        <v>233.45</v>
      </c>
      <c r="CP23" s="153">
        <v>192.7</v>
      </c>
      <c r="CQ23" s="153">
        <v>0.0</v>
      </c>
      <c r="CR23" s="153">
        <v>3.66</v>
      </c>
      <c r="CS23" s="153">
        <v>8.03</v>
      </c>
      <c r="CT23" s="153">
        <v>0.0</v>
      </c>
      <c r="CU23" s="153">
        <v>0.0</v>
      </c>
      <c r="CV23" s="153">
        <v>0.0</v>
      </c>
      <c r="CW23" s="153">
        <v>85.17</v>
      </c>
      <c r="CX23" s="153">
        <v>0.0</v>
      </c>
      <c r="CY23" s="153">
        <v>0.0</v>
      </c>
      <c r="CZ23" s="153">
        <v>135.21</v>
      </c>
      <c r="DA23" s="153">
        <v>2.01</v>
      </c>
      <c r="DB23" s="153">
        <v>133.2</v>
      </c>
      <c r="DC23" s="153">
        <v>127.47</v>
      </c>
      <c r="DD23" s="153">
        <v>0.68</v>
      </c>
      <c r="DE23" s="153">
        <v>126.79</v>
      </c>
      <c r="DF23" s="153">
        <v>3.59</v>
      </c>
      <c r="DG23" s="153">
        <v>0.44</v>
      </c>
      <c r="DH23" s="153">
        <v>3.14</v>
      </c>
      <c r="DI23" s="153">
        <v>2.95</v>
      </c>
      <c r="DJ23" s="153">
        <v>0.44</v>
      </c>
      <c r="DK23" s="153">
        <v>2.5</v>
      </c>
      <c r="DL23" s="153">
        <v>1.21</v>
      </c>
      <c r="DM23" s="153">
        <v>0.44</v>
      </c>
      <c r="DN23" s="153">
        <v>0.76</v>
      </c>
      <c r="DO23" s="153">
        <v>104601.0</v>
      </c>
      <c r="DP23" s="153">
        <v>190841.0</v>
      </c>
    </row>
    <row r="24" ht="15.75" customHeight="1">
      <c r="A24" s="235">
        <v>46257.0</v>
      </c>
      <c r="B24" s="236" t="s">
        <v>4</v>
      </c>
      <c r="C24" s="236" t="s">
        <v>135</v>
      </c>
      <c r="D24" s="236">
        <v>6131.0</v>
      </c>
      <c r="E24" s="236">
        <v>21.89</v>
      </c>
      <c r="F24" s="236">
        <v>1228.54</v>
      </c>
      <c r="G24" s="236">
        <v>0.2004</v>
      </c>
      <c r="H24" s="236">
        <v>4.08</v>
      </c>
      <c r="I24" s="236">
        <v>4.9142</v>
      </c>
      <c r="J24" s="236">
        <v>72.14</v>
      </c>
      <c r="K24" s="236">
        <v>40.18</v>
      </c>
      <c r="L24" s="236">
        <v>25.78</v>
      </c>
      <c r="M24" s="236">
        <v>0.6417</v>
      </c>
      <c r="N24" s="236">
        <v>0.4966</v>
      </c>
      <c r="O24" s="236">
        <v>0.299</v>
      </c>
      <c r="P24" s="236">
        <v>1.5584</v>
      </c>
      <c r="Q24" s="236">
        <v>135.5</v>
      </c>
      <c r="R24" s="236">
        <v>117.14</v>
      </c>
      <c r="S24" s="236">
        <v>18.36</v>
      </c>
      <c r="T24" s="236">
        <v>17.37</v>
      </c>
      <c r="U24" s="236">
        <v>118.13</v>
      </c>
      <c r="V24" s="236">
        <v>152.49</v>
      </c>
      <c r="W24" s="236">
        <v>3.7955</v>
      </c>
      <c r="X24" s="236">
        <v>12.82</v>
      </c>
      <c r="Y24" s="236">
        <v>207.0</v>
      </c>
      <c r="Z24" s="236">
        <v>539.0</v>
      </c>
      <c r="AA24" s="236">
        <v>2107.0</v>
      </c>
      <c r="AB24" s="236">
        <v>53.9613</v>
      </c>
      <c r="AC24" s="236">
        <v>0.6992</v>
      </c>
      <c r="AD24" s="236">
        <v>15.59</v>
      </c>
      <c r="AE24" s="236">
        <v>6.0</v>
      </c>
      <c r="AF24" s="236">
        <v>11.0</v>
      </c>
      <c r="AG24" s="236">
        <v>20.0</v>
      </c>
      <c r="AH24" s="236">
        <v>34.0</v>
      </c>
      <c r="AI24" s="236">
        <v>43.39</v>
      </c>
      <c r="AJ24" s="236">
        <v>14.11</v>
      </c>
      <c r="AK24" s="236">
        <v>3.7</v>
      </c>
      <c r="AL24" s="236">
        <v>0.1992</v>
      </c>
      <c r="AM24" s="236"/>
      <c r="AQ24" s="153">
        <v>8.3396</v>
      </c>
      <c r="AR24" s="153">
        <v>0.215</v>
      </c>
      <c r="AS24" s="153">
        <v>8.1246</v>
      </c>
      <c r="AT24" s="153">
        <v>9.0418</v>
      </c>
      <c r="AU24" s="153">
        <v>0.2251</v>
      </c>
      <c r="AV24" s="153">
        <v>6131.0</v>
      </c>
      <c r="AW24" s="153">
        <v>0.0</v>
      </c>
      <c r="AX24" s="153">
        <v>54.28</v>
      </c>
      <c r="AY24" s="153">
        <v>57.74</v>
      </c>
      <c r="AZ24" s="153">
        <v>3.9</v>
      </c>
      <c r="BA24" s="153">
        <v>17.37</v>
      </c>
      <c r="BB24" s="153">
        <v>2.2</v>
      </c>
      <c r="BC24" s="153">
        <v>76.0</v>
      </c>
      <c r="BD24" s="153">
        <v>23475.0</v>
      </c>
      <c r="BE24" s="153">
        <v>4.895</v>
      </c>
      <c r="BF24" s="153">
        <v>0.1042</v>
      </c>
      <c r="BG24" s="153">
        <v>4.7907</v>
      </c>
      <c r="BH24" s="153">
        <v>4.9088</v>
      </c>
      <c r="BI24" s="153">
        <v>0.1222</v>
      </c>
      <c r="BJ24" s="153">
        <v>3.4446</v>
      </c>
      <c r="BK24" s="153">
        <v>0.1107</v>
      </c>
      <c r="BL24" s="153">
        <v>3.3339</v>
      </c>
      <c r="BM24" s="153">
        <v>4.1329</v>
      </c>
      <c r="BN24" s="153">
        <v>0.1029</v>
      </c>
      <c r="BO24" s="153">
        <v>1.7741</v>
      </c>
      <c r="BP24" s="153">
        <v>0.0351</v>
      </c>
      <c r="BQ24" s="153">
        <v>1.739</v>
      </c>
      <c r="BR24" s="153">
        <v>1.7943</v>
      </c>
      <c r="BS24" s="153">
        <v>1.7387</v>
      </c>
      <c r="BT24" s="153">
        <v>0.0341</v>
      </c>
      <c r="BU24" s="153">
        <v>1.7046</v>
      </c>
      <c r="BV24" s="153">
        <v>1.8025</v>
      </c>
      <c r="BW24" s="153">
        <v>1.3822</v>
      </c>
      <c r="BX24" s="153">
        <v>0.0351</v>
      </c>
      <c r="BY24" s="153">
        <v>1.3471</v>
      </c>
      <c r="BZ24" s="153">
        <v>1.312</v>
      </c>
      <c r="CA24" s="153">
        <v>0.8062</v>
      </c>
      <c r="CB24" s="153">
        <v>0.0297</v>
      </c>
      <c r="CC24" s="153">
        <v>0.7765</v>
      </c>
      <c r="CD24" s="153">
        <v>1.0829</v>
      </c>
      <c r="CE24" s="153">
        <v>1.2991</v>
      </c>
      <c r="CF24" s="153">
        <v>0.0442</v>
      </c>
      <c r="CG24" s="153">
        <v>1.2549</v>
      </c>
      <c r="CH24" s="153">
        <v>1.4293</v>
      </c>
      <c r="CI24" s="153">
        <v>1.3393</v>
      </c>
      <c r="CJ24" s="153">
        <v>0.0369</v>
      </c>
      <c r="CK24" s="153">
        <v>1.3024</v>
      </c>
      <c r="CL24" s="153">
        <v>1.6208</v>
      </c>
      <c r="CM24" s="153">
        <v>350.73</v>
      </c>
      <c r="CN24" s="153">
        <v>93.48</v>
      </c>
      <c r="CO24" s="153">
        <v>375.21</v>
      </c>
      <c r="CP24" s="153">
        <v>335.02</v>
      </c>
      <c r="CQ24" s="153">
        <v>0.0</v>
      </c>
      <c r="CR24" s="153">
        <v>3.55</v>
      </c>
      <c r="CS24" s="153">
        <v>12.16</v>
      </c>
      <c r="CT24" s="153">
        <v>0.0</v>
      </c>
      <c r="CU24" s="153">
        <v>0.0</v>
      </c>
      <c r="CV24" s="153">
        <v>0.0</v>
      </c>
      <c r="CW24" s="153">
        <v>135.5</v>
      </c>
      <c r="CX24" s="153">
        <v>0.0</v>
      </c>
      <c r="CY24" s="153">
        <v>0.0</v>
      </c>
      <c r="CZ24" s="153">
        <v>178.61</v>
      </c>
      <c r="DA24" s="153">
        <v>3.61</v>
      </c>
      <c r="DB24" s="153">
        <v>175.0</v>
      </c>
      <c r="DC24" s="153">
        <v>166.05</v>
      </c>
      <c r="DD24" s="153">
        <v>1.27</v>
      </c>
      <c r="DE24" s="153">
        <v>164.78</v>
      </c>
      <c r="DF24" s="153">
        <v>6.42</v>
      </c>
      <c r="DG24" s="153">
        <v>0.78</v>
      </c>
      <c r="DH24" s="153">
        <v>5.64</v>
      </c>
      <c r="DI24" s="153">
        <v>4.45</v>
      </c>
      <c r="DJ24" s="153">
        <v>0.78</v>
      </c>
      <c r="DK24" s="153">
        <v>3.67</v>
      </c>
      <c r="DL24" s="153">
        <v>1.68</v>
      </c>
      <c r="DM24" s="153">
        <v>0.78</v>
      </c>
      <c r="DN24" s="153">
        <v>0.9</v>
      </c>
      <c r="DO24" s="153">
        <v>158060.0</v>
      </c>
      <c r="DP24" s="153">
        <v>246315.0</v>
      </c>
    </row>
    <row r="25" ht="15.75" customHeight="1">
      <c r="A25" s="235">
        <v>46257.0</v>
      </c>
      <c r="B25" s="236" t="s">
        <v>4</v>
      </c>
      <c r="C25" s="236" t="s">
        <v>136</v>
      </c>
      <c r="D25" s="236">
        <v>3937.0</v>
      </c>
      <c r="E25" s="236">
        <v>14.06</v>
      </c>
      <c r="F25" s="236">
        <v>1584.19</v>
      </c>
      <c r="G25" s="236">
        <v>0.4024</v>
      </c>
      <c r="H25" s="236">
        <v>6.15</v>
      </c>
      <c r="I25" s="236">
        <v>6.5462</v>
      </c>
      <c r="J25" s="236">
        <v>110.82</v>
      </c>
      <c r="K25" s="236">
        <v>66.12</v>
      </c>
      <c r="L25" s="236">
        <v>47.21</v>
      </c>
      <c r="M25" s="236">
        <v>0.7141</v>
      </c>
      <c r="N25" s="236">
        <v>0.4272</v>
      </c>
      <c r="O25" s="236">
        <v>0.2617</v>
      </c>
      <c r="P25" s="236">
        <v>1.4005</v>
      </c>
      <c r="Q25" s="236">
        <v>214.76</v>
      </c>
      <c r="R25" s="236">
        <v>184.78</v>
      </c>
      <c r="S25" s="236">
        <v>29.98</v>
      </c>
      <c r="T25" s="236">
        <v>35.62</v>
      </c>
      <c r="U25" s="236">
        <v>179.14</v>
      </c>
      <c r="V25" s="236">
        <v>269.33</v>
      </c>
      <c r="W25" s="236">
        <v>4.0732</v>
      </c>
      <c r="X25" s="236">
        <v>16.59</v>
      </c>
      <c r="Y25" s="236">
        <v>245.0</v>
      </c>
      <c r="Z25" s="236">
        <v>807.0</v>
      </c>
      <c r="AA25" s="236">
        <v>3064.0</v>
      </c>
      <c r="AB25" s="236">
        <v>55.4207</v>
      </c>
      <c r="AC25" s="236">
        <v>0.674</v>
      </c>
      <c r="AD25" s="236">
        <v>25.76</v>
      </c>
      <c r="AE25" s="236">
        <v>10.0</v>
      </c>
      <c r="AF25" s="236">
        <v>18.0</v>
      </c>
      <c r="AG25" s="236">
        <v>33.0</v>
      </c>
      <c r="AH25" s="236">
        <v>56.0</v>
      </c>
      <c r="AI25" s="236">
        <v>29.39</v>
      </c>
      <c r="AJ25" s="236">
        <v>7.82</v>
      </c>
      <c r="AK25" s="236">
        <v>1.83</v>
      </c>
      <c r="AL25" s="236">
        <v>0.1273</v>
      </c>
      <c r="AM25" s="236"/>
      <c r="AQ25" s="153">
        <v>11.7381</v>
      </c>
      <c r="AR25" s="153">
        <v>0.5707</v>
      </c>
      <c r="AS25" s="153">
        <v>11.1674</v>
      </c>
      <c r="AT25" s="153">
        <v>13.3363</v>
      </c>
      <c r="AU25" s="153">
        <v>0.2017</v>
      </c>
      <c r="AV25" s="153">
        <v>3937.0</v>
      </c>
      <c r="AW25" s="153">
        <v>0.0</v>
      </c>
      <c r="AX25" s="153">
        <v>80.39</v>
      </c>
      <c r="AY25" s="153">
        <v>89.28</v>
      </c>
      <c r="AZ25" s="153">
        <v>5.85</v>
      </c>
      <c r="BA25" s="153">
        <v>35.62</v>
      </c>
      <c r="BB25" s="153">
        <v>3.64</v>
      </c>
      <c r="BC25" s="153">
        <v>124.0</v>
      </c>
      <c r="BD25" s="153">
        <v>25117.0</v>
      </c>
      <c r="BE25" s="153">
        <v>6.5039</v>
      </c>
      <c r="BF25" s="153">
        <v>0.3292</v>
      </c>
      <c r="BG25" s="153">
        <v>6.1748</v>
      </c>
      <c r="BH25" s="153">
        <v>7.1064</v>
      </c>
      <c r="BI25" s="153">
        <v>0.1075</v>
      </c>
      <c r="BJ25" s="153">
        <v>5.2342</v>
      </c>
      <c r="BK25" s="153">
        <v>0.2416</v>
      </c>
      <c r="BL25" s="153">
        <v>4.9926</v>
      </c>
      <c r="BM25" s="153">
        <v>6.2299</v>
      </c>
      <c r="BN25" s="153">
        <v>0.0942</v>
      </c>
      <c r="BO25" s="153">
        <v>2.2223</v>
      </c>
      <c r="BP25" s="153">
        <v>0.1102</v>
      </c>
      <c r="BQ25" s="153">
        <v>2.112</v>
      </c>
      <c r="BR25" s="153">
        <v>2.5154</v>
      </c>
      <c r="BS25" s="153">
        <v>2.236</v>
      </c>
      <c r="BT25" s="153">
        <v>0.1087</v>
      </c>
      <c r="BU25" s="153">
        <v>2.1273</v>
      </c>
      <c r="BV25" s="153">
        <v>2.5456</v>
      </c>
      <c r="BW25" s="153">
        <v>2.0457</v>
      </c>
      <c r="BX25" s="153">
        <v>0.1102</v>
      </c>
      <c r="BY25" s="153">
        <v>1.9355</v>
      </c>
      <c r="BZ25" s="153">
        <v>2.0455</v>
      </c>
      <c r="CA25" s="153">
        <v>1.444</v>
      </c>
      <c r="CB25" s="153">
        <v>0.0681</v>
      </c>
      <c r="CC25" s="153">
        <v>1.3759</v>
      </c>
      <c r="CD25" s="153">
        <v>1.8951</v>
      </c>
      <c r="CE25" s="153">
        <v>1.8331</v>
      </c>
      <c r="CF25" s="153">
        <v>0.0932</v>
      </c>
      <c r="CG25" s="153">
        <v>1.7399</v>
      </c>
      <c r="CH25" s="153">
        <v>2.0269</v>
      </c>
      <c r="CI25" s="153">
        <v>1.9571</v>
      </c>
      <c r="CJ25" s="153">
        <v>0.0803</v>
      </c>
      <c r="CK25" s="153">
        <v>1.8768</v>
      </c>
      <c r="CL25" s="153">
        <v>2.3078</v>
      </c>
      <c r="CM25" s="153">
        <v>619.38</v>
      </c>
      <c r="CN25" s="153">
        <v>96.62</v>
      </c>
      <c r="CO25" s="153">
        <v>641.03</v>
      </c>
      <c r="CP25" s="153">
        <v>600.44</v>
      </c>
      <c r="CQ25" s="153">
        <v>0.0</v>
      </c>
      <c r="CR25" s="153">
        <v>4.53</v>
      </c>
      <c r="CS25" s="153">
        <v>14.41</v>
      </c>
      <c r="CT25" s="153">
        <v>0.0</v>
      </c>
      <c r="CU25" s="153">
        <v>0.0</v>
      </c>
      <c r="CV25" s="153">
        <v>0.0</v>
      </c>
      <c r="CW25" s="153">
        <v>214.76</v>
      </c>
      <c r="CX25" s="153">
        <v>0.0</v>
      </c>
      <c r="CY25" s="153">
        <v>0.0</v>
      </c>
      <c r="CZ25" s="153">
        <v>246.23</v>
      </c>
      <c r="DA25" s="153">
        <v>5.57</v>
      </c>
      <c r="DB25" s="153">
        <v>240.67</v>
      </c>
      <c r="DC25" s="153">
        <v>230.17</v>
      </c>
      <c r="DD25" s="153">
        <v>1.99</v>
      </c>
      <c r="DE25" s="153">
        <v>228.18</v>
      </c>
      <c r="DF25" s="153">
        <v>7.46</v>
      </c>
      <c r="DG25" s="153">
        <v>1.19</v>
      </c>
      <c r="DH25" s="153">
        <v>6.27</v>
      </c>
      <c r="DI25" s="153">
        <v>6.28</v>
      </c>
      <c r="DJ25" s="153">
        <v>1.19</v>
      </c>
      <c r="DK25" s="153">
        <v>5.09</v>
      </c>
      <c r="DL25" s="153">
        <v>2.32</v>
      </c>
      <c r="DM25" s="153">
        <v>1.19</v>
      </c>
      <c r="DN25" s="153">
        <v>1.13</v>
      </c>
      <c r="DO25" s="153">
        <v>185883.0</v>
      </c>
      <c r="DP25" s="153">
        <v>260321.0</v>
      </c>
    </row>
    <row r="26" ht="15.75" customHeight="1">
      <c r="A26" s="235">
        <v>46257.0</v>
      </c>
      <c r="B26" s="236" t="s">
        <v>4</v>
      </c>
      <c r="C26" s="236" t="s">
        <v>137</v>
      </c>
      <c r="D26" s="236">
        <v>587.0</v>
      </c>
      <c r="E26" s="236">
        <v>2.1</v>
      </c>
      <c r="F26" s="236">
        <v>542.25</v>
      </c>
      <c r="G26" s="236">
        <v>0.9238</v>
      </c>
      <c r="H26" s="236">
        <v>8.35</v>
      </c>
      <c r="I26" s="236">
        <v>11.0663</v>
      </c>
      <c r="J26" s="236">
        <v>201.82</v>
      </c>
      <c r="K26" s="236">
        <v>128.99</v>
      </c>
      <c r="L26" s="236">
        <v>99.29</v>
      </c>
      <c r="M26" s="236">
        <v>0.7698</v>
      </c>
      <c r="N26" s="236">
        <v>0.3573</v>
      </c>
      <c r="O26" s="236">
        <v>0.2247</v>
      </c>
      <c r="P26" s="236">
        <v>1.2991</v>
      </c>
      <c r="Q26" s="236">
        <v>332.25</v>
      </c>
      <c r="R26" s="236">
        <v>277.68</v>
      </c>
      <c r="S26" s="236">
        <v>54.57</v>
      </c>
      <c r="T26" s="236">
        <v>92.93</v>
      </c>
      <c r="U26" s="236">
        <v>239.32</v>
      </c>
      <c r="V26" s="236">
        <v>441.06</v>
      </c>
      <c r="W26" s="236">
        <v>3.4192</v>
      </c>
      <c r="X26" s="236">
        <v>27.97</v>
      </c>
      <c r="Y26" s="236">
        <v>246.0</v>
      </c>
      <c r="Z26" s="236">
        <v>958.0</v>
      </c>
      <c r="AA26" s="236">
        <v>3939.0</v>
      </c>
      <c r="AB26" s="236">
        <v>56.3981</v>
      </c>
      <c r="AC26" s="236">
        <v>0.5899</v>
      </c>
      <c r="AD26" s="236">
        <v>41.04</v>
      </c>
      <c r="AE26" s="236">
        <v>16.0</v>
      </c>
      <c r="AF26" s="236">
        <v>28.0</v>
      </c>
      <c r="AG26" s="236">
        <v>51.0</v>
      </c>
      <c r="AH26" s="236">
        <v>93.0</v>
      </c>
      <c r="AI26" s="236">
        <v>12.27</v>
      </c>
      <c r="AJ26" s="236">
        <v>3.07</v>
      </c>
      <c r="AK26" s="236">
        <v>0.51</v>
      </c>
      <c r="AL26" s="236">
        <v>0.0784</v>
      </c>
      <c r="AM26" s="237"/>
      <c r="AQ26" s="153">
        <v>17.4838</v>
      </c>
      <c r="AR26" s="153">
        <v>0.7325</v>
      </c>
      <c r="AS26" s="153">
        <v>16.7513</v>
      </c>
      <c r="AT26" s="153">
        <v>19.678</v>
      </c>
      <c r="AU26" s="153">
        <v>0.1526</v>
      </c>
      <c r="AV26" s="153">
        <v>587.0</v>
      </c>
      <c r="AW26" s="153">
        <v>0.0</v>
      </c>
      <c r="AX26" s="153">
        <v>132.15</v>
      </c>
      <c r="AY26" s="153">
        <v>89.92</v>
      </c>
      <c r="AZ26" s="153">
        <v>11.78</v>
      </c>
      <c r="BA26" s="153">
        <v>92.93</v>
      </c>
      <c r="BB26" s="153">
        <v>5.47</v>
      </c>
      <c r="BC26" s="153">
        <v>191.0</v>
      </c>
      <c r="BD26" s="153">
        <v>28620.0</v>
      </c>
      <c r="BE26" s="153">
        <v>9.7632</v>
      </c>
      <c r="BF26" s="153">
        <v>0.2504</v>
      </c>
      <c r="BG26" s="153">
        <v>9.5128</v>
      </c>
      <c r="BH26" s="153">
        <v>10.8705</v>
      </c>
      <c r="BI26" s="153">
        <v>0.0843</v>
      </c>
      <c r="BJ26" s="153">
        <v>7.7206</v>
      </c>
      <c r="BK26" s="153">
        <v>0.4821</v>
      </c>
      <c r="BL26" s="153">
        <v>7.2385</v>
      </c>
      <c r="BM26" s="153">
        <v>8.8075</v>
      </c>
      <c r="BN26" s="153">
        <v>0.0683</v>
      </c>
      <c r="BO26" s="153">
        <v>3.3288</v>
      </c>
      <c r="BP26" s="153">
        <v>0.0835</v>
      </c>
      <c r="BQ26" s="153">
        <v>3.2453</v>
      </c>
      <c r="BR26" s="153">
        <v>3.8211</v>
      </c>
      <c r="BS26" s="153">
        <v>3.3475</v>
      </c>
      <c r="BT26" s="153">
        <v>0.0835</v>
      </c>
      <c r="BU26" s="153">
        <v>3.2641</v>
      </c>
      <c r="BV26" s="153">
        <v>3.7836</v>
      </c>
      <c r="BW26" s="153">
        <v>3.0869</v>
      </c>
      <c r="BX26" s="153">
        <v>0.0835</v>
      </c>
      <c r="BY26" s="153">
        <v>3.0034</v>
      </c>
      <c r="BZ26" s="153">
        <v>3.2658</v>
      </c>
      <c r="CA26" s="153">
        <v>2.2232</v>
      </c>
      <c r="CB26" s="153">
        <v>0.109</v>
      </c>
      <c r="CC26" s="153">
        <v>2.1141</v>
      </c>
      <c r="CD26" s="153">
        <v>2.6286</v>
      </c>
      <c r="CE26" s="153">
        <v>2.552</v>
      </c>
      <c r="CF26" s="153">
        <v>0.2095</v>
      </c>
      <c r="CG26" s="153">
        <v>2.3424</v>
      </c>
      <c r="CH26" s="153">
        <v>2.9881</v>
      </c>
      <c r="CI26" s="153">
        <v>2.9455</v>
      </c>
      <c r="CJ26" s="153">
        <v>0.1635</v>
      </c>
      <c r="CK26" s="153">
        <v>2.7819</v>
      </c>
      <c r="CL26" s="153">
        <v>3.1908</v>
      </c>
      <c r="CM26" s="153">
        <v>1292.3</v>
      </c>
      <c r="CN26" s="153">
        <v>98.47</v>
      </c>
      <c r="CO26" s="153">
        <v>1312.43</v>
      </c>
      <c r="CP26" s="153">
        <v>1273.52</v>
      </c>
      <c r="CQ26" s="153">
        <v>0.0</v>
      </c>
      <c r="CR26" s="153">
        <v>5.11</v>
      </c>
      <c r="CS26" s="153">
        <v>13.67</v>
      </c>
      <c r="CT26" s="153">
        <v>0.0</v>
      </c>
      <c r="CU26" s="153">
        <v>0.0</v>
      </c>
      <c r="CV26" s="153">
        <v>0.0</v>
      </c>
      <c r="CW26" s="153">
        <v>332.25</v>
      </c>
      <c r="CX26" s="153">
        <v>0.0</v>
      </c>
      <c r="CY26" s="153">
        <v>0.0</v>
      </c>
      <c r="CZ26" s="153">
        <v>364.17</v>
      </c>
      <c r="DA26" s="153">
        <v>17.04</v>
      </c>
      <c r="DB26" s="153">
        <v>347.13</v>
      </c>
      <c r="DC26" s="153">
        <v>343.53</v>
      </c>
      <c r="DD26" s="153">
        <v>5.79</v>
      </c>
      <c r="DE26" s="153">
        <v>337.73</v>
      </c>
      <c r="DF26" s="153">
        <v>7.96</v>
      </c>
      <c r="DG26" s="153">
        <v>3.75</v>
      </c>
      <c r="DH26" s="153">
        <v>4.21</v>
      </c>
      <c r="DI26" s="153">
        <v>7.67</v>
      </c>
      <c r="DJ26" s="153">
        <v>3.75</v>
      </c>
      <c r="DK26" s="153">
        <v>3.92</v>
      </c>
      <c r="DL26" s="153">
        <v>5.02</v>
      </c>
      <c r="DM26" s="153">
        <v>3.75</v>
      </c>
      <c r="DN26" s="153">
        <v>1.27</v>
      </c>
      <c r="DO26" s="153">
        <v>58285.0</v>
      </c>
      <c r="DP26" s="153">
        <v>75719.0</v>
      </c>
    </row>
    <row r="27" ht="15.75" customHeight="1">
      <c r="A27" s="235">
        <v>46257.0</v>
      </c>
      <c r="B27" s="236" t="s">
        <v>5</v>
      </c>
      <c r="C27" s="236" t="s">
        <v>133</v>
      </c>
      <c r="D27" s="236">
        <v>10223.0</v>
      </c>
      <c r="E27" s="236">
        <v>36.63</v>
      </c>
      <c r="F27" s="236">
        <v>387.62</v>
      </c>
      <c r="G27" s="236">
        <v>0.0379</v>
      </c>
      <c r="H27" s="236">
        <v>1.39</v>
      </c>
      <c r="I27" s="236">
        <v>2.7297</v>
      </c>
      <c r="J27" s="236">
        <v>27.94</v>
      </c>
      <c r="K27" s="236">
        <v>13.99</v>
      </c>
      <c r="L27" s="236">
        <v>6.45</v>
      </c>
      <c r="M27" s="236">
        <v>0.4611</v>
      </c>
      <c r="N27" s="236">
        <v>0.6611</v>
      </c>
      <c r="O27" s="236">
        <v>0.3966</v>
      </c>
      <c r="P27" s="236">
        <v>2.1689</v>
      </c>
      <c r="Q27" s="236">
        <v>44.43</v>
      </c>
      <c r="R27" s="236">
        <v>39.43</v>
      </c>
      <c r="S27" s="236">
        <v>5.01</v>
      </c>
      <c r="T27" s="236">
        <v>3.28</v>
      </c>
      <c r="U27" s="236">
        <v>41.16</v>
      </c>
      <c r="V27" s="236">
        <v>50.21</v>
      </c>
      <c r="W27" s="236">
        <v>3.5889</v>
      </c>
      <c r="X27" s="236">
        <v>7.37</v>
      </c>
      <c r="Y27" s="236">
        <v>145.0</v>
      </c>
      <c r="Z27" s="236">
        <v>422.0</v>
      </c>
      <c r="AA27" s="236">
        <v>2430.0</v>
      </c>
      <c r="AB27" s="236">
        <v>49.396</v>
      </c>
      <c r="AC27" s="236">
        <v>0.5656</v>
      </c>
      <c r="AD27" s="236">
        <v>6.13</v>
      </c>
      <c r="AE27" s="236">
        <v>2.0</v>
      </c>
      <c r="AF27" s="236">
        <v>4.0</v>
      </c>
      <c r="AG27" s="236">
        <v>8.0</v>
      </c>
      <c r="AH27" s="236">
        <v>14.0</v>
      </c>
      <c r="AI27" s="236">
        <v>56.4</v>
      </c>
      <c r="AJ27" s="236">
        <v>27.08</v>
      </c>
      <c r="AK27" s="236">
        <v>7.69</v>
      </c>
      <c r="AL27" s="236">
        <v>0.2951</v>
      </c>
      <c r="AM27" s="236">
        <v>49.87</v>
      </c>
      <c r="AN27" s="153">
        <v>49.87</v>
      </c>
      <c r="AO27" s="153">
        <v>29.68</v>
      </c>
      <c r="AP27" s="153">
        <v>14.06</v>
      </c>
      <c r="AQ27" s="153">
        <v>2.7719</v>
      </c>
      <c r="AR27" s="153">
        <v>0.0393</v>
      </c>
      <c r="AS27" s="153">
        <v>2.7326</v>
      </c>
      <c r="AT27" s="153">
        <v>3.071</v>
      </c>
      <c r="AU27" s="153">
        <v>0.2195</v>
      </c>
      <c r="AV27" s="153">
        <v>10223.0</v>
      </c>
      <c r="AW27" s="153">
        <v>0.0</v>
      </c>
      <c r="AX27" s="153">
        <v>23.25</v>
      </c>
      <c r="AY27" s="153">
        <v>14.41</v>
      </c>
      <c r="AZ27" s="153">
        <v>2.73</v>
      </c>
      <c r="BA27" s="153">
        <v>3.28</v>
      </c>
      <c r="BB27" s="153">
        <v>0.79</v>
      </c>
      <c r="BC27" s="153">
        <v>33.0</v>
      </c>
      <c r="BD27" s="153">
        <v>25242.0</v>
      </c>
      <c r="BE27" s="153">
        <v>1.7925</v>
      </c>
      <c r="BF27" s="153">
        <v>0.0194</v>
      </c>
      <c r="BG27" s="153">
        <v>1.7732</v>
      </c>
      <c r="BH27" s="153">
        <v>1.7917</v>
      </c>
      <c r="BI27" s="153">
        <v>0.1281</v>
      </c>
      <c r="BJ27" s="153">
        <v>0.9794</v>
      </c>
      <c r="BK27" s="153">
        <v>0.02</v>
      </c>
      <c r="BL27" s="153">
        <v>0.9594</v>
      </c>
      <c r="BM27" s="153">
        <v>1.2793</v>
      </c>
      <c r="BN27" s="153">
        <v>0.0914</v>
      </c>
      <c r="BO27" s="153">
        <v>0.8204</v>
      </c>
      <c r="BP27" s="153">
        <v>0.0088</v>
      </c>
      <c r="BQ27" s="153">
        <v>0.8116</v>
      </c>
      <c r="BR27" s="153">
        <v>0.7589</v>
      </c>
      <c r="BS27" s="153">
        <v>0.7298</v>
      </c>
      <c r="BT27" s="153">
        <v>0.0047</v>
      </c>
      <c r="BU27" s="153">
        <v>0.7251</v>
      </c>
      <c r="BV27" s="153">
        <v>0.7253</v>
      </c>
      <c r="BW27" s="153">
        <v>0.2423</v>
      </c>
      <c r="BX27" s="153">
        <v>0.0059</v>
      </c>
      <c r="BY27" s="153">
        <v>0.2364</v>
      </c>
      <c r="BZ27" s="153">
        <v>0.3075</v>
      </c>
      <c r="CA27" s="153">
        <v>0.1054</v>
      </c>
      <c r="CB27" s="153">
        <v>0.0046</v>
      </c>
      <c r="CC27" s="153">
        <v>0.1008</v>
      </c>
      <c r="CD27" s="153">
        <v>0.1775</v>
      </c>
      <c r="CE27" s="153">
        <v>0.5201</v>
      </c>
      <c r="CF27" s="153">
        <v>0.0075</v>
      </c>
      <c r="CG27" s="153">
        <v>0.5126</v>
      </c>
      <c r="CH27" s="153">
        <v>0.6412</v>
      </c>
      <c r="CI27" s="153">
        <v>0.3539</v>
      </c>
      <c r="CJ27" s="153">
        <v>0.0078</v>
      </c>
      <c r="CK27" s="153">
        <v>0.3461</v>
      </c>
      <c r="CL27" s="153">
        <v>0.4605</v>
      </c>
      <c r="CM27" s="153">
        <v>85.83</v>
      </c>
      <c r="CN27" s="153">
        <v>72.15</v>
      </c>
      <c r="CO27" s="153">
        <v>118.96</v>
      </c>
      <c r="CP27" s="153">
        <v>75.88</v>
      </c>
      <c r="CQ27" s="153">
        <v>0.03</v>
      </c>
      <c r="CR27" s="153">
        <v>3.77</v>
      </c>
      <c r="CS27" s="153">
        <v>6.14</v>
      </c>
      <c r="CT27" s="153">
        <v>0.0</v>
      </c>
      <c r="CU27" s="153">
        <v>2.0</v>
      </c>
      <c r="CV27" s="153">
        <v>0.0</v>
      </c>
      <c r="CW27" s="153">
        <v>44.44</v>
      </c>
      <c r="CX27" s="153">
        <v>0.0</v>
      </c>
      <c r="CY27" s="153">
        <v>0.03</v>
      </c>
      <c r="CZ27" s="153">
        <v>83.22</v>
      </c>
      <c r="DA27" s="153">
        <v>0.85</v>
      </c>
      <c r="DB27" s="153">
        <v>82.37</v>
      </c>
      <c r="DC27" s="153">
        <v>74.82</v>
      </c>
      <c r="DD27" s="153">
        <v>0.23</v>
      </c>
      <c r="DE27" s="153">
        <v>74.59</v>
      </c>
      <c r="DF27" s="153">
        <v>4.02</v>
      </c>
      <c r="DG27" s="153">
        <v>0.21</v>
      </c>
      <c r="DH27" s="153">
        <v>3.81</v>
      </c>
      <c r="DI27" s="153">
        <v>3.65</v>
      </c>
      <c r="DJ27" s="153">
        <v>0.21</v>
      </c>
      <c r="DK27" s="153">
        <v>3.44</v>
      </c>
      <c r="DL27" s="153">
        <v>0.73</v>
      </c>
      <c r="DM27" s="153">
        <v>0.21</v>
      </c>
      <c r="DN27" s="153">
        <v>0.53</v>
      </c>
      <c r="DO27" s="153">
        <v>65944.0</v>
      </c>
      <c r="DP27" s="153">
        <v>143023.0</v>
      </c>
    </row>
    <row r="28" ht="15.75" customHeight="1">
      <c r="A28" s="235">
        <v>46257.0</v>
      </c>
      <c r="B28" s="236" t="s">
        <v>5</v>
      </c>
      <c r="C28" s="236" t="s">
        <v>134</v>
      </c>
      <c r="D28" s="236">
        <v>7263.0</v>
      </c>
      <c r="E28" s="236">
        <v>26.02</v>
      </c>
      <c r="F28" s="236">
        <v>750.89</v>
      </c>
      <c r="G28" s="236">
        <v>0.1034</v>
      </c>
      <c r="H28" s="236">
        <v>2.56</v>
      </c>
      <c r="I28" s="236">
        <v>4.037</v>
      </c>
      <c r="J28" s="236">
        <v>47.9</v>
      </c>
      <c r="K28" s="236">
        <v>25.15</v>
      </c>
      <c r="L28" s="236">
        <v>13.69</v>
      </c>
      <c r="M28" s="236">
        <v>0.5442</v>
      </c>
      <c r="N28" s="236">
        <v>0.5876</v>
      </c>
      <c r="O28" s="236">
        <v>0.3502</v>
      </c>
      <c r="P28" s="236">
        <v>1.8375</v>
      </c>
      <c r="Q28" s="236">
        <v>86.21</v>
      </c>
      <c r="R28" s="236">
        <v>76.53</v>
      </c>
      <c r="S28" s="236">
        <v>9.67</v>
      </c>
      <c r="T28" s="236">
        <v>8.18</v>
      </c>
      <c r="U28" s="236">
        <v>78.03</v>
      </c>
      <c r="V28" s="236">
        <v>90.77</v>
      </c>
      <c r="W28" s="236">
        <v>3.6094</v>
      </c>
      <c r="X28" s="236">
        <v>9.49</v>
      </c>
      <c r="Y28" s="236">
        <v>177.0</v>
      </c>
      <c r="Z28" s="236">
        <v>396.0</v>
      </c>
      <c r="AA28" s="236">
        <v>1733.0</v>
      </c>
      <c r="AB28" s="236">
        <v>52.2904</v>
      </c>
      <c r="AC28" s="236">
        <v>0.6656</v>
      </c>
      <c r="AD28" s="236">
        <v>9.85</v>
      </c>
      <c r="AE28" s="236">
        <v>3.0</v>
      </c>
      <c r="AF28" s="236">
        <v>7.0</v>
      </c>
      <c r="AG28" s="236">
        <v>13.0</v>
      </c>
      <c r="AH28" s="236">
        <v>22.0</v>
      </c>
      <c r="AI28" s="236">
        <v>51.52</v>
      </c>
      <c r="AJ28" s="236">
        <v>19.58</v>
      </c>
      <c r="AK28" s="236">
        <v>3.92</v>
      </c>
      <c r="AL28" s="236">
        <v>0.2346</v>
      </c>
      <c r="AM28" s="236">
        <v>48.12</v>
      </c>
      <c r="AN28" s="153">
        <v>48.12</v>
      </c>
      <c r="AO28" s="153">
        <v>27.0</v>
      </c>
      <c r="AP28" s="153">
        <v>10.35</v>
      </c>
      <c r="AQ28" s="153">
        <v>4.1553</v>
      </c>
      <c r="AR28" s="153">
        <v>0.1045</v>
      </c>
      <c r="AS28" s="153">
        <v>4.0508</v>
      </c>
      <c r="AT28" s="153">
        <v>4.8505</v>
      </c>
      <c r="AU28" s="153">
        <v>0.1929</v>
      </c>
      <c r="AV28" s="153">
        <v>7263.0</v>
      </c>
      <c r="AW28" s="153">
        <v>0.0</v>
      </c>
      <c r="AX28" s="153">
        <v>34.31</v>
      </c>
      <c r="AY28" s="153">
        <v>39.04</v>
      </c>
      <c r="AZ28" s="153">
        <v>3.49</v>
      </c>
      <c r="BA28" s="153">
        <v>8.18</v>
      </c>
      <c r="BB28" s="153">
        <v>1.2</v>
      </c>
      <c r="BC28" s="153">
        <v>52.0</v>
      </c>
      <c r="BD28" s="153">
        <v>22228.0</v>
      </c>
      <c r="BE28" s="153">
        <v>2.526</v>
      </c>
      <c r="BF28" s="153">
        <v>0.0512</v>
      </c>
      <c r="BG28" s="153">
        <v>2.4747</v>
      </c>
      <c r="BH28" s="153">
        <v>2.7546</v>
      </c>
      <c r="BI28" s="153">
        <v>0.1095</v>
      </c>
      <c r="BJ28" s="153">
        <v>1.6294</v>
      </c>
      <c r="BK28" s="153">
        <v>0.0533</v>
      </c>
      <c r="BL28" s="153">
        <v>1.5761</v>
      </c>
      <c r="BM28" s="153">
        <v>2.0958</v>
      </c>
      <c r="BN28" s="153">
        <v>0.0833</v>
      </c>
      <c r="BO28" s="153">
        <v>1.1944</v>
      </c>
      <c r="BP28" s="153">
        <v>0.0173</v>
      </c>
      <c r="BQ28" s="153">
        <v>1.1771</v>
      </c>
      <c r="BR28" s="153">
        <v>1.1769</v>
      </c>
      <c r="BS28" s="153">
        <v>0.8834</v>
      </c>
      <c r="BT28" s="153">
        <v>0.0165</v>
      </c>
      <c r="BU28" s="153">
        <v>0.8669</v>
      </c>
      <c r="BV28" s="153">
        <v>1.0365</v>
      </c>
      <c r="BW28" s="153">
        <v>0.4482</v>
      </c>
      <c r="BX28" s="153">
        <v>0.0173</v>
      </c>
      <c r="BY28" s="153">
        <v>0.4308</v>
      </c>
      <c r="BZ28" s="153">
        <v>0.5412</v>
      </c>
      <c r="CA28" s="153">
        <v>0.2127</v>
      </c>
      <c r="CB28" s="153">
        <v>0.0139</v>
      </c>
      <c r="CC28" s="153">
        <v>0.1988</v>
      </c>
      <c r="CD28" s="153">
        <v>0.3211</v>
      </c>
      <c r="CE28" s="153">
        <v>0.7142</v>
      </c>
      <c r="CF28" s="153">
        <v>0.0218</v>
      </c>
      <c r="CG28" s="153">
        <v>0.6924</v>
      </c>
      <c r="CH28" s="153">
        <v>0.9548</v>
      </c>
      <c r="CI28" s="153">
        <v>0.7025</v>
      </c>
      <c r="CJ28" s="153">
        <v>0.0176</v>
      </c>
      <c r="CK28" s="153">
        <v>0.6848</v>
      </c>
      <c r="CL28" s="153">
        <v>0.8199</v>
      </c>
      <c r="CM28" s="153">
        <v>175.73</v>
      </c>
      <c r="CN28" s="153">
        <v>86.4</v>
      </c>
      <c r="CO28" s="153">
        <v>203.39</v>
      </c>
      <c r="CP28" s="153">
        <v>154.57</v>
      </c>
      <c r="CQ28" s="153">
        <v>0.03</v>
      </c>
      <c r="CR28" s="153">
        <v>3.87</v>
      </c>
      <c r="CS28" s="153">
        <v>17.26</v>
      </c>
      <c r="CT28" s="153">
        <v>0.0</v>
      </c>
      <c r="CU28" s="153">
        <v>1.0</v>
      </c>
      <c r="CV28" s="153">
        <v>0.0</v>
      </c>
      <c r="CW28" s="153">
        <v>86.21</v>
      </c>
      <c r="CX28" s="153">
        <v>0.0</v>
      </c>
      <c r="CY28" s="153">
        <v>0.03</v>
      </c>
      <c r="CZ28" s="153">
        <v>113.03</v>
      </c>
      <c r="DA28" s="153">
        <v>1.57</v>
      </c>
      <c r="DB28" s="153">
        <v>111.46</v>
      </c>
      <c r="DC28" s="153">
        <v>102.86</v>
      </c>
      <c r="DD28" s="153">
        <v>0.45</v>
      </c>
      <c r="DE28" s="153">
        <v>102.41</v>
      </c>
      <c r="DF28" s="153">
        <v>4.51</v>
      </c>
      <c r="DG28" s="153">
        <v>0.37</v>
      </c>
      <c r="DH28" s="153">
        <v>4.14</v>
      </c>
      <c r="DI28" s="153">
        <v>4.05</v>
      </c>
      <c r="DJ28" s="153">
        <v>0.37</v>
      </c>
      <c r="DK28" s="153">
        <v>3.68</v>
      </c>
      <c r="DL28" s="153">
        <v>1.6</v>
      </c>
      <c r="DM28" s="153">
        <v>0.37</v>
      </c>
      <c r="DN28" s="153">
        <v>1.23</v>
      </c>
      <c r="DO28" s="153">
        <v>99400.0</v>
      </c>
      <c r="DP28" s="153">
        <v>182646.0</v>
      </c>
    </row>
    <row r="29" ht="15.75" customHeight="1">
      <c r="A29" s="235">
        <v>46257.0</v>
      </c>
      <c r="B29" s="236" t="s">
        <v>5</v>
      </c>
      <c r="C29" s="236" t="s">
        <v>135</v>
      </c>
      <c r="D29" s="236">
        <v>6136.0</v>
      </c>
      <c r="E29" s="236">
        <v>21.99</v>
      </c>
      <c r="F29" s="236">
        <v>1011.59</v>
      </c>
      <c r="G29" s="236">
        <v>0.1649</v>
      </c>
      <c r="H29" s="236">
        <v>3.49</v>
      </c>
      <c r="I29" s="236">
        <v>4.7271</v>
      </c>
      <c r="J29" s="236">
        <v>69.78</v>
      </c>
      <c r="K29" s="236">
        <v>38.9</v>
      </c>
      <c r="L29" s="236">
        <v>24.81</v>
      </c>
      <c r="M29" s="236">
        <v>0.638</v>
      </c>
      <c r="N29" s="236">
        <v>0.5048</v>
      </c>
      <c r="O29" s="236">
        <v>0.3043</v>
      </c>
      <c r="P29" s="236">
        <v>1.5675</v>
      </c>
      <c r="Q29" s="236">
        <v>152.23</v>
      </c>
      <c r="R29" s="236">
        <v>135.94</v>
      </c>
      <c r="S29" s="236">
        <v>16.29</v>
      </c>
      <c r="T29" s="236">
        <v>13.26</v>
      </c>
      <c r="U29" s="236">
        <v>138.97</v>
      </c>
      <c r="V29" s="236">
        <v>159.48</v>
      </c>
      <c r="W29" s="236">
        <v>4.1</v>
      </c>
      <c r="X29" s="236">
        <v>8.71</v>
      </c>
      <c r="Y29" s="236">
        <v>214.0</v>
      </c>
      <c r="Z29" s="236">
        <v>537.0</v>
      </c>
      <c r="AA29" s="236">
        <v>1970.0</v>
      </c>
      <c r="AB29" s="236">
        <v>53.5572</v>
      </c>
      <c r="AC29" s="236">
        <v>0.685</v>
      </c>
      <c r="AD29" s="236">
        <v>15.51</v>
      </c>
      <c r="AE29" s="236">
        <v>5.0</v>
      </c>
      <c r="AF29" s="236">
        <v>11.0</v>
      </c>
      <c r="AG29" s="236">
        <v>20.0</v>
      </c>
      <c r="AH29" s="236">
        <v>34.0</v>
      </c>
      <c r="AI29" s="236">
        <v>43.27</v>
      </c>
      <c r="AJ29" s="236">
        <v>13.43</v>
      </c>
      <c r="AK29" s="236">
        <v>3.6</v>
      </c>
      <c r="AL29" s="236">
        <v>0.1977</v>
      </c>
      <c r="AM29" s="236">
        <v>46.99</v>
      </c>
      <c r="AN29" s="153">
        <v>46.99</v>
      </c>
      <c r="AO29" s="153">
        <v>22.87</v>
      </c>
      <c r="AP29" s="153">
        <v>10.61</v>
      </c>
      <c r="AQ29" s="153">
        <v>5.8044</v>
      </c>
      <c r="AR29" s="153">
        <v>0.1675</v>
      </c>
      <c r="AS29" s="153">
        <v>5.6369</v>
      </c>
      <c r="AT29" s="153">
        <v>6.7187</v>
      </c>
      <c r="AU29" s="153">
        <v>0.1727</v>
      </c>
      <c r="AV29" s="153">
        <v>6136.0</v>
      </c>
      <c r="AW29" s="153">
        <v>0.0</v>
      </c>
      <c r="AX29" s="153">
        <v>49.58</v>
      </c>
      <c r="AY29" s="153">
        <v>83.34</v>
      </c>
      <c r="AZ29" s="153">
        <v>3.88</v>
      </c>
      <c r="BA29" s="153">
        <v>13.26</v>
      </c>
      <c r="BB29" s="153">
        <v>2.22</v>
      </c>
      <c r="BC29" s="153">
        <v>77.0</v>
      </c>
      <c r="BD29" s="153">
        <v>22530.0</v>
      </c>
      <c r="BE29" s="153">
        <v>3.45</v>
      </c>
      <c r="BF29" s="153">
        <v>0.0675</v>
      </c>
      <c r="BG29" s="153">
        <v>3.3825</v>
      </c>
      <c r="BH29" s="153">
        <v>3.7234</v>
      </c>
      <c r="BI29" s="153">
        <v>0.0957</v>
      </c>
      <c r="BJ29" s="153">
        <v>2.3545</v>
      </c>
      <c r="BK29" s="153">
        <v>0.1001</v>
      </c>
      <c r="BL29" s="153">
        <v>2.2544</v>
      </c>
      <c r="BM29" s="153">
        <v>2.9953</v>
      </c>
      <c r="BN29" s="153">
        <v>0.077</v>
      </c>
      <c r="BO29" s="153">
        <v>1.4096</v>
      </c>
      <c r="BP29" s="153">
        <v>0.0223</v>
      </c>
      <c r="BQ29" s="153">
        <v>1.3872</v>
      </c>
      <c r="BR29" s="153">
        <v>1.4534</v>
      </c>
      <c r="BS29" s="153">
        <v>1.2591</v>
      </c>
      <c r="BT29" s="153">
        <v>0.0223</v>
      </c>
      <c r="BU29" s="153">
        <v>1.2368</v>
      </c>
      <c r="BV29" s="153">
        <v>1.4221</v>
      </c>
      <c r="BW29" s="153">
        <v>0.7813</v>
      </c>
      <c r="BX29" s="153">
        <v>0.0228</v>
      </c>
      <c r="BY29" s="153">
        <v>0.7585</v>
      </c>
      <c r="BZ29" s="153">
        <v>0.8479</v>
      </c>
      <c r="CA29" s="153">
        <v>0.405</v>
      </c>
      <c r="CB29" s="153">
        <v>0.0256</v>
      </c>
      <c r="CC29" s="153">
        <v>0.3794</v>
      </c>
      <c r="CD29" s="153">
        <v>0.5627</v>
      </c>
      <c r="CE29" s="153">
        <v>0.9428</v>
      </c>
      <c r="CF29" s="153">
        <v>0.0434</v>
      </c>
      <c r="CG29" s="153">
        <v>0.8994</v>
      </c>
      <c r="CH29" s="153">
        <v>1.1625</v>
      </c>
      <c r="CI29" s="153">
        <v>1.0067</v>
      </c>
      <c r="CJ29" s="153">
        <v>0.0311</v>
      </c>
      <c r="CK29" s="153">
        <v>0.9756</v>
      </c>
      <c r="CL29" s="153">
        <v>1.27</v>
      </c>
      <c r="CM29" s="153">
        <v>304.62</v>
      </c>
      <c r="CN29" s="153">
        <v>93.37</v>
      </c>
      <c r="CO29" s="153">
        <v>326.26</v>
      </c>
      <c r="CP29" s="153">
        <v>273.66</v>
      </c>
      <c r="CQ29" s="153">
        <v>0.07</v>
      </c>
      <c r="CR29" s="153">
        <v>3.76</v>
      </c>
      <c r="CS29" s="153">
        <v>27.13</v>
      </c>
      <c r="CT29" s="153">
        <v>0.0</v>
      </c>
      <c r="CU29" s="153">
        <v>1.0</v>
      </c>
      <c r="CV29" s="153">
        <v>0.0</v>
      </c>
      <c r="CW29" s="153">
        <v>152.23</v>
      </c>
      <c r="CX29" s="153">
        <v>0.0</v>
      </c>
      <c r="CY29" s="153">
        <v>0.07</v>
      </c>
      <c r="CZ29" s="153">
        <v>159.09</v>
      </c>
      <c r="DA29" s="153">
        <v>2.18</v>
      </c>
      <c r="DB29" s="153">
        <v>156.91</v>
      </c>
      <c r="DC29" s="153">
        <v>144.09</v>
      </c>
      <c r="DD29" s="153">
        <v>0.74</v>
      </c>
      <c r="DE29" s="153">
        <v>143.35</v>
      </c>
      <c r="DF29" s="153">
        <v>6.95</v>
      </c>
      <c r="DG29" s="153">
        <v>0.48</v>
      </c>
      <c r="DH29" s="153">
        <v>6.47</v>
      </c>
      <c r="DI29" s="153">
        <v>4.89</v>
      </c>
      <c r="DJ29" s="153">
        <v>0.48</v>
      </c>
      <c r="DK29" s="153">
        <v>4.41</v>
      </c>
      <c r="DL29" s="153">
        <v>3.16</v>
      </c>
      <c r="DM29" s="153">
        <v>0.48</v>
      </c>
      <c r="DN29" s="153">
        <v>2.68</v>
      </c>
      <c r="DO29" s="153">
        <v>152264.0</v>
      </c>
      <c r="DP29" s="153">
        <v>238671.0</v>
      </c>
    </row>
    <row r="30" ht="15.75" customHeight="1">
      <c r="A30" s="235">
        <v>46257.0</v>
      </c>
      <c r="B30" s="236" t="s">
        <v>5</v>
      </c>
      <c r="C30" s="236" t="s">
        <v>136</v>
      </c>
      <c r="D30" s="236">
        <v>3729.0</v>
      </c>
      <c r="E30" s="236">
        <v>13.36</v>
      </c>
      <c r="F30" s="236">
        <v>1272.82</v>
      </c>
      <c r="G30" s="236">
        <v>0.3413</v>
      </c>
      <c r="H30" s="236">
        <v>5.79</v>
      </c>
      <c r="I30" s="236">
        <v>5.8927</v>
      </c>
      <c r="J30" s="236">
        <v>111.16</v>
      </c>
      <c r="K30" s="236">
        <v>66.34</v>
      </c>
      <c r="L30" s="236">
        <v>48.41</v>
      </c>
      <c r="M30" s="236">
        <v>0.7298</v>
      </c>
      <c r="N30" s="236">
        <v>0.4149</v>
      </c>
      <c r="O30" s="236">
        <v>0.2556</v>
      </c>
      <c r="P30" s="236">
        <v>1.3703</v>
      </c>
      <c r="Q30" s="236">
        <v>277.4</v>
      </c>
      <c r="R30" s="236">
        <v>249.66</v>
      </c>
      <c r="S30" s="236">
        <v>27.74</v>
      </c>
      <c r="T30" s="236">
        <v>30.81</v>
      </c>
      <c r="U30" s="236">
        <v>246.58</v>
      </c>
      <c r="V30" s="236">
        <v>292.41</v>
      </c>
      <c r="W30" s="236">
        <v>4.4077</v>
      </c>
      <c r="X30" s="236">
        <v>11.11</v>
      </c>
      <c r="Y30" s="236">
        <v>255.0</v>
      </c>
      <c r="Z30" s="236">
        <v>690.0</v>
      </c>
      <c r="AA30" s="236">
        <v>2833.0</v>
      </c>
      <c r="AB30" s="236">
        <v>54.7955</v>
      </c>
      <c r="AC30" s="236">
        <v>0.6409</v>
      </c>
      <c r="AD30" s="236">
        <v>26.71</v>
      </c>
      <c r="AE30" s="236">
        <v>9.0</v>
      </c>
      <c r="AF30" s="236">
        <v>18.0</v>
      </c>
      <c r="AG30" s="236">
        <v>35.0</v>
      </c>
      <c r="AH30" s="236">
        <v>60.0</v>
      </c>
      <c r="AI30" s="236">
        <v>28.29</v>
      </c>
      <c r="AJ30" s="236">
        <v>8.45</v>
      </c>
      <c r="AK30" s="236">
        <v>2.28</v>
      </c>
      <c r="AL30" s="236">
        <v>0.1274</v>
      </c>
      <c r="AM30" s="236">
        <v>41.03</v>
      </c>
      <c r="AN30" s="153">
        <v>41.03</v>
      </c>
      <c r="AO30" s="153">
        <v>20.94</v>
      </c>
      <c r="AP30" s="153">
        <v>10.57</v>
      </c>
      <c r="AQ30" s="153">
        <v>8.0467</v>
      </c>
      <c r="AR30" s="153">
        <v>0.4229</v>
      </c>
      <c r="AS30" s="153">
        <v>7.6238</v>
      </c>
      <c r="AT30" s="153">
        <v>9.8107</v>
      </c>
      <c r="AU30" s="153">
        <v>0.1479</v>
      </c>
      <c r="AV30" s="153">
        <v>3729.0</v>
      </c>
      <c r="AW30" s="153">
        <v>0.0</v>
      </c>
      <c r="AX30" s="153">
        <v>74.85</v>
      </c>
      <c r="AY30" s="153">
        <v>161.03</v>
      </c>
      <c r="AZ30" s="153">
        <v>6.07</v>
      </c>
      <c r="BA30" s="153">
        <v>30.81</v>
      </c>
      <c r="BB30" s="153">
        <v>4.63</v>
      </c>
      <c r="BC30" s="153">
        <v>131.0</v>
      </c>
      <c r="BD30" s="153">
        <v>26764.0</v>
      </c>
      <c r="BE30" s="153">
        <v>3.9933</v>
      </c>
      <c r="BF30" s="153">
        <v>0.2277</v>
      </c>
      <c r="BG30" s="153">
        <v>3.7656</v>
      </c>
      <c r="BH30" s="153">
        <v>4.9206</v>
      </c>
      <c r="BI30" s="153">
        <v>0.0742</v>
      </c>
      <c r="BJ30" s="153">
        <v>4.0534</v>
      </c>
      <c r="BK30" s="153">
        <v>0.1952</v>
      </c>
      <c r="BL30" s="153">
        <v>3.8581</v>
      </c>
      <c r="BM30" s="153">
        <v>4.8901</v>
      </c>
      <c r="BN30" s="153">
        <v>0.0737</v>
      </c>
      <c r="BO30" s="153">
        <v>1.3607</v>
      </c>
      <c r="BP30" s="153">
        <v>0.0695</v>
      </c>
      <c r="BQ30" s="153">
        <v>1.2912</v>
      </c>
      <c r="BR30" s="153">
        <v>1.7541</v>
      </c>
      <c r="BS30" s="153">
        <v>1.3433</v>
      </c>
      <c r="BT30" s="153">
        <v>0.0783</v>
      </c>
      <c r="BU30" s="153">
        <v>1.265</v>
      </c>
      <c r="BV30" s="153">
        <v>1.7678</v>
      </c>
      <c r="BW30" s="153">
        <v>1.2894</v>
      </c>
      <c r="BX30" s="153">
        <v>0.0799</v>
      </c>
      <c r="BY30" s="153">
        <v>1.2094</v>
      </c>
      <c r="BZ30" s="153">
        <v>1.3988</v>
      </c>
      <c r="CA30" s="153">
        <v>0.9756</v>
      </c>
      <c r="CB30" s="153">
        <v>0.0518</v>
      </c>
      <c r="CC30" s="153">
        <v>0.9238</v>
      </c>
      <c r="CD30" s="153">
        <v>1.1596</v>
      </c>
      <c r="CE30" s="153">
        <v>1.4556</v>
      </c>
      <c r="CF30" s="153">
        <v>0.0762</v>
      </c>
      <c r="CG30" s="153">
        <v>1.3795</v>
      </c>
      <c r="CH30" s="153">
        <v>1.6307</v>
      </c>
      <c r="CI30" s="153">
        <v>1.6222</v>
      </c>
      <c r="CJ30" s="153">
        <v>0.0673</v>
      </c>
      <c r="CK30" s="153">
        <v>1.5548</v>
      </c>
      <c r="CL30" s="153">
        <v>2.0998</v>
      </c>
      <c r="CM30" s="153">
        <v>551.12</v>
      </c>
      <c r="CN30" s="153">
        <v>95.52</v>
      </c>
      <c r="CO30" s="153">
        <v>576.96</v>
      </c>
      <c r="CP30" s="153">
        <v>511.44</v>
      </c>
      <c r="CQ30" s="153">
        <v>0.18</v>
      </c>
      <c r="CR30" s="153">
        <v>3.79</v>
      </c>
      <c r="CS30" s="153">
        <v>35.71</v>
      </c>
      <c r="CT30" s="153">
        <v>0.0</v>
      </c>
      <c r="CU30" s="153">
        <v>0.0</v>
      </c>
      <c r="CV30" s="153">
        <v>0.0</v>
      </c>
      <c r="CW30" s="153">
        <v>277.4</v>
      </c>
      <c r="CX30" s="153">
        <v>0.0</v>
      </c>
      <c r="CY30" s="153">
        <v>0.18</v>
      </c>
      <c r="CZ30" s="153">
        <v>234.45</v>
      </c>
      <c r="DA30" s="153">
        <v>5.93</v>
      </c>
      <c r="DB30" s="153">
        <v>228.52</v>
      </c>
      <c r="DC30" s="153">
        <v>210.4</v>
      </c>
      <c r="DD30" s="153">
        <v>1.74</v>
      </c>
      <c r="DE30" s="153">
        <v>208.66</v>
      </c>
      <c r="DF30" s="153">
        <v>9.45</v>
      </c>
      <c r="DG30" s="153">
        <v>1.39</v>
      </c>
      <c r="DH30" s="153">
        <v>8.05</v>
      </c>
      <c r="DI30" s="153">
        <v>8.12</v>
      </c>
      <c r="DJ30" s="153">
        <v>1.39</v>
      </c>
      <c r="DK30" s="153">
        <v>6.73</v>
      </c>
      <c r="DL30" s="153">
        <v>6.47</v>
      </c>
      <c r="DM30" s="153">
        <v>1.39</v>
      </c>
      <c r="DN30" s="153">
        <v>5.08</v>
      </c>
      <c r="DO30" s="153">
        <v>180535.0</v>
      </c>
      <c r="DP30" s="153">
        <v>247385.0</v>
      </c>
    </row>
    <row r="31" ht="15.75" customHeight="1">
      <c r="A31" s="235">
        <v>46257.0</v>
      </c>
      <c r="B31" s="236" t="s">
        <v>5</v>
      </c>
      <c r="C31" s="236" t="s">
        <v>137</v>
      </c>
      <c r="D31" s="236">
        <v>558.0</v>
      </c>
      <c r="E31" s="236">
        <v>2.0</v>
      </c>
      <c r="F31" s="236">
        <v>532.63</v>
      </c>
      <c r="G31" s="236">
        <v>0.9545</v>
      </c>
      <c r="H31" s="236">
        <v>8.24</v>
      </c>
      <c r="I31" s="236">
        <v>11.5789</v>
      </c>
      <c r="J31" s="236">
        <v>195.54</v>
      </c>
      <c r="K31" s="236">
        <v>121.69</v>
      </c>
      <c r="L31" s="236">
        <v>95.26</v>
      </c>
      <c r="M31" s="236">
        <v>0.7829</v>
      </c>
      <c r="N31" s="236">
        <v>0.3507</v>
      </c>
      <c r="O31" s="236">
        <v>0.221</v>
      </c>
      <c r="P31" s="236">
        <v>1.2774</v>
      </c>
      <c r="Q31" s="236">
        <v>433.22</v>
      </c>
      <c r="R31" s="236">
        <v>387.13</v>
      </c>
      <c r="S31" s="236">
        <v>46.09</v>
      </c>
      <c r="T31" s="236">
        <v>82.08</v>
      </c>
      <c r="U31" s="236">
        <v>351.14</v>
      </c>
      <c r="V31" s="236">
        <v>490.14</v>
      </c>
      <c r="W31" s="236">
        <v>4.0279</v>
      </c>
      <c r="X31" s="236">
        <v>18.95</v>
      </c>
      <c r="Y31" s="236">
        <v>278.0</v>
      </c>
      <c r="Z31" s="236">
        <v>944.0</v>
      </c>
      <c r="AA31" s="236">
        <v>3813.0</v>
      </c>
      <c r="AB31" s="236">
        <v>56.6147</v>
      </c>
      <c r="AC31" s="236">
        <v>0.5754</v>
      </c>
      <c r="AD31" s="236">
        <v>41.0</v>
      </c>
      <c r="AE31" s="236">
        <v>14.0</v>
      </c>
      <c r="AF31" s="236">
        <v>29.0</v>
      </c>
      <c r="AG31" s="236">
        <v>51.0</v>
      </c>
      <c r="AH31" s="236">
        <v>94.0</v>
      </c>
      <c r="AI31" s="236">
        <v>14.52</v>
      </c>
      <c r="AJ31" s="236">
        <v>2.69</v>
      </c>
      <c r="AK31" s="236">
        <v>0.54</v>
      </c>
      <c r="AL31" s="236">
        <v>0.095</v>
      </c>
      <c r="AM31" s="236">
        <v>35.13</v>
      </c>
      <c r="AN31" s="153">
        <v>35.13</v>
      </c>
      <c r="AO31" s="153">
        <v>20.25</v>
      </c>
      <c r="AP31" s="153">
        <v>11.29</v>
      </c>
      <c r="AQ31" s="153">
        <v>10.6595</v>
      </c>
      <c r="AR31" s="153">
        <v>0.8602</v>
      </c>
      <c r="AS31" s="153">
        <v>9.7993</v>
      </c>
      <c r="AT31" s="153">
        <v>16.1111</v>
      </c>
      <c r="AU31" s="153">
        <v>0.1324</v>
      </c>
      <c r="AV31" s="153">
        <v>558.0</v>
      </c>
      <c r="AW31" s="153">
        <v>0.0</v>
      </c>
      <c r="AX31" s="153">
        <v>114.46</v>
      </c>
      <c r="AY31" s="153">
        <v>217.66</v>
      </c>
      <c r="AZ31" s="153">
        <v>14.15</v>
      </c>
      <c r="BA31" s="153">
        <v>82.08</v>
      </c>
      <c r="BB31" s="153">
        <v>4.87</v>
      </c>
      <c r="BC31" s="153">
        <v>206.0</v>
      </c>
      <c r="BD31" s="153">
        <v>23295.0</v>
      </c>
      <c r="BE31" s="153">
        <v>4.776</v>
      </c>
      <c r="BF31" s="153">
        <v>0.3602</v>
      </c>
      <c r="BG31" s="153">
        <v>4.4158</v>
      </c>
      <c r="BH31" s="153">
        <v>7.4247</v>
      </c>
      <c r="BI31" s="153">
        <v>0.061</v>
      </c>
      <c r="BJ31" s="153">
        <v>5.8835</v>
      </c>
      <c r="BK31" s="153">
        <v>0.5</v>
      </c>
      <c r="BL31" s="153">
        <v>5.3835</v>
      </c>
      <c r="BM31" s="153">
        <v>8.6864</v>
      </c>
      <c r="BN31" s="153">
        <v>0.0714</v>
      </c>
      <c r="BO31" s="153">
        <v>1.5789</v>
      </c>
      <c r="BP31" s="153">
        <v>0.1039</v>
      </c>
      <c r="BQ31" s="153">
        <v>1.4749</v>
      </c>
      <c r="BR31" s="153">
        <v>2.5018</v>
      </c>
      <c r="BS31" s="153">
        <v>1.595</v>
      </c>
      <c r="BT31" s="153">
        <v>0.1147</v>
      </c>
      <c r="BU31" s="153">
        <v>1.4803</v>
      </c>
      <c r="BV31" s="153">
        <v>2.5556</v>
      </c>
      <c r="BW31" s="153">
        <v>1.6022</v>
      </c>
      <c r="BX31" s="153">
        <v>0.1416</v>
      </c>
      <c r="BY31" s="153">
        <v>1.4606</v>
      </c>
      <c r="BZ31" s="153">
        <v>2.3674</v>
      </c>
      <c r="CA31" s="153">
        <v>1.5986</v>
      </c>
      <c r="CB31" s="153">
        <v>0.1075</v>
      </c>
      <c r="CC31" s="153">
        <v>1.491</v>
      </c>
      <c r="CD31" s="153">
        <v>3.4928</v>
      </c>
      <c r="CE31" s="153">
        <v>1.8065</v>
      </c>
      <c r="CF31" s="153">
        <v>0.2097</v>
      </c>
      <c r="CG31" s="153">
        <v>1.5968</v>
      </c>
      <c r="CH31" s="153">
        <v>2.3746</v>
      </c>
      <c r="CI31" s="153">
        <v>2.4785</v>
      </c>
      <c r="CJ31" s="153">
        <v>0.1828</v>
      </c>
      <c r="CK31" s="153">
        <v>2.2957</v>
      </c>
      <c r="CL31" s="153">
        <v>2.819</v>
      </c>
      <c r="CM31" s="153">
        <v>1039.5</v>
      </c>
      <c r="CN31" s="153">
        <v>98.39</v>
      </c>
      <c r="CO31" s="153">
        <v>1056.54</v>
      </c>
      <c r="CP31" s="153">
        <v>993.53</v>
      </c>
      <c r="CQ31" s="153">
        <v>0.0</v>
      </c>
      <c r="CR31" s="153">
        <v>5.7</v>
      </c>
      <c r="CS31" s="153">
        <v>40.28</v>
      </c>
      <c r="CT31" s="153">
        <v>0.0</v>
      </c>
      <c r="CU31" s="153">
        <v>0.0</v>
      </c>
      <c r="CV31" s="153">
        <v>0.0</v>
      </c>
      <c r="CW31" s="153">
        <v>433.22</v>
      </c>
      <c r="CX31" s="153">
        <v>0.0</v>
      </c>
      <c r="CY31" s="153">
        <v>0.0</v>
      </c>
      <c r="CZ31" s="153">
        <v>326.88</v>
      </c>
      <c r="DA31" s="153">
        <v>13.72</v>
      </c>
      <c r="DB31" s="153">
        <v>313.16</v>
      </c>
      <c r="DC31" s="153">
        <v>301.85</v>
      </c>
      <c r="DD31" s="153">
        <v>5.87</v>
      </c>
      <c r="DE31" s="153">
        <v>295.99</v>
      </c>
      <c r="DF31" s="153">
        <v>9.06</v>
      </c>
      <c r="DG31" s="153">
        <v>2.62</v>
      </c>
      <c r="DH31" s="153">
        <v>6.44</v>
      </c>
      <c r="DI31" s="153">
        <v>8.39</v>
      </c>
      <c r="DJ31" s="153">
        <v>2.62</v>
      </c>
      <c r="DK31" s="153">
        <v>5.77</v>
      </c>
      <c r="DL31" s="153">
        <v>7.58</v>
      </c>
      <c r="DM31" s="153">
        <v>2.62</v>
      </c>
      <c r="DN31" s="153">
        <v>4.96</v>
      </c>
      <c r="DO31" s="153">
        <v>53157.0</v>
      </c>
      <c r="DP31" s="153">
        <v>67901.0</v>
      </c>
    </row>
    <row r="32" ht="15.75" customHeight="1">
      <c r="A32" s="235">
        <v>46258.0</v>
      </c>
      <c r="B32" s="236" t="s">
        <v>4</v>
      </c>
      <c r="C32" s="236" t="s">
        <v>133</v>
      </c>
      <c r="D32" s="236">
        <v>10094.0</v>
      </c>
      <c r="E32" s="236">
        <v>35.78</v>
      </c>
      <c r="F32" s="236">
        <v>347.09</v>
      </c>
      <c r="G32" s="236">
        <v>0.0344</v>
      </c>
      <c r="H32" s="236">
        <v>1.23</v>
      </c>
      <c r="I32" s="236">
        <v>2.7991</v>
      </c>
      <c r="J32" s="236">
        <v>30.48</v>
      </c>
      <c r="K32" s="236">
        <v>15.29</v>
      </c>
      <c r="L32" s="236">
        <v>6.55</v>
      </c>
      <c r="M32" s="236">
        <v>0.4282</v>
      </c>
      <c r="N32" s="236">
        <v>0.6923</v>
      </c>
      <c r="O32" s="236">
        <v>0.432</v>
      </c>
      <c r="P32" s="236">
        <v>2.3356</v>
      </c>
      <c r="Q32" s="236">
        <v>70.0</v>
      </c>
      <c r="R32" s="236">
        <v>64.61</v>
      </c>
      <c r="S32" s="236">
        <v>5.39</v>
      </c>
      <c r="T32" s="236">
        <v>2.85</v>
      </c>
      <c r="U32" s="236">
        <v>67.15</v>
      </c>
      <c r="V32" s="236">
        <v>60.19</v>
      </c>
      <c r="W32" s="236">
        <v>3.9372</v>
      </c>
      <c r="X32" s="236">
        <v>4.07</v>
      </c>
      <c r="Y32" s="236">
        <v>185.0</v>
      </c>
      <c r="Z32" s="236">
        <v>491.0</v>
      </c>
      <c r="AA32" s="236">
        <v>2660.0</v>
      </c>
      <c r="AB32" s="236">
        <v>49.1699</v>
      </c>
      <c r="AC32" s="236">
        <v>0.551</v>
      </c>
      <c r="AD32" s="236">
        <v>5.84</v>
      </c>
      <c r="AE32" s="236">
        <v>2.0</v>
      </c>
      <c r="AF32" s="236">
        <v>4.0</v>
      </c>
      <c r="AG32" s="236">
        <v>7.0</v>
      </c>
      <c r="AH32" s="236">
        <v>13.0</v>
      </c>
      <c r="AI32" s="236">
        <v>58.33</v>
      </c>
      <c r="AJ32" s="236">
        <v>27.2</v>
      </c>
      <c r="AK32" s="236">
        <v>7.27</v>
      </c>
      <c r="AL32" s="236">
        <v>0.2776</v>
      </c>
      <c r="AM32" s="236"/>
      <c r="AQ32" s="153">
        <v>4.6292</v>
      </c>
      <c r="AR32" s="153">
        <v>0.038</v>
      </c>
      <c r="AS32" s="153">
        <v>4.5911</v>
      </c>
      <c r="AT32" s="153">
        <v>3.6812</v>
      </c>
      <c r="AU32" s="153">
        <v>0.2408</v>
      </c>
      <c r="AV32" s="153">
        <v>10094.0</v>
      </c>
      <c r="AW32" s="153">
        <v>0.0</v>
      </c>
      <c r="AX32" s="153">
        <v>23.45</v>
      </c>
      <c r="AY32" s="153">
        <v>40.15</v>
      </c>
      <c r="AZ32" s="153">
        <v>2.95</v>
      </c>
      <c r="BA32" s="153">
        <v>2.85</v>
      </c>
      <c r="BB32" s="153">
        <v>0.6</v>
      </c>
      <c r="BC32" s="153">
        <v>31.0</v>
      </c>
      <c r="BD32" s="153">
        <v>24307.0</v>
      </c>
      <c r="BE32" s="153">
        <v>2.4626</v>
      </c>
      <c r="BF32" s="153">
        <v>0.0211</v>
      </c>
      <c r="BG32" s="153">
        <v>2.4415</v>
      </c>
      <c r="BH32" s="153">
        <v>2.0206</v>
      </c>
      <c r="BI32" s="153">
        <v>0.1322</v>
      </c>
      <c r="BJ32" s="153">
        <v>2.1666</v>
      </c>
      <c r="BK32" s="153">
        <v>0.0169</v>
      </c>
      <c r="BL32" s="153">
        <v>2.1497</v>
      </c>
      <c r="BM32" s="153">
        <v>1.6606</v>
      </c>
      <c r="BN32" s="153">
        <v>0.1086</v>
      </c>
      <c r="BO32" s="153">
        <v>1.0736</v>
      </c>
      <c r="BP32" s="153">
        <v>0.0076</v>
      </c>
      <c r="BQ32" s="153">
        <v>1.066</v>
      </c>
      <c r="BR32" s="153">
        <v>0.8367</v>
      </c>
      <c r="BS32" s="153">
        <v>0.8367</v>
      </c>
      <c r="BT32" s="153">
        <v>0.0055</v>
      </c>
      <c r="BU32" s="153">
        <v>0.8312</v>
      </c>
      <c r="BV32" s="153">
        <v>0.7467</v>
      </c>
      <c r="BW32" s="153">
        <v>0.5522</v>
      </c>
      <c r="BX32" s="153">
        <v>0.0079</v>
      </c>
      <c r="BY32" s="153">
        <v>0.5443</v>
      </c>
      <c r="BZ32" s="153">
        <v>0.4372</v>
      </c>
      <c r="CA32" s="153">
        <v>0.6077</v>
      </c>
      <c r="CB32" s="153">
        <v>0.0046</v>
      </c>
      <c r="CC32" s="153">
        <v>0.6031</v>
      </c>
      <c r="CD32" s="153">
        <v>0.3996</v>
      </c>
      <c r="CE32" s="153">
        <v>0.8509</v>
      </c>
      <c r="CF32" s="153">
        <v>0.0063</v>
      </c>
      <c r="CG32" s="153">
        <v>0.8446</v>
      </c>
      <c r="CH32" s="153">
        <v>0.6776</v>
      </c>
      <c r="CI32" s="153">
        <v>0.708</v>
      </c>
      <c r="CJ32" s="153">
        <v>0.006</v>
      </c>
      <c r="CK32" s="153">
        <v>0.702</v>
      </c>
      <c r="CL32" s="153">
        <v>0.5833</v>
      </c>
      <c r="CM32" s="153">
        <v>84.93</v>
      </c>
      <c r="CN32" s="153">
        <v>74.05</v>
      </c>
      <c r="CO32" s="153">
        <v>114.69</v>
      </c>
      <c r="CP32" s="153">
        <v>81.6</v>
      </c>
      <c r="CQ32" s="153">
        <v>0.0</v>
      </c>
      <c r="CR32" s="153">
        <v>2.24</v>
      </c>
      <c r="CS32" s="153">
        <v>1.09</v>
      </c>
      <c r="CT32" s="153">
        <v>0.0</v>
      </c>
      <c r="CU32" s="153">
        <v>0.0</v>
      </c>
      <c r="CV32" s="153">
        <v>0.0</v>
      </c>
      <c r="CW32" s="153">
        <v>70.0</v>
      </c>
      <c r="CX32" s="153">
        <v>0.0</v>
      </c>
      <c r="CY32" s="153">
        <v>0.0</v>
      </c>
      <c r="CZ32" s="153">
        <v>99.53</v>
      </c>
      <c r="DA32" s="153">
        <v>0.69</v>
      </c>
      <c r="DB32" s="153">
        <v>98.85</v>
      </c>
      <c r="DC32" s="153">
        <v>94.81</v>
      </c>
      <c r="DD32" s="153">
        <v>0.2</v>
      </c>
      <c r="DE32" s="153">
        <v>94.61</v>
      </c>
      <c r="DF32" s="153">
        <v>2.07</v>
      </c>
      <c r="DG32" s="153">
        <v>0.16</v>
      </c>
      <c r="DH32" s="153">
        <v>1.91</v>
      </c>
      <c r="DI32" s="153">
        <v>2.03</v>
      </c>
      <c r="DJ32" s="153">
        <v>0.16</v>
      </c>
      <c r="DK32" s="153">
        <v>1.87</v>
      </c>
      <c r="DL32" s="153">
        <v>0.61</v>
      </c>
      <c r="DM32" s="153">
        <v>0.16</v>
      </c>
      <c r="DN32" s="153">
        <v>0.45</v>
      </c>
      <c r="DO32" s="153">
        <v>66070.0</v>
      </c>
      <c r="DP32" s="153">
        <v>154311.0</v>
      </c>
    </row>
    <row r="33" ht="15.75" customHeight="1">
      <c r="A33" s="235">
        <v>46258.0</v>
      </c>
      <c r="B33" s="236" t="s">
        <v>4</v>
      </c>
      <c r="C33" s="236" t="s">
        <v>134</v>
      </c>
      <c r="D33" s="236">
        <v>7185.0</v>
      </c>
      <c r="E33" s="236">
        <v>25.47</v>
      </c>
      <c r="F33" s="236">
        <v>498.71</v>
      </c>
      <c r="G33" s="236">
        <v>0.0694</v>
      </c>
      <c r="H33" s="236">
        <v>2.3</v>
      </c>
      <c r="I33" s="236">
        <v>3.0225</v>
      </c>
      <c r="J33" s="236">
        <v>47.94</v>
      </c>
      <c r="K33" s="236">
        <v>24.41</v>
      </c>
      <c r="L33" s="236">
        <v>13.56</v>
      </c>
      <c r="M33" s="236">
        <v>0.5554</v>
      </c>
      <c r="N33" s="236">
        <v>0.589</v>
      </c>
      <c r="O33" s="236">
        <v>0.3723</v>
      </c>
      <c r="P33" s="236">
        <v>1.8004</v>
      </c>
      <c r="Q33" s="236">
        <v>115.88</v>
      </c>
      <c r="R33" s="236">
        <v>104.7</v>
      </c>
      <c r="S33" s="236">
        <v>11.18</v>
      </c>
      <c r="T33" s="236">
        <v>6.38</v>
      </c>
      <c r="U33" s="236">
        <v>109.5</v>
      </c>
      <c r="V33" s="236">
        <v>111.13</v>
      </c>
      <c r="W33" s="236">
        <v>4.5533</v>
      </c>
      <c r="X33" s="236">
        <v>5.51</v>
      </c>
      <c r="Y33" s="236">
        <v>207.0</v>
      </c>
      <c r="Z33" s="236">
        <v>494.0</v>
      </c>
      <c r="AA33" s="236">
        <v>2148.0</v>
      </c>
      <c r="AB33" s="236">
        <v>52.4339</v>
      </c>
      <c r="AC33" s="236">
        <v>0.6751</v>
      </c>
      <c r="AD33" s="236">
        <v>10.04</v>
      </c>
      <c r="AE33" s="236">
        <v>3.0</v>
      </c>
      <c r="AF33" s="236">
        <v>7.0</v>
      </c>
      <c r="AG33" s="236">
        <v>13.0</v>
      </c>
      <c r="AH33" s="236">
        <v>22.0</v>
      </c>
      <c r="AI33" s="236">
        <v>55.94</v>
      </c>
      <c r="AJ33" s="236">
        <v>21.64</v>
      </c>
      <c r="AK33" s="236">
        <v>4.59</v>
      </c>
      <c r="AL33" s="236">
        <v>0.2283</v>
      </c>
      <c r="AM33" s="236"/>
      <c r="AQ33" s="153">
        <v>7.7233</v>
      </c>
      <c r="AR33" s="153">
        <v>0.1744</v>
      </c>
      <c r="AS33" s="153">
        <v>7.5489</v>
      </c>
      <c r="AT33" s="153">
        <v>6.2618</v>
      </c>
      <c r="AU33" s="153">
        <v>0.2566</v>
      </c>
      <c r="AV33" s="153">
        <v>7185.0</v>
      </c>
      <c r="AW33" s="153">
        <v>0.0</v>
      </c>
      <c r="AX33" s="153">
        <v>36.37</v>
      </c>
      <c r="AY33" s="153">
        <v>68.15</v>
      </c>
      <c r="AZ33" s="153">
        <v>3.51</v>
      </c>
      <c r="BA33" s="153">
        <v>6.38</v>
      </c>
      <c r="BB33" s="153">
        <v>1.47</v>
      </c>
      <c r="BC33" s="153">
        <v>51.0</v>
      </c>
      <c r="BD33" s="153">
        <v>22602.0</v>
      </c>
      <c r="BE33" s="153">
        <v>4.1488</v>
      </c>
      <c r="BF33" s="153">
        <v>0.1395</v>
      </c>
      <c r="BG33" s="153">
        <v>4.0093</v>
      </c>
      <c r="BH33" s="153">
        <v>3.3241</v>
      </c>
      <c r="BI33" s="153">
        <v>0.1362</v>
      </c>
      <c r="BJ33" s="153">
        <v>3.5745</v>
      </c>
      <c r="BK33" s="153">
        <v>0.0349</v>
      </c>
      <c r="BL33" s="153">
        <v>3.5396</v>
      </c>
      <c r="BM33" s="153">
        <v>2.9376</v>
      </c>
      <c r="BN33" s="153">
        <v>0.1204</v>
      </c>
      <c r="BO33" s="153">
        <v>1.6214</v>
      </c>
      <c r="BP33" s="153">
        <v>0.0399</v>
      </c>
      <c r="BQ33" s="153">
        <v>1.5815</v>
      </c>
      <c r="BR33" s="153">
        <v>1.2838</v>
      </c>
      <c r="BS33" s="153">
        <v>1.4328</v>
      </c>
      <c r="BT33" s="153">
        <v>0.0441</v>
      </c>
      <c r="BU33" s="153">
        <v>1.3887</v>
      </c>
      <c r="BV33" s="153">
        <v>1.2171</v>
      </c>
      <c r="BW33" s="153">
        <v>1.0945</v>
      </c>
      <c r="BX33" s="153">
        <v>0.0554</v>
      </c>
      <c r="BY33" s="153">
        <v>1.0391</v>
      </c>
      <c r="BZ33" s="153">
        <v>0.8232</v>
      </c>
      <c r="CA33" s="153">
        <v>0.9084</v>
      </c>
      <c r="CB33" s="153">
        <v>0.0095</v>
      </c>
      <c r="CC33" s="153">
        <v>0.899</v>
      </c>
      <c r="CD33" s="153">
        <v>0.7413</v>
      </c>
      <c r="CE33" s="153">
        <v>1.3113</v>
      </c>
      <c r="CF33" s="153">
        <v>0.0138</v>
      </c>
      <c r="CG33" s="153">
        <v>1.2976</v>
      </c>
      <c r="CH33" s="153">
        <v>1.1003</v>
      </c>
      <c r="CI33" s="153">
        <v>1.3548</v>
      </c>
      <c r="CJ33" s="153">
        <v>0.0117</v>
      </c>
      <c r="CK33" s="153">
        <v>1.3431</v>
      </c>
      <c r="CL33" s="153">
        <v>1.096</v>
      </c>
      <c r="CM33" s="153">
        <v>171.73</v>
      </c>
      <c r="CN33" s="153">
        <v>87.54</v>
      </c>
      <c r="CO33" s="153">
        <v>196.16</v>
      </c>
      <c r="CP33" s="153">
        <v>166.36</v>
      </c>
      <c r="CQ33" s="153">
        <v>0.0</v>
      </c>
      <c r="CR33" s="153">
        <v>2.2</v>
      </c>
      <c r="CS33" s="153">
        <v>3.17</v>
      </c>
      <c r="CT33" s="153">
        <v>0.0</v>
      </c>
      <c r="CU33" s="153">
        <v>0.0</v>
      </c>
      <c r="CV33" s="153">
        <v>0.0</v>
      </c>
      <c r="CW33" s="153">
        <v>115.88</v>
      </c>
      <c r="CX33" s="153">
        <v>0.0</v>
      </c>
      <c r="CY33" s="153">
        <v>0.0</v>
      </c>
      <c r="CZ33" s="153">
        <v>141.4</v>
      </c>
      <c r="DA33" s="153">
        <v>2.16</v>
      </c>
      <c r="DB33" s="153">
        <v>139.23</v>
      </c>
      <c r="DC33" s="153">
        <v>135.15</v>
      </c>
      <c r="DD33" s="153">
        <v>0.57</v>
      </c>
      <c r="DE33" s="153">
        <v>134.58</v>
      </c>
      <c r="DF33" s="153">
        <v>3.11</v>
      </c>
      <c r="DG33" s="153">
        <v>0.53</v>
      </c>
      <c r="DH33" s="153">
        <v>2.58</v>
      </c>
      <c r="DI33" s="153">
        <v>2.07</v>
      </c>
      <c r="DJ33" s="153">
        <v>0.53</v>
      </c>
      <c r="DK33" s="153">
        <v>1.53</v>
      </c>
      <c r="DL33" s="153">
        <v>1.07</v>
      </c>
      <c r="DM33" s="153">
        <v>0.53</v>
      </c>
      <c r="DN33" s="153">
        <v>0.54</v>
      </c>
      <c r="DO33" s="153">
        <v>97401.0</v>
      </c>
      <c r="DP33" s="153">
        <v>175357.0</v>
      </c>
    </row>
    <row r="34" ht="15.75" customHeight="1">
      <c r="A34" s="235">
        <v>46258.0</v>
      </c>
      <c r="B34" s="236" t="s">
        <v>4</v>
      </c>
      <c r="C34" s="236" t="s">
        <v>135</v>
      </c>
      <c r="D34" s="236">
        <v>6303.0</v>
      </c>
      <c r="E34" s="236">
        <v>22.34</v>
      </c>
      <c r="F34" s="236">
        <v>950.88</v>
      </c>
      <c r="G34" s="236">
        <v>0.1509</v>
      </c>
      <c r="H34" s="236">
        <v>3.19</v>
      </c>
      <c r="I34" s="236">
        <v>4.7307</v>
      </c>
      <c r="J34" s="236">
        <v>70.86</v>
      </c>
      <c r="K34" s="236">
        <v>37.68</v>
      </c>
      <c r="L34" s="236">
        <v>24.22</v>
      </c>
      <c r="M34" s="236">
        <v>0.6428</v>
      </c>
      <c r="N34" s="236">
        <v>0.5146</v>
      </c>
      <c r="O34" s="236">
        <v>0.3341</v>
      </c>
      <c r="P34" s="236">
        <v>1.5557</v>
      </c>
      <c r="Q34" s="236">
        <v>189.36</v>
      </c>
      <c r="R34" s="236">
        <v>170.31</v>
      </c>
      <c r="S34" s="236">
        <v>19.05</v>
      </c>
      <c r="T34" s="236">
        <v>12.87</v>
      </c>
      <c r="U34" s="236">
        <v>176.49</v>
      </c>
      <c r="V34" s="236">
        <v>180.45</v>
      </c>
      <c r="W34" s="236">
        <v>4.7891</v>
      </c>
      <c r="X34" s="236">
        <v>6.8</v>
      </c>
      <c r="Y34" s="236">
        <v>249.0</v>
      </c>
      <c r="Z34" s="236">
        <v>539.0</v>
      </c>
      <c r="AA34" s="236">
        <v>2089.0</v>
      </c>
      <c r="AB34" s="236">
        <v>53.7791</v>
      </c>
      <c r="AC34" s="236">
        <v>0.686</v>
      </c>
      <c r="AD34" s="236">
        <v>15.5</v>
      </c>
      <c r="AE34" s="236">
        <v>6.0</v>
      </c>
      <c r="AF34" s="236">
        <v>11.0</v>
      </c>
      <c r="AG34" s="236">
        <v>20.0</v>
      </c>
      <c r="AH34" s="236">
        <v>34.0</v>
      </c>
      <c r="AI34" s="236">
        <v>51.2</v>
      </c>
      <c r="AJ34" s="236">
        <v>16.88</v>
      </c>
      <c r="AK34" s="236">
        <v>4.05</v>
      </c>
      <c r="AL34" s="236">
        <v>0.185</v>
      </c>
      <c r="AM34" s="236"/>
      <c r="AQ34" s="153">
        <v>10.8137</v>
      </c>
      <c r="AR34" s="153">
        <v>0.1904</v>
      </c>
      <c r="AS34" s="153">
        <v>10.6234</v>
      </c>
      <c r="AT34" s="153">
        <v>9.4258</v>
      </c>
      <c r="AU34" s="153">
        <v>0.2502</v>
      </c>
      <c r="AV34" s="153">
        <v>6303.0</v>
      </c>
      <c r="AW34" s="153">
        <v>0.0</v>
      </c>
      <c r="AX34" s="153">
        <v>54.76</v>
      </c>
      <c r="AY34" s="153">
        <v>115.4</v>
      </c>
      <c r="AZ34" s="153">
        <v>3.77</v>
      </c>
      <c r="BA34" s="153">
        <v>12.87</v>
      </c>
      <c r="BB34" s="153">
        <v>2.58</v>
      </c>
      <c r="BC34" s="153">
        <v>70.0</v>
      </c>
      <c r="BD34" s="153">
        <v>25356.0</v>
      </c>
      <c r="BE34" s="153">
        <v>5.5962</v>
      </c>
      <c r="BF34" s="153">
        <v>0.1147</v>
      </c>
      <c r="BG34" s="153">
        <v>5.4815</v>
      </c>
      <c r="BH34" s="153">
        <v>4.7899</v>
      </c>
      <c r="BI34" s="153">
        <v>0.1271</v>
      </c>
      <c r="BJ34" s="153">
        <v>5.2175</v>
      </c>
      <c r="BK34" s="153">
        <v>0.0757</v>
      </c>
      <c r="BL34" s="153">
        <v>5.1418</v>
      </c>
      <c r="BM34" s="153">
        <v>4.6359</v>
      </c>
      <c r="BN34" s="153">
        <v>0.123</v>
      </c>
      <c r="BO34" s="153">
        <v>1.805</v>
      </c>
      <c r="BP34" s="153">
        <v>0.0349</v>
      </c>
      <c r="BQ34" s="153">
        <v>1.7701</v>
      </c>
      <c r="BR34" s="153">
        <v>1.6346</v>
      </c>
      <c r="BS34" s="153">
        <v>2.1336</v>
      </c>
      <c r="BT34" s="153">
        <v>0.0387</v>
      </c>
      <c r="BU34" s="153">
        <v>2.0949</v>
      </c>
      <c r="BV34" s="153">
        <v>1.8353</v>
      </c>
      <c r="BW34" s="153">
        <v>1.6576</v>
      </c>
      <c r="BX34" s="153">
        <v>0.0411</v>
      </c>
      <c r="BY34" s="153">
        <v>1.6165</v>
      </c>
      <c r="BZ34" s="153">
        <v>1.32</v>
      </c>
      <c r="CA34" s="153">
        <v>1.3955</v>
      </c>
      <c r="CB34" s="153">
        <v>0.0194</v>
      </c>
      <c r="CC34" s="153">
        <v>1.3762</v>
      </c>
      <c r="CD34" s="153">
        <v>1.2534</v>
      </c>
      <c r="CE34" s="153">
        <v>1.8003</v>
      </c>
      <c r="CF34" s="153">
        <v>0.0317</v>
      </c>
      <c r="CG34" s="153">
        <v>1.7685</v>
      </c>
      <c r="CH34" s="153">
        <v>1.6383</v>
      </c>
      <c r="CI34" s="153">
        <v>2.0217</v>
      </c>
      <c r="CJ34" s="153">
        <v>0.0246</v>
      </c>
      <c r="CK34" s="153">
        <v>1.9971</v>
      </c>
      <c r="CL34" s="153">
        <v>1.7442</v>
      </c>
      <c r="CM34" s="153">
        <v>305.03</v>
      </c>
      <c r="CN34" s="153">
        <v>93.45</v>
      </c>
      <c r="CO34" s="153">
        <v>326.42</v>
      </c>
      <c r="CP34" s="153">
        <v>298.07</v>
      </c>
      <c r="CQ34" s="153">
        <v>0.0</v>
      </c>
      <c r="CR34" s="153">
        <v>2.4</v>
      </c>
      <c r="CS34" s="153">
        <v>4.56</v>
      </c>
      <c r="CT34" s="153">
        <v>0.0</v>
      </c>
      <c r="CU34" s="153">
        <v>0.0</v>
      </c>
      <c r="CV34" s="153">
        <v>0.0</v>
      </c>
      <c r="CW34" s="153">
        <v>189.36</v>
      </c>
      <c r="CX34" s="153">
        <v>0.0</v>
      </c>
      <c r="CY34" s="153">
        <v>0.0</v>
      </c>
      <c r="CZ34" s="153">
        <v>191.7</v>
      </c>
      <c r="DA34" s="153">
        <v>2.49</v>
      </c>
      <c r="DB34" s="153">
        <v>189.21</v>
      </c>
      <c r="DC34" s="153">
        <v>181.2</v>
      </c>
      <c r="DD34" s="153">
        <v>0.73</v>
      </c>
      <c r="DE34" s="153">
        <v>180.47</v>
      </c>
      <c r="DF34" s="153">
        <v>6.14</v>
      </c>
      <c r="DG34" s="153">
        <v>0.59</v>
      </c>
      <c r="DH34" s="153">
        <v>5.55</v>
      </c>
      <c r="DI34" s="153">
        <v>3.01</v>
      </c>
      <c r="DJ34" s="153">
        <v>0.59</v>
      </c>
      <c r="DK34" s="153">
        <v>2.43</v>
      </c>
      <c r="DL34" s="153">
        <v>1.35</v>
      </c>
      <c r="DM34" s="153">
        <v>0.59</v>
      </c>
      <c r="DN34" s="153">
        <v>0.76</v>
      </c>
      <c r="DO34" s="153">
        <v>152650.0</v>
      </c>
      <c r="DP34" s="153">
        <v>237485.0</v>
      </c>
    </row>
    <row r="35" ht="15.75" customHeight="1">
      <c r="A35" s="235">
        <v>46258.0</v>
      </c>
      <c r="B35" s="236" t="s">
        <v>4</v>
      </c>
      <c r="C35" s="236" t="s">
        <v>136</v>
      </c>
      <c r="D35" s="236">
        <v>4034.0</v>
      </c>
      <c r="E35" s="236">
        <v>14.3</v>
      </c>
      <c r="F35" s="236">
        <v>1448.8</v>
      </c>
      <c r="G35" s="236">
        <v>0.3591</v>
      </c>
      <c r="H35" s="236">
        <v>5.3</v>
      </c>
      <c r="I35" s="236">
        <v>6.7701</v>
      </c>
      <c r="J35" s="236">
        <v>114.56</v>
      </c>
      <c r="K35" s="236">
        <v>64.6</v>
      </c>
      <c r="L35" s="236">
        <v>46.18</v>
      </c>
      <c r="M35" s="236">
        <v>0.7148</v>
      </c>
      <c r="N35" s="236">
        <v>0.4477</v>
      </c>
      <c r="O35" s="236">
        <v>0.2966</v>
      </c>
      <c r="P35" s="236">
        <v>1.399</v>
      </c>
      <c r="Q35" s="236">
        <v>339.55</v>
      </c>
      <c r="R35" s="236">
        <v>305.71</v>
      </c>
      <c r="S35" s="236">
        <v>33.84</v>
      </c>
      <c r="T35" s="236">
        <v>35.54</v>
      </c>
      <c r="U35" s="236">
        <v>304.02</v>
      </c>
      <c r="V35" s="236">
        <v>320.9</v>
      </c>
      <c r="W35" s="236">
        <v>4.9675</v>
      </c>
      <c r="X35" s="236">
        <v>10.47</v>
      </c>
      <c r="Y35" s="236">
        <v>334.0</v>
      </c>
      <c r="Z35" s="236">
        <v>815.0</v>
      </c>
      <c r="AA35" s="236">
        <v>3072.0</v>
      </c>
      <c r="AB35" s="236">
        <v>55.3603</v>
      </c>
      <c r="AC35" s="236">
        <v>0.6694</v>
      </c>
      <c r="AD35" s="236">
        <v>25.84</v>
      </c>
      <c r="AE35" s="236">
        <v>10.0</v>
      </c>
      <c r="AF35" s="236">
        <v>19.0</v>
      </c>
      <c r="AG35" s="236">
        <v>35.0</v>
      </c>
      <c r="AH35" s="236">
        <v>53.0</v>
      </c>
      <c r="AI35" s="236">
        <v>43.13</v>
      </c>
      <c r="AJ35" s="236">
        <v>13.24</v>
      </c>
      <c r="AK35" s="236">
        <v>2.6</v>
      </c>
      <c r="AL35" s="236">
        <v>0.1239</v>
      </c>
      <c r="AM35" s="236"/>
      <c r="AQ35" s="153">
        <v>15.3555</v>
      </c>
      <c r="AR35" s="153">
        <v>0.3974</v>
      </c>
      <c r="AS35" s="153">
        <v>14.9581</v>
      </c>
      <c r="AT35" s="153">
        <v>14.9135</v>
      </c>
      <c r="AU35" s="153">
        <v>0.2309</v>
      </c>
      <c r="AV35" s="153">
        <v>4034.0</v>
      </c>
      <c r="AW35" s="153">
        <v>0.0</v>
      </c>
      <c r="AX35" s="153">
        <v>93.44</v>
      </c>
      <c r="AY35" s="153">
        <v>200.64</v>
      </c>
      <c r="AZ35" s="153">
        <v>5.7</v>
      </c>
      <c r="BA35" s="153">
        <v>35.54</v>
      </c>
      <c r="BB35" s="153">
        <v>4.24</v>
      </c>
      <c r="BC35" s="153">
        <v>114.0</v>
      </c>
      <c r="BD35" s="153">
        <v>24322.0</v>
      </c>
      <c r="BE35" s="153">
        <v>7.6016</v>
      </c>
      <c r="BF35" s="153">
        <v>0.1688</v>
      </c>
      <c r="BG35" s="153">
        <v>7.4328</v>
      </c>
      <c r="BH35" s="153">
        <v>7.0902</v>
      </c>
      <c r="BI35" s="153">
        <v>0.1098</v>
      </c>
      <c r="BJ35" s="153">
        <v>7.7538</v>
      </c>
      <c r="BK35" s="153">
        <v>0.2286</v>
      </c>
      <c r="BL35" s="153">
        <v>7.5253</v>
      </c>
      <c r="BM35" s="153">
        <v>7.8233</v>
      </c>
      <c r="BN35" s="153">
        <v>0.1211</v>
      </c>
      <c r="BO35" s="153">
        <v>2.3064</v>
      </c>
      <c r="BP35" s="153">
        <v>0.0558</v>
      </c>
      <c r="BQ35" s="153">
        <v>2.2506</v>
      </c>
      <c r="BR35" s="153">
        <v>2.3485</v>
      </c>
      <c r="BS35" s="153">
        <v>2.8344</v>
      </c>
      <c r="BT35" s="153">
        <v>0.055</v>
      </c>
      <c r="BU35" s="153">
        <v>2.7794</v>
      </c>
      <c r="BV35" s="153">
        <v>2.6408</v>
      </c>
      <c r="BW35" s="153">
        <v>2.4608</v>
      </c>
      <c r="BX35" s="153">
        <v>0.058</v>
      </c>
      <c r="BY35" s="153">
        <v>2.4028</v>
      </c>
      <c r="BZ35" s="153">
        <v>2.1009</v>
      </c>
      <c r="CA35" s="153">
        <v>2.3919</v>
      </c>
      <c r="CB35" s="153">
        <v>0.0649</v>
      </c>
      <c r="CC35" s="153">
        <v>2.327</v>
      </c>
      <c r="CD35" s="153">
        <v>2.3176</v>
      </c>
      <c r="CE35" s="153">
        <v>2.3369</v>
      </c>
      <c r="CF35" s="153">
        <v>0.0885</v>
      </c>
      <c r="CG35" s="153">
        <v>2.2484</v>
      </c>
      <c r="CH35" s="153">
        <v>2.2722</v>
      </c>
      <c r="CI35" s="153">
        <v>3.025</v>
      </c>
      <c r="CJ35" s="153">
        <v>0.0751</v>
      </c>
      <c r="CK35" s="153">
        <v>2.9499</v>
      </c>
      <c r="CL35" s="153">
        <v>3.2335</v>
      </c>
      <c r="CM35" s="153">
        <v>578.54</v>
      </c>
      <c r="CN35" s="153">
        <v>96.8</v>
      </c>
      <c r="CO35" s="153">
        <v>597.66</v>
      </c>
      <c r="CP35" s="153">
        <v>568.42</v>
      </c>
      <c r="CQ35" s="153">
        <v>0.0</v>
      </c>
      <c r="CR35" s="153">
        <v>2.1</v>
      </c>
      <c r="CS35" s="153">
        <v>8.02</v>
      </c>
      <c r="CT35" s="153">
        <v>0.0</v>
      </c>
      <c r="CU35" s="153">
        <v>0.0</v>
      </c>
      <c r="CV35" s="153">
        <v>0.0</v>
      </c>
      <c r="CW35" s="153">
        <v>339.55</v>
      </c>
      <c r="CX35" s="153">
        <v>0.0</v>
      </c>
      <c r="CY35" s="153">
        <v>0.0</v>
      </c>
      <c r="CZ35" s="153">
        <v>275.44</v>
      </c>
      <c r="DA35" s="153">
        <v>4.63</v>
      </c>
      <c r="DB35" s="153">
        <v>270.81</v>
      </c>
      <c r="DC35" s="153">
        <v>260.66</v>
      </c>
      <c r="DD35" s="153">
        <v>1.89</v>
      </c>
      <c r="DE35" s="153">
        <v>258.77</v>
      </c>
      <c r="DF35" s="153">
        <v>7.87</v>
      </c>
      <c r="DG35" s="153">
        <v>0.91</v>
      </c>
      <c r="DH35" s="153">
        <v>6.95</v>
      </c>
      <c r="DI35" s="153">
        <v>5.09</v>
      </c>
      <c r="DJ35" s="153">
        <v>0.91</v>
      </c>
      <c r="DK35" s="153">
        <v>4.18</v>
      </c>
      <c r="DL35" s="153">
        <v>1.82</v>
      </c>
      <c r="DM35" s="153">
        <v>0.91</v>
      </c>
      <c r="DN35" s="153">
        <v>0.91</v>
      </c>
      <c r="DO35" s="153">
        <v>186275.0</v>
      </c>
      <c r="DP35" s="153">
        <v>260592.0</v>
      </c>
    </row>
    <row r="36" ht="15.75" customHeight="1">
      <c r="A36" s="235">
        <v>46258.0</v>
      </c>
      <c r="B36" s="236" t="s">
        <v>4</v>
      </c>
      <c r="C36" s="236" t="s">
        <v>137</v>
      </c>
      <c r="D36" s="236">
        <v>599.0</v>
      </c>
      <c r="E36" s="236">
        <v>2.12</v>
      </c>
      <c r="F36" s="236">
        <v>556.73</v>
      </c>
      <c r="G36" s="236">
        <v>0.9294</v>
      </c>
      <c r="H36" s="236">
        <v>8.51</v>
      </c>
      <c r="I36" s="236">
        <v>10.9163</v>
      </c>
      <c r="J36" s="236">
        <v>208.03</v>
      </c>
      <c r="K36" s="236">
        <v>125.47</v>
      </c>
      <c r="L36" s="236">
        <v>96.52</v>
      </c>
      <c r="M36" s="236">
        <v>0.7692</v>
      </c>
      <c r="N36" s="236">
        <v>0.3804</v>
      </c>
      <c r="O36" s="236">
        <v>0.2544</v>
      </c>
      <c r="P36" s="236">
        <v>1.3</v>
      </c>
      <c r="Q36" s="236">
        <v>627.29</v>
      </c>
      <c r="R36" s="236">
        <v>563.26</v>
      </c>
      <c r="S36" s="236">
        <v>64.03</v>
      </c>
      <c r="T36" s="236">
        <v>85.89</v>
      </c>
      <c r="U36" s="236">
        <v>541.4</v>
      </c>
      <c r="V36" s="236">
        <v>587.56</v>
      </c>
      <c r="W36" s="236">
        <v>4.6828</v>
      </c>
      <c r="X36" s="236">
        <v>13.69</v>
      </c>
      <c r="Y36" s="236">
        <v>473.0</v>
      </c>
      <c r="Z36" s="236">
        <v>1150.0</v>
      </c>
      <c r="AA36" s="236">
        <v>5051.0</v>
      </c>
      <c r="AB36" s="236">
        <v>56.9119</v>
      </c>
      <c r="AC36" s="236">
        <v>0.5927</v>
      </c>
      <c r="AD36" s="236">
        <v>39.74</v>
      </c>
      <c r="AE36" s="236">
        <v>16.0</v>
      </c>
      <c r="AF36" s="236">
        <v>32.0</v>
      </c>
      <c r="AG36" s="236">
        <v>48.0</v>
      </c>
      <c r="AH36" s="236">
        <v>82.0</v>
      </c>
      <c r="AI36" s="236">
        <v>32.22</v>
      </c>
      <c r="AJ36" s="236">
        <v>7.35</v>
      </c>
      <c r="AK36" s="236">
        <v>1.17</v>
      </c>
      <c r="AL36" s="236">
        <v>0.0801</v>
      </c>
      <c r="AM36" s="236"/>
      <c r="AQ36" s="153">
        <v>23.3723</v>
      </c>
      <c r="AR36" s="153">
        <v>0.586</v>
      </c>
      <c r="AS36" s="153">
        <v>22.7863</v>
      </c>
      <c r="AT36" s="153">
        <v>22.379</v>
      </c>
      <c r="AU36" s="153">
        <v>0.1784</v>
      </c>
      <c r="AV36" s="153">
        <v>599.0</v>
      </c>
      <c r="AW36" s="153">
        <v>0.0</v>
      </c>
      <c r="AX36" s="153">
        <v>220.36</v>
      </c>
      <c r="AY36" s="153">
        <v>302.95</v>
      </c>
      <c r="AZ36" s="153">
        <v>11.89</v>
      </c>
      <c r="BA36" s="153">
        <v>85.89</v>
      </c>
      <c r="BB36" s="153">
        <v>6.2</v>
      </c>
      <c r="BC36" s="153">
        <v>196.0</v>
      </c>
      <c r="BD36" s="153">
        <v>28653.0</v>
      </c>
      <c r="BE36" s="153">
        <v>11.9416</v>
      </c>
      <c r="BF36" s="153">
        <v>0.2003</v>
      </c>
      <c r="BG36" s="153">
        <v>11.7412</v>
      </c>
      <c r="BH36" s="153">
        <v>11.5092</v>
      </c>
      <c r="BI36" s="153">
        <v>0.0917</v>
      </c>
      <c r="BJ36" s="153">
        <v>11.4307</v>
      </c>
      <c r="BK36" s="153">
        <v>0.3856</v>
      </c>
      <c r="BL36" s="153">
        <v>11.0451</v>
      </c>
      <c r="BM36" s="153">
        <v>10.8698</v>
      </c>
      <c r="BN36" s="153">
        <v>0.0866</v>
      </c>
      <c r="BO36" s="153">
        <v>3.7179</v>
      </c>
      <c r="BP36" s="153">
        <v>0.0701</v>
      </c>
      <c r="BQ36" s="153">
        <v>3.6477</v>
      </c>
      <c r="BR36" s="153">
        <v>3.793</v>
      </c>
      <c r="BS36" s="153">
        <v>4.3122</v>
      </c>
      <c r="BT36" s="153">
        <v>0.0651</v>
      </c>
      <c r="BU36" s="153">
        <v>4.2471</v>
      </c>
      <c r="BV36" s="153">
        <v>4.1436</v>
      </c>
      <c r="BW36" s="153">
        <v>3.9115</v>
      </c>
      <c r="BX36" s="153">
        <v>0.0651</v>
      </c>
      <c r="BY36" s="153">
        <v>3.8464</v>
      </c>
      <c r="BZ36" s="153">
        <v>3.5726</v>
      </c>
      <c r="CA36" s="153">
        <v>4.1152</v>
      </c>
      <c r="CB36" s="153">
        <v>0.0918</v>
      </c>
      <c r="CC36" s="153">
        <v>4.0234</v>
      </c>
      <c r="CD36" s="153">
        <v>3.6778</v>
      </c>
      <c r="CE36" s="153">
        <v>3.1469</v>
      </c>
      <c r="CF36" s="153">
        <v>0.187</v>
      </c>
      <c r="CG36" s="153">
        <v>2.9599</v>
      </c>
      <c r="CH36" s="153">
        <v>3.2104</v>
      </c>
      <c r="CI36" s="153">
        <v>4.1686</v>
      </c>
      <c r="CJ36" s="153">
        <v>0.1068</v>
      </c>
      <c r="CK36" s="153">
        <v>4.0618</v>
      </c>
      <c r="CL36" s="153">
        <v>3.9816</v>
      </c>
      <c r="CM36" s="153">
        <v>1173.74</v>
      </c>
      <c r="CN36" s="153">
        <v>97.66</v>
      </c>
      <c r="CO36" s="153">
        <v>1201.83</v>
      </c>
      <c r="CP36" s="153">
        <v>1161.07</v>
      </c>
      <c r="CQ36" s="153">
        <v>0.0</v>
      </c>
      <c r="CR36" s="153">
        <v>4.24</v>
      </c>
      <c r="CS36" s="153">
        <v>8.43</v>
      </c>
      <c r="CT36" s="153">
        <v>0.0</v>
      </c>
      <c r="CU36" s="153">
        <v>0.0</v>
      </c>
      <c r="CV36" s="153">
        <v>0.0</v>
      </c>
      <c r="CW36" s="153">
        <v>627.29</v>
      </c>
      <c r="CX36" s="153">
        <v>0.0</v>
      </c>
      <c r="CY36" s="153">
        <v>0.0</v>
      </c>
      <c r="CZ36" s="153">
        <v>452.45</v>
      </c>
      <c r="DA36" s="153">
        <v>8.66</v>
      </c>
      <c r="DB36" s="153">
        <v>443.79</v>
      </c>
      <c r="DC36" s="153">
        <v>427.65</v>
      </c>
      <c r="DD36" s="153">
        <v>4.16</v>
      </c>
      <c r="DE36" s="153">
        <v>423.5</v>
      </c>
      <c r="DF36" s="153">
        <v>12.76</v>
      </c>
      <c r="DG36" s="153">
        <v>1.5</v>
      </c>
      <c r="DH36" s="153">
        <v>11.26</v>
      </c>
      <c r="DI36" s="153">
        <v>7.88</v>
      </c>
      <c r="DJ36" s="153">
        <v>1.5</v>
      </c>
      <c r="DK36" s="153">
        <v>6.38</v>
      </c>
      <c r="DL36" s="153">
        <v>4.16</v>
      </c>
      <c r="DM36" s="153">
        <v>1.5</v>
      </c>
      <c r="DN36" s="153">
        <v>2.65</v>
      </c>
      <c r="DO36" s="153">
        <v>57814.0</v>
      </c>
      <c r="DP36" s="153">
        <v>75158.0</v>
      </c>
    </row>
    <row r="37" ht="15.75" customHeight="1">
      <c r="A37" s="235">
        <v>46258.0</v>
      </c>
      <c r="B37" s="236" t="s">
        <v>5</v>
      </c>
      <c r="C37" s="236" t="s">
        <v>133</v>
      </c>
      <c r="D37" s="236">
        <v>10048.0</v>
      </c>
      <c r="E37" s="236">
        <v>35.94</v>
      </c>
      <c r="F37" s="236">
        <v>323.88</v>
      </c>
      <c r="G37" s="236">
        <v>0.0322</v>
      </c>
      <c r="H37" s="236">
        <v>1.18</v>
      </c>
      <c r="I37" s="236">
        <v>2.7217</v>
      </c>
      <c r="J37" s="236">
        <v>30.61</v>
      </c>
      <c r="K37" s="236">
        <v>15.12</v>
      </c>
      <c r="L37" s="236">
        <v>7.08</v>
      </c>
      <c r="M37" s="236">
        <v>0.4686</v>
      </c>
      <c r="N37" s="236">
        <v>0.6585</v>
      </c>
      <c r="O37" s="236">
        <v>0.4061</v>
      </c>
      <c r="P37" s="236">
        <v>2.1339</v>
      </c>
      <c r="Q37" s="236">
        <v>76.63</v>
      </c>
      <c r="R37" s="236">
        <v>71.08</v>
      </c>
      <c r="S37" s="236">
        <v>5.55</v>
      </c>
      <c r="T37" s="236">
        <v>2.64</v>
      </c>
      <c r="U37" s="236">
        <v>74.0</v>
      </c>
      <c r="V37" s="236">
        <v>61.86</v>
      </c>
      <c r="W37" s="236">
        <v>4.0918</v>
      </c>
      <c r="X37" s="236">
        <v>3.44</v>
      </c>
      <c r="Y37" s="236">
        <v>185.0</v>
      </c>
      <c r="Z37" s="236">
        <v>439.0</v>
      </c>
      <c r="AA37" s="236">
        <v>2198.0</v>
      </c>
      <c r="AB37" s="236">
        <v>49.3214</v>
      </c>
      <c r="AC37" s="236">
        <v>0.5624</v>
      </c>
      <c r="AD37" s="236">
        <v>6.39</v>
      </c>
      <c r="AE37" s="236">
        <v>2.0</v>
      </c>
      <c r="AF37" s="236">
        <v>4.0</v>
      </c>
      <c r="AG37" s="236">
        <v>8.0</v>
      </c>
      <c r="AH37" s="236">
        <v>15.0</v>
      </c>
      <c r="AI37" s="236">
        <v>60.55</v>
      </c>
      <c r="AJ37" s="236">
        <v>29.88</v>
      </c>
      <c r="AK37" s="236">
        <v>9.28</v>
      </c>
      <c r="AL37" s="236">
        <v>0.2735</v>
      </c>
      <c r="AM37" s="236">
        <v>49.0</v>
      </c>
      <c r="AN37" s="153">
        <v>49.0</v>
      </c>
      <c r="AO37" s="153">
        <v>29.9</v>
      </c>
      <c r="AP37" s="153">
        <v>14.57</v>
      </c>
      <c r="AQ37" s="153">
        <v>5.8189</v>
      </c>
      <c r="AR37" s="153">
        <v>0.0393</v>
      </c>
      <c r="AS37" s="153">
        <v>5.7796</v>
      </c>
      <c r="AT37" s="153">
        <v>3.9512</v>
      </c>
      <c r="AU37" s="153">
        <v>0.2614</v>
      </c>
      <c r="AV37" s="153">
        <v>10048.0</v>
      </c>
      <c r="AW37" s="153">
        <v>0.0</v>
      </c>
      <c r="AX37" s="153">
        <v>22.6</v>
      </c>
      <c r="AY37" s="153">
        <v>46.61</v>
      </c>
      <c r="AZ37" s="153">
        <v>2.71</v>
      </c>
      <c r="BA37" s="153">
        <v>2.64</v>
      </c>
      <c r="BB37" s="153">
        <v>0.67</v>
      </c>
      <c r="BC37" s="153">
        <v>34.0</v>
      </c>
      <c r="BD37" s="153">
        <v>24176.0</v>
      </c>
      <c r="BE37" s="153">
        <v>3.9507</v>
      </c>
      <c r="BF37" s="153">
        <v>0.0167</v>
      </c>
      <c r="BG37" s="153">
        <v>3.934</v>
      </c>
      <c r="BH37" s="153">
        <v>2.3517</v>
      </c>
      <c r="BI37" s="153">
        <v>0.1556</v>
      </c>
      <c r="BJ37" s="153">
        <v>1.8681</v>
      </c>
      <c r="BK37" s="153">
        <v>0.0226</v>
      </c>
      <c r="BL37" s="153">
        <v>1.8455</v>
      </c>
      <c r="BM37" s="153">
        <v>1.5995</v>
      </c>
      <c r="BN37" s="153">
        <v>0.1058</v>
      </c>
      <c r="BO37" s="153">
        <v>1.8441</v>
      </c>
      <c r="BP37" s="153">
        <v>0.0068</v>
      </c>
      <c r="BQ37" s="153">
        <v>1.8374</v>
      </c>
      <c r="BR37" s="153">
        <v>1.0689</v>
      </c>
      <c r="BS37" s="153">
        <v>1.6771</v>
      </c>
      <c r="BT37" s="153">
        <v>0.0041</v>
      </c>
      <c r="BU37" s="153">
        <v>1.673</v>
      </c>
      <c r="BV37" s="153">
        <v>0.9304</v>
      </c>
      <c r="BW37" s="153">
        <v>0.4295</v>
      </c>
      <c r="BX37" s="153">
        <v>0.0059</v>
      </c>
      <c r="BY37" s="153">
        <v>0.4237</v>
      </c>
      <c r="BZ37" s="153">
        <v>0.3524</v>
      </c>
      <c r="CA37" s="153">
        <v>0.507</v>
      </c>
      <c r="CB37" s="153">
        <v>0.0044</v>
      </c>
      <c r="CC37" s="153">
        <v>0.5026</v>
      </c>
      <c r="CD37" s="153">
        <v>0.3428</v>
      </c>
      <c r="CE37" s="153">
        <v>0.6886</v>
      </c>
      <c r="CF37" s="153">
        <v>0.0107</v>
      </c>
      <c r="CG37" s="153">
        <v>0.6778</v>
      </c>
      <c r="CH37" s="153">
        <v>0.7102</v>
      </c>
      <c r="CI37" s="153">
        <v>0.6726</v>
      </c>
      <c r="CJ37" s="153">
        <v>0.0075</v>
      </c>
      <c r="CK37" s="153">
        <v>0.6651</v>
      </c>
      <c r="CL37" s="153">
        <v>0.5466</v>
      </c>
      <c r="CM37" s="153">
        <v>94.01</v>
      </c>
      <c r="CN37" s="153">
        <v>75.28</v>
      </c>
      <c r="CO37" s="153">
        <v>124.88</v>
      </c>
      <c r="CP37" s="153">
        <v>71.3</v>
      </c>
      <c r="CQ37" s="153">
        <v>17.3</v>
      </c>
      <c r="CR37" s="153">
        <v>2.28</v>
      </c>
      <c r="CS37" s="153">
        <v>3.13</v>
      </c>
      <c r="CT37" s="153">
        <v>0.0</v>
      </c>
      <c r="CU37" s="153">
        <v>378.0</v>
      </c>
      <c r="CV37" s="153">
        <v>0.51</v>
      </c>
      <c r="CW37" s="153">
        <v>77.14</v>
      </c>
      <c r="CX37" s="153">
        <v>2.06</v>
      </c>
      <c r="CY37" s="153">
        <v>19.36</v>
      </c>
      <c r="CZ37" s="153">
        <v>106.81</v>
      </c>
      <c r="DA37" s="153">
        <v>1.1</v>
      </c>
      <c r="DB37" s="153">
        <v>105.7</v>
      </c>
      <c r="DC37" s="153">
        <v>97.3</v>
      </c>
      <c r="DD37" s="153">
        <v>0.29</v>
      </c>
      <c r="DE37" s="153">
        <v>97.01</v>
      </c>
      <c r="DF37" s="153">
        <v>5.23</v>
      </c>
      <c r="DG37" s="153">
        <v>0.27</v>
      </c>
      <c r="DH37" s="153">
        <v>4.96</v>
      </c>
      <c r="DI37" s="153">
        <v>3.55</v>
      </c>
      <c r="DJ37" s="153">
        <v>0.27</v>
      </c>
      <c r="DK37" s="153">
        <v>3.28</v>
      </c>
      <c r="DL37" s="153">
        <v>0.72</v>
      </c>
      <c r="DM37" s="153">
        <v>0.27</v>
      </c>
      <c r="DN37" s="153">
        <v>0.45</v>
      </c>
      <c r="DO37" s="153">
        <v>71186.0</v>
      </c>
      <c r="DP37" s="153">
        <v>151901.0</v>
      </c>
    </row>
    <row r="38" ht="15.75" customHeight="1">
      <c r="A38" s="235">
        <v>46258.0</v>
      </c>
      <c r="B38" s="236" t="s">
        <v>5</v>
      </c>
      <c r="C38" s="236" t="s">
        <v>134</v>
      </c>
      <c r="D38" s="236">
        <v>7393.0</v>
      </c>
      <c r="E38" s="236">
        <v>26.45</v>
      </c>
      <c r="F38" s="236">
        <v>537.54</v>
      </c>
      <c r="G38" s="236">
        <v>0.0727</v>
      </c>
      <c r="H38" s="236">
        <v>2.5</v>
      </c>
      <c r="I38" s="236">
        <v>2.9056</v>
      </c>
      <c r="J38" s="236">
        <v>52.47</v>
      </c>
      <c r="K38" s="236">
        <v>26.91</v>
      </c>
      <c r="L38" s="236">
        <v>14.64</v>
      </c>
      <c r="M38" s="236">
        <v>0.5438</v>
      </c>
      <c r="N38" s="236">
        <v>0.594</v>
      </c>
      <c r="O38" s="236">
        <v>0.3661</v>
      </c>
      <c r="P38" s="236">
        <v>1.8389</v>
      </c>
      <c r="Q38" s="236">
        <v>133.02</v>
      </c>
      <c r="R38" s="236">
        <v>122.06</v>
      </c>
      <c r="S38" s="236">
        <v>10.96</v>
      </c>
      <c r="T38" s="236">
        <v>6.7</v>
      </c>
      <c r="U38" s="236">
        <v>126.32</v>
      </c>
      <c r="V38" s="236">
        <v>115.6</v>
      </c>
      <c r="W38" s="236">
        <v>4.2949</v>
      </c>
      <c r="X38" s="236">
        <v>5.03</v>
      </c>
      <c r="Y38" s="236">
        <v>211.0</v>
      </c>
      <c r="Z38" s="236">
        <v>435.0</v>
      </c>
      <c r="AA38" s="236">
        <v>1732.0</v>
      </c>
      <c r="AB38" s="236">
        <v>52.1508</v>
      </c>
      <c r="AC38" s="236">
        <v>0.663</v>
      </c>
      <c r="AD38" s="236">
        <v>10.4</v>
      </c>
      <c r="AE38" s="236">
        <v>4.0</v>
      </c>
      <c r="AF38" s="236">
        <v>7.0</v>
      </c>
      <c r="AG38" s="236">
        <v>13.0</v>
      </c>
      <c r="AH38" s="236">
        <v>22.0</v>
      </c>
      <c r="AI38" s="236">
        <v>58.62</v>
      </c>
      <c r="AJ38" s="236">
        <v>23.37</v>
      </c>
      <c r="AK38" s="236">
        <v>4.8</v>
      </c>
      <c r="AL38" s="236">
        <v>0.2184</v>
      </c>
      <c r="AM38" s="236">
        <v>48.69</v>
      </c>
      <c r="AN38" s="153">
        <v>48.69</v>
      </c>
      <c r="AO38" s="153">
        <v>26.86</v>
      </c>
      <c r="AP38" s="153">
        <v>9.85</v>
      </c>
      <c r="AQ38" s="153">
        <v>9.1117</v>
      </c>
      <c r="AR38" s="153">
        <v>0.1446</v>
      </c>
      <c r="AS38" s="153">
        <v>8.9671</v>
      </c>
      <c r="AT38" s="153">
        <v>6.3123</v>
      </c>
      <c r="AU38" s="153">
        <v>0.2345</v>
      </c>
      <c r="AV38" s="153">
        <v>7393.0</v>
      </c>
      <c r="AW38" s="153">
        <v>0.0</v>
      </c>
      <c r="AX38" s="153">
        <v>34.82</v>
      </c>
      <c r="AY38" s="153">
        <v>82.73</v>
      </c>
      <c r="AZ38" s="153">
        <v>3.27</v>
      </c>
      <c r="BA38" s="153">
        <v>6.7</v>
      </c>
      <c r="BB38" s="153">
        <v>1.21</v>
      </c>
      <c r="BC38" s="153">
        <v>50.0</v>
      </c>
      <c r="BD38" s="153">
        <v>22466.0</v>
      </c>
      <c r="BE38" s="153">
        <v>6.1611</v>
      </c>
      <c r="BF38" s="153">
        <v>0.1035</v>
      </c>
      <c r="BG38" s="153">
        <v>6.0576</v>
      </c>
      <c r="BH38" s="153">
        <v>3.7645</v>
      </c>
      <c r="BI38" s="153">
        <v>0.1399</v>
      </c>
      <c r="BJ38" s="153">
        <v>2.9506</v>
      </c>
      <c r="BK38" s="153">
        <v>0.0411</v>
      </c>
      <c r="BL38" s="153">
        <v>2.9095</v>
      </c>
      <c r="BM38" s="153">
        <v>2.5478</v>
      </c>
      <c r="BN38" s="153">
        <v>0.0947</v>
      </c>
      <c r="BO38" s="153">
        <v>2.8279</v>
      </c>
      <c r="BP38" s="153">
        <v>0.0314</v>
      </c>
      <c r="BQ38" s="153">
        <v>2.7966</v>
      </c>
      <c r="BR38" s="153">
        <v>1.6674</v>
      </c>
      <c r="BS38" s="153">
        <v>2.5097</v>
      </c>
      <c r="BT38" s="153">
        <v>0.0334</v>
      </c>
      <c r="BU38" s="153">
        <v>2.4763</v>
      </c>
      <c r="BV38" s="153">
        <v>1.4627</v>
      </c>
      <c r="BW38" s="153">
        <v>0.8235</v>
      </c>
      <c r="BX38" s="153">
        <v>0.0387</v>
      </c>
      <c r="BY38" s="153">
        <v>0.7848</v>
      </c>
      <c r="BZ38" s="153">
        <v>0.6344</v>
      </c>
      <c r="CA38" s="153">
        <v>0.7971</v>
      </c>
      <c r="CB38" s="153">
        <v>0.01</v>
      </c>
      <c r="CC38" s="153">
        <v>0.7871</v>
      </c>
      <c r="CD38" s="153">
        <v>0.5946</v>
      </c>
      <c r="CE38" s="153">
        <v>0.9287</v>
      </c>
      <c r="CF38" s="153">
        <v>0.018</v>
      </c>
      <c r="CG38" s="153">
        <v>0.9107</v>
      </c>
      <c r="CH38" s="153">
        <v>0.9558</v>
      </c>
      <c r="CI38" s="153">
        <v>1.2248</v>
      </c>
      <c r="CJ38" s="153">
        <v>0.0131</v>
      </c>
      <c r="CK38" s="153">
        <v>1.2117</v>
      </c>
      <c r="CL38" s="153">
        <v>0.9974</v>
      </c>
      <c r="CM38" s="153">
        <v>195.58</v>
      </c>
      <c r="CN38" s="153">
        <v>89.5</v>
      </c>
      <c r="CO38" s="153">
        <v>218.52</v>
      </c>
      <c r="CP38" s="153">
        <v>142.77</v>
      </c>
      <c r="CQ38" s="153">
        <v>38.64</v>
      </c>
      <c r="CR38" s="153">
        <v>1.9</v>
      </c>
      <c r="CS38" s="153">
        <v>12.27</v>
      </c>
      <c r="CT38" s="153">
        <v>0.0</v>
      </c>
      <c r="CU38" s="153">
        <v>382.0</v>
      </c>
      <c r="CV38" s="153">
        <v>0.73</v>
      </c>
      <c r="CW38" s="153">
        <v>133.75</v>
      </c>
      <c r="CX38" s="153">
        <v>4.31</v>
      </c>
      <c r="CY38" s="153">
        <v>42.95</v>
      </c>
      <c r="CZ38" s="153">
        <v>166.65</v>
      </c>
      <c r="DA38" s="153">
        <v>1.81</v>
      </c>
      <c r="DB38" s="153">
        <v>164.85</v>
      </c>
      <c r="DC38" s="153">
        <v>152.75</v>
      </c>
      <c r="DD38" s="153">
        <v>0.48</v>
      </c>
      <c r="DE38" s="153">
        <v>152.27</v>
      </c>
      <c r="DF38" s="153">
        <v>6.89</v>
      </c>
      <c r="DG38" s="153">
        <v>0.44</v>
      </c>
      <c r="DH38" s="153">
        <v>6.45</v>
      </c>
      <c r="DI38" s="153">
        <v>5.44</v>
      </c>
      <c r="DJ38" s="153">
        <v>0.44</v>
      </c>
      <c r="DK38" s="153">
        <v>5.0</v>
      </c>
      <c r="DL38" s="153">
        <v>1.58</v>
      </c>
      <c r="DM38" s="153">
        <v>0.44</v>
      </c>
      <c r="DN38" s="153">
        <v>1.13</v>
      </c>
      <c r="DO38" s="153">
        <v>108203.0</v>
      </c>
      <c r="DP38" s="153">
        <v>198979.0</v>
      </c>
    </row>
    <row r="39" ht="15.75" customHeight="1">
      <c r="A39" s="235">
        <v>46258.0</v>
      </c>
      <c r="B39" s="236" t="s">
        <v>5</v>
      </c>
      <c r="C39" s="236" t="s">
        <v>135</v>
      </c>
      <c r="D39" s="236">
        <v>6120.0</v>
      </c>
      <c r="E39" s="236">
        <v>21.89</v>
      </c>
      <c r="F39" s="236">
        <v>750.07</v>
      </c>
      <c r="G39" s="236">
        <v>0.1226</v>
      </c>
      <c r="H39" s="236">
        <v>3.19</v>
      </c>
      <c r="I39" s="236">
        <v>3.8465</v>
      </c>
      <c r="J39" s="236">
        <v>76.39</v>
      </c>
      <c r="K39" s="236">
        <v>41.24</v>
      </c>
      <c r="L39" s="236">
        <v>26.22</v>
      </c>
      <c r="M39" s="236">
        <v>0.6358</v>
      </c>
      <c r="N39" s="236">
        <v>0.5158</v>
      </c>
      <c r="O39" s="236">
        <v>0.3254</v>
      </c>
      <c r="P39" s="236">
        <v>1.5729</v>
      </c>
      <c r="Q39" s="236">
        <v>219.71</v>
      </c>
      <c r="R39" s="236">
        <v>200.28</v>
      </c>
      <c r="S39" s="236">
        <v>19.42</v>
      </c>
      <c r="T39" s="236">
        <v>11.04</v>
      </c>
      <c r="U39" s="236">
        <v>208.67</v>
      </c>
      <c r="V39" s="236">
        <v>187.12</v>
      </c>
      <c r="W39" s="236">
        <v>4.5372</v>
      </c>
      <c r="X39" s="236">
        <v>5.02</v>
      </c>
      <c r="Y39" s="236">
        <v>257.0</v>
      </c>
      <c r="Z39" s="236">
        <v>566.0</v>
      </c>
      <c r="AA39" s="236">
        <v>2070.0</v>
      </c>
      <c r="AB39" s="236">
        <v>53.6195</v>
      </c>
      <c r="AC39" s="236">
        <v>0.6775</v>
      </c>
      <c r="AD39" s="236">
        <v>16.54</v>
      </c>
      <c r="AE39" s="236">
        <v>6.0</v>
      </c>
      <c r="AF39" s="236">
        <v>11.0</v>
      </c>
      <c r="AG39" s="236">
        <v>22.0</v>
      </c>
      <c r="AH39" s="236">
        <v>37.0</v>
      </c>
      <c r="AI39" s="236">
        <v>53.69</v>
      </c>
      <c r="AJ39" s="236">
        <v>18.84</v>
      </c>
      <c r="AK39" s="236">
        <v>5.29</v>
      </c>
      <c r="AL39" s="236">
        <v>0.1773</v>
      </c>
      <c r="AM39" s="236">
        <v>47.47</v>
      </c>
      <c r="AN39" s="153">
        <v>47.47</v>
      </c>
      <c r="AO39" s="153">
        <v>22.79</v>
      </c>
      <c r="AP39" s="153">
        <v>9.98</v>
      </c>
      <c r="AQ39" s="153">
        <v>12.716</v>
      </c>
      <c r="AR39" s="153">
        <v>0.1175</v>
      </c>
      <c r="AS39" s="153">
        <v>12.5985</v>
      </c>
      <c r="AT39" s="153">
        <v>8.8802</v>
      </c>
      <c r="AU39" s="153">
        <v>0.2153</v>
      </c>
      <c r="AV39" s="153">
        <v>6120.0</v>
      </c>
      <c r="AW39" s="153">
        <v>0.0</v>
      </c>
      <c r="AX39" s="153">
        <v>53.41</v>
      </c>
      <c r="AY39" s="153">
        <v>138.85</v>
      </c>
      <c r="AZ39" s="153">
        <v>3.57</v>
      </c>
      <c r="BA39" s="153">
        <v>11.04</v>
      </c>
      <c r="BB39" s="153">
        <v>2.2</v>
      </c>
      <c r="BC39" s="153">
        <v>72.0</v>
      </c>
      <c r="BD39" s="153">
        <v>23677.0</v>
      </c>
      <c r="BE39" s="153">
        <v>8.3678</v>
      </c>
      <c r="BF39" s="153">
        <v>0.0539</v>
      </c>
      <c r="BG39" s="153">
        <v>8.3139</v>
      </c>
      <c r="BH39" s="153">
        <v>5.1139</v>
      </c>
      <c r="BI39" s="153">
        <v>0.124</v>
      </c>
      <c r="BJ39" s="153">
        <v>4.3482</v>
      </c>
      <c r="BK39" s="153">
        <v>0.0636</v>
      </c>
      <c r="BL39" s="153">
        <v>4.2846</v>
      </c>
      <c r="BM39" s="153">
        <v>3.7663</v>
      </c>
      <c r="BN39" s="153">
        <v>0.0913</v>
      </c>
      <c r="BO39" s="153">
        <v>3.4232</v>
      </c>
      <c r="BP39" s="153">
        <v>0.0172</v>
      </c>
      <c r="BQ39" s="153">
        <v>3.406</v>
      </c>
      <c r="BR39" s="153">
        <v>2.0492</v>
      </c>
      <c r="BS39" s="153">
        <v>3.3863</v>
      </c>
      <c r="BT39" s="153">
        <v>0.0157</v>
      </c>
      <c r="BU39" s="153">
        <v>3.3706</v>
      </c>
      <c r="BV39" s="153">
        <v>2.0007</v>
      </c>
      <c r="BW39" s="153">
        <v>1.5583</v>
      </c>
      <c r="BX39" s="153">
        <v>0.0211</v>
      </c>
      <c r="BY39" s="153">
        <v>1.5373</v>
      </c>
      <c r="BZ39" s="153">
        <v>1.0641</v>
      </c>
      <c r="CA39" s="153">
        <v>1.2425</v>
      </c>
      <c r="CB39" s="153">
        <v>0.0147</v>
      </c>
      <c r="CC39" s="153">
        <v>1.2278</v>
      </c>
      <c r="CD39" s="153">
        <v>0.9395</v>
      </c>
      <c r="CE39" s="153">
        <v>1.2771</v>
      </c>
      <c r="CF39" s="153">
        <v>0.0286</v>
      </c>
      <c r="CG39" s="153">
        <v>1.2485</v>
      </c>
      <c r="CH39" s="153">
        <v>1.3263</v>
      </c>
      <c r="CI39" s="153">
        <v>1.8286</v>
      </c>
      <c r="CJ39" s="153">
        <v>0.0203</v>
      </c>
      <c r="CK39" s="153">
        <v>1.8083</v>
      </c>
      <c r="CL39" s="153">
        <v>1.5005</v>
      </c>
      <c r="CM39" s="153">
        <v>344.55</v>
      </c>
      <c r="CN39" s="153">
        <v>95.29</v>
      </c>
      <c r="CO39" s="153">
        <v>361.57</v>
      </c>
      <c r="CP39" s="153">
        <v>250.1</v>
      </c>
      <c r="CQ39" s="153">
        <v>65.26</v>
      </c>
      <c r="CR39" s="153">
        <v>2.23</v>
      </c>
      <c r="CS39" s="153">
        <v>26.96</v>
      </c>
      <c r="CT39" s="153">
        <v>0.0</v>
      </c>
      <c r="CU39" s="153">
        <v>372.0</v>
      </c>
      <c r="CV39" s="153">
        <v>1.11</v>
      </c>
      <c r="CW39" s="153">
        <v>220.81</v>
      </c>
      <c r="CX39" s="153">
        <v>7.96</v>
      </c>
      <c r="CY39" s="153">
        <v>73.22</v>
      </c>
      <c r="CZ39" s="153">
        <v>244.0</v>
      </c>
      <c r="DA39" s="153">
        <v>2.34</v>
      </c>
      <c r="DB39" s="153">
        <v>241.66</v>
      </c>
      <c r="DC39" s="153">
        <v>223.89</v>
      </c>
      <c r="DD39" s="153">
        <v>0.7</v>
      </c>
      <c r="DE39" s="153">
        <v>223.19</v>
      </c>
      <c r="DF39" s="153">
        <v>10.72</v>
      </c>
      <c r="DG39" s="153">
        <v>0.55</v>
      </c>
      <c r="DH39" s="153">
        <v>10.17</v>
      </c>
      <c r="DI39" s="153">
        <v>5.9</v>
      </c>
      <c r="DJ39" s="153">
        <v>0.55</v>
      </c>
      <c r="DK39" s="153">
        <v>5.35</v>
      </c>
      <c r="DL39" s="153">
        <v>3.49</v>
      </c>
      <c r="DM39" s="153">
        <v>0.55</v>
      </c>
      <c r="DN39" s="153">
        <v>2.94</v>
      </c>
      <c r="DO39" s="153">
        <v>160462.0</v>
      </c>
      <c r="DP39" s="153">
        <v>252392.0</v>
      </c>
    </row>
    <row r="40" ht="15.75" customHeight="1">
      <c r="A40" s="235">
        <v>46258.0</v>
      </c>
      <c r="B40" s="236" t="s">
        <v>5</v>
      </c>
      <c r="C40" s="236" t="s">
        <v>136</v>
      </c>
      <c r="D40" s="236">
        <v>3854.0</v>
      </c>
      <c r="E40" s="236">
        <v>13.79</v>
      </c>
      <c r="F40" s="236">
        <v>1158.43</v>
      </c>
      <c r="G40" s="236">
        <v>0.3006</v>
      </c>
      <c r="H40" s="236">
        <v>5.09</v>
      </c>
      <c r="I40" s="236">
        <v>5.9104</v>
      </c>
      <c r="J40" s="236">
        <v>121.35</v>
      </c>
      <c r="K40" s="236">
        <v>68.54</v>
      </c>
      <c r="L40" s="236">
        <v>48.65</v>
      </c>
      <c r="M40" s="236">
        <v>0.7099</v>
      </c>
      <c r="N40" s="236">
        <v>0.45</v>
      </c>
      <c r="O40" s="236">
        <v>0.2936</v>
      </c>
      <c r="P40" s="236">
        <v>1.4087</v>
      </c>
      <c r="Q40" s="236">
        <v>399.31</v>
      </c>
      <c r="R40" s="236">
        <v>364.94</v>
      </c>
      <c r="S40" s="236">
        <v>34.37</v>
      </c>
      <c r="T40" s="236">
        <v>29.93</v>
      </c>
      <c r="U40" s="236">
        <v>369.38</v>
      </c>
      <c r="V40" s="236">
        <v>338.04</v>
      </c>
      <c r="W40" s="236">
        <v>4.932</v>
      </c>
      <c r="X40" s="236">
        <v>7.5</v>
      </c>
      <c r="Y40" s="236">
        <v>321.0</v>
      </c>
      <c r="Z40" s="236">
        <v>740.0</v>
      </c>
      <c r="AA40" s="236">
        <v>2826.0</v>
      </c>
      <c r="AB40" s="236">
        <v>54.5943</v>
      </c>
      <c r="AC40" s="236">
        <v>0.6298</v>
      </c>
      <c r="AD40" s="236">
        <v>26.13</v>
      </c>
      <c r="AE40" s="236">
        <v>10.0</v>
      </c>
      <c r="AF40" s="236">
        <v>19.0</v>
      </c>
      <c r="AG40" s="236">
        <v>35.0</v>
      </c>
      <c r="AH40" s="236">
        <v>55.0</v>
      </c>
      <c r="AI40" s="236">
        <v>45.2</v>
      </c>
      <c r="AJ40" s="236">
        <v>15.15</v>
      </c>
      <c r="AK40" s="236">
        <v>2.59</v>
      </c>
      <c r="AL40" s="236">
        <v>0.1178</v>
      </c>
      <c r="AM40" s="236">
        <v>40.04</v>
      </c>
      <c r="AN40" s="153">
        <v>40.04</v>
      </c>
      <c r="AO40" s="153">
        <v>17.38</v>
      </c>
      <c r="AP40" s="153">
        <v>7.55</v>
      </c>
      <c r="AQ40" s="153">
        <v>17.6207</v>
      </c>
      <c r="AR40" s="153">
        <v>0.3614</v>
      </c>
      <c r="AS40" s="153">
        <v>17.2592</v>
      </c>
      <c r="AT40" s="153">
        <v>13.2743</v>
      </c>
      <c r="AU40" s="153">
        <v>0.1937</v>
      </c>
      <c r="AV40" s="153">
        <v>3854.0</v>
      </c>
      <c r="AW40" s="153">
        <v>0.0</v>
      </c>
      <c r="AX40" s="153">
        <v>96.51</v>
      </c>
      <c r="AY40" s="153">
        <v>236.34</v>
      </c>
      <c r="AZ40" s="153">
        <v>6.0</v>
      </c>
      <c r="BA40" s="153">
        <v>29.93</v>
      </c>
      <c r="BB40" s="153">
        <v>4.03</v>
      </c>
      <c r="BC40" s="153">
        <v>110.0</v>
      </c>
      <c r="BD40" s="153">
        <v>25248.0</v>
      </c>
      <c r="BE40" s="153">
        <v>10.465</v>
      </c>
      <c r="BF40" s="153">
        <v>0.1751</v>
      </c>
      <c r="BG40" s="153">
        <v>10.2898</v>
      </c>
      <c r="BH40" s="153">
        <v>7.1819</v>
      </c>
      <c r="BI40" s="153">
        <v>0.1048</v>
      </c>
      <c r="BJ40" s="153">
        <v>7.1557</v>
      </c>
      <c r="BK40" s="153">
        <v>0.1863</v>
      </c>
      <c r="BL40" s="153">
        <v>6.9694</v>
      </c>
      <c r="BM40" s="153">
        <v>6.0924</v>
      </c>
      <c r="BN40" s="153">
        <v>0.0889</v>
      </c>
      <c r="BO40" s="153">
        <v>3.822</v>
      </c>
      <c r="BP40" s="153">
        <v>0.055</v>
      </c>
      <c r="BQ40" s="153">
        <v>3.767</v>
      </c>
      <c r="BR40" s="153">
        <v>2.6352</v>
      </c>
      <c r="BS40" s="153">
        <v>3.8308</v>
      </c>
      <c r="BT40" s="153">
        <v>0.0597</v>
      </c>
      <c r="BU40" s="153">
        <v>3.7711</v>
      </c>
      <c r="BV40" s="153">
        <v>2.6131</v>
      </c>
      <c r="BW40" s="153">
        <v>2.8121</v>
      </c>
      <c r="BX40" s="153">
        <v>0.0605</v>
      </c>
      <c r="BY40" s="153">
        <v>2.7517</v>
      </c>
      <c r="BZ40" s="153">
        <v>1.9336</v>
      </c>
      <c r="CA40" s="153">
        <v>2.2833</v>
      </c>
      <c r="CB40" s="153">
        <v>0.0529</v>
      </c>
      <c r="CC40" s="153">
        <v>2.2304</v>
      </c>
      <c r="CD40" s="153">
        <v>1.8062</v>
      </c>
      <c r="CE40" s="153">
        <v>1.7935</v>
      </c>
      <c r="CF40" s="153">
        <v>0.0745</v>
      </c>
      <c r="CG40" s="153">
        <v>1.719</v>
      </c>
      <c r="CH40" s="153">
        <v>1.794</v>
      </c>
      <c r="CI40" s="153">
        <v>3.0789</v>
      </c>
      <c r="CJ40" s="153">
        <v>0.0589</v>
      </c>
      <c r="CK40" s="153">
        <v>3.02</v>
      </c>
      <c r="CL40" s="153">
        <v>2.4922</v>
      </c>
      <c r="CM40" s="153">
        <v>643.76</v>
      </c>
      <c r="CN40" s="153">
        <v>97.69</v>
      </c>
      <c r="CO40" s="153">
        <v>658.97</v>
      </c>
      <c r="CP40" s="153">
        <v>465.75</v>
      </c>
      <c r="CQ40" s="153">
        <v>115.74</v>
      </c>
      <c r="CR40" s="153">
        <v>1.82</v>
      </c>
      <c r="CS40" s="153">
        <v>60.45</v>
      </c>
      <c r="CT40" s="153">
        <v>0.0</v>
      </c>
      <c r="CU40" s="153">
        <v>261.0</v>
      </c>
      <c r="CV40" s="153">
        <v>1.55</v>
      </c>
      <c r="CW40" s="153">
        <v>400.86</v>
      </c>
      <c r="CX40" s="153">
        <v>14.62</v>
      </c>
      <c r="CY40" s="153">
        <v>130.36</v>
      </c>
      <c r="CZ40" s="153">
        <v>345.56</v>
      </c>
      <c r="DA40" s="153">
        <v>4.21</v>
      </c>
      <c r="DB40" s="153">
        <v>341.36</v>
      </c>
      <c r="DC40" s="153">
        <v>321.15</v>
      </c>
      <c r="DD40" s="153">
        <v>2.03</v>
      </c>
      <c r="DE40" s="153">
        <v>319.12</v>
      </c>
      <c r="DF40" s="153">
        <v>13.99</v>
      </c>
      <c r="DG40" s="153">
        <v>0.73</v>
      </c>
      <c r="DH40" s="153">
        <v>13.26</v>
      </c>
      <c r="DI40" s="153">
        <v>6.74</v>
      </c>
      <c r="DJ40" s="153">
        <v>0.73</v>
      </c>
      <c r="DK40" s="153">
        <v>6.01</v>
      </c>
      <c r="DL40" s="153">
        <v>3.69</v>
      </c>
      <c r="DM40" s="153">
        <v>0.73</v>
      </c>
      <c r="DN40" s="153">
        <v>2.96</v>
      </c>
      <c r="DO40" s="153">
        <v>187509.0</v>
      </c>
      <c r="DP40" s="153">
        <v>264150.0</v>
      </c>
    </row>
    <row r="41" ht="15.75" customHeight="1">
      <c r="A41" s="235">
        <v>46258.0</v>
      </c>
      <c r="B41" s="236" t="s">
        <v>5</v>
      </c>
      <c r="C41" s="236" t="s">
        <v>137</v>
      </c>
      <c r="D41" s="236">
        <v>541.0</v>
      </c>
      <c r="E41" s="236">
        <v>1.94</v>
      </c>
      <c r="F41" s="236">
        <v>480.36</v>
      </c>
      <c r="G41" s="236">
        <v>0.8879</v>
      </c>
      <c r="H41" s="236">
        <v>5.91</v>
      </c>
      <c r="I41" s="236">
        <v>15.0112</v>
      </c>
      <c r="J41" s="236">
        <v>213.0</v>
      </c>
      <c r="K41" s="236">
        <v>127.18</v>
      </c>
      <c r="L41" s="236">
        <v>98.78</v>
      </c>
      <c r="M41" s="236">
        <v>0.7767</v>
      </c>
      <c r="N41" s="236">
        <v>0.3756</v>
      </c>
      <c r="O41" s="236">
        <v>0.2504</v>
      </c>
      <c r="P41" s="236">
        <v>1.2875</v>
      </c>
      <c r="Q41" s="236">
        <v>786.1</v>
      </c>
      <c r="R41" s="236">
        <v>723.83</v>
      </c>
      <c r="S41" s="236">
        <v>62.27</v>
      </c>
      <c r="T41" s="236">
        <v>76.34</v>
      </c>
      <c r="U41" s="236">
        <v>709.76</v>
      </c>
      <c r="V41" s="236">
        <v>632.81</v>
      </c>
      <c r="W41" s="236">
        <v>4.9757</v>
      </c>
      <c r="X41" s="236">
        <v>9.71</v>
      </c>
      <c r="Y41" s="236">
        <v>471.0</v>
      </c>
      <c r="Z41" s="236">
        <v>1156.0</v>
      </c>
      <c r="AA41" s="236">
        <v>4577.0</v>
      </c>
      <c r="AB41" s="236">
        <v>57.0108</v>
      </c>
      <c r="AC41" s="236">
        <v>0.5747</v>
      </c>
      <c r="AD41" s="236">
        <v>41.52</v>
      </c>
      <c r="AE41" s="236">
        <v>16.0</v>
      </c>
      <c r="AF41" s="236">
        <v>32.0</v>
      </c>
      <c r="AG41" s="236">
        <v>46.0</v>
      </c>
      <c r="AH41" s="236">
        <v>90.0</v>
      </c>
      <c r="AI41" s="236">
        <v>36.78</v>
      </c>
      <c r="AJ41" s="236">
        <v>7.21</v>
      </c>
      <c r="AK41" s="236">
        <v>1.11</v>
      </c>
      <c r="AL41" s="236">
        <v>0.0795</v>
      </c>
      <c r="AM41" s="236">
        <v>35.86</v>
      </c>
      <c r="AN41" s="153">
        <v>35.86</v>
      </c>
      <c r="AO41" s="153">
        <v>18.67</v>
      </c>
      <c r="AP41" s="153">
        <v>11.09</v>
      </c>
      <c r="AQ41" s="153">
        <v>25.9593</v>
      </c>
      <c r="AR41" s="153">
        <v>1.0111</v>
      </c>
      <c r="AS41" s="153">
        <v>24.9482</v>
      </c>
      <c r="AT41" s="153">
        <v>20.0795</v>
      </c>
      <c r="AU41" s="153">
        <v>0.1579</v>
      </c>
      <c r="AV41" s="153">
        <v>541.0</v>
      </c>
      <c r="AW41" s="153">
        <v>0.0</v>
      </c>
      <c r="AX41" s="153">
        <v>215.52</v>
      </c>
      <c r="AY41" s="153">
        <v>405.61</v>
      </c>
      <c r="AZ41" s="153">
        <v>13.58</v>
      </c>
      <c r="BA41" s="153">
        <v>76.34</v>
      </c>
      <c r="BB41" s="153">
        <v>5.43</v>
      </c>
      <c r="BC41" s="153">
        <v>191.0</v>
      </c>
      <c r="BD41" s="153">
        <v>21685.0</v>
      </c>
      <c r="BE41" s="153">
        <v>14.4492</v>
      </c>
      <c r="BF41" s="153">
        <v>0.3771</v>
      </c>
      <c r="BG41" s="153">
        <v>14.0721</v>
      </c>
      <c r="BH41" s="153">
        <v>10.3179</v>
      </c>
      <c r="BI41" s="153">
        <v>0.0811</v>
      </c>
      <c r="BJ41" s="153">
        <v>11.5102</v>
      </c>
      <c r="BK41" s="153">
        <v>0.634</v>
      </c>
      <c r="BL41" s="153">
        <v>10.8762</v>
      </c>
      <c r="BM41" s="153">
        <v>9.7616</v>
      </c>
      <c r="BN41" s="153">
        <v>0.0768</v>
      </c>
      <c r="BO41" s="153">
        <v>4.8817</v>
      </c>
      <c r="BP41" s="153">
        <v>0.1201</v>
      </c>
      <c r="BQ41" s="153">
        <v>4.7616</v>
      </c>
      <c r="BR41" s="153">
        <v>3.6174</v>
      </c>
      <c r="BS41" s="153">
        <v>4.9501</v>
      </c>
      <c r="BT41" s="153">
        <v>0.1257</v>
      </c>
      <c r="BU41" s="153">
        <v>4.8244</v>
      </c>
      <c r="BV41" s="153">
        <v>3.5896</v>
      </c>
      <c r="BW41" s="153">
        <v>4.6174</v>
      </c>
      <c r="BX41" s="153">
        <v>0.1312</v>
      </c>
      <c r="BY41" s="153">
        <v>4.4861</v>
      </c>
      <c r="BZ41" s="153">
        <v>3.1109</v>
      </c>
      <c r="CA41" s="153">
        <v>3.9168</v>
      </c>
      <c r="CB41" s="153">
        <v>0.1608</v>
      </c>
      <c r="CC41" s="153">
        <v>3.756</v>
      </c>
      <c r="CD41" s="153">
        <v>3.1294</v>
      </c>
      <c r="CE41" s="153">
        <v>2.61</v>
      </c>
      <c r="CF41" s="153">
        <v>0.2588</v>
      </c>
      <c r="CG41" s="153">
        <v>2.3512</v>
      </c>
      <c r="CH41" s="153">
        <v>2.573</v>
      </c>
      <c r="CI41" s="153">
        <v>4.9834</v>
      </c>
      <c r="CJ41" s="153">
        <v>0.2144</v>
      </c>
      <c r="CK41" s="153">
        <v>4.7689</v>
      </c>
      <c r="CL41" s="153">
        <v>4.0591</v>
      </c>
      <c r="CM41" s="153">
        <v>1297.65</v>
      </c>
      <c r="CN41" s="153">
        <v>99.08</v>
      </c>
      <c r="CO41" s="153">
        <v>1309.76</v>
      </c>
      <c r="CP41" s="153">
        <v>935.55</v>
      </c>
      <c r="CQ41" s="153">
        <v>234.33</v>
      </c>
      <c r="CR41" s="153">
        <v>3.55</v>
      </c>
      <c r="CS41" s="153">
        <v>124.22</v>
      </c>
      <c r="CT41" s="153">
        <v>0.0</v>
      </c>
      <c r="CU41" s="153">
        <v>35.0</v>
      </c>
      <c r="CV41" s="153">
        <v>2.96</v>
      </c>
      <c r="CW41" s="153">
        <v>789.06</v>
      </c>
      <c r="CX41" s="153">
        <v>35.31</v>
      </c>
      <c r="CY41" s="153">
        <v>269.64</v>
      </c>
      <c r="CZ41" s="153">
        <v>515.4</v>
      </c>
      <c r="DA41" s="153">
        <v>12.46</v>
      </c>
      <c r="DB41" s="153">
        <v>502.94</v>
      </c>
      <c r="DC41" s="153">
        <v>486.01</v>
      </c>
      <c r="DD41" s="153">
        <v>7.25</v>
      </c>
      <c r="DE41" s="153">
        <v>478.76</v>
      </c>
      <c r="DF41" s="153">
        <v>18.19</v>
      </c>
      <c r="DG41" s="153">
        <v>1.74</v>
      </c>
      <c r="DH41" s="153">
        <v>16.45</v>
      </c>
      <c r="DI41" s="153">
        <v>8.07</v>
      </c>
      <c r="DJ41" s="153">
        <v>1.74</v>
      </c>
      <c r="DK41" s="153">
        <v>6.33</v>
      </c>
      <c r="DL41" s="153">
        <v>3.13</v>
      </c>
      <c r="DM41" s="153">
        <v>1.74</v>
      </c>
      <c r="DN41" s="153">
        <v>1.4</v>
      </c>
      <c r="DO41" s="153">
        <v>53441.0</v>
      </c>
      <c r="DP41" s="153">
        <v>68804.0</v>
      </c>
    </row>
    <row r="42" ht="15.75" customHeight="1">
      <c r="A42" s="235">
        <v>46259.0</v>
      </c>
      <c r="B42" s="236" t="s">
        <v>4</v>
      </c>
      <c r="C42" s="236" t="s">
        <v>133</v>
      </c>
      <c r="D42" s="236">
        <v>10067.0</v>
      </c>
      <c r="E42" s="236">
        <v>35.68</v>
      </c>
      <c r="F42" s="236">
        <v>310.06</v>
      </c>
      <c r="G42" s="236">
        <v>0.0308</v>
      </c>
      <c r="H42" s="236">
        <v>1.31</v>
      </c>
      <c r="I42" s="236">
        <v>2.3489</v>
      </c>
      <c r="J42" s="236">
        <v>27.36</v>
      </c>
      <c r="K42" s="236">
        <v>13.6</v>
      </c>
      <c r="L42" s="236">
        <v>6.29</v>
      </c>
      <c r="M42" s="236">
        <v>0.4629</v>
      </c>
      <c r="N42" s="236">
        <v>0.6641</v>
      </c>
      <c r="O42" s="236">
        <v>0.4159</v>
      </c>
      <c r="P42" s="236">
        <v>2.1604</v>
      </c>
      <c r="Q42" s="236">
        <v>50.99</v>
      </c>
      <c r="R42" s="236">
        <v>45.66</v>
      </c>
      <c r="S42" s="236">
        <v>5.33</v>
      </c>
      <c r="T42" s="236">
        <v>2.78</v>
      </c>
      <c r="U42" s="236">
        <v>48.21</v>
      </c>
      <c r="V42" s="236">
        <v>54.12</v>
      </c>
      <c r="W42" s="236">
        <v>3.9807</v>
      </c>
      <c r="X42" s="236">
        <v>5.45</v>
      </c>
      <c r="Y42" s="236">
        <v>173.0</v>
      </c>
      <c r="Z42" s="236">
        <v>465.0</v>
      </c>
      <c r="AA42" s="236">
        <v>2578.0</v>
      </c>
      <c r="AB42" s="236">
        <v>49.2631</v>
      </c>
      <c r="AC42" s="236">
        <v>0.5566</v>
      </c>
      <c r="AD42" s="236">
        <v>5.86</v>
      </c>
      <c r="AE42" s="236">
        <v>2.0</v>
      </c>
      <c r="AF42" s="236">
        <v>4.0</v>
      </c>
      <c r="AG42" s="236">
        <v>7.0</v>
      </c>
      <c r="AH42" s="236">
        <v>14.0</v>
      </c>
      <c r="AI42" s="236">
        <v>57.33</v>
      </c>
      <c r="AJ42" s="236">
        <v>26.79</v>
      </c>
      <c r="AK42" s="236">
        <v>7.82</v>
      </c>
      <c r="AL42" s="236">
        <v>0.278</v>
      </c>
      <c r="AM42" s="237"/>
      <c r="AQ42" s="153">
        <v>3.5013</v>
      </c>
      <c r="AR42" s="153">
        <v>0.0246</v>
      </c>
      <c r="AS42" s="153">
        <v>3.4767</v>
      </c>
      <c r="AT42" s="153">
        <v>3.4177</v>
      </c>
      <c r="AU42" s="153">
        <v>0.2514</v>
      </c>
      <c r="AV42" s="153">
        <v>10067.0</v>
      </c>
      <c r="AW42" s="153">
        <v>0.0</v>
      </c>
      <c r="AX42" s="153">
        <v>23.14</v>
      </c>
      <c r="AY42" s="153">
        <v>21.48</v>
      </c>
      <c r="AZ42" s="153">
        <v>2.9</v>
      </c>
      <c r="BA42" s="153">
        <v>2.78</v>
      </c>
      <c r="BB42" s="153">
        <v>0.7</v>
      </c>
      <c r="BC42" s="153">
        <v>33.0</v>
      </c>
      <c r="BD42" s="153">
        <v>24363.0</v>
      </c>
      <c r="BE42" s="153">
        <v>1.9044</v>
      </c>
      <c r="BF42" s="153">
        <v>0.011</v>
      </c>
      <c r="BG42" s="153">
        <v>1.8934</v>
      </c>
      <c r="BH42" s="153">
        <v>1.8646</v>
      </c>
      <c r="BI42" s="153">
        <v>0.1372</v>
      </c>
      <c r="BJ42" s="153">
        <v>1.5969</v>
      </c>
      <c r="BK42" s="153">
        <v>0.0136</v>
      </c>
      <c r="BL42" s="153">
        <v>1.5833</v>
      </c>
      <c r="BM42" s="153">
        <v>1.5531</v>
      </c>
      <c r="BN42" s="153">
        <v>0.1142</v>
      </c>
      <c r="BO42" s="153">
        <v>0.8459</v>
      </c>
      <c r="BP42" s="153">
        <v>0.0046</v>
      </c>
      <c r="BQ42" s="153">
        <v>0.8414</v>
      </c>
      <c r="BR42" s="153">
        <v>0.7821</v>
      </c>
      <c r="BS42" s="153">
        <v>0.7004</v>
      </c>
      <c r="BT42" s="153">
        <v>0.0031</v>
      </c>
      <c r="BU42" s="153">
        <v>0.6973</v>
      </c>
      <c r="BV42" s="153">
        <v>0.7065</v>
      </c>
      <c r="BW42" s="153">
        <v>0.3581</v>
      </c>
      <c r="BX42" s="153">
        <v>0.0034</v>
      </c>
      <c r="BY42" s="153">
        <v>0.3547</v>
      </c>
      <c r="BZ42" s="153">
        <v>0.3761</v>
      </c>
      <c r="CA42" s="153">
        <v>0.3305</v>
      </c>
      <c r="CB42" s="153">
        <v>0.0037</v>
      </c>
      <c r="CC42" s="153">
        <v>0.3268</v>
      </c>
      <c r="CD42" s="153">
        <v>0.3309</v>
      </c>
      <c r="CE42" s="153">
        <v>0.7358</v>
      </c>
      <c r="CF42" s="153">
        <v>0.005</v>
      </c>
      <c r="CG42" s="153">
        <v>0.7308</v>
      </c>
      <c r="CH42" s="153">
        <v>0.6805</v>
      </c>
      <c r="CI42" s="153">
        <v>0.5306</v>
      </c>
      <c r="CJ42" s="153">
        <v>0.005</v>
      </c>
      <c r="CK42" s="153">
        <v>0.5257</v>
      </c>
      <c r="CL42" s="153">
        <v>0.5417</v>
      </c>
      <c r="CM42" s="153">
        <v>82.46</v>
      </c>
      <c r="CN42" s="153">
        <v>73.37</v>
      </c>
      <c r="CO42" s="153">
        <v>112.39</v>
      </c>
      <c r="CP42" s="153">
        <v>76.86</v>
      </c>
      <c r="CQ42" s="153">
        <v>0.0</v>
      </c>
      <c r="CR42" s="153">
        <v>1.65</v>
      </c>
      <c r="CS42" s="153">
        <v>3.95</v>
      </c>
      <c r="CT42" s="153">
        <v>0.0</v>
      </c>
      <c r="CU42" s="153">
        <v>0.0</v>
      </c>
      <c r="CV42" s="153">
        <v>0.0</v>
      </c>
      <c r="CW42" s="153">
        <v>50.99</v>
      </c>
      <c r="CX42" s="153">
        <v>0.0</v>
      </c>
      <c r="CY42" s="153">
        <v>0.0</v>
      </c>
      <c r="CZ42" s="153">
        <v>62.95</v>
      </c>
      <c r="DA42" s="153">
        <v>1.3</v>
      </c>
      <c r="DB42" s="153">
        <v>61.65</v>
      </c>
      <c r="DC42" s="153">
        <v>58.0</v>
      </c>
      <c r="DD42" s="153">
        <v>0.34</v>
      </c>
      <c r="DE42" s="153">
        <v>57.66</v>
      </c>
      <c r="DF42" s="153">
        <v>2.29</v>
      </c>
      <c r="DG42" s="153">
        <v>0.32</v>
      </c>
      <c r="DH42" s="153">
        <v>1.97</v>
      </c>
      <c r="DI42" s="153">
        <v>1.95</v>
      </c>
      <c r="DJ42" s="153">
        <v>0.32</v>
      </c>
      <c r="DK42" s="153">
        <v>1.63</v>
      </c>
      <c r="DL42" s="153">
        <v>0.71</v>
      </c>
      <c r="DM42" s="153">
        <v>0.32</v>
      </c>
      <c r="DN42" s="153">
        <v>0.39</v>
      </c>
      <c r="DO42" s="153">
        <v>63350.0</v>
      </c>
      <c r="DP42" s="153">
        <v>136861.0</v>
      </c>
    </row>
    <row r="43" ht="15.75" customHeight="1">
      <c r="A43" s="235">
        <v>46259.0</v>
      </c>
      <c r="B43" s="236" t="s">
        <v>4</v>
      </c>
      <c r="C43" s="236" t="s">
        <v>134</v>
      </c>
      <c r="D43" s="236">
        <v>7305.0</v>
      </c>
      <c r="E43" s="236">
        <v>25.89</v>
      </c>
      <c r="F43" s="236">
        <v>584.24</v>
      </c>
      <c r="G43" s="236">
        <v>0.08</v>
      </c>
      <c r="H43" s="236">
        <v>2.38</v>
      </c>
      <c r="I43" s="236">
        <v>3.3577</v>
      </c>
      <c r="J43" s="236">
        <v>43.89</v>
      </c>
      <c r="K43" s="236">
        <v>22.53</v>
      </c>
      <c r="L43" s="236">
        <v>12.71</v>
      </c>
      <c r="M43" s="236">
        <v>0.5641</v>
      </c>
      <c r="N43" s="236">
        <v>0.5835</v>
      </c>
      <c r="O43" s="236">
        <v>0.3683</v>
      </c>
      <c r="P43" s="236">
        <v>1.7729</v>
      </c>
      <c r="Q43" s="236">
        <v>93.48</v>
      </c>
      <c r="R43" s="236">
        <v>83.05</v>
      </c>
      <c r="S43" s="236">
        <v>10.43</v>
      </c>
      <c r="T43" s="236">
        <v>6.24</v>
      </c>
      <c r="U43" s="236">
        <v>87.24</v>
      </c>
      <c r="V43" s="236">
        <v>98.11</v>
      </c>
      <c r="W43" s="236">
        <v>4.355</v>
      </c>
      <c r="X43" s="236">
        <v>6.67</v>
      </c>
      <c r="Y43" s="236">
        <v>191.0</v>
      </c>
      <c r="Z43" s="236">
        <v>463.0</v>
      </c>
      <c r="AA43" s="236">
        <v>2130.0</v>
      </c>
      <c r="AB43" s="236">
        <v>52.4431</v>
      </c>
      <c r="AC43" s="236">
        <v>0.6721</v>
      </c>
      <c r="AD43" s="236">
        <v>9.63</v>
      </c>
      <c r="AE43" s="236">
        <v>3.0</v>
      </c>
      <c r="AF43" s="236">
        <v>7.0</v>
      </c>
      <c r="AG43" s="236">
        <v>12.0</v>
      </c>
      <c r="AH43" s="236">
        <v>21.0</v>
      </c>
      <c r="AI43" s="236">
        <v>54.99</v>
      </c>
      <c r="AJ43" s="236">
        <v>22.2</v>
      </c>
      <c r="AK43" s="236">
        <v>4.23</v>
      </c>
      <c r="AL43" s="236">
        <v>0.2379</v>
      </c>
      <c r="AM43" s="237"/>
      <c r="AQ43" s="153">
        <v>5.6643</v>
      </c>
      <c r="AR43" s="153">
        <v>0.1094</v>
      </c>
      <c r="AS43" s="153">
        <v>5.555</v>
      </c>
      <c r="AT43" s="153">
        <v>5.6606</v>
      </c>
      <c r="AU43" s="153">
        <v>0.2513</v>
      </c>
      <c r="AV43" s="153">
        <v>7305.0</v>
      </c>
      <c r="AW43" s="153">
        <v>0.0</v>
      </c>
      <c r="AX43" s="153">
        <v>33.6</v>
      </c>
      <c r="AY43" s="153">
        <v>48.84</v>
      </c>
      <c r="AZ43" s="153">
        <v>3.43</v>
      </c>
      <c r="BA43" s="153">
        <v>6.24</v>
      </c>
      <c r="BB43" s="153">
        <v>1.38</v>
      </c>
      <c r="BC43" s="153">
        <v>46.0</v>
      </c>
      <c r="BD43" s="153">
        <v>22680.0</v>
      </c>
      <c r="BE43" s="153">
        <v>3.0438</v>
      </c>
      <c r="BF43" s="153">
        <v>0.0715</v>
      </c>
      <c r="BG43" s="153">
        <v>2.9723</v>
      </c>
      <c r="BH43" s="153">
        <v>3.0089</v>
      </c>
      <c r="BI43" s="153">
        <v>0.1336</v>
      </c>
      <c r="BJ43" s="153">
        <v>2.6205</v>
      </c>
      <c r="BK43" s="153">
        <v>0.0379</v>
      </c>
      <c r="BL43" s="153">
        <v>2.5826</v>
      </c>
      <c r="BM43" s="153">
        <v>2.6517</v>
      </c>
      <c r="BN43" s="153">
        <v>0.1177</v>
      </c>
      <c r="BO43" s="153">
        <v>1.1919</v>
      </c>
      <c r="BP43" s="153">
        <v>0.0227</v>
      </c>
      <c r="BQ43" s="153">
        <v>1.1692</v>
      </c>
      <c r="BR43" s="153">
        <v>1.1599</v>
      </c>
      <c r="BS43" s="153">
        <v>1.1081</v>
      </c>
      <c r="BT43" s="153">
        <v>0.0252</v>
      </c>
      <c r="BU43" s="153">
        <v>1.083</v>
      </c>
      <c r="BV43" s="153">
        <v>1.1292</v>
      </c>
      <c r="BW43" s="153">
        <v>0.7437</v>
      </c>
      <c r="BX43" s="153">
        <v>0.0235</v>
      </c>
      <c r="BY43" s="153">
        <v>0.7202</v>
      </c>
      <c r="BZ43" s="153">
        <v>0.7198</v>
      </c>
      <c r="CA43" s="153">
        <v>0.5437</v>
      </c>
      <c r="CB43" s="153">
        <v>0.01</v>
      </c>
      <c r="CC43" s="153">
        <v>0.5337</v>
      </c>
      <c r="CD43" s="153">
        <v>0.6063</v>
      </c>
      <c r="CE43" s="153">
        <v>1.0768</v>
      </c>
      <c r="CF43" s="153">
        <v>0.0144</v>
      </c>
      <c r="CG43" s="153">
        <v>1.0624</v>
      </c>
      <c r="CH43" s="153">
        <v>1.0448</v>
      </c>
      <c r="CI43" s="153">
        <v>1.0</v>
      </c>
      <c r="CJ43" s="153">
        <v>0.0136</v>
      </c>
      <c r="CK43" s="153">
        <v>0.9864</v>
      </c>
      <c r="CL43" s="153">
        <v>1.0007</v>
      </c>
      <c r="CM43" s="153">
        <v>169.09</v>
      </c>
      <c r="CN43" s="153">
        <v>86.38</v>
      </c>
      <c r="CO43" s="153">
        <v>195.76</v>
      </c>
      <c r="CP43" s="153">
        <v>156.63</v>
      </c>
      <c r="CQ43" s="153">
        <v>0.0</v>
      </c>
      <c r="CR43" s="153">
        <v>1.85</v>
      </c>
      <c r="CS43" s="153">
        <v>10.62</v>
      </c>
      <c r="CT43" s="153">
        <v>0.0</v>
      </c>
      <c r="CU43" s="153">
        <v>0.0</v>
      </c>
      <c r="CV43" s="153">
        <v>0.0</v>
      </c>
      <c r="CW43" s="153">
        <v>93.48</v>
      </c>
      <c r="CX43" s="153">
        <v>0.0</v>
      </c>
      <c r="CY43" s="153">
        <v>0.0</v>
      </c>
      <c r="CZ43" s="153">
        <v>88.38</v>
      </c>
      <c r="DA43" s="153">
        <v>2.38</v>
      </c>
      <c r="DB43" s="153">
        <v>86.0</v>
      </c>
      <c r="DC43" s="153">
        <v>82.39</v>
      </c>
      <c r="DD43" s="153">
        <v>0.65</v>
      </c>
      <c r="DE43" s="153">
        <v>81.74</v>
      </c>
      <c r="DF43" s="153">
        <v>2.83</v>
      </c>
      <c r="DG43" s="153">
        <v>0.57</v>
      </c>
      <c r="DH43" s="153">
        <v>2.26</v>
      </c>
      <c r="DI43" s="153">
        <v>2.17</v>
      </c>
      <c r="DJ43" s="153">
        <v>0.57</v>
      </c>
      <c r="DK43" s="153">
        <v>1.6</v>
      </c>
      <c r="DL43" s="153">
        <v>0.98</v>
      </c>
      <c r="DM43" s="153">
        <v>0.57</v>
      </c>
      <c r="DN43" s="153">
        <v>0.41</v>
      </c>
      <c r="DO43" s="153">
        <v>92827.0</v>
      </c>
      <c r="DP43" s="153">
        <v>164571.0</v>
      </c>
    </row>
    <row r="44" ht="15.75" customHeight="1">
      <c r="A44" s="235">
        <v>46259.0</v>
      </c>
      <c r="B44" s="236" t="s">
        <v>4</v>
      </c>
      <c r="C44" s="236" t="s">
        <v>135</v>
      </c>
      <c r="D44" s="236">
        <v>6251.0</v>
      </c>
      <c r="E44" s="236">
        <v>22.16</v>
      </c>
      <c r="F44" s="236">
        <v>1178.56</v>
      </c>
      <c r="G44" s="236">
        <v>0.1885</v>
      </c>
      <c r="H44" s="236">
        <v>3.58</v>
      </c>
      <c r="I44" s="236">
        <v>5.2614</v>
      </c>
      <c r="J44" s="236">
        <v>66.26</v>
      </c>
      <c r="K44" s="236">
        <v>35.7</v>
      </c>
      <c r="L44" s="236">
        <v>23.44</v>
      </c>
      <c r="M44" s="236">
        <v>0.6565</v>
      </c>
      <c r="N44" s="236">
        <v>0.5041</v>
      </c>
      <c r="O44" s="236">
        <v>0.3257</v>
      </c>
      <c r="P44" s="236">
        <v>1.5233</v>
      </c>
      <c r="Q44" s="236">
        <v>165.42</v>
      </c>
      <c r="R44" s="236">
        <v>146.47</v>
      </c>
      <c r="S44" s="236">
        <v>18.95</v>
      </c>
      <c r="T44" s="236">
        <v>16.0</v>
      </c>
      <c r="U44" s="236">
        <v>149.42</v>
      </c>
      <c r="V44" s="236">
        <v>168.59</v>
      </c>
      <c r="W44" s="236">
        <v>4.7223</v>
      </c>
      <c r="X44" s="236">
        <v>9.67</v>
      </c>
      <c r="Y44" s="236">
        <v>236.0</v>
      </c>
      <c r="Z44" s="236">
        <v>535.0</v>
      </c>
      <c r="AA44" s="236">
        <v>2126.0</v>
      </c>
      <c r="AB44" s="236">
        <v>53.8758</v>
      </c>
      <c r="AC44" s="236">
        <v>0.6903</v>
      </c>
      <c r="AD44" s="236">
        <v>15.5</v>
      </c>
      <c r="AE44" s="236">
        <v>5.0</v>
      </c>
      <c r="AF44" s="236">
        <v>11.0</v>
      </c>
      <c r="AG44" s="236">
        <v>20.0</v>
      </c>
      <c r="AH44" s="236">
        <v>35.0</v>
      </c>
      <c r="AI44" s="236">
        <v>50.89</v>
      </c>
      <c r="AJ44" s="236">
        <v>17.81</v>
      </c>
      <c r="AK44" s="236">
        <v>4.88</v>
      </c>
      <c r="AL44" s="236">
        <v>0.1886</v>
      </c>
      <c r="AM44" s="236"/>
      <c r="AQ44" s="153">
        <v>8.2467</v>
      </c>
      <c r="AR44" s="153">
        <v>0.2153</v>
      </c>
      <c r="AS44" s="153">
        <v>8.0314</v>
      </c>
      <c r="AT44" s="153">
        <v>8.6273</v>
      </c>
      <c r="AU44" s="153">
        <v>0.2417</v>
      </c>
      <c r="AV44" s="153">
        <v>6251.0</v>
      </c>
      <c r="AW44" s="153">
        <v>0.0</v>
      </c>
      <c r="AX44" s="153">
        <v>51.59</v>
      </c>
      <c r="AY44" s="153">
        <v>91.7</v>
      </c>
      <c r="AZ44" s="153">
        <v>3.84</v>
      </c>
      <c r="BA44" s="153">
        <v>16.0</v>
      </c>
      <c r="BB44" s="153">
        <v>2.3</v>
      </c>
      <c r="BC44" s="153">
        <v>73.0</v>
      </c>
      <c r="BD44" s="153">
        <v>24496.0</v>
      </c>
      <c r="BE44" s="153">
        <v>4.2592</v>
      </c>
      <c r="BF44" s="153">
        <v>0.0974</v>
      </c>
      <c r="BG44" s="153">
        <v>4.1617</v>
      </c>
      <c r="BH44" s="153">
        <v>4.5645</v>
      </c>
      <c r="BI44" s="153">
        <v>0.1279</v>
      </c>
      <c r="BJ44" s="153">
        <v>3.9875</v>
      </c>
      <c r="BK44" s="153">
        <v>0.1179</v>
      </c>
      <c r="BL44" s="153">
        <v>3.8696</v>
      </c>
      <c r="BM44" s="153">
        <v>4.0627</v>
      </c>
      <c r="BN44" s="153">
        <v>0.1138</v>
      </c>
      <c r="BO44" s="153">
        <v>1.4706</v>
      </c>
      <c r="BP44" s="153">
        <v>0.0294</v>
      </c>
      <c r="BQ44" s="153">
        <v>1.4412</v>
      </c>
      <c r="BR44" s="153">
        <v>1.5949</v>
      </c>
      <c r="BS44" s="153">
        <v>1.6447</v>
      </c>
      <c r="BT44" s="153">
        <v>0.0328</v>
      </c>
      <c r="BU44" s="153">
        <v>1.6119</v>
      </c>
      <c r="BV44" s="153">
        <v>1.7688</v>
      </c>
      <c r="BW44" s="153">
        <v>1.1438</v>
      </c>
      <c r="BX44" s="153">
        <v>0.0352</v>
      </c>
      <c r="BY44" s="153">
        <v>1.1086</v>
      </c>
      <c r="BZ44" s="153">
        <v>1.2008</v>
      </c>
      <c r="CA44" s="153">
        <v>0.9075</v>
      </c>
      <c r="CB44" s="153">
        <v>0.0314</v>
      </c>
      <c r="CC44" s="153">
        <v>0.8762</v>
      </c>
      <c r="CD44" s="153">
        <v>0.9851</v>
      </c>
      <c r="CE44" s="153">
        <v>1.461</v>
      </c>
      <c r="CF44" s="153">
        <v>0.0483</v>
      </c>
      <c r="CG44" s="153">
        <v>1.4127</v>
      </c>
      <c r="CH44" s="153">
        <v>1.4831</v>
      </c>
      <c r="CI44" s="153">
        <v>1.6189</v>
      </c>
      <c r="CJ44" s="153">
        <v>0.0382</v>
      </c>
      <c r="CK44" s="153">
        <v>1.5807</v>
      </c>
      <c r="CL44" s="153">
        <v>1.5945</v>
      </c>
      <c r="CM44" s="153">
        <v>305.1</v>
      </c>
      <c r="CN44" s="153">
        <v>93.22</v>
      </c>
      <c r="CO44" s="153">
        <v>327.3</v>
      </c>
      <c r="CP44" s="153">
        <v>284.26</v>
      </c>
      <c r="CQ44" s="153">
        <v>0.0</v>
      </c>
      <c r="CR44" s="153">
        <v>1.92</v>
      </c>
      <c r="CS44" s="153">
        <v>18.92</v>
      </c>
      <c r="CT44" s="153">
        <v>0.0</v>
      </c>
      <c r="CU44" s="153">
        <v>0.0</v>
      </c>
      <c r="CV44" s="153">
        <v>0.0</v>
      </c>
      <c r="CW44" s="153">
        <v>165.42</v>
      </c>
      <c r="CX44" s="153">
        <v>0.0</v>
      </c>
      <c r="CY44" s="153">
        <v>0.0</v>
      </c>
      <c r="CZ44" s="153">
        <v>140.08</v>
      </c>
      <c r="DA44" s="153">
        <v>2.96</v>
      </c>
      <c r="DB44" s="153">
        <v>137.11</v>
      </c>
      <c r="DC44" s="153">
        <v>129.01</v>
      </c>
      <c r="DD44" s="153">
        <v>1.08</v>
      </c>
      <c r="DE44" s="153">
        <v>127.93</v>
      </c>
      <c r="DF44" s="153">
        <v>6.37</v>
      </c>
      <c r="DG44" s="153">
        <v>0.63</v>
      </c>
      <c r="DH44" s="153">
        <v>5.74</v>
      </c>
      <c r="DI44" s="153">
        <v>3.27</v>
      </c>
      <c r="DJ44" s="153">
        <v>0.63</v>
      </c>
      <c r="DK44" s="153">
        <v>2.64</v>
      </c>
      <c r="DL44" s="153">
        <v>1.43</v>
      </c>
      <c r="DM44" s="153">
        <v>0.63</v>
      </c>
      <c r="DN44" s="153">
        <v>0.8</v>
      </c>
      <c r="DO44" s="153">
        <v>146502.0</v>
      </c>
      <c r="DP44" s="153">
        <v>223164.0</v>
      </c>
    </row>
    <row r="45" ht="15.75" customHeight="1">
      <c r="A45" s="235">
        <v>46259.0</v>
      </c>
      <c r="B45" s="236" t="s">
        <v>4</v>
      </c>
      <c r="C45" s="236" t="s">
        <v>136</v>
      </c>
      <c r="D45" s="236">
        <v>4012.0</v>
      </c>
      <c r="E45" s="236">
        <v>14.22</v>
      </c>
      <c r="F45" s="236">
        <v>1505.17</v>
      </c>
      <c r="G45" s="236">
        <v>0.3752</v>
      </c>
      <c r="H45" s="236">
        <v>5.93</v>
      </c>
      <c r="I45" s="236">
        <v>6.3242</v>
      </c>
      <c r="J45" s="236">
        <v>111.72</v>
      </c>
      <c r="K45" s="236">
        <v>64.42</v>
      </c>
      <c r="L45" s="236">
        <v>46.68</v>
      </c>
      <c r="M45" s="236">
        <v>0.7247</v>
      </c>
      <c r="N45" s="236">
        <v>0.4283</v>
      </c>
      <c r="O45" s="236">
        <v>0.2738</v>
      </c>
      <c r="P45" s="236">
        <v>1.3799</v>
      </c>
      <c r="Q45" s="236">
        <v>303.17</v>
      </c>
      <c r="R45" s="236">
        <v>270.6</v>
      </c>
      <c r="S45" s="236">
        <v>32.57</v>
      </c>
      <c r="T45" s="236">
        <v>30.97</v>
      </c>
      <c r="U45" s="236">
        <v>272.2</v>
      </c>
      <c r="V45" s="236">
        <v>319.99</v>
      </c>
      <c r="W45" s="236">
        <v>4.9676</v>
      </c>
      <c r="X45" s="236">
        <v>10.22</v>
      </c>
      <c r="Y45" s="236">
        <v>306.0</v>
      </c>
      <c r="Z45" s="236">
        <v>755.0</v>
      </c>
      <c r="AA45" s="236">
        <v>2770.0</v>
      </c>
      <c r="AB45" s="236">
        <v>55.3073</v>
      </c>
      <c r="AC45" s="236">
        <v>0.6758</v>
      </c>
      <c r="AD45" s="236">
        <v>24.95</v>
      </c>
      <c r="AE45" s="236">
        <v>9.0</v>
      </c>
      <c r="AF45" s="236">
        <v>17.0</v>
      </c>
      <c r="AG45" s="236">
        <v>33.0</v>
      </c>
      <c r="AH45" s="236">
        <v>56.0</v>
      </c>
      <c r="AI45" s="236">
        <v>36.86</v>
      </c>
      <c r="AJ45" s="236">
        <v>11.22</v>
      </c>
      <c r="AK45" s="236">
        <v>2.34</v>
      </c>
      <c r="AL45" s="236">
        <v>0.1231</v>
      </c>
      <c r="AM45" s="236"/>
      <c r="AQ45" s="153">
        <v>11.9696</v>
      </c>
      <c r="AR45" s="153">
        <v>0.7343</v>
      </c>
      <c r="AS45" s="153">
        <v>11.2353</v>
      </c>
      <c r="AT45" s="153">
        <v>12.8983</v>
      </c>
      <c r="AU45" s="153">
        <v>0.2002</v>
      </c>
      <c r="AV45" s="153">
        <v>4012.0</v>
      </c>
      <c r="AW45" s="153">
        <v>0.0</v>
      </c>
      <c r="AX45" s="153">
        <v>80.38</v>
      </c>
      <c r="AY45" s="153">
        <v>181.26</v>
      </c>
      <c r="AZ45" s="153">
        <v>6.05</v>
      </c>
      <c r="BA45" s="153">
        <v>30.97</v>
      </c>
      <c r="BB45" s="153">
        <v>4.51</v>
      </c>
      <c r="BC45" s="153">
        <v>122.0</v>
      </c>
      <c r="BD45" s="153">
        <v>24406.0</v>
      </c>
      <c r="BE45" s="153">
        <v>6.0683</v>
      </c>
      <c r="BF45" s="153">
        <v>0.5227</v>
      </c>
      <c r="BG45" s="153">
        <v>5.5456</v>
      </c>
      <c r="BH45" s="153">
        <v>6.4536</v>
      </c>
      <c r="BI45" s="153">
        <v>0.1002</v>
      </c>
      <c r="BJ45" s="153">
        <v>5.9013</v>
      </c>
      <c r="BK45" s="153">
        <v>0.2116</v>
      </c>
      <c r="BL45" s="153">
        <v>5.6897</v>
      </c>
      <c r="BM45" s="153">
        <v>6.4447</v>
      </c>
      <c r="BN45" s="153">
        <v>0.1</v>
      </c>
      <c r="BO45" s="153">
        <v>2.1351</v>
      </c>
      <c r="BP45" s="153">
        <v>0.1712</v>
      </c>
      <c r="BQ45" s="153">
        <v>1.9639</v>
      </c>
      <c r="BR45" s="153">
        <v>2.2617</v>
      </c>
      <c r="BS45" s="153">
        <v>2.1176</v>
      </c>
      <c r="BT45" s="153">
        <v>0.1772</v>
      </c>
      <c r="BU45" s="153">
        <v>1.9404</v>
      </c>
      <c r="BV45" s="153">
        <v>2.2971</v>
      </c>
      <c r="BW45" s="153">
        <v>1.8156</v>
      </c>
      <c r="BX45" s="153">
        <v>0.1742</v>
      </c>
      <c r="BY45" s="153">
        <v>1.6413</v>
      </c>
      <c r="BZ45" s="153">
        <v>1.8948</v>
      </c>
      <c r="CA45" s="153">
        <v>1.7373</v>
      </c>
      <c r="CB45" s="153">
        <v>0.0573</v>
      </c>
      <c r="CC45" s="153">
        <v>1.68</v>
      </c>
      <c r="CD45" s="153">
        <v>1.9227</v>
      </c>
      <c r="CE45" s="153">
        <v>1.7079</v>
      </c>
      <c r="CF45" s="153">
        <v>0.088</v>
      </c>
      <c r="CG45" s="153">
        <v>1.6199</v>
      </c>
      <c r="CH45" s="153">
        <v>1.8958</v>
      </c>
      <c r="CI45" s="153">
        <v>2.4561</v>
      </c>
      <c r="CJ45" s="153">
        <v>0.0663</v>
      </c>
      <c r="CK45" s="153">
        <v>2.3898</v>
      </c>
      <c r="CL45" s="153">
        <v>2.6261</v>
      </c>
      <c r="CM45" s="153">
        <v>598.78</v>
      </c>
      <c r="CN45" s="153">
        <v>96.98</v>
      </c>
      <c r="CO45" s="153">
        <v>617.4</v>
      </c>
      <c r="CP45" s="153">
        <v>567.08</v>
      </c>
      <c r="CQ45" s="153">
        <v>0.0</v>
      </c>
      <c r="CR45" s="153">
        <v>2.03</v>
      </c>
      <c r="CS45" s="153">
        <v>29.67</v>
      </c>
      <c r="CT45" s="153">
        <v>0.0</v>
      </c>
      <c r="CU45" s="153">
        <v>0.0</v>
      </c>
      <c r="CV45" s="153">
        <v>0.0</v>
      </c>
      <c r="CW45" s="153">
        <v>303.17</v>
      </c>
      <c r="CX45" s="153">
        <v>0.0</v>
      </c>
      <c r="CY45" s="153">
        <v>0.0</v>
      </c>
      <c r="CZ45" s="153">
        <v>226.13</v>
      </c>
      <c r="DA45" s="153">
        <v>6.2</v>
      </c>
      <c r="DB45" s="153">
        <v>219.92</v>
      </c>
      <c r="DC45" s="153">
        <v>207.69</v>
      </c>
      <c r="DD45" s="153">
        <v>2.05</v>
      </c>
      <c r="DE45" s="153">
        <v>205.65</v>
      </c>
      <c r="DF45" s="153">
        <v>8.24</v>
      </c>
      <c r="DG45" s="153">
        <v>1.39</v>
      </c>
      <c r="DH45" s="153">
        <v>6.86</v>
      </c>
      <c r="DI45" s="153">
        <v>6.44</v>
      </c>
      <c r="DJ45" s="153">
        <v>1.39</v>
      </c>
      <c r="DK45" s="153">
        <v>5.05</v>
      </c>
      <c r="DL45" s="153">
        <v>3.75</v>
      </c>
      <c r="DM45" s="153">
        <v>1.39</v>
      </c>
      <c r="DN45" s="153">
        <v>2.37</v>
      </c>
      <c r="DO45" s="153">
        <v>187289.0</v>
      </c>
      <c r="DP45" s="153">
        <v>258436.0</v>
      </c>
    </row>
    <row r="46" ht="15.75" customHeight="1">
      <c r="A46" s="235">
        <v>46259.0</v>
      </c>
      <c r="B46" s="236" t="s">
        <v>4</v>
      </c>
      <c r="C46" s="236" t="s">
        <v>137</v>
      </c>
      <c r="D46" s="236">
        <v>576.0</v>
      </c>
      <c r="E46" s="236">
        <v>2.04</v>
      </c>
      <c r="F46" s="236">
        <v>395.48</v>
      </c>
      <c r="G46" s="236">
        <v>0.6866</v>
      </c>
      <c r="H46" s="236">
        <v>7.12</v>
      </c>
      <c r="I46" s="236">
        <v>9.6459</v>
      </c>
      <c r="J46" s="236">
        <v>201.68</v>
      </c>
      <c r="K46" s="236">
        <v>126.0</v>
      </c>
      <c r="L46" s="236">
        <v>98.49</v>
      </c>
      <c r="M46" s="236">
        <v>0.7816</v>
      </c>
      <c r="N46" s="236">
        <v>0.3542</v>
      </c>
      <c r="O46" s="236">
        <v>0.2271</v>
      </c>
      <c r="P46" s="236">
        <v>1.2794</v>
      </c>
      <c r="Q46" s="236">
        <v>484.96</v>
      </c>
      <c r="R46" s="236">
        <v>427.32</v>
      </c>
      <c r="S46" s="236">
        <v>57.64</v>
      </c>
      <c r="T46" s="236">
        <v>66.93</v>
      </c>
      <c r="U46" s="236">
        <v>418.03</v>
      </c>
      <c r="V46" s="236">
        <v>500.0</v>
      </c>
      <c r="W46" s="236">
        <v>3.9682</v>
      </c>
      <c r="X46" s="236">
        <v>13.8</v>
      </c>
      <c r="Y46" s="236">
        <v>378.0</v>
      </c>
      <c r="Z46" s="236">
        <v>1069.0</v>
      </c>
      <c r="AA46" s="236">
        <v>4118.0</v>
      </c>
      <c r="AB46" s="236">
        <v>56.9168</v>
      </c>
      <c r="AC46" s="236">
        <v>0.6184</v>
      </c>
      <c r="AD46" s="236">
        <v>43.95</v>
      </c>
      <c r="AE46" s="236">
        <v>16.0</v>
      </c>
      <c r="AF46" s="236">
        <v>30.0</v>
      </c>
      <c r="AG46" s="236">
        <v>58.0</v>
      </c>
      <c r="AH46" s="236">
        <v>94.0</v>
      </c>
      <c r="AI46" s="236">
        <v>19.97</v>
      </c>
      <c r="AJ46" s="236">
        <v>5.03</v>
      </c>
      <c r="AK46" s="236">
        <v>0.17</v>
      </c>
      <c r="AL46" s="236">
        <v>0.0799</v>
      </c>
      <c r="AM46" s="236"/>
      <c r="AQ46" s="153">
        <v>18.5486</v>
      </c>
      <c r="AR46" s="153">
        <v>0.5469</v>
      </c>
      <c r="AS46" s="153">
        <v>18.0017</v>
      </c>
      <c r="AT46" s="153">
        <v>23.4236</v>
      </c>
      <c r="AU46" s="153">
        <v>0.1859</v>
      </c>
      <c r="AV46" s="153">
        <v>576.0</v>
      </c>
      <c r="AW46" s="153">
        <v>0.0</v>
      </c>
      <c r="AX46" s="153">
        <v>133.84</v>
      </c>
      <c r="AY46" s="153">
        <v>263.99</v>
      </c>
      <c r="AZ46" s="153">
        <v>10.48</v>
      </c>
      <c r="BA46" s="153">
        <v>66.93</v>
      </c>
      <c r="BB46" s="153">
        <v>9.73</v>
      </c>
      <c r="BC46" s="153">
        <v>208.0</v>
      </c>
      <c r="BD46" s="153">
        <v>27556.0</v>
      </c>
      <c r="BE46" s="153">
        <v>9.4184</v>
      </c>
      <c r="BF46" s="153">
        <v>0.1458</v>
      </c>
      <c r="BG46" s="153">
        <v>9.2726</v>
      </c>
      <c r="BH46" s="153">
        <v>10.5799</v>
      </c>
      <c r="BI46" s="153">
        <v>0.084</v>
      </c>
      <c r="BJ46" s="153">
        <v>9.1302</v>
      </c>
      <c r="BK46" s="153">
        <v>0.401</v>
      </c>
      <c r="BL46" s="153">
        <v>8.7292</v>
      </c>
      <c r="BM46" s="153">
        <v>12.8438</v>
      </c>
      <c r="BN46" s="153">
        <v>0.1019</v>
      </c>
      <c r="BO46" s="153">
        <v>3.2431</v>
      </c>
      <c r="BP46" s="153">
        <v>0.0469</v>
      </c>
      <c r="BQ46" s="153">
        <v>3.1962</v>
      </c>
      <c r="BR46" s="153">
        <v>3.6823</v>
      </c>
      <c r="BS46" s="153">
        <v>3.1788</v>
      </c>
      <c r="BT46" s="153">
        <v>0.0469</v>
      </c>
      <c r="BU46" s="153">
        <v>3.1319</v>
      </c>
      <c r="BV46" s="153">
        <v>3.592</v>
      </c>
      <c r="BW46" s="153">
        <v>2.9965</v>
      </c>
      <c r="BX46" s="153">
        <v>0.0521</v>
      </c>
      <c r="BY46" s="153">
        <v>2.9444</v>
      </c>
      <c r="BZ46" s="153">
        <v>3.3056</v>
      </c>
      <c r="CA46" s="153">
        <v>2.941</v>
      </c>
      <c r="CB46" s="153">
        <v>0.0712</v>
      </c>
      <c r="CC46" s="153">
        <v>2.8698</v>
      </c>
      <c r="CD46" s="153">
        <v>3.25</v>
      </c>
      <c r="CE46" s="153">
        <v>2.3299</v>
      </c>
      <c r="CF46" s="153">
        <v>0.2014</v>
      </c>
      <c r="CG46" s="153">
        <v>2.1285</v>
      </c>
      <c r="CH46" s="153">
        <v>2.8681</v>
      </c>
      <c r="CI46" s="153">
        <v>3.8594</v>
      </c>
      <c r="CJ46" s="153">
        <v>0.1285</v>
      </c>
      <c r="CK46" s="153">
        <v>3.7309</v>
      </c>
      <c r="CL46" s="153">
        <v>6.7257</v>
      </c>
      <c r="CM46" s="153">
        <v>1225.16</v>
      </c>
      <c r="CN46" s="153">
        <v>97.92</v>
      </c>
      <c r="CO46" s="153">
        <v>1251.22</v>
      </c>
      <c r="CP46" s="153">
        <v>1181.85</v>
      </c>
      <c r="CQ46" s="153">
        <v>0.0</v>
      </c>
      <c r="CR46" s="153">
        <v>2.22</v>
      </c>
      <c r="CS46" s="153">
        <v>41.09</v>
      </c>
      <c r="CT46" s="153">
        <v>0.0</v>
      </c>
      <c r="CU46" s="153">
        <v>0.0</v>
      </c>
      <c r="CV46" s="153">
        <v>0.0</v>
      </c>
      <c r="CW46" s="153">
        <v>484.96</v>
      </c>
      <c r="CX46" s="153">
        <v>0.0</v>
      </c>
      <c r="CY46" s="153">
        <v>0.0</v>
      </c>
      <c r="CZ46" s="153">
        <v>379.26</v>
      </c>
      <c r="DA46" s="153">
        <v>5.17</v>
      </c>
      <c r="DB46" s="153">
        <v>374.09</v>
      </c>
      <c r="DC46" s="153">
        <v>356.88</v>
      </c>
      <c r="DD46" s="153">
        <v>1.84</v>
      </c>
      <c r="DE46" s="153">
        <v>355.03</v>
      </c>
      <c r="DF46" s="153">
        <v>7.66</v>
      </c>
      <c r="DG46" s="153">
        <v>1.11</v>
      </c>
      <c r="DH46" s="153">
        <v>6.55</v>
      </c>
      <c r="DI46" s="153">
        <v>7.99</v>
      </c>
      <c r="DJ46" s="153">
        <v>1.11</v>
      </c>
      <c r="DK46" s="153">
        <v>6.88</v>
      </c>
      <c r="DL46" s="153">
        <v>6.74</v>
      </c>
      <c r="DM46" s="153">
        <v>1.11</v>
      </c>
      <c r="DN46" s="153">
        <v>5.63</v>
      </c>
      <c r="DO46" s="153">
        <v>56728.0</v>
      </c>
      <c r="DP46" s="153">
        <v>72577.0</v>
      </c>
    </row>
    <row r="47" ht="15.75" customHeight="1">
      <c r="A47" s="235">
        <v>46259.0</v>
      </c>
      <c r="B47" s="236" t="s">
        <v>5</v>
      </c>
      <c r="C47" s="236" t="s">
        <v>133</v>
      </c>
      <c r="D47" s="236">
        <v>10159.0</v>
      </c>
      <c r="E47" s="236">
        <v>35.78</v>
      </c>
      <c r="F47" s="236">
        <v>326.55</v>
      </c>
      <c r="G47" s="236">
        <v>0.0321</v>
      </c>
      <c r="H47" s="236">
        <v>1.23</v>
      </c>
      <c r="I47" s="236">
        <v>2.6124</v>
      </c>
      <c r="J47" s="236">
        <v>29.52</v>
      </c>
      <c r="K47" s="236">
        <v>14.72</v>
      </c>
      <c r="L47" s="236">
        <v>6.56</v>
      </c>
      <c r="M47" s="236">
        <v>0.4454</v>
      </c>
      <c r="N47" s="236">
        <v>0.6762</v>
      </c>
      <c r="O47" s="236">
        <v>0.4102</v>
      </c>
      <c r="P47" s="236">
        <v>2.245</v>
      </c>
      <c r="Q47" s="236">
        <v>51.42</v>
      </c>
      <c r="R47" s="236">
        <v>46.35</v>
      </c>
      <c r="S47" s="236">
        <v>5.06</v>
      </c>
      <c r="T47" s="236">
        <v>2.59</v>
      </c>
      <c r="U47" s="236">
        <v>48.83</v>
      </c>
      <c r="V47" s="236">
        <v>53.8</v>
      </c>
      <c r="W47" s="236">
        <v>3.655</v>
      </c>
      <c r="X47" s="236">
        <v>5.04</v>
      </c>
      <c r="Y47" s="236">
        <v>175.0</v>
      </c>
      <c r="Z47" s="236">
        <v>423.0</v>
      </c>
      <c r="AA47" s="236">
        <v>2148.0</v>
      </c>
      <c r="AB47" s="236">
        <v>49.3903</v>
      </c>
      <c r="AC47" s="236">
        <v>0.5686</v>
      </c>
      <c r="AD47" s="236">
        <v>6.06</v>
      </c>
      <c r="AE47" s="236">
        <v>2.0</v>
      </c>
      <c r="AF47" s="236">
        <v>4.0</v>
      </c>
      <c r="AG47" s="236">
        <v>8.0</v>
      </c>
      <c r="AH47" s="236">
        <v>14.0</v>
      </c>
      <c r="AI47" s="236">
        <v>59.06</v>
      </c>
      <c r="AJ47" s="236">
        <v>28.41</v>
      </c>
      <c r="AK47" s="236">
        <v>8.0</v>
      </c>
      <c r="AL47" s="236">
        <v>0.2749</v>
      </c>
      <c r="AM47" s="236">
        <v>46.86</v>
      </c>
      <c r="AN47" s="153">
        <v>46.86</v>
      </c>
      <c r="AO47" s="153">
        <v>27.42</v>
      </c>
      <c r="AP47" s="153">
        <v>12.3</v>
      </c>
      <c r="AQ47" s="153">
        <v>4.2224</v>
      </c>
      <c r="AR47" s="153">
        <v>0.0278</v>
      </c>
      <c r="AS47" s="153">
        <v>4.1946</v>
      </c>
      <c r="AT47" s="153">
        <v>3.5732</v>
      </c>
      <c r="AU47" s="153">
        <v>0.2428</v>
      </c>
      <c r="AV47" s="153">
        <v>10159.0</v>
      </c>
      <c r="AW47" s="153">
        <v>0.0</v>
      </c>
      <c r="AX47" s="153">
        <v>20.19</v>
      </c>
      <c r="AY47" s="153">
        <v>23.93</v>
      </c>
      <c r="AZ47" s="153">
        <v>2.7</v>
      </c>
      <c r="BA47" s="153">
        <v>2.6</v>
      </c>
      <c r="BB47" s="153">
        <v>0.7</v>
      </c>
      <c r="BC47" s="153">
        <v>33.0</v>
      </c>
      <c r="BD47" s="153">
        <v>25256.0</v>
      </c>
      <c r="BE47" s="153">
        <v>2.8971</v>
      </c>
      <c r="BF47" s="153">
        <v>0.013</v>
      </c>
      <c r="BG47" s="153">
        <v>2.8841</v>
      </c>
      <c r="BH47" s="153">
        <v>2.193</v>
      </c>
      <c r="BI47" s="153">
        <v>0.149</v>
      </c>
      <c r="BJ47" s="153">
        <v>1.3252</v>
      </c>
      <c r="BK47" s="153">
        <v>0.0148</v>
      </c>
      <c r="BL47" s="153">
        <v>1.3105</v>
      </c>
      <c r="BM47" s="153">
        <v>1.3802</v>
      </c>
      <c r="BN47" s="153">
        <v>0.0938</v>
      </c>
      <c r="BO47" s="153">
        <v>1.3744</v>
      </c>
      <c r="BP47" s="153">
        <v>0.006</v>
      </c>
      <c r="BQ47" s="153">
        <v>1.3684</v>
      </c>
      <c r="BR47" s="153">
        <v>1.0097</v>
      </c>
      <c r="BS47" s="153">
        <v>1.2301</v>
      </c>
      <c r="BT47" s="153">
        <v>0.0036</v>
      </c>
      <c r="BU47" s="153">
        <v>1.2265</v>
      </c>
      <c r="BV47" s="153">
        <v>0.8844</v>
      </c>
      <c r="BW47" s="153">
        <v>0.2925</v>
      </c>
      <c r="BX47" s="153">
        <v>0.0033</v>
      </c>
      <c r="BY47" s="153">
        <v>0.2892</v>
      </c>
      <c r="BZ47" s="153">
        <v>0.2988</v>
      </c>
      <c r="CA47" s="153">
        <v>0.2481</v>
      </c>
      <c r="CB47" s="153">
        <v>0.0033</v>
      </c>
      <c r="CC47" s="153">
        <v>0.2447</v>
      </c>
      <c r="CD47" s="153">
        <v>0.2625</v>
      </c>
      <c r="CE47" s="153">
        <v>0.5295</v>
      </c>
      <c r="CF47" s="153">
        <v>0.0063</v>
      </c>
      <c r="CG47" s="153">
        <v>0.5232</v>
      </c>
      <c r="CH47" s="153">
        <v>0.6035</v>
      </c>
      <c r="CI47" s="153">
        <v>0.5477</v>
      </c>
      <c r="CJ47" s="153">
        <v>0.0051</v>
      </c>
      <c r="CK47" s="153">
        <v>0.5426</v>
      </c>
      <c r="CL47" s="153">
        <v>0.5141</v>
      </c>
      <c r="CM47" s="153">
        <v>85.34</v>
      </c>
      <c r="CN47" s="153">
        <v>74.58</v>
      </c>
      <c r="CO47" s="153">
        <v>114.42</v>
      </c>
      <c r="CP47" s="153">
        <v>62.72</v>
      </c>
      <c r="CQ47" s="153">
        <v>19.92</v>
      </c>
      <c r="CR47" s="153">
        <v>1.65</v>
      </c>
      <c r="CS47" s="153">
        <v>1.05</v>
      </c>
      <c r="CT47" s="153">
        <v>0.0</v>
      </c>
      <c r="CU47" s="153">
        <v>260.0</v>
      </c>
      <c r="CV47" s="153">
        <v>0.39</v>
      </c>
      <c r="CW47" s="153">
        <v>51.81</v>
      </c>
      <c r="CX47" s="153">
        <v>2.47</v>
      </c>
      <c r="CY47" s="153">
        <v>22.39</v>
      </c>
      <c r="CZ47" s="153">
        <v>98.1</v>
      </c>
      <c r="DA47" s="153">
        <v>1.56</v>
      </c>
      <c r="DB47" s="153">
        <v>96.55</v>
      </c>
      <c r="DC47" s="153">
        <v>92.3</v>
      </c>
      <c r="DD47" s="153">
        <v>0.41</v>
      </c>
      <c r="DE47" s="153">
        <v>91.9</v>
      </c>
      <c r="DF47" s="153">
        <v>2.96</v>
      </c>
      <c r="DG47" s="153">
        <v>0.38</v>
      </c>
      <c r="DH47" s="153">
        <v>2.57</v>
      </c>
      <c r="DI47" s="153">
        <v>2.07</v>
      </c>
      <c r="DJ47" s="153">
        <v>0.38</v>
      </c>
      <c r="DK47" s="153">
        <v>1.69</v>
      </c>
      <c r="DL47" s="153">
        <v>0.77</v>
      </c>
      <c r="DM47" s="153">
        <v>0.38</v>
      </c>
      <c r="DN47" s="153">
        <v>0.39</v>
      </c>
      <c r="DO47" s="153">
        <v>66607.0</v>
      </c>
      <c r="DP47" s="153">
        <v>149536.0</v>
      </c>
    </row>
    <row r="48" ht="15.75" customHeight="1">
      <c r="A48" s="235">
        <v>46259.0</v>
      </c>
      <c r="B48" s="236" t="s">
        <v>5</v>
      </c>
      <c r="C48" s="236" t="s">
        <v>134</v>
      </c>
      <c r="D48" s="236">
        <v>7500.0</v>
      </c>
      <c r="E48" s="236">
        <v>26.42</v>
      </c>
      <c r="F48" s="236">
        <v>593.28</v>
      </c>
      <c r="G48" s="236">
        <v>0.0791</v>
      </c>
      <c r="H48" s="236">
        <v>2.51</v>
      </c>
      <c r="I48" s="236">
        <v>3.1557</v>
      </c>
      <c r="J48" s="236">
        <v>48.98</v>
      </c>
      <c r="K48" s="236">
        <v>25.41</v>
      </c>
      <c r="L48" s="236">
        <v>13.34</v>
      </c>
      <c r="M48" s="236">
        <v>0.5251</v>
      </c>
      <c r="N48" s="236">
        <v>0.6086</v>
      </c>
      <c r="O48" s="236">
        <v>0.3686</v>
      </c>
      <c r="P48" s="236">
        <v>1.9044</v>
      </c>
      <c r="Q48" s="236">
        <v>90.76</v>
      </c>
      <c r="R48" s="236">
        <v>80.42</v>
      </c>
      <c r="S48" s="236">
        <v>10.34</v>
      </c>
      <c r="T48" s="236">
        <v>6.91</v>
      </c>
      <c r="U48" s="236">
        <v>83.85</v>
      </c>
      <c r="V48" s="236">
        <v>97.82</v>
      </c>
      <c r="W48" s="236">
        <v>3.8492</v>
      </c>
      <c r="X48" s="236">
        <v>7.62</v>
      </c>
      <c r="Y48" s="236">
        <v>187.0</v>
      </c>
      <c r="Z48" s="236">
        <v>413.0</v>
      </c>
      <c r="AA48" s="236">
        <v>1730.0</v>
      </c>
      <c r="AB48" s="236">
        <v>52.0103</v>
      </c>
      <c r="AC48" s="236">
        <v>0.6616</v>
      </c>
      <c r="AD48" s="236">
        <v>9.76</v>
      </c>
      <c r="AE48" s="236">
        <v>3.0</v>
      </c>
      <c r="AF48" s="236">
        <v>7.0</v>
      </c>
      <c r="AG48" s="236">
        <v>13.0</v>
      </c>
      <c r="AH48" s="236">
        <v>21.0</v>
      </c>
      <c r="AI48" s="236">
        <v>56.28</v>
      </c>
      <c r="AJ48" s="236">
        <v>22.16</v>
      </c>
      <c r="AK48" s="236">
        <v>3.95</v>
      </c>
      <c r="AL48" s="236">
        <v>0.2232</v>
      </c>
      <c r="AM48" s="236">
        <v>45.19</v>
      </c>
      <c r="AN48" s="153">
        <v>45.19</v>
      </c>
      <c r="AO48" s="153">
        <v>23.57</v>
      </c>
      <c r="AP48" s="153">
        <v>7.97</v>
      </c>
      <c r="AQ48" s="153">
        <v>6.2221</v>
      </c>
      <c r="AR48" s="153">
        <v>0.1751</v>
      </c>
      <c r="AS48" s="153">
        <v>6.0471</v>
      </c>
      <c r="AT48" s="153">
        <v>5.7083</v>
      </c>
      <c r="AU48" s="153">
        <v>0.2246</v>
      </c>
      <c r="AV48" s="153">
        <v>7500.0</v>
      </c>
      <c r="AW48" s="153">
        <v>0.0</v>
      </c>
      <c r="AX48" s="153">
        <v>32.99</v>
      </c>
      <c r="AY48" s="153">
        <v>43.02</v>
      </c>
      <c r="AZ48" s="153">
        <v>3.14</v>
      </c>
      <c r="BA48" s="153">
        <v>6.91</v>
      </c>
      <c r="BB48" s="153">
        <v>1.47</v>
      </c>
      <c r="BC48" s="153">
        <v>48.0</v>
      </c>
      <c r="BD48" s="153">
        <v>22196.0</v>
      </c>
      <c r="BE48" s="153">
        <v>4.068</v>
      </c>
      <c r="BF48" s="153">
        <v>0.1344</v>
      </c>
      <c r="BG48" s="153">
        <v>3.9336</v>
      </c>
      <c r="BH48" s="153">
        <v>3.4472</v>
      </c>
      <c r="BI48" s="153">
        <v>0.1356</v>
      </c>
      <c r="BJ48" s="153">
        <v>2.1541</v>
      </c>
      <c r="BK48" s="153">
        <v>0.0407</v>
      </c>
      <c r="BL48" s="153">
        <v>2.1135</v>
      </c>
      <c r="BM48" s="153">
        <v>2.2611</v>
      </c>
      <c r="BN48" s="153">
        <v>0.089</v>
      </c>
      <c r="BO48" s="153">
        <v>1.6663</v>
      </c>
      <c r="BP48" s="153">
        <v>0.0449</v>
      </c>
      <c r="BQ48" s="153">
        <v>1.6213</v>
      </c>
      <c r="BR48" s="153">
        <v>1.4349</v>
      </c>
      <c r="BS48" s="153">
        <v>1.5996</v>
      </c>
      <c r="BT48" s="153">
        <v>0.0437</v>
      </c>
      <c r="BU48" s="153">
        <v>1.5559</v>
      </c>
      <c r="BV48" s="153">
        <v>1.3427</v>
      </c>
      <c r="BW48" s="153">
        <v>0.8021</v>
      </c>
      <c r="BX48" s="153">
        <v>0.0457</v>
      </c>
      <c r="BY48" s="153">
        <v>0.7564</v>
      </c>
      <c r="BZ48" s="153">
        <v>0.6696</v>
      </c>
      <c r="CA48" s="153">
        <v>0.5127</v>
      </c>
      <c r="CB48" s="153">
        <v>0.0099</v>
      </c>
      <c r="CC48" s="153">
        <v>0.5028</v>
      </c>
      <c r="CD48" s="153">
        <v>0.5328</v>
      </c>
      <c r="CE48" s="153">
        <v>0.6543</v>
      </c>
      <c r="CF48" s="153">
        <v>0.018</v>
      </c>
      <c r="CG48" s="153">
        <v>0.6363</v>
      </c>
      <c r="CH48" s="153">
        <v>0.8081</v>
      </c>
      <c r="CI48" s="153">
        <v>0.9872</v>
      </c>
      <c r="CJ48" s="153">
        <v>0.0128</v>
      </c>
      <c r="CK48" s="153">
        <v>0.9744</v>
      </c>
      <c r="CL48" s="153">
        <v>0.9201</v>
      </c>
      <c r="CM48" s="153">
        <v>164.46</v>
      </c>
      <c r="CN48" s="153">
        <v>86.96</v>
      </c>
      <c r="CO48" s="153">
        <v>189.12</v>
      </c>
      <c r="CP48" s="153">
        <v>125.31</v>
      </c>
      <c r="CQ48" s="153">
        <v>34.21</v>
      </c>
      <c r="CR48" s="153">
        <v>1.6</v>
      </c>
      <c r="CS48" s="153">
        <v>3.33</v>
      </c>
      <c r="CT48" s="153">
        <v>0.0</v>
      </c>
      <c r="CU48" s="153">
        <v>233.0</v>
      </c>
      <c r="CV48" s="153">
        <v>0.61</v>
      </c>
      <c r="CW48" s="153">
        <v>91.37</v>
      </c>
      <c r="CX48" s="153">
        <v>4.98</v>
      </c>
      <c r="CY48" s="153">
        <v>39.19</v>
      </c>
      <c r="CZ48" s="153">
        <v>143.42</v>
      </c>
      <c r="DA48" s="153">
        <v>1.84</v>
      </c>
      <c r="DB48" s="153">
        <v>141.58</v>
      </c>
      <c r="DC48" s="153">
        <v>135.16</v>
      </c>
      <c r="DD48" s="153">
        <v>0.51</v>
      </c>
      <c r="DE48" s="153">
        <v>134.65</v>
      </c>
      <c r="DF48" s="153">
        <v>4.62</v>
      </c>
      <c r="DG48" s="153">
        <v>0.45</v>
      </c>
      <c r="DH48" s="153">
        <v>4.18</v>
      </c>
      <c r="DI48" s="153">
        <v>2.61</v>
      </c>
      <c r="DJ48" s="153">
        <v>0.45</v>
      </c>
      <c r="DK48" s="153">
        <v>2.16</v>
      </c>
      <c r="DL48" s="153">
        <v>1.03</v>
      </c>
      <c r="DM48" s="153">
        <v>0.45</v>
      </c>
      <c r="DN48" s="153">
        <v>0.59</v>
      </c>
      <c r="DO48" s="153">
        <v>100084.0</v>
      </c>
      <c r="DP48" s="153">
        <v>190599.0</v>
      </c>
    </row>
    <row r="49" ht="15.75" customHeight="1">
      <c r="A49" s="235">
        <v>46259.0</v>
      </c>
      <c r="B49" s="236" t="s">
        <v>5</v>
      </c>
      <c r="C49" s="236" t="s">
        <v>135</v>
      </c>
      <c r="D49" s="236">
        <v>6267.0</v>
      </c>
      <c r="E49" s="236">
        <v>22.08</v>
      </c>
      <c r="F49" s="236">
        <v>809.09</v>
      </c>
      <c r="G49" s="236">
        <v>0.1291</v>
      </c>
      <c r="H49" s="236">
        <v>3.29</v>
      </c>
      <c r="I49" s="236">
        <v>3.9276</v>
      </c>
      <c r="J49" s="236">
        <v>72.53</v>
      </c>
      <c r="K49" s="236">
        <v>38.97</v>
      </c>
      <c r="L49" s="236">
        <v>24.27</v>
      </c>
      <c r="M49" s="236">
        <v>0.6227</v>
      </c>
      <c r="N49" s="236">
        <v>0.5262</v>
      </c>
      <c r="O49" s="236">
        <v>0.3239</v>
      </c>
      <c r="P49" s="236">
        <v>1.6059</v>
      </c>
      <c r="Q49" s="236">
        <v>151.44</v>
      </c>
      <c r="R49" s="236">
        <v>133.21</v>
      </c>
      <c r="S49" s="236">
        <v>18.23</v>
      </c>
      <c r="T49" s="236">
        <v>10.0</v>
      </c>
      <c r="U49" s="236">
        <v>141.43</v>
      </c>
      <c r="V49" s="236">
        <v>159.73</v>
      </c>
      <c r="W49" s="236">
        <v>4.0993</v>
      </c>
      <c r="X49" s="236">
        <v>6.61</v>
      </c>
      <c r="Y49" s="236">
        <v>218.0</v>
      </c>
      <c r="Z49" s="236">
        <v>517.0</v>
      </c>
      <c r="AA49" s="236">
        <v>1915.0</v>
      </c>
      <c r="AB49" s="236">
        <v>53.7557</v>
      </c>
      <c r="AC49" s="236">
        <v>0.693</v>
      </c>
      <c r="AD49" s="236">
        <v>15.3</v>
      </c>
      <c r="AE49" s="236">
        <v>5.0</v>
      </c>
      <c r="AF49" s="236">
        <v>11.0</v>
      </c>
      <c r="AG49" s="236">
        <v>20.0</v>
      </c>
      <c r="AH49" s="236">
        <v>34.0</v>
      </c>
      <c r="AI49" s="236">
        <v>49.99</v>
      </c>
      <c r="AJ49" s="236">
        <v>16.4</v>
      </c>
      <c r="AK49" s="236">
        <v>4.05</v>
      </c>
      <c r="AL49" s="236">
        <v>0.1811</v>
      </c>
      <c r="AM49" s="236">
        <v>44.26</v>
      </c>
      <c r="AN49" s="153">
        <v>44.26</v>
      </c>
      <c r="AO49" s="153">
        <v>20.34</v>
      </c>
      <c r="AP49" s="153">
        <v>9.11</v>
      </c>
      <c r="AQ49" s="153">
        <v>8.1454</v>
      </c>
      <c r="AR49" s="153">
        <v>0.1194</v>
      </c>
      <c r="AS49" s="153">
        <v>8.026</v>
      </c>
      <c r="AT49" s="153">
        <v>8.0284</v>
      </c>
      <c r="AU49" s="153">
        <v>0.206</v>
      </c>
      <c r="AV49" s="153">
        <v>6267.0</v>
      </c>
      <c r="AW49" s="153">
        <v>0.0</v>
      </c>
      <c r="AX49" s="153">
        <v>49.24</v>
      </c>
      <c r="AY49" s="153">
        <v>75.73</v>
      </c>
      <c r="AZ49" s="153">
        <v>3.77</v>
      </c>
      <c r="BA49" s="153">
        <v>10.0</v>
      </c>
      <c r="BB49" s="153">
        <v>2.2</v>
      </c>
      <c r="BC49" s="153">
        <v>74.0</v>
      </c>
      <c r="BD49" s="153">
        <v>22876.0</v>
      </c>
      <c r="BE49" s="153">
        <v>4.9884</v>
      </c>
      <c r="BF49" s="153">
        <v>0.0455</v>
      </c>
      <c r="BG49" s="153">
        <v>4.9429</v>
      </c>
      <c r="BH49" s="153">
        <v>4.6651</v>
      </c>
      <c r="BI49" s="153">
        <v>0.1197</v>
      </c>
      <c r="BJ49" s="153">
        <v>3.157</v>
      </c>
      <c r="BK49" s="153">
        <v>0.0739</v>
      </c>
      <c r="BL49" s="153">
        <v>3.0831</v>
      </c>
      <c r="BM49" s="153">
        <v>3.3633</v>
      </c>
      <c r="BN49" s="153">
        <v>0.0863</v>
      </c>
      <c r="BO49" s="153">
        <v>1.6308</v>
      </c>
      <c r="BP49" s="153">
        <v>0.0161</v>
      </c>
      <c r="BQ49" s="153">
        <v>1.6146</v>
      </c>
      <c r="BR49" s="153">
        <v>1.6804</v>
      </c>
      <c r="BS49" s="153">
        <v>1.8636</v>
      </c>
      <c r="BT49" s="153">
        <v>0.0142</v>
      </c>
      <c r="BU49" s="153">
        <v>1.8494</v>
      </c>
      <c r="BV49" s="153">
        <v>1.7876</v>
      </c>
      <c r="BW49" s="153">
        <v>1.494</v>
      </c>
      <c r="BX49" s="153">
        <v>0.0152</v>
      </c>
      <c r="BY49" s="153">
        <v>1.4789</v>
      </c>
      <c r="BZ49" s="153">
        <v>1.1971</v>
      </c>
      <c r="CA49" s="153">
        <v>0.8419</v>
      </c>
      <c r="CB49" s="153">
        <v>0.0198</v>
      </c>
      <c r="CC49" s="153">
        <v>0.8221</v>
      </c>
      <c r="CD49" s="153">
        <v>0.8294</v>
      </c>
      <c r="CE49" s="153">
        <v>0.9173</v>
      </c>
      <c r="CF49" s="153">
        <v>0.0316</v>
      </c>
      <c r="CG49" s="153">
        <v>0.8858</v>
      </c>
      <c r="CH49" s="153">
        <v>1.1119</v>
      </c>
      <c r="CI49" s="153">
        <v>1.3978</v>
      </c>
      <c r="CJ49" s="153">
        <v>0.0225</v>
      </c>
      <c r="CK49" s="153">
        <v>1.3753</v>
      </c>
      <c r="CL49" s="153">
        <v>1.4221</v>
      </c>
      <c r="CM49" s="153">
        <v>295.24</v>
      </c>
      <c r="CN49" s="153">
        <v>93.17</v>
      </c>
      <c r="CO49" s="153">
        <v>316.88</v>
      </c>
      <c r="CP49" s="153">
        <v>230.78</v>
      </c>
      <c r="CQ49" s="153">
        <v>57.22</v>
      </c>
      <c r="CR49" s="153">
        <v>1.79</v>
      </c>
      <c r="CS49" s="153">
        <v>5.44</v>
      </c>
      <c r="CT49" s="153">
        <v>0.0</v>
      </c>
      <c r="CU49" s="153">
        <v>186.0</v>
      </c>
      <c r="CV49" s="153">
        <v>0.82</v>
      </c>
      <c r="CW49" s="153">
        <v>152.26</v>
      </c>
      <c r="CX49" s="153">
        <v>8.19</v>
      </c>
      <c r="CY49" s="153">
        <v>65.41</v>
      </c>
      <c r="CZ49" s="153">
        <v>201.62</v>
      </c>
      <c r="DA49" s="153">
        <v>2.92</v>
      </c>
      <c r="DB49" s="153">
        <v>198.69</v>
      </c>
      <c r="DC49" s="153">
        <v>187.64</v>
      </c>
      <c r="DD49" s="153">
        <v>0.81</v>
      </c>
      <c r="DE49" s="153">
        <v>186.83</v>
      </c>
      <c r="DF49" s="153">
        <v>8.96</v>
      </c>
      <c r="DG49" s="153">
        <v>0.71</v>
      </c>
      <c r="DH49" s="153">
        <v>8.26</v>
      </c>
      <c r="DI49" s="153">
        <v>3.33</v>
      </c>
      <c r="DJ49" s="153">
        <v>0.71</v>
      </c>
      <c r="DK49" s="153">
        <v>2.62</v>
      </c>
      <c r="DL49" s="153">
        <v>1.68</v>
      </c>
      <c r="DM49" s="153">
        <v>0.71</v>
      </c>
      <c r="DN49" s="153">
        <v>0.97</v>
      </c>
      <c r="DO49" s="153">
        <v>152070.0</v>
      </c>
      <c r="DP49" s="153">
        <v>244203.0</v>
      </c>
    </row>
    <row r="50" ht="15.75" customHeight="1">
      <c r="A50" s="235">
        <v>46259.0</v>
      </c>
      <c r="B50" s="236" t="s">
        <v>5</v>
      </c>
      <c r="C50" s="236" t="s">
        <v>136</v>
      </c>
      <c r="D50" s="236">
        <v>3913.0</v>
      </c>
      <c r="E50" s="236">
        <v>13.78</v>
      </c>
      <c r="F50" s="236">
        <v>1438.72</v>
      </c>
      <c r="G50" s="236">
        <v>0.3677</v>
      </c>
      <c r="H50" s="236">
        <v>5.21</v>
      </c>
      <c r="I50" s="236">
        <v>7.0525</v>
      </c>
      <c r="J50" s="236">
        <v>116.16</v>
      </c>
      <c r="K50" s="236">
        <v>66.59</v>
      </c>
      <c r="L50" s="236">
        <v>46.8</v>
      </c>
      <c r="M50" s="236">
        <v>0.7028</v>
      </c>
      <c r="N50" s="236">
        <v>0.4481</v>
      </c>
      <c r="O50" s="236">
        <v>0.2804</v>
      </c>
      <c r="P50" s="236">
        <v>1.4228</v>
      </c>
      <c r="Q50" s="236">
        <v>281.6</v>
      </c>
      <c r="R50" s="236">
        <v>250.0</v>
      </c>
      <c r="S50" s="236">
        <v>31.6</v>
      </c>
      <c r="T50" s="236">
        <v>31.51</v>
      </c>
      <c r="U50" s="236">
        <v>250.09</v>
      </c>
      <c r="V50" s="236">
        <v>297.5</v>
      </c>
      <c r="W50" s="236">
        <v>4.4679</v>
      </c>
      <c r="X50" s="236">
        <v>11.19</v>
      </c>
      <c r="Y50" s="236">
        <v>272.0</v>
      </c>
      <c r="Z50" s="236">
        <v>658.0</v>
      </c>
      <c r="AA50" s="236">
        <v>2428.0</v>
      </c>
      <c r="AB50" s="236">
        <v>54.8242</v>
      </c>
      <c r="AC50" s="236">
        <v>0.6507</v>
      </c>
      <c r="AD50" s="236">
        <v>23.83</v>
      </c>
      <c r="AE50" s="236">
        <v>9.0</v>
      </c>
      <c r="AF50" s="236">
        <v>17.0</v>
      </c>
      <c r="AG50" s="236">
        <v>31.0</v>
      </c>
      <c r="AH50" s="236">
        <v>53.0</v>
      </c>
      <c r="AI50" s="236">
        <v>34.42</v>
      </c>
      <c r="AJ50" s="236">
        <v>10.22</v>
      </c>
      <c r="AK50" s="236">
        <v>2.27</v>
      </c>
      <c r="AL50" s="236">
        <v>0.1158</v>
      </c>
      <c r="AM50" s="153">
        <v>38.28</v>
      </c>
      <c r="AN50" s="153">
        <v>38.28</v>
      </c>
      <c r="AO50" s="153">
        <v>17.17</v>
      </c>
      <c r="AP50" s="153">
        <v>7.46</v>
      </c>
      <c r="AQ50" s="153">
        <v>10.7736</v>
      </c>
      <c r="AR50" s="153">
        <v>0.5137</v>
      </c>
      <c r="AS50" s="153">
        <v>10.2599</v>
      </c>
      <c r="AT50" s="153">
        <v>11.0887</v>
      </c>
      <c r="AU50" s="153">
        <v>0.1665</v>
      </c>
      <c r="AV50" s="153">
        <v>3913.0</v>
      </c>
      <c r="AW50" s="153">
        <v>0.0</v>
      </c>
      <c r="AX50" s="153">
        <v>76.54</v>
      </c>
      <c r="AY50" s="153">
        <v>123.1</v>
      </c>
      <c r="AZ50" s="153">
        <v>6.08</v>
      </c>
      <c r="BA50" s="153">
        <v>31.51</v>
      </c>
      <c r="BB50" s="153">
        <v>4.04</v>
      </c>
      <c r="BC50" s="153">
        <v>117.0</v>
      </c>
      <c r="BD50" s="153">
        <v>25735.0</v>
      </c>
      <c r="BE50" s="153">
        <v>6.1715</v>
      </c>
      <c r="BF50" s="153">
        <v>0.3097</v>
      </c>
      <c r="BG50" s="153">
        <v>5.8617</v>
      </c>
      <c r="BH50" s="153">
        <v>6.0123</v>
      </c>
      <c r="BI50" s="153">
        <v>0.0903</v>
      </c>
      <c r="BJ50" s="153">
        <v>4.6021</v>
      </c>
      <c r="BK50" s="153">
        <v>0.2039</v>
      </c>
      <c r="BL50" s="153">
        <v>4.3982</v>
      </c>
      <c r="BM50" s="153">
        <v>5.0764</v>
      </c>
      <c r="BN50" s="153">
        <v>0.0762</v>
      </c>
      <c r="BO50" s="153">
        <v>2.036</v>
      </c>
      <c r="BP50" s="153">
        <v>0.0838</v>
      </c>
      <c r="BQ50" s="153">
        <v>1.9522</v>
      </c>
      <c r="BR50" s="153">
        <v>2.0956</v>
      </c>
      <c r="BS50" s="153">
        <v>1.9231</v>
      </c>
      <c r="BT50" s="153">
        <v>0.1091</v>
      </c>
      <c r="BU50" s="153">
        <v>1.814</v>
      </c>
      <c r="BV50" s="153">
        <v>2.0273</v>
      </c>
      <c r="BW50" s="153">
        <v>2.2124</v>
      </c>
      <c r="BX50" s="153">
        <v>0.1168</v>
      </c>
      <c r="BY50" s="153">
        <v>2.0956</v>
      </c>
      <c r="BZ50" s="153">
        <v>1.8893</v>
      </c>
      <c r="CA50" s="153">
        <v>1.0452</v>
      </c>
      <c r="CB50" s="153">
        <v>0.0544</v>
      </c>
      <c r="CC50" s="153">
        <v>0.9908</v>
      </c>
      <c r="CD50" s="153">
        <v>1.2732</v>
      </c>
      <c r="CE50" s="153">
        <v>1.402</v>
      </c>
      <c r="CF50" s="153">
        <v>0.0843</v>
      </c>
      <c r="CG50" s="153">
        <v>1.3177</v>
      </c>
      <c r="CH50" s="153">
        <v>1.5045</v>
      </c>
      <c r="CI50" s="153">
        <v>2.1549</v>
      </c>
      <c r="CJ50" s="153">
        <v>0.0652</v>
      </c>
      <c r="CK50" s="153">
        <v>2.0897</v>
      </c>
      <c r="CL50" s="153">
        <v>2.2987</v>
      </c>
      <c r="CM50" s="153">
        <v>568.68</v>
      </c>
      <c r="CN50" s="153">
        <v>96.52</v>
      </c>
      <c r="CO50" s="153">
        <v>589.16</v>
      </c>
      <c r="CP50" s="153">
        <v>444.57</v>
      </c>
      <c r="CQ50" s="153">
        <v>113.75</v>
      </c>
      <c r="CR50" s="153">
        <v>2.54</v>
      </c>
      <c r="CS50" s="153">
        <v>7.83</v>
      </c>
      <c r="CT50" s="153">
        <v>0.0</v>
      </c>
      <c r="CU50" s="153">
        <v>115.0</v>
      </c>
      <c r="CV50" s="153">
        <v>1.7</v>
      </c>
      <c r="CW50" s="153">
        <v>283.3</v>
      </c>
      <c r="CX50" s="153">
        <v>18.33</v>
      </c>
      <c r="CY50" s="153">
        <v>132.08</v>
      </c>
      <c r="CZ50" s="153">
        <v>283.06</v>
      </c>
      <c r="DA50" s="153">
        <v>4.6</v>
      </c>
      <c r="DB50" s="153">
        <v>278.47</v>
      </c>
      <c r="DC50" s="153">
        <v>263.94</v>
      </c>
      <c r="DD50" s="153">
        <v>1.82</v>
      </c>
      <c r="DE50" s="153">
        <v>262.12</v>
      </c>
      <c r="DF50" s="153">
        <v>11.08</v>
      </c>
      <c r="DG50" s="153">
        <v>0.93</v>
      </c>
      <c r="DH50" s="153">
        <v>10.16</v>
      </c>
      <c r="DI50" s="153">
        <v>6.13</v>
      </c>
      <c r="DJ50" s="153">
        <v>0.93</v>
      </c>
      <c r="DK50" s="153">
        <v>5.2</v>
      </c>
      <c r="DL50" s="153">
        <v>1.91</v>
      </c>
      <c r="DM50" s="153">
        <v>0.93</v>
      </c>
      <c r="DN50" s="153">
        <v>0.99</v>
      </c>
      <c r="DO50" s="153">
        <v>183126.0</v>
      </c>
      <c r="DP50" s="153">
        <v>260549.0</v>
      </c>
    </row>
    <row r="51" ht="15.75" customHeight="1">
      <c r="A51" s="235">
        <v>46259.0</v>
      </c>
      <c r="B51" s="236" t="s">
        <v>5</v>
      </c>
      <c r="C51" s="236" t="s">
        <v>137</v>
      </c>
      <c r="D51" s="236">
        <v>550.0</v>
      </c>
      <c r="E51" s="236">
        <v>1.94</v>
      </c>
      <c r="F51" s="236">
        <v>370.55</v>
      </c>
      <c r="G51" s="236">
        <v>0.6737</v>
      </c>
      <c r="H51" s="236">
        <v>8.36</v>
      </c>
      <c r="I51" s="236">
        <v>8.0554</v>
      </c>
      <c r="J51" s="236">
        <v>205.4</v>
      </c>
      <c r="K51" s="236">
        <v>127.11</v>
      </c>
      <c r="L51" s="236">
        <v>96.27</v>
      </c>
      <c r="M51" s="236">
        <v>0.7574</v>
      </c>
      <c r="N51" s="236">
        <v>0.3821</v>
      </c>
      <c r="O51" s="236">
        <v>0.2372</v>
      </c>
      <c r="P51" s="236">
        <v>1.3203</v>
      </c>
      <c r="Q51" s="236">
        <v>523.07</v>
      </c>
      <c r="R51" s="236">
        <v>467.17</v>
      </c>
      <c r="S51" s="236">
        <v>55.9</v>
      </c>
      <c r="T51" s="236">
        <v>74.82</v>
      </c>
      <c r="U51" s="236">
        <v>448.25</v>
      </c>
      <c r="V51" s="236">
        <v>547.09</v>
      </c>
      <c r="W51" s="236">
        <v>4.3042</v>
      </c>
      <c r="X51" s="236">
        <v>14.3</v>
      </c>
      <c r="Y51" s="236">
        <v>434.0</v>
      </c>
      <c r="Z51" s="236">
        <v>1077.0</v>
      </c>
      <c r="AA51" s="236">
        <v>4184.0</v>
      </c>
      <c r="AB51" s="236">
        <v>57.3958</v>
      </c>
      <c r="AC51" s="236">
        <v>0.6025</v>
      </c>
      <c r="AD51" s="236">
        <v>42.21</v>
      </c>
      <c r="AE51" s="236">
        <v>15.0</v>
      </c>
      <c r="AF51" s="236">
        <v>27.0</v>
      </c>
      <c r="AG51" s="236">
        <v>58.0</v>
      </c>
      <c r="AH51" s="236">
        <v>102.0</v>
      </c>
      <c r="AI51" s="236">
        <v>17.45</v>
      </c>
      <c r="AJ51" s="236">
        <v>4.18</v>
      </c>
      <c r="AK51" s="236">
        <v>0.73</v>
      </c>
      <c r="AL51" s="236">
        <v>0.0818</v>
      </c>
      <c r="AM51" s="153">
        <v>32.91</v>
      </c>
      <c r="AN51" s="153">
        <v>32.91</v>
      </c>
      <c r="AO51" s="153">
        <v>17.09</v>
      </c>
      <c r="AP51" s="153">
        <v>9.27</v>
      </c>
      <c r="AQ51" s="153">
        <v>15.6509</v>
      </c>
      <c r="AR51" s="153">
        <v>0.8418</v>
      </c>
      <c r="AS51" s="153">
        <v>14.8091</v>
      </c>
      <c r="AT51" s="153">
        <v>15.9527</v>
      </c>
      <c r="AU51" s="153">
        <v>0.1255</v>
      </c>
      <c r="AV51" s="153">
        <v>550.0</v>
      </c>
      <c r="AW51" s="153">
        <v>0.0</v>
      </c>
      <c r="AX51" s="153">
        <v>125.67</v>
      </c>
      <c r="AY51" s="153">
        <v>182.48</v>
      </c>
      <c r="AZ51" s="153">
        <v>12.75</v>
      </c>
      <c r="BA51" s="153">
        <v>74.82</v>
      </c>
      <c r="BB51" s="153">
        <v>8.03</v>
      </c>
      <c r="BC51" s="153">
        <v>211.0</v>
      </c>
      <c r="BD51" s="153">
        <v>21550.0</v>
      </c>
      <c r="BE51" s="153">
        <v>8.82</v>
      </c>
      <c r="BF51" s="153">
        <v>0.3109</v>
      </c>
      <c r="BG51" s="153">
        <v>8.5091</v>
      </c>
      <c r="BH51" s="153">
        <v>8.6673</v>
      </c>
      <c r="BI51" s="153">
        <v>0.0682</v>
      </c>
      <c r="BJ51" s="153">
        <v>6.8309</v>
      </c>
      <c r="BK51" s="153">
        <v>0.5309</v>
      </c>
      <c r="BL51" s="153">
        <v>6.3</v>
      </c>
      <c r="BM51" s="153">
        <v>7.2855</v>
      </c>
      <c r="BN51" s="153">
        <v>0.0573</v>
      </c>
      <c r="BO51" s="153">
        <v>3.0418</v>
      </c>
      <c r="BP51" s="153">
        <v>0.0982</v>
      </c>
      <c r="BQ51" s="153">
        <v>2.9436</v>
      </c>
      <c r="BR51" s="153">
        <v>3.0273</v>
      </c>
      <c r="BS51" s="153">
        <v>3.0036</v>
      </c>
      <c r="BT51" s="153">
        <v>0.0927</v>
      </c>
      <c r="BU51" s="153">
        <v>2.9109</v>
      </c>
      <c r="BV51" s="153">
        <v>2.9527</v>
      </c>
      <c r="BW51" s="153">
        <v>2.7745</v>
      </c>
      <c r="BX51" s="153">
        <v>0.12</v>
      </c>
      <c r="BY51" s="153">
        <v>2.6545</v>
      </c>
      <c r="BZ51" s="153">
        <v>2.6873</v>
      </c>
      <c r="CA51" s="153">
        <v>1.4455</v>
      </c>
      <c r="CB51" s="153">
        <v>0.1273</v>
      </c>
      <c r="CC51" s="153">
        <v>1.3182</v>
      </c>
      <c r="CD51" s="153">
        <v>1.7073</v>
      </c>
      <c r="CE51" s="153">
        <v>2.1745</v>
      </c>
      <c r="CF51" s="153">
        <v>0.2509</v>
      </c>
      <c r="CG51" s="153">
        <v>1.9236</v>
      </c>
      <c r="CH51" s="153">
        <v>2.3127</v>
      </c>
      <c r="CI51" s="153">
        <v>3.2109</v>
      </c>
      <c r="CJ51" s="153">
        <v>0.1527</v>
      </c>
      <c r="CK51" s="153">
        <v>3.0582</v>
      </c>
      <c r="CL51" s="153">
        <v>3.2655</v>
      </c>
      <c r="CM51" s="153">
        <v>1196.11</v>
      </c>
      <c r="CN51" s="153">
        <v>99.09</v>
      </c>
      <c r="CO51" s="153">
        <v>1207.08</v>
      </c>
      <c r="CP51" s="153">
        <v>930.01</v>
      </c>
      <c r="CQ51" s="153">
        <v>249.81</v>
      </c>
      <c r="CR51" s="153">
        <v>5.02</v>
      </c>
      <c r="CS51" s="153">
        <v>11.27</v>
      </c>
      <c r="CT51" s="153">
        <v>0.0</v>
      </c>
      <c r="CU51" s="153">
        <v>16.0</v>
      </c>
      <c r="CV51" s="153">
        <v>2.51</v>
      </c>
      <c r="CW51" s="153">
        <v>525.58</v>
      </c>
      <c r="CX51" s="153">
        <v>37.99</v>
      </c>
      <c r="CY51" s="153">
        <v>287.8</v>
      </c>
      <c r="CZ51" s="153">
        <v>421.79</v>
      </c>
      <c r="DA51" s="153">
        <v>4.81</v>
      </c>
      <c r="DB51" s="153">
        <v>416.98</v>
      </c>
      <c r="DC51" s="153">
        <v>400.36</v>
      </c>
      <c r="DD51" s="153">
        <v>3.06</v>
      </c>
      <c r="DE51" s="153">
        <v>397.3</v>
      </c>
      <c r="DF51" s="153">
        <v>8.73</v>
      </c>
      <c r="DG51" s="153">
        <v>0.58</v>
      </c>
      <c r="DH51" s="153">
        <v>8.15</v>
      </c>
      <c r="DI51" s="153">
        <v>11.4</v>
      </c>
      <c r="DJ51" s="153">
        <v>0.58</v>
      </c>
      <c r="DK51" s="153">
        <v>10.82</v>
      </c>
      <c r="DL51" s="153">
        <v>1.3</v>
      </c>
      <c r="DM51" s="153">
        <v>0.58</v>
      </c>
      <c r="DN51" s="153">
        <v>0.72</v>
      </c>
      <c r="DO51" s="153">
        <v>52950.0</v>
      </c>
      <c r="DP51" s="153">
        <v>69909.0</v>
      </c>
    </row>
    <row r="52" ht="15.75" customHeight="1">
      <c r="A52" s="235">
        <v>46260.0</v>
      </c>
      <c r="B52" s="236" t="s">
        <v>4</v>
      </c>
      <c r="C52" s="236" t="s">
        <v>133</v>
      </c>
      <c r="D52" s="236">
        <v>10328.0</v>
      </c>
      <c r="E52" s="236">
        <v>36.92</v>
      </c>
      <c r="F52" s="236">
        <v>383.7</v>
      </c>
      <c r="G52" s="236">
        <v>0.0372</v>
      </c>
      <c r="H52" s="236">
        <v>1.41</v>
      </c>
      <c r="I52" s="236">
        <v>2.6281</v>
      </c>
      <c r="J52" s="236">
        <v>28.92</v>
      </c>
      <c r="K52" s="236">
        <v>14.53</v>
      </c>
      <c r="L52" s="236">
        <v>6.02</v>
      </c>
      <c r="M52" s="236">
        <v>0.414</v>
      </c>
      <c r="N52" s="236">
        <v>0.7</v>
      </c>
      <c r="O52" s="236">
        <v>0.431</v>
      </c>
      <c r="P52" s="236">
        <v>2.4153</v>
      </c>
      <c r="Q52" s="236">
        <v>41.95</v>
      </c>
      <c r="R52" s="236">
        <v>36.85</v>
      </c>
      <c r="S52" s="236">
        <v>5.1</v>
      </c>
      <c r="T52" s="236">
        <v>3.05</v>
      </c>
      <c r="U52" s="236">
        <v>38.9</v>
      </c>
      <c r="V52" s="236">
        <v>47.46</v>
      </c>
      <c r="W52" s="236">
        <v>3.2657</v>
      </c>
      <c r="X52" s="236">
        <v>7.27</v>
      </c>
      <c r="Y52" s="236">
        <v>159.0</v>
      </c>
      <c r="Z52" s="236">
        <v>459.0</v>
      </c>
      <c r="AA52" s="236">
        <v>2593.0</v>
      </c>
      <c r="AB52" s="236">
        <v>49.2875</v>
      </c>
      <c r="AC52" s="236">
        <v>0.5546</v>
      </c>
      <c r="AD52" s="236">
        <v>5.53</v>
      </c>
      <c r="AE52" s="236">
        <v>2.0</v>
      </c>
      <c r="AF52" s="236">
        <v>3.0</v>
      </c>
      <c r="AG52" s="236">
        <v>7.0</v>
      </c>
      <c r="AH52" s="236">
        <v>12.0</v>
      </c>
      <c r="AI52" s="236">
        <v>55.65</v>
      </c>
      <c r="AJ52" s="236">
        <v>24.6</v>
      </c>
      <c r="AK52" s="236">
        <v>6.36</v>
      </c>
      <c r="AL52" s="236"/>
      <c r="AQ52" s="153">
        <v>2.9392</v>
      </c>
      <c r="AR52" s="153">
        <v>0.0395</v>
      </c>
      <c r="AS52" s="153">
        <v>2.8997</v>
      </c>
      <c r="AT52" s="153">
        <v>3.1339</v>
      </c>
      <c r="AU52" s="153">
        <v>0.2157</v>
      </c>
      <c r="AV52" s="153">
        <v>10328.0</v>
      </c>
      <c r="AW52" s="153">
        <v>0.0</v>
      </c>
      <c r="AX52" s="153">
        <v>22.53</v>
      </c>
      <c r="AY52" s="153">
        <v>12.67</v>
      </c>
      <c r="AZ52" s="153">
        <v>2.9</v>
      </c>
      <c r="BA52" s="153">
        <v>3.05</v>
      </c>
      <c r="BB52" s="153">
        <v>0.81</v>
      </c>
      <c r="BC52" s="153">
        <v>32.0</v>
      </c>
      <c r="BD52" s="153">
        <v>24355.0</v>
      </c>
      <c r="BE52" s="153">
        <v>1.6679</v>
      </c>
      <c r="BF52" s="153">
        <v>0.0227</v>
      </c>
      <c r="BG52" s="153">
        <v>1.6452</v>
      </c>
      <c r="BH52" s="153">
        <v>1.7129</v>
      </c>
      <c r="BI52" s="153">
        <v>0.1179</v>
      </c>
      <c r="BJ52" s="153">
        <v>1.2713</v>
      </c>
      <c r="BK52" s="153">
        <v>0.0168</v>
      </c>
      <c r="BL52" s="153">
        <v>1.2545</v>
      </c>
      <c r="BM52" s="153">
        <v>1.421</v>
      </c>
      <c r="BN52" s="153">
        <v>0.0978</v>
      </c>
      <c r="BO52" s="153">
        <v>0.7467</v>
      </c>
      <c r="BP52" s="153">
        <v>0.008</v>
      </c>
      <c r="BQ52" s="153">
        <v>0.7387</v>
      </c>
      <c r="BR52" s="153">
        <v>0.7237</v>
      </c>
      <c r="BS52" s="153">
        <v>0.6136</v>
      </c>
      <c r="BT52" s="153">
        <v>0.006</v>
      </c>
      <c r="BU52" s="153">
        <v>0.6076</v>
      </c>
      <c r="BV52" s="153">
        <v>0.6414</v>
      </c>
      <c r="BW52" s="153">
        <v>0.3076</v>
      </c>
      <c r="BX52" s="153">
        <v>0.0086</v>
      </c>
      <c r="BY52" s="153">
        <v>0.299</v>
      </c>
      <c r="BZ52" s="153">
        <v>0.3479</v>
      </c>
      <c r="CA52" s="153">
        <v>0.2413</v>
      </c>
      <c r="CB52" s="153">
        <v>0.0053</v>
      </c>
      <c r="CC52" s="153">
        <v>0.236</v>
      </c>
      <c r="CD52" s="153">
        <v>0.2884</v>
      </c>
      <c r="CE52" s="153">
        <v>0.5838</v>
      </c>
      <c r="CF52" s="153">
        <v>0.0068</v>
      </c>
      <c r="CG52" s="153">
        <v>0.577</v>
      </c>
      <c r="CH52" s="153">
        <v>0.6209</v>
      </c>
      <c r="CI52" s="153">
        <v>0.4463</v>
      </c>
      <c r="CJ52" s="153">
        <v>0.0047</v>
      </c>
      <c r="CK52" s="153">
        <v>0.4415</v>
      </c>
      <c r="CL52" s="153">
        <v>0.5116</v>
      </c>
      <c r="CM52" s="153">
        <v>76.59</v>
      </c>
      <c r="CN52" s="153">
        <v>72.22</v>
      </c>
      <c r="CO52" s="153">
        <v>106.05</v>
      </c>
      <c r="CP52" s="153">
        <v>72.41</v>
      </c>
      <c r="CQ52" s="153">
        <v>0.0</v>
      </c>
      <c r="CR52" s="153">
        <v>1.5</v>
      </c>
      <c r="CS52" s="153">
        <v>2.68</v>
      </c>
      <c r="CT52" s="153">
        <v>0.0</v>
      </c>
      <c r="CU52" s="153">
        <v>0.0</v>
      </c>
      <c r="CV52" s="153">
        <v>0.0</v>
      </c>
      <c r="CW52" s="153">
        <v>41.95</v>
      </c>
      <c r="CX52" s="153">
        <v>0.0</v>
      </c>
      <c r="CY52" s="153">
        <v>0.0</v>
      </c>
      <c r="CZ52" s="153">
        <v>95.63</v>
      </c>
      <c r="DA52" s="153">
        <v>1.01</v>
      </c>
      <c r="DB52" s="153">
        <v>94.62</v>
      </c>
      <c r="DC52" s="153">
        <v>91.27</v>
      </c>
      <c r="DD52" s="153">
        <v>0.26</v>
      </c>
      <c r="DE52" s="153">
        <v>91.01</v>
      </c>
      <c r="DF52" s="153">
        <v>2.06</v>
      </c>
      <c r="DG52" s="153">
        <v>0.25</v>
      </c>
      <c r="DH52" s="153">
        <v>1.81</v>
      </c>
      <c r="DI52" s="153">
        <v>1.62</v>
      </c>
      <c r="DJ52" s="153">
        <v>0.25</v>
      </c>
      <c r="DK52" s="153">
        <v>1.37</v>
      </c>
      <c r="DL52" s="153">
        <v>0.69</v>
      </c>
      <c r="DM52" s="153">
        <v>0.25</v>
      </c>
      <c r="DN52" s="153">
        <v>0.44</v>
      </c>
      <c r="DO52" s="153">
        <v>62140.0</v>
      </c>
      <c r="DP52" s="153">
        <v>150089.0</v>
      </c>
    </row>
    <row r="53" ht="15.75" customHeight="1">
      <c r="A53" s="235">
        <v>46260.0</v>
      </c>
      <c r="B53" s="236" t="s">
        <v>4</v>
      </c>
      <c r="C53" s="236" t="s">
        <v>134</v>
      </c>
      <c r="D53" s="236">
        <v>7145.0</v>
      </c>
      <c r="E53" s="236">
        <v>25.54</v>
      </c>
      <c r="F53" s="236">
        <v>699.49</v>
      </c>
      <c r="G53" s="236">
        <v>0.0979</v>
      </c>
      <c r="H53" s="236">
        <v>2.6</v>
      </c>
      <c r="I53" s="236">
        <v>3.7607</v>
      </c>
      <c r="J53" s="236">
        <v>46.27</v>
      </c>
      <c r="K53" s="236">
        <v>24.08</v>
      </c>
      <c r="L53" s="236">
        <v>12.69</v>
      </c>
      <c r="M53" s="236">
        <v>0.527</v>
      </c>
      <c r="N53" s="236">
        <v>0.6083</v>
      </c>
      <c r="O53" s="236">
        <v>0.3717</v>
      </c>
      <c r="P53" s="236">
        <v>1.8976</v>
      </c>
      <c r="Q53" s="236">
        <v>78.4</v>
      </c>
      <c r="R53" s="236">
        <v>67.54</v>
      </c>
      <c r="S53" s="236">
        <v>10.86</v>
      </c>
      <c r="T53" s="236">
        <v>7.89</v>
      </c>
      <c r="U53" s="236">
        <v>70.51</v>
      </c>
      <c r="V53" s="236">
        <v>90.22</v>
      </c>
      <c r="W53" s="236">
        <v>3.7461</v>
      </c>
      <c r="X53" s="236">
        <v>10.07</v>
      </c>
      <c r="Y53" s="236">
        <v>175.0</v>
      </c>
      <c r="Z53" s="236">
        <v>460.0</v>
      </c>
      <c r="AA53" s="236">
        <v>2263.0</v>
      </c>
      <c r="AB53" s="236">
        <v>52.433</v>
      </c>
      <c r="AC53" s="236">
        <v>0.6741</v>
      </c>
      <c r="AD53" s="236">
        <v>9.43</v>
      </c>
      <c r="AE53" s="236">
        <v>3.0</v>
      </c>
      <c r="AF53" s="236">
        <v>6.0</v>
      </c>
      <c r="AG53" s="236">
        <v>12.0</v>
      </c>
      <c r="AH53" s="236">
        <v>21.0</v>
      </c>
      <c r="AI53" s="236">
        <v>53.48</v>
      </c>
      <c r="AJ53" s="236">
        <v>20.41</v>
      </c>
      <c r="AK53" s="236">
        <v>3.97</v>
      </c>
      <c r="AL53" s="236"/>
      <c r="AQ53" s="153">
        <v>4.8732</v>
      </c>
      <c r="AR53" s="153">
        <v>0.1187</v>
      </c>
      <c r="AS53" s="153">
        <v>4.7545</v>
      </c>
      <c r="AT53" s="153">
        <v>5.364</v>
      </c>
      <c r="AU53" s="153">
        <v>0.2227</v>
      </c>
      <c r="AV53" s="153">
        <v>7145.0</v>
      </c>
      <c r="AW53" s="153">
        <v>0.0</v>
      </c>
      <c r="AX53" s="153">
        <v>34.63</v>
      </c>
      <c r="AY53" s="153">
        <v>31.0</v>
      </c>
      <c r="AZ53" s="153">
        <v>3.36</v>
      </c>
      <c r="BA53" s="153">
        <v>7.91</v>
      </c>
      <c r="BB53" s="153">
        <v>1.53</v>
      </c>
      <c r="BC53" s="153">
        <v>48.0</v>
      </c>
      <c r="BD53" s="153">
        <v>23925.0</v>
      </c>
      <c r="BE53" s="153">
        <v>2.8596</v>
      </c>
      <c r="BF53" s="153">
        <v>0.063</v>
      </c>
      <c r="BG53" s="153">
        <v>2.7966</v>
      </c>
      <c r="BH53" s="153">
        <v>2.9787</v>
      </c>
      <c r="BI53" s="153">
        <v>0.1237</v>
      </c>
      <c r="BJ53" s="153">
        <v>2.0136</v>
      </c>
      <c r="BK53" s="153">
        <v>0.0557</v>
      </c>
      <c r="BL53" s="153">
        <v>1.9579</v>
      </c>
      <c r="BM53" s="153">
        <v>2.3853</v>
      </c>
      <c r="BN53" s="153">
        <v>0.099</v>
      </c>
      <c r="BO53" s="153">
        <v>1.1309</v>
      </c>
      <c r="BP53" s="153">
        <v>0.021</v>
      </c>
      <c r="BQ53" s="153">
        <v>1.1099</v>
      </c>
      <c r="BR53" s="153">
        <v>1.1376</v>
      </c>
      <c r="BS53" s="153">
        <v>1.0321</v>
      </c>
      <c r="BT53" s="153">
        <v>0.0197</v>
      </c>
      <c r="BU53" s="153">
        <v>1.0123</v>
      </c>
      <c r="BV53" s="153">
        <v>1.1433</v>
      </c>
      <c r="BW53" s="153">
        <v>0.6967</v>
      </c>
      <c r="BX53" s="153">
        <v>0.0223</v>
      </c>
      <c r="BY53" s="153">
        <v>0.6745</v>
      </c>
      <c r="BZ53" s="153">
        <v>0.6978</v>
      </c>
      <c r="CA53" s="153">
        <v>0.4323</v>
      </c>
      <c r="CB53" s="153">
        <v>0.0141</v>
      </c>
      <c r="CC53" s="153">
        <v>0.4182</v>
      </c>
      <c r="CD53" s="153">
        <v>0.529</v>
      </c>
      <c r="CE53" s="153">
        <v>0.8099</v>
      </c>
      <c r="CF53" s="153">
        <v>0.021</v>
      </c>
      <c r="CG53" s="153">
        <v>0.7889</v>
      </c>
      <c r="CH53" s="153">
        <v>0.9281</v>
      </c>
      <c r="CI53" s="153">
        <v>0.7713</v>
      </c>
      <c r="CJ53" s="153">
        <v>0.0206</v>
      </c>
      <c r="CK53" s="153">
        <v>0.7507</v>
      </c>
      <c r="CL53" s="153">
        <v>0.9282</v>
      </c>
      <c r="CM53" s="153">
        <v>166.04</v>
      </c>
      <c r="CN53" s="153">
        <v>86.48</v>
      </c>
      <c r="CO53" s="153">
        <v>192.0</v>
      </c>
      <c r="CP53" s="153">
        <v>155.97</v>
      </c>
      <c r="CQ53" s="153">
        <v>0.0</v>
      </c>
      <c r="CR53" s="153">
        <v>1.51</v>
      </c>
      <c r="CS53" s="153">
        <v>8.57</v>
      </c>
      <c r="CT53" s="153">
        <v>0.0</v>
      </c>
      <c r="CU53" s="153">
        <v>0.0</v>
      </c>
      <c r="CV53" s="153">
        <v>0.0</v>
      </c>
      <c r="CW53" s="153">
        <v>78.4</v>
      </c>
      <c r="CX53" s="153">
        <v>0.0</v>
      </c>
      <c r="CY53" s="153">
        <v>0.0</v>
      </c>
      <c r="CZ53" s="153">
        <v>135.01</v>
      </c>
      <c r="DA53" s="153">
        <v>1.78</v>
      </c>
      <c r="DB53" s="153">
        <v>133.23</v>
      </c>
      <c r="DC53" s="153">
        <v>128.49</v>
      </c>
      <c r="DD53" s="153">
        <v>0.52</v>
      </c>
      <c r="DE53" s="153">
        <v>127.97</v>
      </c>
      <c r="DF53" s="153">
        <v>3.35</v>
      </c>
      <c r="DG53" s="153">
        <v>0.42</v>
      </c>
      <c r="DH53" s="153">
        <v>2.93</v>
      </c>
      <c r="DI53" s="153">
        <v>2.23</v>
      </c>
      <c r="DJ53" s="153">
        <v>0.42</v>
      </c>
      <c r="DK53" s="153">
        <v>1.81</v>
      </c>
      <c r="DL53" s="153">
        <v>0.93</v>
      </c>
      <c r="DM53" s="153">
        <v>0.42</v>
      </c>
      <c r="DN53" s="153">
        <v>0.51</v>
      </c>
      <c r="DO53" s="153">
        <v>90679.0</v>
      </c>
      <c r="DP53" s="153">
        <v>172072.0</v>
      </c>
    </row>
    <row r="54" ht="15.75" customHeight="1">
      <c r="A54" s="235">
        <v>46260.0</v>
      </c>
      <c r="B54" s="236" t="s">
        <v>4</v>
      </c>
      <c r="C54" s="236" t="s">
        <v>135</v>
      </c>
      <c r="D54" s="236">
        <v>6117.0</v>
      </c>
      <c r="E54" s="236">
        <v>21.86</v>
      </c>
      <c r="F54" s="236">
        <v>1122.95</v>
      </c>
      <c r="G54" s="236">
        <v>0.1836</v>
      </c>
      <c r="H54" s="236">
        <v>3.58</v>
      </c>
      <c r="I54" s="236">
        <v>5.1276</v>
      </c>
      <c r="J54" s="236">
        <v>67.61</v>
      </c>
      <c r="K54" s="236">
        <v>36.68</v>
      </c>
      <c r="L54" s="236">
        <v>22.86</v>
      </c>
      <c r="M54" s="236">
        <v>0.6231</v>
      </c>
      <c r="N54" s="236">
        <v>0.5246</v>
      </c>
      <c r="O54" s="236">
        <v>0.3203</v>
      </c>
      <c r="P54" s="236">
        <v>1.6049</v>
      </c>
      <c r="Q54" s="236">
        <v>119.38</v>
      </c>
      <c r="R54" s="236">
        <v>101.85</v>
      </c>
      <c r="S54" s="236">
        <v>17.53</v>
      </c>
      <c r="T54" s="236">
        <v>14.62</v>
      </c>
      <c r="U54" s="236">
        <v>104.76</v>
      </c>
      <c r="V54" s="236">
        <v>142.5</v>
      </c>
      <c r="W54" s="236">
        <v>3.8846</v>
      </c>
      <c r="X54" s="236">
        <v>12.25</v>
      </c>
      <c r="Y54" s="236">
        <v>196.0</v>
      </c>
      <c r="Z54" s="236">
        <v>504.0</v>
      </c>
      <c r="AA54" s="236">
        <v>2167.0</v>
      </c>
      <c r="AB54" s="236">
        <v>53.944</v>
      </c>
      <c r="AC54" s="236">
        <v>0.6948</v>
      </c>
      <c r="AD54" s="236">
        <v>14.56</v>
      </c>
      <c r="AE54" s="236">
        <v>5.0</v>
      </c>
      <c r="AF54" s="236">
        <v>10.0</v>
      </c>
      <c r="AG54" s="236">
        <v>18.0</v>
      </c>
      <c r="AH54" s="236">
        <v>32.0</v>
      </c>
      <c r="AI54" s="236">
        <v>45.56</v>
      </c>
      <c r="AJ54" s="236">
        <v>14.01</v>
      </c>
      <c r="AK54" s="236">
        <v>4.1</v>
      </c>
      <c r="AL54" s="236"/>
      <c r="AQ54" s="153">
        <v>6.8107</v>
      </c>
      <c r="AR54" s="153">
        <v>0.2003</v>
      </c>
      <c r="AS54" s="153">
        <v>6.6104</v>
      </c>
      <c r="AT54" s="153">
        <v>7.6856</v>
      </c>
      <c r="AU54" s="153">
        <v>0.2095</v>
      </c>
      <c r="AV54" s="153">
        <v>6117.0</v>
      </c>
      <c r="AW54" s="153">
        <v>0.0</v>
      </c>
      <c r="AX54" s="153">
        <v>48.68</v>
      </c>
      <c r="AY54" s="153">
        <v>50.28</v>
      </c>
      <c r="AZ54" s="153">
        <v>3.75</v>
      </c>
      <c r="BA54" s="153">
        <v>14.62</v>
      </c>
      <c r="BB54" s="153">
        <v>2.05</v>
      </c>
      <c r="BC54" s="153">
        <v>76.0</v>
      </c>
      <c r="BD54" s="153">
        <v>24442.0</v>
      </c>
      <c r="BE54" s="153">
        <v>3.8437</v>
      </c>
      <c r="BF54" s="153">
        <v>0.1015</v>
      </c>
      <c r="BG54" s="153">
        <v>3.7422</v>
      </c>
      <c r="BH54" s="153">
        <v>4.2454</v>
      </c>
      <c r="BI54" s="153">
        <v>0.1157</v>
      </c>
      <c r="BJ54" s="153">
        <v>2.967</v>
      </c>
      <c r="BK54" s="153">
        <v>0.0987</v>
      </c>
      <c r="BL54" s="153">
        <v>2.8682</v>
      </c>
      <c r="BM54" s="153">
        <v>3.4402</v>
      </c>
      <c r="BN54" s="153">
        <v>0.0938</v>
      </c>
      <c r="BO54" s="153">
        <v>1.3739</v>
      </c>
      <c r="BP54" s="153">
        <v>0.0319</v>
      </c>
      <c r="BQ54" s="153">
        <v>1.342</v>
      </c>
      <c r="BR54" s="153">
        <v>1.5094</v>
      </c>
      <c r="BS54" s="153">
        <v>1.4061</v>
      </c>
      <c r="BT54" s="153">
        <v>0.0338</v>
      </c>
      <c r="BU54" s="153">
        <v>1.3722</v>
      </c>
      <c r="BV54" s="153">
        <v>1.6268</v>
      </c>
      <c r="BW54" s="153">
        <v>1.0638</v>
      </c>
      <c r="BX54" s="153">
        <v>0.0358</v>
      </c>
      <c r="BY54" s="153">
        <v>1.028</v>
      </c>
      <c r="BZ54" s="153">
        <v>1.1092</v>
      </c>
      <c r="CA54" s="153">
        <v>0.6876</v>
      </c>
      <c r="CB54" s="153">
        <v>0.0253</v>
      </c>
      <c r="CC54" s="153">
        <v>0.6623</v>
      </c>
      <c r="CD54" s="153">
        <v>0.8293</v>
      </c>
      <c r="CE54" s="153">
        <v>1.1318</v>
      </c>
      <c r="CF54" s="153">
        <v>0.0369</v>
      </c>
      <c r="CG54" s="153">
        <v>1.0948</v>
      </c>
      <c r="CH54" s="153">
        <v>1.2678</v>
      </c>
      <c r="CI54" s="153">
        <v>1.1476</v>
      </c>
      <c r="CJ54" s="153">
        <v>0.0365</v>
      </c>
      <c r="CK54" s="153">
        <v>1.1112</v>
      </c>
      <c r="CL54" s="153">
        <v>1.3431</v>
      </c>
      <c r="CM54" s="153">
        <v>291.2</v>
      </c>
      <c r="CN54" s="153">
        <v>92.51</v>
      </c>
      <c r="CO54" s="153">
        <v>314.77</v>
      </c>
      <c r="CP54" s="153">
        <v>277.18</v>
      </c>
      <c r="CQ54" s="153">
        <v>0.0</v>
      </c>
      <c r="CR54" s="153">
        <v>1.56</v>
      </c>
      <c r="CS54" s="153">
        <v>12.46</v>
      </c>
      <c r="CT54" s="153">
        <v>0.0</v>
      </c>
      <c r="CU54" s="153">
        <v>0.0</v>
      </c>
      <c r="CV54" s="153">
        <v>0.0</v>
      </c>
      <c r="CW54" s="153">
        <v>119.38</v>
      </c>
      <c r="CX54" s="153">
        <v>0.0</v>
      </c>
      <c r="CY54" s="153">
        <v>0.0</v>
      </c>
      <c r="CZ54" s="153">
        <v>181.56</v>
      </c>
      <c r="DA54" s="153">
        <v>2.03</v>
      </c>
      <c r="DB54" s="153">
        <v>179.53</v>
      </c>
      <c r="DC54" s="153">
        <v>171.63</v>
      </c>
      <c r="DD54" s="153">
        <v>0.77</v>
      </c>
      <c r="DE54" s="153">
        <v>170.85</v>
      </c>
      <c r="DF54" s="153">
        <v>5.16</v>
      </c>
      <c r="DG54" s="153">
        <v>0.42</v>
      </c>
      <c r="DH54" s="153">
        <v>4.75</v>
      </c>
      <c r="DI54" s="153">
        <v>3.41</v>
      </c>
      <c r="DJ54" s="153">
        <v>0.42</v>
      </c>
      <c r="DK54" s="153">
        <v>2.99</v>
      </c>
      <c r="DL54" s="153">
        <v>1.36</v>
      </c>
      <c r="DM54" s="153">
        <v>0.42</v>
      </c>
      <c r="DN54" s="153">
        <v>0.94</v>
      </c>
      <c r="DO54" s="153">
        <v>139825.0</v>
      </c>
      <c r="DP54" s="153">
        <v>224401.0</v>
      </c>
    </row>
    <row r="55" ht="15.75" customHeight="1">
      <c r="A55" s="235">
        <v>46260.0</v>
      </c>
      <c r="B55" s="236" t="s">
        <v>4</v>
      </c>
      <c r="C55" s="236" t="s">
        <v>136</v>
      </c>
      <c r="D55" s="236">
        <v>3844.0</v>
      </c>
      <c r="E55" s="236">
        <v>13.74</v>
      </c>
      <c r="F55" s="236">
        <v>1823.93</v>
      </c>
      <c r="G55" s="236">
        <v>0.4745</v>
      </c>
      <c r="H55" s="236">
        <v>6.06</v>
      </c>
      <c r="I55" s="236">
        <v>7.828</v>
      </c>
      <c r="J55" s="236">
        <v>113.64</v>
      </c>
      <c r="K55" s="236">
        <v>66.14</v>
      </c>
      <c r="L55" s="236">
        <v>46.33</v>
      </c>
      <c r="M55" s="236">
        <v>0.7004</v>
      </c>
      <c r="N55" s="236">
        <v>0.4434</v>
      </c>
      <c r="O55" s="236">
        <v>0.27</v>
      </c>
      <c r="P55" s="236">
        <v>1.4277</v>
      </c>
      <c r="Q55" s="236">
        <v>204.55</v>
      </c>
      <c r="R55" s="236">
        <v>173.81</v>
      </c>
      <c r="S55" s="236">
        <v>30.74</v>
      </c>
      <c r="T55" s="236">
        <v>38.68</v>
      </c>
      <c r="U55" s="236">
        <v>165.87</v>
      </c>
      <c r="V55" s="236">
        <v>267.25</v>
      </c>
      <c r="W55" s="236">
        <v>4.0406</v>
      </c>
      <c r="X55" s="236">
        <v>18.91</v>
      </c>
      <c r="Y55" s="236">
        <v>220.0</v>
      </c>
      <c r="Z55" s="236">
        <v>678.0</v>
      </c>
      <c r="AA55" s="236">
        <v>2822.0</v>
      </c>
      <c r="AB55" s="236">
        <v>55.2163</v>
      </c>
      <c r="AC55" s="236">
        <v>0.6649</v>
      </c>
      <c r="AD55" s="236">
        <v>25.15</v>
      </c>
      <c r="AE55" s="236">
        <v>9.0</v>
      </c>
      <c r="AF55" s="236">
        <v>17.0</v>
      </c>
      <c r="AG55" s="236">
        <v>33.0</v>
      </c>
      <c r="AH55" s="236">
        <v>55.0</v>
      </c>
      <c r="AI55" s="236">
        <v>30.57</v>
      </c>
      <c r="AJ55" s="236">
        <v>8.48</v>
      </c>
      <c r="AK55" s="236">
        <v>2.26</v>
      </c>
      <c r="AL55" s="236"/>
      <c r="AQ55" s="153">
        <v>10.6033</v>
      </c>
      <c r="AR55" s="153">
        <v>0.7622</v>
      </c>
      <c r="AS55" s="153">
        <v>9.8411</v>
      </c>
      <c r="AT55" s="153">
        <v>12.1342</v>
      </c>
      <c r="AU55" s="153">
        <v>0.1835</v>
      </c>
      <c r="AV55" s="153">
        <v>3844.0</v>
      </c>
      <c r="AW55" s="153">
        <v>0.0</v>
      </c>
      <c r="AX55" s="153">
        <v>76.06</v>
      </c>
      <c r="AY55" s="153">
        <v>79.89</v>
      </c>
      <c r="AZ55" s="153">
        <v>6.21</v>
      </c>
      <c r="BA55" s="153">
        <v>38.68</v>
      </c>
      <c r="BB55" s="153">
        <v>3.7</v>
      </c>
      <c r="BC55" s="153">
        <v>131.0</v>
      </c>
      <c r="BD55" s="153">
        <v>26402.0</v>
      </c>
      <c r="BE55" s="153">
        <v>5.9732</v>
      </c>
      <c r="BF55" s="153">
        <v>0.4987</v>
      </c>
      <c r="BG55" s="153">
        <v>5.4745</v>
      </c>
      <c r="BH55" s="153">
        <v>6.5656</v>
      </c>
      <c r="BI55" s="153">
        <v>0.0993</v>
      </c>
      <c r="BJ55" s="153">
        <v>4.6301</v>
      </c>
      <c r="BK55" s="153">
        <v>0.2635</v>
      </c>
      <c r="BL55" s="153">
        <v>4.3665</v>
      </c>
      <c r="BM55" s="153">
        <v>5.5687</v>
      </c>
      <c r="BN55" s="153">
        <v>0.0842</v>
      </c>
      <c r="BO55" s="153">
        <v>2.128</v>
      </c>
      <c r="BP55" s="153">
        <v>0.1605</v>
      </c>
      <c r="BQ55" s="153">
        <v>1.9675</v>
      </c>
      <c r="BR55" s="153">
        <v>2.3538</v>
      </c>
      <c r="BS55" s="153">
        <v>1.9893</v>
      </c>
      <c r="BT55" s="153">
        <v>0.1668</v>
      </c>
      <c r="BU55" s="153">
        <v>1.8226</v>
      </c>
      <c r="BV55" s="153">
        <v>2.3025</v>
      </c>
      <c r="BW55" s="153">
        <v>1.8559</v>
      </c>
      <c r="BX55" s="153">
        <v>0.1714</v>
      </c>
      <c r="BY55" s="153">
        <v>1.6844</v>
      </c>
      <c r="BZ55" s="153">
        <v>1.9092</v>
      </c>
      <c r="CA55" s="153">
        <v>1.2404</v>
      </c>
      <c r="CB55" s="153">
        <v>0.0721</v>
      </c>
      <c r="CC55" s="153">
        <v>1.1683</v>
      </c>
      <c r="CD55" s="153">
        <v>1.6116</v>
      </c>
      <c r="CE55" s="153">
        <v>1.5528</v>
      </c>
      <c r="CF55" s="153">
        <v>0.1051</v>
      </c>
      <c r="CG55" s="153">
        <v>1.4477</v>
      </c>
      <c r="CH55" s="153">
        <v>1.7339</v>
      </c>
      <c r="CI55" s="153">
        <v>1.8369</v>
      </c>
      <c r="CJ55" s="153">
        <v>0.0864</v>
      </c>
      <c r="CK55" s="153">
        <v>1.7505</v>
      </c>
      <c r="CL55" s="153">
        <v>2.2232</v>
      </c>
      <c r="CM55" s="153">
        <v>578.78</v>
      </c>
      <c r="CN55" s="153">
        <v>96.36</v>
      </c>
      <c r="CO55" s="153">
        <v>600.66</v>
      </c>
      <c r="CP55" s="153">
        <v>561.13</v>
      </c>
      <c r="CQ55" s="153">
        <v>0.0</v>
      </c>
      <c r="CR55" s="153">
        <v>2.49</v>
      </c>
      <c r="CS55" s="153">
        <v>15.16</v>
      </c>
      <c r="CT55" s="153">
        <v>0.0</v>
      </c>
      <c r="CU55" s="153">
        <v>0.0</v>
      </c>
      <c r="CV55" s="153">
        <v>0.0</v>
      </c>
      <c r="CW55" s="153">
        <v>204.55</v>
      </c>
      <c r="CX55" s="153">
        <v>0.0</v>
      </c>
      <c r="CY55" s="153">
        <v>0.0</v>
      </c>
      <c r="CZ55" s="153">
        <v>269.65</v>
      </c>
      <c r="DA55" s="153">
        <v>4.16</v>
      </c>
      <c r="DB55" s="153">
        <v>265.49</v>
      </c>
      <c r="DC55" s="153">
        <v>254.94</v>
      </c>
      <c r="DD55" s="153">
        <v>1.84</v>
      </c>
      <c r="DE55" s="153">
        <v>253.1</v>
      </c>
      <c r="DF55" s="153">
        <v>5.45</v>
      </c>
      <c r="DG55" s="153">
        <v>0.78</v>
      </c>
      <c r="DH55" s="153">
        <v>4.67</v>
      </c>
      <c r="DI55" s="153">
        <v>5.49</v>
      </c>
      <c r="DJ55" s="153">
        <v>0.78</v>
      </c>
      <c r="DK55" s="153">
        <v>4.71</v>
      </c>
      <c r="DL55" s="153">
        <v>3.77</v>
      </c>
      <c r="DM55" s="153">
        <v>0.78</v>
      </c>
      <c r="DN55" s="153">
        <v>2.99</v>
      </c>
      <c r="DO55" s="153">
        <v>178080.0</v>
      </c>
      <c r="DP55" s="153">
        <v>254245.0</v>
      </c>
    </row>
    <row r="56" ht="15.75" customHeight="1">
      <c r="A56" s="235">
        <v>46260.0</v>
      </c>
      <c r="B56" s="236" t="s">
        <v>4</v>
      </c>
      <c r="C56" s="236" t="s">
        <v>137</v>
      </c>
      <c r="D56" s="236">
        <v>543.0</v>
      </c>
      <c r="E56" s="236">
        <v>1.94</v>
      </c>
      <c r="F56" s="236">
        <v>408.1</v>
      </c>
      <c r="G56" s="236">
        <v>0.7516</v>
      </c>
      <c r="H56" s="236">
        <v>7.92</v>
      </c>
      <c r="I56" s="236">
        <v>9.4907</v>
      </c>
      <c r="J56" s="236">
        <v>209.08</v>
      </c>
      <c r="K56" s="236">
        <v>130.27</v>
      </c>
      <c r="L56" s="236">
        <v>100.33</v>
      </c>
      <c r="M56" s="236">
        <v>0.7702</v>
      </c>
      <c r="N56" s="236">
        <v>0.359</v>
      </c>
      <c r="O56" s="236">
        <v>0.2246</v>
      </c>
      <c r="P56" s="236">
        <v>1.2983</v>
      </c>
      <c r="Q56" s="236">
        <v>341.56</v>
      </c>
      <c r="R56" s="236">
        <v>281.7</v>
      </c>
      <c r="S56" s="236">
        <v>59.86</v>
      </c>
      <c r="T56" s="236">
        <v>72.56</v>
      </c>
      <c r="U56" s="236">
        <v>269.0</v>
      </c>
      <c r="V56" s="236">
        <v>431.95</v>
      </c>
      <c r="W56" s="236">
        <v>3.3159</v>
      </c>
      <c r="X56" s="236">
        <v>21.24</v>
      </c>
      <c r="Y56" s="236">
        <v>280.0</v>
      </c>
      <c r="Z56" s="236">
        <v>962.0</v>
      </c>
      <c r="AA56" s="236">
        <v>4395.0</v>
      </c>
      <c r="AB56" s="236">
        <v>57.1514</v>
      </c>
      <c r="AC56" s="236">
        <v>0.6376</v>
      </c>
      <c r="AD56" s="236">
        <v>45.7</v>
      </c>
      <c r="AE56" s="236">
        <v>16.0</v>
      </c>
      <c r="AF56" s="236">
        <v>28.0</v>
      </c>
      <c r="AG56" s="236">
        <v>54.0</v>
      </c>
      <c r="AH56" s="236">
        <v>104.0</v>
      </c>
      <c r="AI56" s="236">
        <v>16.76</v>
      </c>
      <c r="AJ56" s="236">
        <v>4.6</v>
      </c>
      <c r="AK56" s="236">
        <v>1.1</v>
      </c>
      <c r="AL56" s="236"/>
      <c r="AQ56" s="153">
        <v>18.9908</v>
      </c>
      <c r="AR56" s="153">
        <v>0.7901</v>
      </c>
      <c r="AS56" s="153">
        <v>18.2007</v>
      </c>
      <c r="AT56" s="153">
        <v>25.4475</v>
      </c>
      <c r="AU56" s="153">
        <v>0.1954</v>
      </c>
      <c r="AV56" s="153">
        <v>543.0</v>
      </c>
      <c r="AW56" s="153">
        <v>0.0</v>
      </c>
      <c r="AX56" s="153">
        <v>137.69</v>
      </c>
      <c r="AY56" s="153">
        <v>111.66</v>
      </c>
      <c r="AZ56" s="153">
        <v>10.8</v>
      </c>
      <c r="BA56" s="153">
        <v>72.56</v>
      </c>
      <c r="BB56" s="153">
        <v>8.85</v>
      </c>
      <c r="BC56" s="153">
        <v>285.0</v>
      </c>
      <c r="BD56" s="153">
        <v>27793.0</v>
      </c>
      <c r="BE56" s="153">
        <v>10.8085</v>
      </c>
      <c r="BF56" s="153">
        <v>0.3094</v>
      </c>
      <c r="BG56" s="153">
        <v>10.4991</v>
      </c>
      <c r="BH56" s="153">
        <v>12.2523</v>
      </c>
      <c r="BI56" s="153">
        <v>0.0941</v>
      </c>
      <c r="BJ56" s="153">
        <v>8.1823</v>
      </c>
      <c r="BK56" s="153">
        <v>0.4807</v>
      </c>
      <c r="BL56" s="153">
        <v>7.7017</v>
      </c>
      <c r="BM56" s="153">
        <v>13.1952</v>
      </c>
      <c r="BN56" s="153">
        <v>0.1013</v>
      </c>
      <c r="BO56" s="153">
        <v>3.6851</v>
      </c>
      <c r="BP56" s="153">
        <v>0.1031</v>
      </c>
      <c r="BQ56" s="153">
        <v>3.582</v>
      </c>
      <c r="BR56" s="153">
        <v>4.3039</v>
      </c>
      <c r="BS56" s="153">
        <v>3.6335</v>
      </c>
      <c r="BT56" s="153">
        <v>0.1031</v>
      </c>
      <c r="BU56" s="153">
        <v>3.5304</v>
      </c>
      <c r="BV56" s="153">
        <v>4.2136</v>
      </c>
      <c r="BW56" s="153">
        <v>3.4899</v>
      </c>
      <c r="BX56" s="153">
        <v>0.1031</v>
      </c>
      <c r="BY56" s="153">
        <v>3.3867</v>
      </c>
      <c r="BZ56" s="153">
        <v>3.7348</v>
      </c>
      <c r="CA56" s="153">
        <v>2.2873</v>
      </c>
      <c r="CB56" s="153">
        <v>0.1252</v>
      </c>
      <c r="CC56" s="153">
        <v>2.1621</v>
      </c>
      <c r="CD56" s="153">
        <v>3.0479</v>
      </c>
      <c r="CE56" s="153">
        <v>2.6169</v>
      </c>
      <c r="CF56" s="153">
        <v>0.2136</v>
      </c>
      <c r="CG56" s="153">
        <v>2.4033</v>
      </c>
      <c r="CH56" s="153">
        <v>3.4438</v>
      </c>
      <c r="CI56" s="153">
        <v>3.2781</v>
      </c>
      <c r="CJ56" s="153">
        <v>0.1418</v>
      </c>
      <c r="CK56" s="153">
        <v>3.1363</v>
      </c>
      <c r="CL56" s="153">
        <v>6.7035</v>
      </c>
      <c r="CM56" s="153">
        <v>1231.2</v>
      </c>
      <c r="CN56" s="153">
        <v>98.34</v>
      </c>
      <c r="CO56" s="153">
        <v>1251.95</v>
      </c>
      <c r="CP56" s="153">
        <v>1213.38</v>
      </c>
      <c r="CQ56" s="153">
        <v>0.0</v>
      </c>
      <c r="CR56" s="153">
        <v>2.17</v>
      </c>
      <c r="CS56" s="153">
        <v>15.64</v>
      </c>
      <c r="CT56" s="153">
        <v>0.0</v>
      </c>
      <c r="CU56" s="153">
        <v>0.0</v>
      </c>
      <c r="CV56" s="153">
        <v>0.0</v>
      </c>
      <c r="CW56" s="153">
        <v>341.56</v>
      </c>
      <c r="CX56" s="153">
        <v>0.0</v>
      </c>
      <c r="CY56" s="153">
        <v>0.0</v>
      </c>
      <c r="CZ56" s="153">
        <v>427.06</v>
      </c>
      <c r="DA56" s="153">
        <v>11.88</v>
      </c>
      <c r="DB56" s="153">
        <v>415.18</v>
      </c>
      <c r="DC56" s="153">
        <v>409.59</v>
      </c>
      <c r="DD56" s="153">
        <v>5.91</v>
      </c>
      <c r="DE56" s="153">
        <v>403.67</v>
      </c>
      <c r="DF56" s="153">
        <v>6.37</v>
      </c>
      <c r="DG56" s="153">
        <v>1.99</v>
      </c>
      <c r="DH56" s="153">
        <v>4.38</v>
      </c>
      <c r="DI56" s="153">
        <v>5.58</v>
      </c>
      <c r="DJ56" s="153">
        <v>1.99</v>
      </c>
      <c r="DK56" s="153">
        <v>3.59</v>
      </c>
      <c r="DL56" s="153">
        <v>5.52</v>
      </c>
      <c r="DM56" s="153">
        <v>1.99</v>
      </c>
      <c r="DN56" s="153">
        <v>3.54</v>
      </c>
      <c r="DO56" s="153">
        <v>54481.0</v>
      </c>
      <c r="DP56" s="153">
        <v>70734.0</v>
      </c>
    </row>
    <row r="57" ht="15.75" customHeight="1">
      <c r="A57" s="235">
        <v>46260.0</v>
      </c>
      <c r="B57" s="236" t="s">
        <v>5</v>
      </c>
      <c r="C57" s="236" t="s">
        <v>133</v>
      </c>
      <c r="D57" s="236">
        <v>10184.0</v>
      </c>
      <c r="E57" s="236">
        <v>36.2</v>
      </c>
      <c r="F57" s="236">
        <v>345.26</v>
      </c>
      <c r="G57" s="236">
        <v>0.0339</v>
      </c>
      <c r="H57" s="236">
        <v>1.26</v>
      </c>
      <c r="I57" s="236">
        <v>2.6973</v>
      </c>
      <c r="J57" s="236">
        <v>28.17</v>
      </c>
      <c r="K57" s="236">
        <v>14.02</v>
      </c>
      <c r="L57" s="236">
        <v>5.97</v>
      </c>
      <c r="M57" s="236">
        <v>0.426</v>
      </c>
      <c r="N57" s="236">
        <v>0.6899</v>
      </c>
      <c r="O57" s="236">
        <v>0.4177</v>
      </c>
      <c r="P57" s="236">
        <v>2.3475</v>
      </c>
      <c r="Q57" s="236">
        <v>43.01</v>
      </c>
      <c r="R57" s="236">
        <v>38.82</v>
      </c>
      <c r="S57" s="236">
        <v>4.19</v>
      </c>
      <c r="T57" s="236">
        <v>2.99</v>
      </c>
      <c r="U57" s="236">
        <v>40.02</v>
      </c>
      <c r="V57" s="236">
        <v>48.08</v>
      </c>
      <c r="W57" s="236">
        <v>3.4304</v>
      </c>
      <c r="X57" s="236">
        <v>6.94</v>
      </c>
      <c r="Y57" s="236">
        <v>158.0</v>
      </c>
      <c r="Z57" s="236">
        <v>431.0</v>
      </c>
      <c r="AA57" s="236">
        <v>2321.0</v>
      </c>
      <c r="AB57" s="236">
        <v>49.4231</v>
      </c>
      <c r="AC57" s="236">
        <v>0.5675</v>
      </c>
      <c r="AD57" s="236">
        <v>5.6</v>
      </c>
      <c r="AE57" s="236">
        <v>2.0</v>
      </c>
      <c r="AF57" s="236">
        <v>4.0</v>
      </c>
      <c r="AG57" s="236">
        <v>7.0</v>
      </c>
      <c r="AH57" s="236">
        <v>13.0</v>
      </c>
      <c r="AI57" s="236">
        <v>56.09</v>
      </c>
      <c r="AJ57" s="236">
        <v>25.97</v>
      </c>
      <c r="AK57" s="236">
        <v>6.99</v>
      </c>
      <c r="AL57" s="236"/>
      <c r="AM57" s="153">
        <v>44.04</v>
      </c>
      <c r="AN57" s="153">
        <v>44.04</v>
      </c>
      <c r="AO57" s="153">
        <v>24.7</v>
      </c>
      <c r="AP57" s="153">
        <v>10.37</v>
      </c>
      <c r="AQ57" s="153">
        <v>3.6921</v>
      </c>
      <c r="AR57" s="153">
        <v>0.0572</v>
      </c>
      <c r="AS57" s="153">
        <v>3.6348</v>
      </c>
      <c r="AT57" s="153">
        <v>3.3486</v>
      </c>
      <c r="AU57" s="153">
        <v>0.2389</v>
      </c>
      <c r="AV57" s="153">
        <v>10184.0</v>
      </c>
      <c r="AW57" s="153">
        <v>0.0</v>
      </c>
      <c r="AX57" s="153">
        <v>19.66</v>
      </c>
      <c r="AY57" s="153">
        <v>15.81</v>
      </c>
      <c r="AZ57" s="153">
        <v>2.64</v>
      </c>
      <c r="BA57" s="153">
        <v>2.99</v>
      </c>
      <c r="BB57" s="153">
        <v>0.71</v>
      </c>
      <c r="BC57" s="153">
        <v>30.0</v>
      </c>
      <c r="BD57" s="153">
        <v>25645.0</v>
      </c>
      <c r="BE57" s="153">
        <v>2.318</v>
      </c>
      <c r="BF57" s="153">
        <v>0.0353</v>
      </c>
      <c r="BG57" s="153">
        <v>2.2827</v>
      </c>
      <c r="BH57" s="153">
        <v>1.9381</v>
      </c>
      <c r="BI57" s="153">
        <v>0.1383</v>
      </c>
      <c r="BJ57" s="153">
        <v>1.374</v>
      </c>
      <c r="BK57" s="153">
        <v>0.0219</v>
      </c>
      <c r="BL57" s="153">
        <v>1.3521</v>
      </c>
      <c r="BM57" s="153">
        <v>1.4104</v>
      </c>
      <c r="BN57" s="153">
        <v>0.1006</v>
      </c>
      <c r="BO57" s="153">
        <v>1.0738</v>
      </c>
      <c r="BP57" s="153">
        <v>0.0114</v>
      </c>
      <c r="BQ57" s="153">
        <v>1.0625</v>
      </c>
      <c r="BR57" s="153">
        <v>0.8777</v>
      </c>
      <c r="BS57" s="153">
        <v>0.9467</v>
      </c>
      <c r="BT57" s="153">
        <v>0.0123</v>
      </c>
      <c r="BU57" s="153">
        <v>0.9344</v>
      </c>
      <c r="BV57" s="153">
        <v>0.7659</v>
      </c>
      <c r="BW57" s="153">
        <v>0.2975</v>
      </c>
      <c r="BX57" s="153">
        <v>0.0117</v>
      </c>
      <c r="BY57" s="153">
        <v>0.2858</v>
      </c>
      <c r="BZ57" s="153">
        <v>0.2945</v>
      </c>
      <c r="CA57" s="153">
        <v>0.2171</v>
      </c>
      <c r="CB57" s="153">
        <v>0.0049</v>
      </c>
      <c r="CC57" s="153">
        <v>0.2122</v>
      </c>
      <c r="CD57" s="153">
        <v>0.2749</v>
      </c>
      <c r="CE57" s="153">
        <v>0.6312</v>
      </c>
      <c r="CF57" s="153">
        <v>0.0086</v>
      </c>
      <c r="CG57" s="153">
        <v>0.6225</v>
      </c>
      <c r="CH57" s="153">
        <v>0.6387</v>
      </c>
      <c r="CI57" s="153">
        <v>0.5257</v>
      </c>
      <c r="CJ57" s="153">
        <v>0.0083</v>
      </c>
      <c r="CK57" s="153">
        <v>0.5174</v>
      </c>
      <c r="CL57" s="153">
        <v>0.4968</v>
      </c>
      <c r="CM57" s="153">
        <v>76.49</v>
      </c>
      <c r="CN57" s="153">
        <v>73.24</v>
      </c>
      <c r="CO57" s="153">
        <v>104.43</v>
      </c>
      <c r="CP57" s="153">
        <v>56.47</v>
      </c>
      <c r="CQ57" s="153">
        <v>17.85</v>
      </c>
      <c r="CR57" s="153">
        <v>1.41</v>
      </c>
      <c r="CS57" s="153">
        <v>0.76</v>
      </c>
      <c r="CT57" s="153">
        <v>0.0</v>
      </c>
      <c r="CU57" s="153">
        <v>190.0</v>
      </c>
      <c r="CV57" s="153">
        <v>0.3</v>
      </c>
      <c r="CW57" s="153">
        <v>43.31</v>
      </c>
      <c r="CX57" s="153">
        <v>2.67</v>
      </c>
      <c r="CY57" s="153">
        <v>20.53</v>
      </c>
      <c r="CZ57" s="153">
        <v>93.62</v>
      </c>
      <c r="DA57" s="153">
        <v>1.08</v>
      </c>
      <c r="DB57" s="153">
        <v>92.54</v>
      </c>
      <c r="DC57" s="153">
        <v>88.63</v>
      </c>
      <c r="DD57" s="153">
        <v>0.3</v>
      </c>
      <c r="DE57" s="153">
        <v>88.33</v>
      </c>
      <c r="DF57" s="153">
        <v>2.55</v>
      </c>
      <c r="DG57" s="153">
        <v>0.26</v>
      </c>
      <c r="DH57" s="153">
        <v>2.29</v>
      </c>
      <c r="DI57" s="153">
        <v>1.78</v>
      </c>
      <c r="DJ57" s="153">
        <v>0.26</v>
      </c>
      <c r="DK57" s="153">
        <v>1.51</v>
      </c>
      <c r="DL57" s="153">
        <v>0.66</v>
      </c>
      <c r="DM57" s="153">
        <v>0.26</v>
      </c>
      <c r="DN57" s="153">
        <v>0.4</v>
      </c>
      <c r="DO57" s="153">
        <v>60806.0</v>
      </c>
      <c r="DP57" s="153">
        <v>142740.0</v>
      </c>
    </row>
    <row r="58" ht="15.75" customHeight="1">
      <c r="A58" s="235">
        <v>46260.0</v>
      </c>
      <c r="B58" s="236" t="s">
        <v>5</v>
      </c>
      <c r="C58" s="236" t="s">
        <v>134</v>
      </c>
      <c r="D58" s="236">
        <v>7471.0</v>
      </c>
      <c r="E58" s="236">
        <v>26.55</v>
      </c>
      <c r="F58" s="236">
        <v>574.01</v>
      </c>
      <c r="G58" s="236">
        <v>0.0768</v>
      </c>
      <c r="H58" s="236">
        <v>2.15</v>
      </c>
      <c r="I58" s="236">
        <v>3.5653</v>
      </c>
      <c r="J58" s="236">
        <v>48.38</v>
      </c>
      <c r="K58" s="236">
        <v>24.89</v>
      </c>
      <c r="L58" s="236">
        <v>13.28</v>
      </c>
      <c r="M58" s="236">
        <v>0.5337</v>
      </c>
      <c r="N58" s="236">
        <v>0.6042</v>
      </c>
      <c r="O58" s="236">
        <v>0.368</v>
      </c>
      <c r="P58" s="236">
        <v>1.8737</v>
      </c>
      <c r="Q58" s="236">
        <v>86.22</v>
      </c>
      <c r="R58" s="236">
        <v>76.86</v>
      </c>
      <c r="S58" s="236">
        <v>9.36</v>
      </c>
      <c r="T58" s="236">
        <v>6.33</v>
      </c>
      <c r="U58" s="236">
        <v>79.89</v>
      </c>
      <c r="V58" s="236">
        <v>88.58</v>
      </c>
      <c r="W58" s="236">
        <v>3.5593</v>
      </c>
      <c r="X58" s="236">
        <v>7.34</v>
      </c>
      <c r="Y58" s="236">
        <v>174.0</v>
      </c>
      <c r="Z58" s="236">
        <v>422.0</v>
      </c>
      <c r="AA58" s="236">
        <v>1696.0</v>
      </c>
      <c r="AB58" s="236">
        <v>52.188</v>
      </c>
      <c r="AC58" s="236">
        <v>0.665</v>
      </c>
      <c r="AD58" s="236">
        <v>9.7</v>
      </c>
      <c r="AE58" s="236">
        <v>3.0</v>
      </c>
      <c r="AF58" s="236">
        <v>7.0</v>
      </c>
      <c r="AG58" s="236">
        <v>13.0</v>
      </c>
      <c r="AH58" s="236">
        <v>21.0</v>
      </c>
      <c r="AI58" s="236">
        <v>55.49</v>
      </c>
      <c r="AJ58" s="236">
        <v>21.94</v>
      </c>
      <c r="AK58" s="236">
        <v>4.0</v>
      </c>
      <c r="AL58" s="236"/>
      <c r="AM58" s="153">
        <v>45.56</v>
      </c>
      <c r="AN58" s="153">
        <v>45.56</v>
      </c>
      <c r="AO58" s="153">
        <v>23.54</v>
      </c>
      <c r="AP58" s="153">
        <v>8.29</v>
      </c>
      <c r="AQ58" s="153">
        <v>5.8292</v>
      </c>
      <c r="AR58" s="153">
        <v>0.0671</v>
      </c>
      <c r="AS58" s="153">
        <v>5.7621</v>
      </c>
      <c r="AT58" s="153">
        <v>5.4998</v>
      </c>
      <c r="AU58" s="153">
        <v>0.221</v>
      </c>
      <c r="AV58" s="153">
        <v>7471.0</v>
      </c>
      <c r="AW58" s="153">
        <v>0.0</v>
      </c>
      <c r="AX58" s="153">
        <v>31.04</v>
      </c>
      <c r="AY58" s="153">
        <v>40.63</v>
      </c>
      <c r="AZ58" s="153">
        <v>3.09</v>
      </c>
      <c r="BA58" s="153">
        <v>6.33</v>
      </c>
      <c r="BB58" s="153">
        <v>1.27</v>
      </c>
      <c r="BC58" s="153">
        <v>45.0</v>
      </c>
      <c r="BD58" s="153">
        <v>21865.0</v>
      </c>
      <c r="BE58" s="153">
        <v>3.2515</v>
      </c>
      <c r="BF58" s="153">
        <v>0.0253</v>
      </c>
      <c r="BG58" s="153">
        <v>3.2262</v>
      </c>
      <c r="BH58" s="153">
        <v>3.0286</v>
      </c>
      <c r="BI58" s="153">
        <v>0.1217</v>
      </c>
      <c r="BJ58" s="153">
        <v>2.5777</v>
      </c>
      <c r="BK58" s="153">
        <v>0.0418</v>
      </c>
      <c r="BL58" s="153">
        <v>2.5359</v>
      </c>
      <c r="BM58" s="153">
        <v>2.4712</v>
      </c>
      <c r="BN58" s="153">
        <v>0.0993</v>
      </c>
      <c r="BO58" s="153">
        <v>1.1881</v>
      </c>
      <c r="BP58" s="153">
        <v>0.009</v>
      </c>
      <c r="BQ58" s="153">
        <v>1.1791</v>
      </c>
      <c r="BR58" s="153">
        <v>1.1832</v>
      </c>
      <c r="BS58" s="153">
        <v>1.1439</v>
      </c>
      <c r="BT58" s="153">
        <v>0.0078</v>
      </c>
      <c r="BU58" s="153">
        <v>1.1361</v>
      </c>
      <c r="BV58" s="153">
        <v>1.1383</v>
      </c>
      <c r="BW58" s="153">
        <v>0.9196</v>
      </c>
      <c r="BX58" s="153">
        <v>0.0086</v>
      </c>
      <c r="BY58" s="153">
        <v>0.911</v>
      </c>
      <c r="BZ58" s="153">
        <v>0.7071</v>
      </c>
      <c r="CA58" s="153">
        <v>0.5773</v>
      </c>
      <c r="CB58" s="153">
        <v>0.011</v>
      </c>
      <c r="CC58" s="153">
        <v>0.5663</v>
      </c>
      <c r="CD58" s="153">
        <v>0.5497</v>
      </c>
      <c r="CE58" s="153">
        <v>0.9908</v>
      </c>
      <c r="CF58" s="153">
        <v>0.0182</v>
      </c>
      <c r="CG58" s="153">
        <v>0.9726</v>
      </c>
      <c r="CH58" s="153">
        <v>0.9441</v>
      </c>
      <c r="CI58" s="153">
        <v>1.0096</v>
      </c>
      <c r="CJ58" s="153">
        <v>0.0126</v>
      </c>
      <c r="CK58" s="153">
        <v>0.9971</v>
      </c>
      <c r="CL58" s="153">
        <v>0.9774</v>
      </c>
      <c r="CM58" s="153">
        <v>157.02</v>
      </c>
      <c r="CN58" s="153">
        <v>87.06</v>
      </c>
      <c r="CO58" s="153">
        <v>180.37</v>
      </c>
      <c r="CP58" s="153">
        <v>125.17</v>
      </c>
      <c r="CQ58" s="153">
        <v>28.57</v>
      </c>
      <c r="CR58" s="153">
        <v>1.17</v>
      </c>
      <c r="CS58" s="153">
        <v>2.11</v>
      </c>
      <c r="CT58" s="153">
        <v>0.0</v>
      </c>
      <c r="CU58" s="153">
        <v>158.0</v>
      </c>
      <c r="CV58" s="153">
        <v>0.54</v>
      </c>
      <c r="CW58" s="153">
        <v>86.75</v>
      </c>
      <c r="CX58" s="153">
        <v>4.84</v>
      </c>
      <c r="CY58" s="153">
        <v>33.41</v>
      </c>
      <c r="CZ58" s="153">
        <v>136.89</v>
      </c>
      <c r="DA58" s="153">
        <v>1.88</v>
      </c>
      <c r="DB58" s="153">
        <v>135.01</v>
      </c>
      <c r="DC58" s="153">
        <v>128.82</v>
      </c>
      <c r="DD58" s="153">
        <v>0.53</v>
      </c>
      <c r="DE58" s="153">
        <v>128.29</v>
      </c>
      <c r="DF58" s="153">
        <v>5.13</v>
      </c>
      <c r="DG58" s="153">
        <v>0.45</v>
      </c>
      <c r="DH58" s="153">
        <v>4.68</v>
      </c>
      <c r="DI58" s="153">
        <v>1.98</v>
      </c>
      <c r="DJ58" s="153">
        <v>0.45</v>
      </c>
      <c r="DK58" s="153">
        <v>1.53</v>
      </c>
      <c r="DL58" s="153">
        <v>0.96</v>
      </c>
      <c r="DM58" s="153">
        <v>0.45</v>
      </c>
      <c r="DN58" s="153">
        <v>0.51</v>
      </c>
      <c r="DO58" s="153">
        <v>99231.0</v>
      </c>
      <c r="DP58" s="153">
        <v>185933.0</v>
      </c>
    </row>
    <row r="59" ht="15.75" customHeight="1">
      <c r="A59" s="235">
        <v>46260.0</v>
      </c>
      <c r="B59" s="236" t="s">
        <v>5</v>
      </c>
      <c r="C59" s="236" t="s">
        <v>135</v>
      </c>
      <c r="D59" s="236">
        <v>6076.0</v>
      </c>
      <c r="E59" s="236">
        <v>21.6</v>
      </c>
      <c r="F59" s="236">
        <v>853.37</v>
      </c>
      <c r="G59" s="236">
        <v>0.1404</v>
      </c>
      <c r="H59" s="236">
        <v>3.26</v>
      </c>
      <c r="I59" s="236">
        <v>4.3099</v>
      </c>
      <c r="J59" s="236">
        <v>72.75</v>
      </c>
      <c r="K59" s="236">
        <v>39.16</v>
      </c>
      <c r="L59" s="236">
        <v>24.79</v>
      </c>
      <c r="M59" s="236">
        <v>0.633</v>
      </c>
      <c r="N59" s="236">
        <v>0.5161</v>
      </c>
      <c r="O59" s="236">
        <v>0.3162</v>
      </c>
      <c r="P59" s="236">
        <v>1.5797</v>
      </c>
      <c r="Q59" s="236">
        <v>179.75</v>
      </c>
      <c r="R59" s="236">
        <v>163.18</v>
      </c>
      <c r="S59" s="236">
        <v>16.56</v>
      </c>
      <c r="T59" s="236">
        <v>11.91</v>
      </c>
      <c r="U59" s="236">
        <v>167.84</v>
      </c>
      <c r="V59" s="236">
        <v>174.53</v>
      </c>
      <c r="W59" s="236">
        <v>4.4567</v>
      </c>
      <c r="X59" s="236">
        <v>6.62</v>
      </c>
      <c r="Y59" s="236">
        <v>228.0</v>
      </c>
      <c r="Z59" s="236">
        <v>512.0</v>
      </c>
      <c r="AA59" s="236">
        <v>1871.0</v>
      </c>
      <c r="AB59" s="236">
        <v>53.906</v>
      </c>
      <c r="AC59" s="236">
        <v>0.6894</v>
      </c>
      <c r="AD59" s="236">
        <v>15.55</v>
      </c>
      <c r="AE59" s="236">
        <v>5.0</v>
      </c>
      <c r="AF59" s="236">
        <v>11.0</v>
      </c>
      <c r="AG59" s="236">
        <v>20.0</v>
      </c>
      <c r="AH59" s="236">
        <v>36.0</v>
      </c>
      <c r="AI59" s="236">
        <v>48.73</v>
      </c>
      <c r="AJ59" s="236">
        <v>15.98</v>
      </c>
      <c r="AK59" s="236">
        <v>4.18</v>
      </c>
      <c r="AL59" s="236"/>
      <c r="AM59" s="153">
        <v>46.84</v>
      </c>
      <c r="AN59" s="153">
        <v>46.84</v>
      </c>
      <c r="AO59" s="153">
        <v>21.74</v>
      </c>
      <c r="AP59" s="153">
        <v>9.73</v>
      </c>
      <c r="AQ59" s="153">
        <v>8.1684</v>
      </c>
      <c r="AR59" s="153">
        <v>0.233</v>
      </c>
      <c r="AS59" s="153">
        <v>7.9353</v>
      </c>
      <c r="AT59" s="153">
        <v>7.7549</v>
      </c>
      <c r="AU59" s="153">
        <v>0.198</v>
      </c>
      <c r="AV59" s="153">
        <v>6076.0</v>
      </c>
      <c r="AW59" s="153">
        <v>0.0</v>
      </c>
      <c r="AX59" s="153">
        <v>47.13</v>
      </c>
      <c r="AY59" s="153">
        <v>97.2</v>
      </c>
      <c r="AZ59" s="153">
        <v>3.8</v>
      </c>
      <c r="BA59" s="153">
        <v>11.91</v>
      </c>
      <c r="BB59" s="153">
        <v>2.62</v>
      </c>
      <c r="BC59" s="153">
        <v>73.0</v>
      </c>
      <c r="BD59" s="153">
        <v>23601.0</v>
      </c>
      <c r="BE59" s="153">
        <v>4.3193</v>
      </c>
      <c r="BF59" s="153">
        <v>0.1402</v>
      </c>
      <c r="BG59" s="153">
        <v>4.1791</v>
      </c>
      <c r="BH59" s="153">
        <v>4.1988</v>
      </c>
      <c r="BI59" s="153">
        <v>0.1072</v>
      </c>
      <c r="BJ59" s="153">
        <v>3.8491</v>
      </c>
      <c r="BK59" s="153">
        <v>0.0928</v>
      </c>
      <c r="BL59" s="153">
        <v>3.7563</v>
      </c>
      <c r="BM59" s="153">
        <v>3.5561</v>
      </c>
      <c r="BN59" s="153">
        <v>0.0908</v>
      </c>
      <c r="BO59" s="153">
        <v>1.3729</v>
      </c>
      <c r="BP59" s="153">
        <v>0.0448</v>
      </c>
      <c r="BQ59" s="153">
        <v>1.3282</v>
      </c>
      <c r="BR59" s="153">
        <v>1.487</v>
      </c>
      <c r="BS59" s="153">
        <v>1.406</v>
      </c>
      <c r="BT59" s="153">
        <v>0.0477</v>
      </c>
      <c r="BU59" s="153">
        <v>1.3583</v>
      </c>
      <c r="BV59" s="153">
        <v>1.4921</v>
      </c>
      <c r="BW59" s="153">
        <v>1.5403</v>
      </c>
      <c r="BX59" s="153">
        <v>0.0477</v>
      </c>
      <c r="BY59" s="153">
        <v>1.4926</v>
      </c>
      <c r="BZ59" s="153">
        <v>1.2197</v>
      </c>
      <c r="CA59" s="153">
        <v>0.7564</v>
      </c>
      <c r="CB59" s="153">
        <v>0.0219</v>
      </c>
      <c r="CC59" s="153">
        <v>0.7345</v>
      </c>
      <c r="CD59" s="153">
        <v>0.7416</v>
      </c>
      <c r="CE59" s="153">
        <v>1.4383</v>
      </c>
      <c r="CF59" s="153">
        <v>0.0421</v>
      </c>
      <c r="CG59" s="153">
        <v>1.3961</v>
      </c>
      <c r="CH59" s="153">
        <v>1.2857</v>
      </c>
      <c r="CI59" s="153">
        <v>1.6544</v>
      </c>
      <c r="CJ59" s="153">
        <v>0.0288</v>
      </c>
      <c r="CK59" s="153">
        <v>1.6256</v>
      </c>
      <c r="CL59" s="153">
        <v>1.5288</v>
      </c>
      <c r="CM59" s="153">
        <v>301.83</v>
      </c>
      <c r="CN59" s="153">
        <v>93.1</v>
      </c>
      <c r="CO59" s="153">
        <v>324.19</v>
      </c>
      <c r="CP59" s="153">
        <v>236.47</v>
      </c>
      <c r="CQ59" s="153">
        <v>60.3</v>
      </c>
      <c r="CR59" s="153">
        <v>1.41</v>
      </c>
      <c r="CS59" s="153">
        <v>3.65</v>
      </c>
      <c r="CT59" s="153">
        <v>0.0</v>
      </c>
      <c r="CU59" s="153">
        <v>106.0</v>
      </c>
      <c r="CV59" s="153">
        <v>0.78</v>
      </c>
      <c r="CW59" s="153">
        <v>180.53</v>
      </c>
      <c r="CX59" s="153">
        <v>10.41</v>
      </c>
      <c r="CY59" s="153">
        <v>70.71</v>
      </c>
      <c r="CZ59" s="153">
        <v>190.44</v>
      </c>
      <c r="DA59" s="153">
        <v>2.91</v>
      </c>
      <c r="DB59" s="153">
        <v>187.52</v>
      </c>
      <c r="DC59" s="153">
        <v>177.11</v>
      </c>
      <c r="DD59" s="153">
        <v>0.87</v>
      </c>
      <c r="DE59" s="153">
        <v>176.24</v>
      </c>
      <c r="DF59" s="153">
        <v>8.15</v>
      </c>
      <c r="DG59" s="153">
        <v>0.68</v>
      </c>
      <c r="DH59" s="153">
        <v>7.46</v>
      </c>
      <c r="DI59" s="153">
        <v>3.82</v>
      </c>
      <c r="DJ59" s="153">
        <v>0.68</v>
      </c>
      <c r="DK59" s="153">
        <v>3.14</v>
      </c>
      <c r="DL59" s="153">
        <v>1.36</v>
      </c>
      <c r="DM59" s="153">
        <v>0.68</v>
      </c>
      <c r="DN59" s="153">
        <v>0.68</v>
      </c>
      <c r="DO59" s="153">
        <v>150626.0</v>
      </c>
      <c r="DP59" s="153">
        <v>237944.0</v>
      </c>
    </row>
    <row r="60" ht="15.75" customHeight="1">
      <c r="A60" s="235">
        <v>46260.0</v>
      </c>
      <c r="B60" s="236" t="s">
        <v>5</v>
      </c>
      <c r="C60" s="236" t="s">
        <v>136</v>
      </c>
      <c r="D60" s="236">
        <v>3872.0</v>
      </c>
      <c r="E60" s="236">
        <v>13.76</v>
      </c>
      <c r="F60" s="236">
        <v>1470.26</v>
      </c>
      <c r="G60" s="236">
        <v>0.3797</v>
      </c>
      <c r="H60" s="236">
        <v>5.5</v>
      </c>
      <c r="I60" s="236">
        <v>6.9026</v>
      </c>
      <c r="J60" s="236">
        <v>116.79</v>
      </c>
      <c r="K60" s="236">
        <v>67.81</v>
      </c>
      <c r="L60" s="236">
        <v>48.99</v>
      </c>
      <c r="M60" s="236">
        <v>0.7225</v>
      </c>
      <c r="N60" s="236">
        <v>0.4312</v>
      </c>
      <c r="O60" s="236">
        <v>0.2712</v>
      </c>
      <c r="P60" s="236">
        <v>1.3841</v>
      </c>
      <c r="Q60" s="236">
        <v>370.42</v>
      </c>
      <c r="R60" s="236">
        <v>342.17</v>
      </c>
      <c r="S60" s="236">
        <v>28.25</v>
      </c>
      <c r="T60" s="236">
        <v>34.38</v>
      </c>
      <c r="U60" s="236">
        <v>336.05</v>
      </c>
      <c r="V60" s="236">
        <v>329.84</v>
      </c>
      <c r="W60" s="236">
        <v>4.8639</v>
      </c>
      <c r="X60" s="236">
        <v>9.28</v>
      </c>
      <c r="Y60" s="236">
        <v>339.0</v>
      </c>
      <c r="Z60" s="236">
        <v>727.0</v>
      </c>
      <c r="AA60" s="236">
        <v>2573.0</v>
      </c>
      <c r="AB60" s="236">
        <v>54.8953</v>
      </c>
      <c r="AC60" s="236">
        <v>0.6455</v>
      </c>
      <c r="AD60" s="236">
        <v>25.97</v>
      </c>
      <c r="AE60" s="236">
        <v>9.0</v>
      </c>
      <c r="AF60" s="236">
        <v>18.0</v>
      </c>
      <c r="AG60" s="236">
        <v>34.0</v>
      </c>
      <c r="AH60" s="236">
        <v>57.0</v>
      </c>
      <c r="AI60" s="236">
        <v>31.71</v>
      </c>
      <c r="AJ60" s="236">
        <v>8.63</v>
      </c>
      <c r="AK60" s="236">
        <v>1.94</v>
      </c>
      <c r="AL60" s="236"/>
      <c r="AM60" s="153">
        <v>40.99</v>
      </c>
      <c r="AN60" s="153">
        <v>40.99</v>
      </c>
      <c r="AO60" s="153">
        <v>19.06</v>
      </c>
      <c r="AP60" s="153">
        <v>8.73</v>
      </c>
      <c r="AQ60" s="153">
        <v>10.7973</v>
      </c>
      <c r="AR60" s="153">
        <v>0.2975</v>
      </c>
      <c r="AS60" s="153">
        <v>10.4997</v>
      </c>
      <c r="AT60" s="153">
        <v>10.7291</v>
      </c>
      <c r="AU60" s="153">
        <v>0.1582</v>
      </c>
      <c r="AV60" s="153">
        <v>3872.0</v>
      </c>
      <c r="AW60" s="153">
        <v>0.0</v>
      </c>
      <c r="AX60" s="153">
        <v>73.98</v>
      </c>
      <c r="AY60" s="153">
        <v>194.18</v>
      </c>
      <c r="AZ60" s="153">
        <v>5.93</v>
      </c>
      <c r="BA60" s="153">
        <v>34.38</v>
      </c>
      <c r="BB60" s="153">
        <v>4.19</v>
      </c>
      <c r="BC60" s="153">
        <v>123.0</v>
      </c>
      <c r="BD60" s="153">
        <v>26269.0</v>
      </c>
      <c r="BE60" s="153">
        <v>5.4618</v>
      </c>
      <c r="BF60" s="153">
        <v>0.1162</v>
      </c>
      <c r="BG60" s="153">
        <v>5.3456</v>
      </c>
      <c r="BH60" s="153">
        <v>5.4806</v>
      </c>
      <c r="BI60" s="153">
        <v>0.0808</v>
      </c>
      <c r="BJ60" s="153">
        <v>5.3355</v>
      </c>
      <c r="BK60" s="153">
        <v>0.1813</v>
      </c>
      <c r="BL60" s="153">
        <v>5.1542</v>
      </c>
      <c r="BM60" s="153">
        <v>5.2485</v>
      </c>
      <c r="BN60" s="153">
        <v>0.0774</v>
      </c>
      <c r="BO60" s="153">
        <v>1.9287</v>
      </c>
      <c r="BP60" s="153">
        <v>0.0387</v>
      </c>
      <c r="BQ60" s="153">
        <v>1.89</v>
      </c>
      <c r="BR60" s="153">
        <v>1.9886</v>
      </c>
      <c r="BS60" s="153">
        <v>1.7128</v>
      </c>
      <c r="BT60" s="153">
        <v>0.038</v>
      </c>
      <c r="BU60" s="153">
        <v>1.6748</v>
      </c>
      <c r="BV60" s="153">
        <v>1.8479</v>
      </c>
      <c r="BW60" s="153">
        <v>1.8202</v>
      </c>
      <c r="BX60" s="153">
        <v>0.0395</v>
      </c>
      <c r="BY60" s="153">
        <v>1.7807</v>
      </c>
      <c r="BZ60" s="153">
        <v>1.6441</v>
      </c>
      <c r="CA60" s="153">
        <v>1.1431</v>
      </c>
      <c r="CB60" s="153">
        <v>0.0442</v>
      </c>
      <c r="CC60" s="153">
        <v>1.0989</v>
      </c>
      <c r="CD60" s="153">
        <v>1.2477</v>
      </c>
      <c r="CE60" s="153">
        <v>1.7327</v>
      </c>
      <c r="CF60" s="153">
        <v>0.0814</v>
      </c>
      <c r="CG60" s="153">
        <v>1.6513</v>
      </c>
      <c r="CH60" s="153">
        <v>1.7113</v>
      </c>
      <c r="CI60" s="153">
        <v>2.4597</v>
      </c>
      <c r="CJ60" s="153">
        <v>0.0558</v>
      </c>
      <c r="CK60" s="153">
        <v>2.4039</v>
      </c>
      <c r="CL60" s="153">
        <v>2.2895</v>
      </c>
      <c r="CM60" s="153">
        <v>602.72</v>
      </c>
      <c r="CN60" s="153">
        <v>96.62</v>
      </c>
      <c r="CO60" s="153">
        <v>623.83</v>
      </c>
      <c r="CP60" s="153">
        <v>475.06</v>
      </c>
      <c r="CQ60" s="153">
        <v>120.21</v>
      </c>
      <c r="CR60" s="153">
        <v>1.92</v>
      </c>
      <c r="CS60" s="153">
        <v>5.53</v>
      </c>
      <c r="CT60" s="153">
        <v>0.0</v>
      </c>
      <c r="CU60" s="153">
        <v>77.0</v>
      </c>
      <c r="CV60" s="153">
        <v>2.25</v>
      </c>
      <c r="CW60" s="153">
        <v>372.67</v>
      </c>
      <c r="CX60" s="153">
        <v>19.86</v>
      </c>
      <c r="CY60" s="153">
        <v>140.08</v>
      </c>
      <c r="CZ60" s="153">
        <v>268.09</v>
      </c>
      <c r="DA60" s="153">
        <v>3.37</v>
      </c>
      <c r="DB60" s="153">
        <v>264.72</v>
      </c>
      <c r="DC60" s="153">
        <v>252.26</v>
      </c>
      <c r="DD60" s="153">
        <v>1.28</v>
      </c>
      <c r="DE60" s="153">
        <v>250.98</v>
      </c>
      <c r="DF60" s="153">
        <v>7.18</v>
      </c>
      <c r="DG60" s="153">
        <v>0.7</v>
      </c>
      <c r="DH60" s="153">
        <v>6.48</v>
      </c>
      <c r="DI60" s="153">
        <v>7.27</v>
      </c>
      <c r="DJ60" s="153">
        <v>0.7</v>
      </c>
      <c r="DK60" s="153">
        <v>6.57</v>
      </c>
      <c r="DL60" s="153">
        <v>1.38</v>
      </c>
      <c r="DM60" s="153">
        <v>0.7</v>
      </c>
      <c r="DN60" s="153">
        <v>0.68</v>
      </c>
      <c r="DO60" s="153">
        <v>189704.0</v>
      </c>
      <c r="DP60" s="153">
        <v>262578.0</v>
      </c>
    </row>
    <row r="61" ht="15.75" customHeight="1">
      <c r="A61" s="235">
        <v>46260.0</v>
      </c>
      <c r="B61" s="236" t="s">
        <v>5</v>
      </c>
      <c r="C61" s="236" t="s">
        <v>137</v>
      </c>
      <c r="D61" s="236">
        <v>532.0</v>
      </c>
      <c r="E61" s="236">
        <v>1.89</v>
      </c>
      <c r="F61" s="236">
        <v>461.64</v>
      </c>
      <c r="G61" s="236">
        <v>0.8677</v>
      </c>
      <c r="H61" s="236">
        <v>8.08</v>
      </c>
      <c r="I61" s="236">
        <v>10.7358</v>
      </c>
      <c r="J61" s="236">
        <v>204.74</v>
      </c>
      <c r="K61" s="236">
        <v>126.16</v>
      </c>
      <c r="L61" s="236">
        <v>98.77</v>
      </c>
      <c r="M61" s="236">
        <v>0.783</v>
      </c>
      <c r="N61" s="236">
        <v>0.364</v>
      </c>
      <c r="O61" s="236">
        <v>0.2369</v>
      </c>
      <c r="P61" s="236">
        <v>1.2772</v>
      </c>
      <c r="Q61" s="236">
        <v>640.44</v>
      </c>
      <c r="R61" s="236">
        <v>591.63</v>
      </c>
      <c r="S61" s="236">
        <v>48.82</v>
      </c>
      <c r="T61" s="236">
        <v>90.23</v>
      </c>
      <c r="U61" s="236">
        <v>550.22</v>
      </c>
      <c r="V61" s="236">
        <v>614.66</v>
      </c>
      <c r="W61" s="236">
        <v>4.8722</v>
      </c>
      <c r="X61" s="236">
        <v>14.09</v>
      </c>
      <c r="Y61" s="236">
        <v>492.0</v>
      </c>
      <c r="Z61" s="236">
        <v>1029.0</v>
      </c>
      <c r="AA61" s="236">
        <v>3943.0</v>
      </c>
      <c r="AB61" s="236">
        <v>57.2808</v>
      </c>
      <c r="AC61" s="236">
        <v>0.6034</v>
      </c>
      <c r="AD61" s="236">
        <v>44.22</v>
      </c>
      <c r="AE61" s="236">
        <v>18.0</v>
      </c>
      <c r="AF61" s="236">
        <v>35.0</v>
      </c>
      <c r="AG61" s="236">
        <v>58.0</v>
      </c>
      <c r="AH61" s="236">
        <v>90.0</v>
      </c>
      <c r="AI61" s="236">
        <v>15.79</v>
      </c>
      <c r="AJ61" s="236">
        <v>3.95</v>
      </c>
      <c r="AK61" s="236">
        <v>0.56</v>
      </c>
      <c r="AL61" s="236"/>
      <c r="AM61" s="153">
        <v>33.08</v>
      </c>
      <c r="AN61" s="153">
        <v>33.08</v>
      </c>
      <c r="AO61" s="153">
        <v>18.42</v>
      </c>
      <c r="AP61" s="153">
        <v>9.02</v>
      </c>
      <c r="AQ61" s="153">
        <v>15.562</v>
      </c>
      <c r="AR61" s="153">
        <v>1.0226</v>
      </c>
      <c r="AS61" s="153">
        <v>14.5395</v>
      </c>
      <c r="AT61" s="153">
        <v>15.6447</v>
      </c>
      <c r="AU61" s="153">
        <v>0.124</v>
      </c>
      <c r="AV61" s="153">
        <v>532.0</v>
      </c>
      <c r="AW61" s="153">
        <v>0.0</v>
      </c>
      <c r="AX61" s="153">
        <v>116.36</v>
      </c>
      <c r="AY61" s="153">
        <v>306.37</v>
      </c>
      <c r="AZ61" s="153">
        <v>12.9</v>
      </c>
      <c r="BA61" s="153">
        <v>90.23</v>
      </c>
      <c r="BB61" s="153">
        <v>8.17</v>
      </c>
      <c r="BC61" s="153">
        <v>199.0</v>
      </c>
      <c r="BD61" s="153">
        <v>23520.0</v>
      </c>
      <c r="BE61" s="153">
        <v>7.9605</v>
      </c>
      <c r="BF61" s="153">
        <v>0.3835</v>
      </c>
      <c r="BG61" s="153">
        <v>7.5771</v>
      </c>
      <c r="BH61" s="153">
        <v>8.0677</v>
      </c>
      <c r="BI61" s="153">
        <v>0.0639</v>
      </c>
      <c r="BJ61" s="153">
        <v>7.6015</v>
      </c>
      <c r="BK61" s="153">
        <v>0.6391</v>
      </c>
      <c r="BL61" s="153">
        <v>6.9624</v>
      </c>
      <c r="BM61" s="153">
        <v>7.5771</v>
      </c>
      <c r="BN61" s="153">
        <v>0.0601</v>
      </c>
      <c r="BO61" s="153">
        <v>2.2556</v>
      </c>
      <c r="BP61" s="153">
        <v>0.1278</v>
      </c>
      <c r="BQ61" s="153">
        <v>2.1278</v>
      </c>
      <c r="BR61" s="153">
        <v>2.5883</v>
      </c>
      <c r="BS61" s="153">
        <v>2.5545</v>
      </c>
      <c r="BT61" s="153">
        <v>0.1278</v>
      </c>
      <c r="BU61" s="153">
        <v>2.4267</v>
      </c>
      <c r="BV61" s="153">
        <v>2.765</v>
      </c>
      <c r="BW61" s="153">
        <v>3.1504</v>
      </c>
      <c r="BX61" s="153">
        <v>0.1278</v>
      </c>
      <c r="BY61" s="153">
        <v>3.0226</v>
      </c>
      <c r="BZ61" s="153">
        <v>2.7143</v>
      </c>
      <c r="CA61" s="153">
        <v>2.0996</v>
      </c>
      <c r="CB61" s="153">
        <v>0.1617</v>
      </c>
      <c r="CC61" s="153">
        <v>1.938</v>
      </c>
      <c r="CD61" s="153">
        <v>2.0056</v>
      </c>
      <c r="CE61" s="153">
        <v>2.3722</v>
      </c>
      <c r="CF61" s="153">
        <v>0.2782</v>
      </c>
      <c r="CG61" s="153">
        <v>2.094</v>
      </c>
      <c r="CH61" s="153">
        <v>2.3628</v>
      </c>
      <c r="CI61" s="153">
        <v>3.1297</v>
      </c>
      <c r="CJ61" s="153">
        <v>0.1992</v>
      </c>
      <c r="CK61" s="153">
        <v>2.9305</v>
      </c>
      <c r="CL61" s="153">
        <v>3.2086</v>
      </c>
      <c r="CM61" s="153">
        <v>1233.31</v>
      </c>
      <c r="CN61" s="153">
        <v>98.5</v>
      </c>
      <c r="CO61" s="153">
        <v>1252.14</v>
      </c>
      <c r="CP61" s="153">
        <v>924.39</v>
      </c>
      <c r="CQ61" s="153">
        <v>295.01</v>
      </c>
      <c r="CR61" s="153">
        <v>5.26</v>
      </c>
      <c r="CS61" s="153">
        <v>8.65</v>
      </c>
      <c r="CT61" s="153">
        <v>0.0</v>
      </c>
      <c r="CU61" s="153">
        <v>4.0</v>
      </c>
      <c r="CV61" s="153">
        <v>1.6</v>
      </c>
      <c r="CW61" s="153">
        <v>642.04</v>
      </c>
      <c r="CX61" s="153">
        <v>56.68</v>
      </c>
      <c r="CY61" s="153">
        <v>351.69</v>
      </c>
      <c r="CZ61" s="153">
        <v>397.46</v>
      </c>
      <c r="DA61" s="153">
        <v>8.94</v>
      </c>
      <c r="DB61" s="153">
        <v>388.52</v>
      </c>
      <c r="DC61" s="153">
        <v>382.19</v>
      </c>
      <c r="DD61" s="153">
        <v>5.1</v>
      </c>
      <c r="DE61" s="153">
        <v>377.09</v>
      </c>
      <c r="DF61" s="153">
        <v>5.83</v>
      </c>
      <c r="DG61" s="153">
        <v>1.28</v>
      </c>
      <c r="DH61" s="153">
        <v>4.55</v>
      </c>
      <c r="DI61" s="153">
        <v>7.43</v>
      </c>
      <c r="DJ61" s="153">
        <v>1.28</v>
      </c>
      <c r="DK61" s="153">
        <v>6.16</v>
      </c>
      <c r="DL61" s="153">
        <v>2.01</v>
      </c>
      <c r="DM61" s="153">
        <v>1.28</v>
      </c>
      <c r="DN61" s="153">
        <v>0.73</v>
      </c>
      <c r="DO61" s="153">
        <v>52548.0</v>
      </c>
      <c r="DP61" s="153">
        <v>67115.0</v>
      </c>
    </row>
    <row r="62" ht="15.75" customHeight="1">
      <c r="A62" s="250"/>
    </row>
    <row r="63" ht="15.75" customHeight="1">
      <c r="A63" s="250"/>
    </row>
    <row r="64" ht="15.75" customHeight="1">
      <c r="A64" s="250"/>
    </row>
    <row r="65" ht="15.75" customHeight="1">
      <c r="A65" s="250"/>
    </row>
    <row r="66" ht="15.75" customHeight="1">
      <c r="A66" s="250"/>
    </row>
    <row r="67" ht="15.75" customHeight="1">
      <c r="A67" s="250"/>
    </row>
    <row r="68" ht="15.75" customHeight="1">
      <c r="A68" s="250"/>
    </row>
    <row r="69" ht="15.75" customHeight="1">
      <c r="A69" s="250"/>
    </row>
    <row r="70" ht="15.75" customHeight="1">
      <c r="A70" s="250"/>
    </row>
    <row r="71" ht="15.75" customHeight="1">
      <c r="A71" s="250"/>
    </row>
    <row r="72" ht="15.75" customHeight="1">
      <c r="A72" s="250"/>
    </row>
    <row r="73" ht="15.75" customHeight="1">
      <c r="A73" s="250"/>
    </row>
    <row r="74" ht="15.75" customHeight="1">
      <c r="A74" s="250"/>
    </row>
    <row r="75" ht="15.75" customHeight="1">
      <c r="A75" s="250"/>
    </row>
    <row r="76" ht="15.75" customHeight="1">
      <c r="A76" s="250"/>
    </row>
    <row r="77" ht="15.75" customHeight="1">
      <c r="A77" s="250"/>
    </row>
    <row r="78" ht="15.75" customHeight="1">
      <c r="A78" s="250"/>
    </row>
    <row r="79" ht="15.75" customHeight="1">
      <c r="A79" s="250"/>
    </row>
    <row r="80" ht="15.75" customHeight="1">
      <c r="A80" s="250"/>
    </row>
    <row r="81" ht="15.75" customHeight="1">
      <c r="A81" s="250"/>
    </row>
    <row r="82" ht="15.75" customHeight="1">
      <c r="A82" s="250"/>
    </row>
    <row r="83" ht="15.75" customHeight="1">
      <c r="A83" s="250"/>
    </row>
    <row r="84" ht="15.75" customHeight="1">
      <c r="A84" s="250"/>
    </row>
    <row r="85" ht="15.75" customHeight="1">
      <c r="A85" s="250"/>
    </row>
    <row r="86" ht="15.75" customHeight="1">
      <c r="A86" s="250"/>
    </row>
    <row r="87" ht="15.75" customHeight="1">
      <c r="A87" s="250"/>
    </row>
    <row r="88" ht="15.75" customHeight="1">
      <c r="A88" s="250"/>
    </row>
    <row r="89" ht="15.75" customHeight="1">
      <c r="A89" s="250"/>
    </row>
    <row r="90" ht="15.75" customHeight="1">
      <c r="A90" s="250"/>
    </row>
    <row r="91" ht="15.75" customHeight="1">
      <c r="A91" s="250"/>
    </row>
    <row r="92" ht="15.75" customHeight="1">
      <c r="A92" s="250"/>
    </row>
    <row r="93" ht="15.75" customHeight="1">
      <c r="A93" s="250"/>
    </row>
    <row r="94" ht="15.75" customHeight="1">
      <c r="A94" s="250"/>
    </row>
    <row r="95" ht="15.75" customHeight="1">
      <c r="A95" s="250"/>
    </row>
    <row r="96" ht="15.75" customHeight="1">
      <c r="A96" s="250"/>
    </row>
    <row r="97" ht="15.75" customHeight="1">
      <c r="A97" s="250"/>
    </row>
    <row r="98" ht="15.75" customHeight="1">
      <c r="A98" s="250"/>
    </row>
    <row r="99" ht="15.75" customHeight="1">
      <c r="A99" s="250"/>
    </row>
    <row r="100" ht="15.75" customHeight="1">
      <c r="A100" s="250"/>
    </row>
    <row r="101" ht="15.75" customHeight="1">
      <c r="A101" s="250"/>
    </row>
    <row r="102" ht="15.75" customHeight="1">
      <c r="A102" s="250"/>
    </row>
    <row r="103" ht="15.75" customHeight="1">
      <c r="A103" s="250"/>
    </row>
    <row r="104" ht="15.75" customHeight="1">
      <c r="A104" s="250"/>
    </row>
    <row r="105" ht="15.75" customHeight="1">
      <c r="A105" s="250"/>
    </row>
    <row r="106" ht="15.75" customHeight="1">
      <c r="A106" s="250"/>
    </row>
    <row r="107" ht="15.75" customHeight="1">
      <c r="A107" s="250"/>
    </row>
    <row r="108" ht="15.75" customHeight="1">
      <c r="A108" s="250"/>
    </row>
    <row r="109" ht="15.75" customHeight="1">
      <c r="A109" s="250"/>
    </row>
    <row r="110" ht="15.75" customHeight="1">
      <c r="A110" s="250"/>
    </row>
    <row r="111" ht="15.75" customHeight="1">
      <c r="A111" s="250"/>
    </row>
    <row r="112" ht="15.75" customHeight="1">
      <c r="A112" s="250"/>
    </row>
    <row r="113" ht="15.75" customHeight="1">
      <c r="A113" s="250"/>
    </row>
    <row r="114" ht="15.75" customHeight="1">
      <c r="A114" s="250"/>
    </row>
    <row r="115" ht="15.75" customHeight="1">
      <c r="A115" s="250"/>
    </row>
    <row r="116" ht="15.75" customHeight="1">
      <c r="A116" s="250"/>
    </row>
    <row r="117" ht="15.75" customHeight="1">
      <c r="A117" s="250"/>
    </row>
    <row r="118" ht="15.75" customHeight="1">
      <c r="A118" s="250"/>
    </row>
    <row r="119" ht="15.75" customHeight="1">
      <c r="A119" s="250"/>
    </row>
    <row r="120" ht="15.75" customHeight="1">
      <c r="A120" s="250"/>
    </row>
    <row r="121" ht="15.75" customHeight="1">
      <c r="A121" s="250"/>
    </row>
    <row r="122" ht="15.75" customHeight="1">
      <c r="A122" s="250"/>
    </row>
    <row r="123" ht="15.75" customHeight="1">
      <c r="A123" s="250"/>
    </row>
    <row r="124" ht="15.75" customHeight="1">
      <c r="A124" s="250"/>
    </row>
    <row r="125" ht="15.75" customHeight="1">
      <c r="A125" s="250"/>
    </row>
    <row r="126" ht="15.75" customHeight="1">
      <c r="A126" s="250"/>
    </row>
    <row r="127" ht="15.75" customHeight="1">
      <c r="A127" s="250"/>
    </row>
    <row r="128" ht="15.75" customHeight="1">
      <c r="A128" s="250"/>
    </row>
    <row r="129" ht="15.75" customHeight="1">
      <c r="A129" s="250"/>
    </row>
    <row r="130" ht="15.75" customHeight="1">
      <c r="A130" s="250"/>
    </row>
    <row r="131" ht="15.75" customHeight="1">
      <c r="A131" s="250"/>
    </row>
    <row r="132" ht="15.75" customHeight="1">
      <c r="A132" s="250"/>
    </row>
    <row r="133" ht="15.75" customHeight="1">
      <c r="A133" s="250"/>
    </row>
    <row r="134" ht="15.75" customHeight="1">
      <c r="A134" s="250"/>
    </row>
    <row r="135" ht="15.75" customHeight="1">
      <c r="A135" s="250"/>
    </row>
    <row r="136" ht="15.75" customHeight="1">
      <c r="A136" s="250"/>
    </row>
    <row r="137" ht="15.75" customHeight="1">
      <c r="A137" s="250"/>
    </row>
    <row r="138" ht="15.75" customHeight="1">
      <c r="A138" s="250"/>
    </row>
    <row r="139" ht="15.75" customHeight="1">
      <c r="A139" s="250"/>
    </row>
    <row r="140" ht="15.75" customHeight="1">
      <c r="A140" s="250"/>
    </row>
    <row r="141" ht="15.75" customHeight="1">
      <c r="A141" s="250"/>
    </row>
    <row r="142" ht="15.75" customHeight="1">
      <c r="A142" s="250"/>
    </row>
    <row r="143" ht="15.75" customHeight="1">
      <c r="A143" s="250"/>
    </row>
    <row r="144" ht="15.75" customHeight="1">
      <c r="A144" s="250"/>
    </row>
    <row r="145" ht="15.75" customHeight="1">
      <c r="A145" s="250"/>
    </row>
    <row r="146" ht="15.75" customHeight="1">
      <c r="A146" s="250"/>
    </row>
    <row r="147" ht="15.75" customHeight="1">
      <c r="A147" s="250"/>
    </row>
    <row r="148" ht="15.75" customHeight="1">
      <c r="A148" s="250"/>
    </row>
    <row r="149" ht="15.75" customHeight="1">
      <c r="A149" s="250"/>
    </row>
    <row r="150" ht="15.75" customHeight="1">
      <c r="A150" s="250"/>
    </row>
    <row r="151" ht="15.75" customHeight="1">
      <c r="A151" s="250"/>
    </row>
    <row r="152" ht="15.75" customHeight="1">
      <c r="A152" s="250"/>
    </row>
    <row r="153" ht="15.75" customHeight="1">
      <c r="A153" s="250"/>
    </row>
    <row r="154" ht="15.75" customHeight="1">
      <c r="A154" s="250"/>
    </row>
    <row r="155" ht="15.75" customHeight="1">
      <c r="A155" s="250"/>
    </row>
    <row r="156" ht="15.75" customHeight="1">
      <c r="A156" s="250"/>
    </row>
    <row r="157" ht="15.75" customHeight="1">
      <c r="A157" s="250"/>
    </row>
    <row r="158" ht="15.75" customHeight="1">
      <c r="A158" s="250"/>
    </row>
    <row r="159" ht="15.75" customHeight="1">
      <c r="A159" s="250"/>
    </row>
    <row r="160" ht="15.75" customHeight="1">
      <c r="A160" s="250"/>
    </row>
    <row r="161" ht="15.75" customHeight="1">
      <c r="A161" s="250"/>
    </row>
    <row r="162" ht="15.75" customHeight="1">
      <c r="A162" s="250"/>
    </row>
    <row r="163" ht="15.75" customHeight="1">
      <c r="A163" s="250"/>
    </row>
    <row r="164" ht="15.75" customHeight="1">
      <c r="A164" s="250"/>
    </row>
    <row r="165" ht="15.75" customHeight="1">
      <c r="A165" s="250"/>
    </row>
    <row r="166" ht="15.75" customHeight="1">
      <c r="A166" s="250"/>
    </row>
    <row r="167" ht="15.75" customHeight="1">
      <c r="A167" s="250"/>
    </row>
    <row r="168" ht="15.75" customHeight="1">
      <c r="A168" s="250"/>
    </row>
    <row r="169" ht="15.75" customHeight="1">
      <c r="A169" s="250"/>
    </row>
    <row r="170" ht="15.75" customHeight="1">
      <c r="A170" s="250"/>
    </row>
    <row r="171" ht="15.75" customHeight="1">
      <c r="A171" s="250"/>
    </row>
    <row r="172" ht="15.75" customHeight="1">
      <c r="A172" s="250"/>
    </row>
    <row r="173" ht="15.75" customHeight="1">
      <c r="A173" s="250"/>
    </row>
    <row r="174" ht="15.75" customHeight="1">
      <c r="A174" s="250"/>
    </row>
    <row r="175" ht="15.75" customHeight="1">
      <c r="A175" s="250"/>
    </row>
    <row r="176" ht="15.75" customHeight="1">
      <c r="A176" s="250"/>
    </row>
    <row r="177" ht="15.75" customHeight="1">
      <c r="A177" s="250"/>
    </row>
    <row r="178" ht="15.75" customHeight="1">
      <c r="A178" s="250"/>
    </row>
    <row r="179" ht="15.75" customHeight="1">
      <c r="A179" s="250"/>
    </row>
    <row r="180" ht="15.75" customHeight="1">
      <c r="A180" s="250"/>
    </row>
    <row r="181" ht="15.75" customHeight="1">
      <c r="A181" s="250"/>
    </row>
    <row r="182" ht="15.75" customHeight="1">
      <c r="A182" s="250"/>
    </row>
    <row r="183" ht="15.75" customHeight="1">
      <c r="A183" s="250"/>
    </row>
    <row r="184" ht="15.75" customHeight="1">
      <c r="A184" s="250"/>
    </row>
    <row r="185" ht="15.75" customHeight="1">
      <c r="A185" s="250"/>
    </row>
    <row r="186" ht="15.75" customHeight="1">
      <c r="A186" s="250"/>
    </row>
    <row r="187" ht="15.75" customHeight="1">
      <c r="A187" s="250"/>
    </row>
    <row r="188" ht="15.75" customHeight="1">
      <c r="A188" s="250"/>
    </row>
    <row r="189" ht="15.75" customHeight="1">
      <c r="A189" s="250"/>
    </row>
    <row r="190" ht="15.75" customHeight="1">
      <c r="A190" s="250"/>
    </row>
    <row r="191" ht="15.75" customHeight="1">
      <c r="A191" s="250"/>
    </row>
    <row r="192" ht="15.75" customHeight="1">
      <c r="A192" s="250"/>
    </row>
    <row r="193" ht="15.75" customHeight="1">
      <c r="A193" s="250"/>
    </row>
    <row r="194" ht="15.75" customHeight="1">
      <c r="A194" s="250"/>
    </row>
    <row r="195" ht="15.75" customHeight="1">
      <c r="A195" s="250"/>
    </row>
    <row r="196" ht="15.75" customHeight="1">
      <c r="A196" s="250"/>
    </row>
    <row r="197" ht="15.75" customHeight="1">
      <c r="A197" s="250"/>
    </row>
    <row r="198" ht="15.75" customHeight="1">
      <c r="A198" s="250"/>
    </row>
    <row r="199" ht="15.75" customHeight="1">
      <c r="A199" s="250"/>
    </row>
    <row r="200" ht="15.75" customHeight="1">
      <c r="A200" s="250"/>
    </row>
    <row r="201" ht="15.75" customHeight="1">
      <c r="A201" s="250"/>
    </row>
    <row r="202" ht="15.75" customHeight="1">
      <c r="A202" s="250"/>
    </row>
    <row r="203" ht="15.75" customHeight="1">
      <c r="A203" s="250"/>
    </row>
    <row r="204" ht="15.75" customHeight="1">
      <c r="A204" s="250"/>
    </row>
    <row r="205" ht="15.75" customHeight="1">
      <c r="A205" s="250"/>
    </row>
    <row r="206" ht="15.75" customHeight="1">
      <c r="A206" s="250"/>
    </row>
    <row r="207" ht="15.75" customHeight="1">
      <c r="A207" s="250"/>
    </row>
    <row r="208" ht="15.75" customHeight="1">
      <c r="A208" s="250"/>
    </row>
    <row r="209" ht="15.75" customHeight="1">
      <c r="A209" s="250"/>
    </row>
    <row r="210" ht="15.75" customHeight="1">
      <c r="A210" s="250"/>
    </row>
    <row r="211" ht="15.75" customHeight="1">
      <c r="A211" s="250"/>
    </row>
    <row r="212" ht="15.75" customHeight="1">
      <c r="A212" s="250"/>
    </row>
    <row r="213" ht="15.75" customHeight="1">
      <c r="A213" s="250"/>
    </row>
    <row r="214" ht="15.75" customHeight="1">
      <c r="A214" s="250"/>
    </row>
    <row r="215" ht="15.75" customHeight="1">
      <c r="A215" s="250"/>
    </row>
    <row r="216" ht="15.75" customHeight="1">
      <c r="A216" s="250"/>
    </row>
    <row r="217" ht="15.75" customHeight="1">
      <c r="A217" s="250"/>
    </row>
    <row r="218" ht="15.75" customHeight="1">
      <c r="A218" s="250"/>
    </row>
    <row r="219" ht="15.75" customHeight="1">
      <c r="A219" s="250"/>
    </row>
    <row r="220" ht="15.75" customHeight="1">
      <c r="A220" s="250"/>
    </row>
    <row r="221" ht="15.75" customHeight="1">
      <c r="A221" s="250"/>
    </row>
    <row r="222" ht="15.75" customHeight="1">
      <c r="A222" s="250"/>
    </row>
    <row r="223" ht="15.75" customHeight="1">
      <c r="A223" s="250"/>
    </row>
    <row r="224" ht="15.75" customHeight="1">
      <c r="A224" s="250"/>
    </row>
    <row r="225" ht="15.75" customHeight="1">
      <c r="A225" s="250"/>
    </row>
    <row r="226" ht="15.75" customHeight="1">
      <c r="A226" s="250"/>
    </row>
    <row r="227" ht="15.75" customHeight="1">
      <c r="A227" s="250"/>
    </row>
    <row r="228" ht="15.75" customHeight="1">
      <c r="A228" s="250"/>
    </row>
    <row r="229" ht="15.75" customHeight="1">
      <c r="A229" s="250"/>
    </row>
    <row r="230" ht="15.75" customHeight="1">
      <c r="A230" s="250"/>
    </row>
    <row r="231" ht="15.75" customHeight="1">
      <c r="A231" s="250"/>
    </row>
    <row r="232" ht="15.75" customHeight="1">
      <c r="A232" s="250"/>
    </row>
    <row r="233" ht="15.75" customHeight="1">
      <c r="A233" s="250"/>
    </row>
    <row r="234" ht="15.75" customHeight="1">
      <c r="A234" s="250"/>
    </row>
    <row r="235" ht="15.75" customHeight="1">
      <c r="A235" s="250"/>
    </row>
    <row r="236" ht="15.75" customHeight="1">
      <c r="A236" s="250"/>
    </row>
    <row r="237" ht="15.75" customHeight="1">
      <c r="A237" s="250"/>
    </row>
    <row r="238" ht="15.75" customHeight="1">
      <c r="A238" s="250"/>
    </row>
    <row r="239" ht="15.75" customHeight="1">
      <c r="A239" s="250"/>
    </row>
    <row r="240" ht="15.75" customHeight="1">
      <c r="A240" s="250"/>
    </row>
    <row r="241" ht="15.75" customHeight="1">
      <c r="A241" s="250"/>
    </row>
    <row r="242" ht="15.75" customHeight="1">
      <c r="A242" s="250"/>
    </row>
    <row r="243" ht="15.75" customHeight="1">
      <c r="A243" s="250"/>
    </row>
    <row r="244" ht="15.75" customHeight="1">
      <c r="A244" s="250"/>
    </row>
    <row r="245" ht="15.75" customHeight="1">
      <c r="A245" s="250"/>
    </row>
    <row r="246" ht="15.75" customHeight="1">
      <c r="A246" s="250"/>
    </row>
    <row r="247" ht="15.75" customHeight="1">
      <c r="A247" s="250"/>
    </row>
    <row r="248" ht="15.75" customHeight="1">
      <c r="A248" s="250"/>
    </row>
    <row r="249" ht="15.75" customHeight="1">
      <c r="A249" s="250"/>
    </row>
    <row r="250" ht="15.75" customHeight="1">
      <c r="A250" s="250"/>
    </row>
    <row r="251" ht="15.75" customHeight="1">
      <c r="A251" s="250"/>
    </row>
    <row r="252" ht="15.75" customHeight="1">
      <c r="A252" s="250"/>
    </row>
    <row r="253" ht="15.75" customHeight="1">
      <c r="A253" s="250"/>
    </row>
    <row r="254" ht="15.75" customHeight="1">
      <c r="A254" s="250"/>
    </row>
    <row r="255" ht="15.75" customHeight="1">
      <c r="A255" s="250"/>
    </row>
    <row r="256" ht="15.75" customHeight="1">
      <c r="A256" s="250"/>
    </row>
    <row r="257" ht="15.75" customHeight="1">
      <c r="A257" s="250"/>
    </row>
    <row r="258" ht="15.75" customHeight="1">
      <c r="A258" s="250"/>
    </row>
    <row r="259" ht="15.75" customHeight="1">
      <c r="A259" s="250"/>
    </row>
    <row r="260" ht="15.75" customHeight="1">
      <c r="A260" s="250"/>
    </row>
    <row r="261" ht="15.75" customHeight="1">
      <c r="A261" s="250"/>
    </row>
    <row r="262" ht="15.75" customHeight="1">
      <c r="A262" s="250"/>
    </row>
    <row r="263" ht="15.75" customHeight="1">
      <c r="A263" s="250"/>
    </row>
    <row r="264" ht="15.75" customHeight="1">
      <c r="A264" s="250"/>
    </row>
    <row r="265" ht="15.75" customHeight="1">
      <c r="A265" s="250"/>
    </row>
    <row r="266" ht="15.75" customHeight="1">
      <c r="A266" s="250"/>
    </row>
    <row r="267" ht="15.75" customHeight="1">
      <c r="A267" s="250"/>
    </row>
    <row r="268" ht="15.75" customHeight="1">
      <c r="A268" s="250"/>
    </row>
    <row r="269" ht="15.75" customHeight="1">
      <c r="A269" s="250"/>
    </row>
    <row r="270" ht="15.75" customHeight="1">
      <c r="A270" s="250"/>
    </row>
    <row r="271" ht="15.75" customHeight="1">
      <c r="A271" s="250"/>
    </row>
    <row r="272" ht="15.75" customHeight="1">
      <c r="A272" s="250"/>
    </row>
    <row r="273" ht="15.75" customHeight="1">
      <c r="A273" s="250"/>
    </row>
    <row r="274" ht="15.75" customHeight="1">
      <c r="A274" s="250"/>
    </row>
    <row r="275" ht="15.75" customHeight="1">
      <c r="A275" s="250"/>
    </row>
    <row r="276" ht="15.75" customHeight="1">
      <c r="A276" s="250"/>
    </row>
    <row r="277" ht="15.75" customHeight="1">
      <c r="A277" s="250"/>
    </row>
    <row r="278" ht="15.75" customHeight="1">
      <c r="A278" s="250"/>
    </row>
    <row r="279" ht="15.75" customHeight="1">
      <c r="A279" s="250"/>
    </row>
    <row r="280" ht="15.75" customHeight="1">
      <c r="A280" s="250"/>
    </row>
    <row r="281" ht="15.75" customHeight="1">
      <c r="A281" s="250"/>
    </row>
    <row r="282" ht="15.75" customHeight="1">
      <c r="A282" s="250"/>
    </row>
    <row r="283" ht="15.75" customHeight="1">
      <c r="A283" s="250"/>
    </row>
    <row r="284" ht="15.75" customHeight="1">
      <c r="A284" s="250"/>
    </row>
    <row r="285" ht="15.75" customHeight="1">
      <c r="A285" s="250"/>
    </row>
    <row r="286" ht="15.75" customHeight="1">
      <c r="A286" s="250"/>
    </row>
    <row r="287" ht="15.75" customHeight="1">
      <c r="A287" s="250"/>
    </row>
    <row r="288" ht="15.75" customHeight="1">
      <c r="A288" s="250"/>
    </row>
    <row r="289" ht="15.75" customHeight="1">
      <c r="A289" s="250"/>
    </row>
    <row r="290" ht="15.75" customHeight="1">
      <c r="A290" s="250"/>
    </row>
    <row r="291" ht="15.75" customHeight="1">
      <c r="A291" s="250"/>
    </row>
    <row r="292" ht="15.75" customHeight="1">
      <c r="A292" s="250"/>
    </row>
    <row r="293" ht="15.75" customHeight="1">
      <c r="A293" s="250"/>
    </row>
    <row r="294" ht="15.75" customHeight="1">
      <c r="A294" s="250"/>
    </row>
    <row r="295" ht="15.75" customHeight="1">
      <c r="A295" s="250"/>
    </row>
    <row r="296" ht="15.75" customHeight="1">
      <c r="A296" s="250"/>
    </row>
    <row r="297" ht="15.75" customHeight="1">
      <c r="A297" s="250"/>
    </row>
    <row r="298" ht="15.75" customHeight="1">
      <c r="A298" s="250"/>
    </row>
    <row r="299" ht="15.75" customHeight="1">
      <c r="A299" s="250"/>
    </row>
    <row r="300" ht="15.75" customHeight="1">
      <c r="A300" s="250"/>
    </row>
    <row r="301" ht="15.75" customHeight="1">
      <c r="A301" s="250"/>
    </row>
    <row r="302" ht="15.75" customHeight="1">
      <c r="A302" s="250"/>
    </row>
    <row r="303" ht="15.75" customHeight="1">
      <c r="A303" s="250"/>
    </row>
    <row r="304" ht="15.75" customHeight="1">
      <c r="A304" s="250"/>
    </row>
    <row r="305" ht="15.75" customHeight="1">
      <c r="A305" s="250"/>
    </row>
    <row r="306" ht="15.75" customHeight="1">
      <c r="A306" s="250"/>
    </row>
    <row r="307" ht="15.75" customHeight="1">
      <c r="A307" s="250"/>
    </row>
    <row r="308" ht="15.75" customHeight="1">
      <c r="A308" s="250"/>
    </row>
    <row r="309" ht="15.75" customHeight="1">
      <c r="A309" s="250"/>
    </row>
    <row r="310" ht="15.75" customHeight="1">
      <c r="A310" s="250"/>
    </row>
    <row r="311" ht="15.75" customHeight="1">
      <c r="A311" s="250"/>
    </row>
    <row r="312" ht="15.75" customHeight="1">
      <c r="A312" s="250"/>
    </row>
    <row r="313" ht="15.75" customHeight="1">
      <c r="A313" s="250"/>
    </row>
    <row r="314" ht="15.75" customHeight="1">
      <c r="A314" s="250"/>
    </row>
    <row r="315" ht="15.75" customHeight="1">
      <c r="A315" s="250"/>
    </row>
    <row r="316" ht="15.75" customHeight="1">
      <c r="A316" s="250"/>
    </row>
    <row r="317" ht="15.75" customHeight="1">
      <c r="A317" s="250"/>
    </row>
    <row r="318" ht="15.75" customHeight="1">
      <c r="A318" s="250"/>
    </row>
    <row r="319" ht="15.75" customHeight="1">
      <c r="A319" s="250"/>
    </row>
    <row r="320" ht="15.75" customHeight="1">
      <c r="A320" s="250"/>
    </row>
    <row r="321" ht="15.75" customHeight="1">
      <c r="A321" s="250"/>
    </row>
    <row r="322" ht="15.75" customHeight="1">
      <c r="A322" s="250"/>
    </row>
    <row r="323" ht="15.75" customHeight="1">
      <c r="A323" s="250"/>
    </row>
    <row r="324" ht="15.75" customHeight="1">
      <c r="A324" s="250"/>
    </row>
    <row r="325" ht="15.75" customHeight="1">
      <c r="A325" s="250"/>
    </row>
    <row r="326" ht="15.75" customHeight="1">
      <c r="A326" s="250"/>
    </row>
    <row r="327" ht="15.75" customHeight="1">
      <c r="A327" s="250"/>
    </row>
    <row r="328" ht="15.75" customHeight="1">
      <c r="A328" s="250"/>
    </row>
    <row r="329" ht="15.75" customHeight="1">
      <c r="A329" s="250"/>
    </row>
    <row r="330" ht="15.75" customHeight="1">
      <c r="A330" s="250"/>
    </row>
    <row r="331" ht="15.75" customHeight="1">
      <c r="A331" s="250"/>
    </row>
    <row r="332" ht="15.75" customHeight="1">
      <c r="A332" s="250"/>
    </row>
    <row r="333" ht="15.75" customHeight="1">
      <c r="A333" s="250"/>
    </row>
    <row r="334" ht="15.75" customHeight="1">
      <c r="A334" s="250"/>
    </row>
    <row r="335" ht="15.75" customHeight="1">
      <c r="A335" s="250"/>
    </row>
    <row r="336" ht="15.75" customHeight="1">
      <c r="A336" s="250"/>
    </row>
    <row r="337" ht="15.75" customHeight="1">
      <c r="A337" s="250"/>
    </row>
    <row r="338" ht="15.75" customHeight="1">
      <c r="A338" s="250"/>
    </row>
    <row r="339" ht="15.75" customHeight="1">
      <c r="A339" s="250"/>
    </row>
    <row r="340" ht="15.75" customHeight="1">
      <c r="A340" s="250"/>
    </row>
    <row r="341" ht="15.75" customHeight="1">
      <c r="A341" s="250"/>
    </row>
    <row r="342" ht="15.75" customHeight="1">
      <c r="A342" s="250"/>
    </row>
    <row r="343" ht="15.75" customHeight="1">
      <c r="A343" s="250"/>
    </row>
    <row r="344" ht="15.75" customHeight="1">
      <c r="A344" s="250"/>
    </row>
    <row r="345" ht="15.75" customHeight="1">
      <c r="A345" s="250"/>
    </row>
    <row r="346" ht="15.75" customHeight="1">
      <c r="A346" s="250"/>
    </row>
    <row r="347" ht="15.75" customHeight="1">
      <c r="A347" s="250"/>
    </row>
    <row r="348" ht="15.75" customHeight="1">
      <c r="A348" s="250"/>
    </row>
    <row r="349" ht="15.75" customHeight="1">
      <c r="A349" s="250"/>
    </row>
    <row r="350" ht="15.75" customHeight="1">
      <c r="A350" s="250"/>
    </row>
    <row r="351" ht="15.75" customHeight="1">
      <c r="A351" s="250"/>
    </row>
    <row r="352" ht="15.75" customHeight="1">
      <c r="A352" s="250"/>
    </row>
    <row r="353" ht="15.75" customHeight="1">
      <c r="A353" s="250"/>
    </row>
    <row r="354" ht="15.75" customHeight="1">
      <c r="A354" s="250"/>
    </row>
    <row r="355" ht="15.75" customHeight="1">
      <c r="A355" s="250"/>
    </row>
    <row r="356" ht="15.75" customHeight="1">
      <c r="A356" s="250"/>
    </row>
    <row r="357" ht="15.75" customHeight="1">
      <c r="A357" s="250"/>
    </row>
    <row r="358" ht="15.75" customHeight="1">
      <c r="A358" s="250"/>
    </row>
    <row r="359" ht="15.75" customHeight="1">
      <c r="A359" s="250"/>
    </row>
    <row r="360" ht="15.75" customHeight="1">
      <c r="A360" s="250"/>
    </row>
    <row r="361" ht="15.75" customHeight="1">
      <c r="A361" s="250"/>
    </row>
    <row r="362" ht="15.75" customHeight="1">
      <c r="A362" s="250"/>
    </row>
    <row r="363" ht="15.75" customHeight="1">
      <c r="A363" s="250"/>
    </row>
    <row r="364" ht="15.75" customHeight="1">
      <c r="A364" s="250"/>
    </row>
    <row r="365" ht="15.75" customHeight="1">
      <c r="A365" s="250"/>
    </row>
    <row r="366" ht="15.75" customHeight="1">
      <c r="A366" s="250"/>
    </row>
    <row r="367" ht="15.75" customHeight="1">
      <c r="A367" s="250"/>
    </row>
    <row r="368" ht="15.75" customHeight="1">
      <c r="A368" s="250"/>
    </row>
    <row r="369" ht="15.75" customHeight="1">
      <c r="A369" s="250"/>
    </row>
    <row r="370" ht="15.75" customHeight="1">
      <c r="A370" s="250"/>
    </row>
    <row r="371" ht="15.75" customHeight="1">
      <c r="A371" s="250"/>
    </row>
    <row r="372" ht="15.75" customHeight="1">
      <c r="A372" s="250"/>
    </row>
    <row r="373" ht="15.75" customHeight="1">
      <c r="A373" s="250"/>
    </row>
    <row r="374" ht="15.75" customHeight="1">
      <c r="A374" s="250"/>
    </row>
    <row r="375" ht="15.75" customHeight="1">
      <c r="A375" s="250"/>
    </row>
    <row r="376" ht="15.75" customHeight="1">
      <c r="A376" s="250"/>
    </row>
    <row r="377" ht="15.75" customHeight="1">
      <c r="A377" s="250"/>
    </row>
    <row r="378" ht="15.75" customHeight="1">
      <c r="A378" s="250"/>
    </row>
    <row r="379" ht="15.75" customHeight="1">
      <c r="A379" s="250"/>
    </row>
    <row r="380" ht="15.75" customHeight="1">
      <c r="A380" s="250"/>
    </row>
    <row r="381" ht="15.75" customHeight="1">
      <c r="A381" s="250"/>
    </row>
    <row r="382" ht="15.75" customHeight="1">
      <c r="A382" s="250"/>
    </row>
    <row r="383" ht="15.75" customHeight="1">
      <c r="A383" s="250"/>
    </row>
    <row r="384" ht="15.75" customHeight="1">
      <c r="A384" s="250"/>
    </row>
    <row r="385" ht="15.75" customHeight="1">
      <c r="A385" s="250"/>
    </row>
    <row r="386" ht="15.75" customHeight="1">
      <c r="A386" s="250"/>
    </row>
    <row r="387" ht="15.75" customHeight="1">
      <c r="A387" s="250"/>
    </row>
    <row r="388" ht="15.75" customHeight="1">
      <c r="A388" s="250"/>
    </row>
    <row r="389" ht="15.75" customHeight="1">
      <c r="A389" s="250"/>
    </row>
    <row r="390" ht="15.75" customHeight="1">
      <c r="A390" s="250"/>
    </row>
    <row r="391" ht="15.75" customHeight="1">
      <c r="A391" s="250"/>
    </row>
    <row r="392" ht="15.75" customHeight="1">
      <c r="A392" s="250"/>
    </row>
    <row r="393" ht="15.75" customHeight="1">
      <c r="A393" s="250"/>
    </row>
    <row r="394" ht="15.75" customHeight="1">
      <c r="A394" s="250"/>
    </row>
    <row r="395" ht="15.75" customHeight="1">
      <c r="A395" s="250"/>
    </row>
    <row r="396" ht="15.75" customHeight="1">
      <c r="A396" s="250"/>
    </row>
    <row r="397" ht="15.75" customHeight="1">
      <c r="A397" s="250"/>
    </row>
    <row r="398" ht="15.75" customHeight="1">
      <c r="A398" s="250"/>
    </row>
    <row r="399" ht="15.75" customHeight="1">
      <c r="A399" s="250"/>
    </row>
    <row r="400" ht="15.75" customHeight="1">
      <c r="A400" s="250"/>
    </row>
    <row r="401" ht="15.75" customHeight="1">
      <c r="A401" s="250"/>
    </row>
    <row r="402" ht="15.75" customHeight="1">
      <c r="A402" s="250"/>
    </row>
    <row r="403" ht="15.75" customHeight="1">
      <c r="A403" s="250"/>
    </row>
    <row r="404" ht="15.75" customHeight="1">
      <c r="A404" s="250"/>
    </row>
    <row r="405" ht="15.75" customHeight="1">
      <c r="A405" s="250"/>
    </row>
    <row r="406" ht="15.75" customHeight="1">
      <c r="A406" s="250"/>
    </row>
    <row r="407" ht="15.75" customHeight="1">
      <c r="A407" s="250"/>
    </row>
    <row r="408" ht="15.75" customHeight="1">
      <c r="A408" s="250"/>
    </row>
    <row r="409" ht="15.75" customHeight="1">
      <c r="A409" s="250"/>
    </row>
    <row r="410" ht="15.75" customHeight="1">
      <c r="A410" s="250"/>
    </row>
    <row r="411" ht="15.75" customHeight="1">
      <c r="A411" s="250"/>
    </row>
    <row r="412" ht="15.75" customHeight="1">
      <c r="A412" s="250"/>
    </row>
    <row r="413" ht="15.75" customHeight="1">
      <c r="A413" s="250"/>
    </row>
    <row r="414" ht="15.75" customHeight="1">
      <c r="A414" s="250"/>
    </row>
    <row r="415" ht="15.75" customHeight="1">
      <c r="A415" s="250"/>
    </row>
    <row r="416" ht="15.75" customHeight="1">
      <c r="A416" s="250"/>
    </row>
    <row r="417" ht="15.75" customHeight="1">
      <c r="A417" s="250"/>
    </row>
    <row r="418" ht="15.75" customHeight="1">
      <c r="A418" s="250"/>
    </row>
    <row r="419" ht="15.75" customHeight="1">
      <c r="A419" s="250"/>
    </row>
    <row r="420" ht="15.75" customHeight="1">
      <c r="A420" s="250"/>
    </row>
    <row r="421" ht="15.75" customHeight="1">
      <c r="A421" s="250"/>
    </row>
    <row r="422" ht="15.75" customHeight="1">
      <c r="A422" s="250"/>
    </row>
    <row r="423" ht="15.75" customHeight="1">
      <c r="A423" s="250"/>
    </row>
    <row r="424" ht="15.75" customHeight="1">
      <c r="A424" s="250"/>
    </row>
    <row r="425" ht="15.75" customHeight="1">
      <c r="A425" s="250"/>
    </row>
    <row r="426" ht="15.75" customHeight="1">
      <c r="A426" s="250"/>
    </row>
    <row r="427" ht="15.75" customHeight="1">
      <c r="A427" s="250"/>
    </row>
    <row r="428" ht="15.75" customHeight="1">
      <c r="A428" s="250"/>
    </row>
    <row r="429" ht="15.75" customHeight="1">
      <c r="A429" s="250"/>
    </row>
    <row r="430" ht="15.75" customHeight="1">
      <c r="A430" s="250"/>
    </row>
    <row r="431" ht="15.75" customHeight="1">
      <c r="A431" s="250"/>
    </row>
    <row r="432" ht="15.75" customHeight="1">
      <c r="A432" s="250"/>
    </row>
    <row r="433" ht="15.75" customHeight="1">
      <c r="A433" s="250"/>
    </row>
    <row r="434" ht="15.75" customHeight="1">
      <c r="A434" s="250"/>
    </row>
    <row r="435" ht="15.75" customHeight="1">
      <c r="A435" s="250"/>
    </row>
    <row r="436" ht="15.75" customHeight="1">
      <c r="A436" s="250"/>
    </row>
    <row r="437" ht="15.75" customHeight="1">
      <c r="A437" s="250"/>
    </row>
    <row r="438" ht="15.75" customHeight="1">
      <c r="A438" s="250"/>
    </row>
    <row r="439" ht="15.75" customHeight="1">
      <c r="A439" s="250"/>
    </row>
    <row r="440" ht="15.75" customHeight="1">
      <c r="A440" s="250"/>
    </row>
    <row r="441" ht="15.75" customHeight="1">
      <c r="A441" s="250"/>
    </row>
    <row r="442" ht="15.75" customHeight="1">
      <c r="A442" s="250"/>
    </row>
    <row r="443" ht="15.75" customHeight="1">
      <c r="A443" s="250"/>
    </row>
    <row r="444" ht="15.75" customHeight="1">
      <c r="A444" s="250"/>
    </row>
    <row r="445" ht="15.75" customHeight="1">
      <c r="A445" s="250"/>
    </row>
    <row r="446" ht="15.75" customHeight="1">
      <c r="A446" s="250"/>
    </row>
    <row r="447" ht="15.75" customHeight="1">
      <c r="A447" s="250"/>
    </row>
    <row r="448" ht="15.75" customHeight="1">
      <c r="A448" s="250"/>
    </row>
    <row r="449" ht="15.75" customHeight="1">
      <c r="A449" s="250"/>
    </row>
    <row r="450" ht="15.75" customHeight="1">
      <c r="A450" s="250"/>
    </row>
    <row r="451" ht="15.75" customHeight="1">
      <c r="A451" s="250"/>
    </row>
    <row r="452" ht="15.75" customHeight="1">
      <c r="A452" s="250"/>
    </row>
    <row r="453" ht="15.75" customHeight="1">
      <c r="A453" s="250"/>
    </row>
    <row r="454" ht="15.75" customHeight="1">
      <c r="A454" s="250"/>
    </row>
    <row r="455" ht="15.75" customHeight="1">
      <c r="A455" s="250"/>
    </row>
    <row r="456" ht="15.75" customHeight="1">
      <c r="A456" s="250"/>
    </row>
    <row r="457" ht="15.75" customHeight="1">
      <c r="A457" s="250"/>
    </row>
    <row r="458" ht="15.75" customHeight="1">
      <c r="A458" s="250"/>
    </row>
    <row r="459" ht="15.75" customHeight="1">
      <c r="A459" s="250"/>
    </row>
    <row r="460" ht="15.75" customHeight="1">
      <c r="A460" s="250"/>
    </row>
    <row r="461" ht="15.75" customHeight="1">
      <c r="A461" s="250"/>
    </row>
    <row r="462" ht="15.75" customHeight="1">
      <c r="A462" s="250"/>
    </row>
    <row r="463" ht="15.75" customHeight="1">
      <c r="A463" s="250"/>
    </row>
    <row r="464" ht="15.75" customHeight="1">
      <c r="A464" s="250"/>
    </row>
    <row r="465" ht="15.75" customHeight="1">
      <c r="A465" s="250"/>
    </row>
    <row r="466" ht="15.75" customHeight="1">
      <c r="A466" s="250"/>
    </row>
    <row r="467" ht="15.75" customHeight="1">
      <c r="A467" s="250"/>
    </row>
    <row r="468" ht="15.75" customHeight="1">
      <c r="A468" s="250"/>
    </row>
    <row r="469" ht="15.75" customHeight="1">
      <c r="A469" s="250"/>
    </row>
    <row r="470" ht="15.75" customHeight="1">
      <c r="A470" s="250"/>
    </row>
    <row r="471" ht="15.75" customHeight="1">
      <c r="A471" s="250"/>
    </row>
    <row r="472" ht="15.75" customHeight="1">
      <c r="A472" s="250"/>
    </row>
    <row r="473" ht="15.75" customHeight="1">
      <c r="A473" s="250"/>
    </row>
    <row r="474" ht="15.75" customHeight="1">
      <c r="A474" s="250"/>
    </row>
    <row r="475" ht="15.75" customHeight="1">
      <c r="A475" s="250"/>
    </row>
    <row r="476" ht="15.75" customHeight="1">
      <c r="A476" s="250"/>
    </row>
    <row r="477" ht="15.75" customHeight="1">
      <c r="A477" s="250"/>
    </row>
    <row r="478" ht="15.75" customHeight="1">
      <c r="A478" s="250"/>
    </row>
    <row r="479" ht="15.75" customHeight="1">
      <c r="A479" s="250"/>
    </row>
    <row r="480" ht="15.75" customHeight="1">
      <c r="A480" s="250"/>
    </row>
    <row r="481" ht="15.75" customHeight="1">
      <c r="A481" s="250"/>
    </row>
    <row r="482" ht="15.75" customHeight="1">
      <c r="A482" s="250"/>
    </row>
    <row r="483" ht="15.75" customHeight="1">
      <c r="A483" s="250"/>
    </row>
    <row r="484" ht="15.75" customHeight="1">
      <c r="A484" s="250"/>
    </row>
    <row r="485" ht="15.75" customHeight="1">
      <c r="A485" s="250"/>
    </row>
    <row r="486" ht="15.75" customHeight="1">
      <c r="A486" s="250"/>
    </row>
    <row r="487" ht="15.75" customHeight="1">
      <c r="A487" s="250"/>
    </row>
    <row r="488" ht="15.75" customHeight="1">
      <c r="A488" s="250"/>
    </row>
    <row r="489" ht="15.75" customHeight="1">
      <c r="A489" s="250"/>
    </row>
    <row r="490" ht="15.75" customHeight="1">
      <c r="A490" s="250"/>
    </row>
    <row r="491" ht="15.75" customHeight="1">
      <c r="A491" s="250"/>
    </row>
    <row r="492" ht="15.75" customHeight="1">
      <c r="A492" s="250"/>
    </row>
    <row r="493" ht="15.75" customHeight="1">
      <c r="A493" s="250"/>
    </row>
    <row r="494" ht="15.75" customHeight="1">
      <c r="A494" s="250"/>
    </row>
    <row r="495" ht="15.75" customHeight="1">
      <c r="A495" s="250"/>
    </row>
    <row r="496" ht="15.75" customHeight="1">
      <c r="A496" s="250"/>
    </row>
    <row r="497" ht="15.75" customHeight="1">
      <c r="A497" s="250"/>
    </row>
    <row r="498" ht="15.75" customHeight="1">
      <c r="A498" s="250"/>
    </row>
    <row r="499" ht="15.75" customHeight="1">
      <c r="A499" s="250"/>
    </row>
    <row r="500" ht="15.75" customHeight="1">
      <c r="A500" s="250"/>
    </row>
    <row r="501" ht="15.75" customHeight="1">
      <c r="A501" s="250"/>
    </row>
    <row r="502" ht="15.75" customHeight="1">
      <c r="A502" s="250"/>
    </row>
    <row r="503" ht="15.75" customHeight="1">
      <c r="A503" s="250"/>
    </row>
    <row r="504" ht="15.75" customHeight="1">
      <c r="A504" s="250"/>
    </row>
    <row r="505" ht="15.75" customHeight="1">
      <c r="A505" s="250"/>
    </row>
    <row r="506" ht="15.75" customHeight="1">
      <c r="A506" s="250"/>
    </row>
    <row r="507" ht="15.75" customHeight="1">
      <c r="A507" s="250"/>
    </row>
    <row r="508" ht="15.75" customHeight="1">
      <c r="A508" s="250"/>
    </row>
    <row r="509" ht="15.75" customHeight="1">
      <c r="A509" s="250"/>
    </row>
    <row r="510" ht="15.75" customHeight="1">
      <c r="A510" s="250"/>
    </row>
    <row r="511" ht="15.75" customHeight="1">
      <c r="A511" s="250"/>
    </row>
    <row r="512" ht="15.75" customHeight="1">
      <c r="A512" s="250"/>
    </row>
    <row r="513" ht="15.75" customHeight="1">
      <c r="A513" s="250"/>
    </row>
    <row r="514" ht="15.75" customHeight="1">
      <c r="A514" s="250"/>
    </row>
    <row r="515" ht="15.75" customHeight="1">
      <c r="A515" s="250"/>
    </row>
    <row r="516" ht="15.75" customHeight="1">
      <c r="A516" s="250"/>
    </row>
    <row r="517" ht="15.75" customHeight="1">
      <c r="A517" s="250"/>
    </row>
    <row r="518" ht="15.75" customHeight="1">
      <c r="A518" s="250"/>
    </row>
    <row r="519" ht="15.75" customHeight="1">
      <c r="A519" s="250"/>
    </row>
    <row r="520" ht="15.75" customHeight="1">
      <c r="A520" s="250"/>
    </row>
    <row r="521" ht="15.75" customHeight="1">
      <c r="A521" s="250"/>
    </row>
    <row r="522" ht="15.75" customHeight="1">
      <c r="A522" s="250"/>
    </row>
    <row r="523" ht="15.75" customHeight="1">
      <c r="A523" s="250"/>
    </row>
    <row r="524" ht="15.75" customHeight="1">
      <c r="A524" s="250"/>
    </row>
    <row r="525" ht="15.75" customHeight="1">
      <c r="A525" s="250"/>
    </row>
    <row r="526" ht="15.75" customHeight="1">
      <c r="A526" s="250"/>
    </row>
    <row r="527" ht="15.75" customHeight="1">
      <c r="A527" s="250"/>
    </row>
    <row r="528" ht="15.75" customHeight="1">
      <c r="A528" s="250"/>
    </row>
    <row r="529" ht="15.75" customHeight="1">
      <c r="A529" s="250"/>
    </row>
    <row r="530" ht="15.75" customHeight="1">
      <c r="A530" s="250"/>
    </row>
    <row r="531" ht="15.75" customHeight="1">
      <c r="A531" s="250"/>
    </row>
    <row r="532" ht="15.75" customHeight="1">
      <c r="A532" s="250"/>
    </row>
    <row r="533" ht="15.75" customHeight="1">
      <c r="A533" s="250"/>
    </row>
    <row r="534" ht="15.75" customHeight="1">
      <c r="A534" s="250"/>
    </row>
    <row r="535" ht="15.75" customHeight="1">
      <c r="A535" s="250"/>
    </row>
    <row r="536" ht="15.75" customHeight="1">
      <c r="A536" s="250"/>
    </row>
    <row r="537" ht="15.75" customHeight="1">
      <c r="A537" s="250"/>
    </row>
    <row r="538" ht="15.75" customHeight="1">
      <c r="A538" s="250"/>
    </row>
    <row r="539" ht="15.75" customHeight="1">
      <c r="A539" s="250"/>
    </row>
    <row r="540" ht="15.75" customHeight="1">
      <c r="A540" s="250"/>
    </row>
    <row r="541" ht="15.75" customHeight="1">
      <c r="A541" s="250"/>
    </row>
    <row r="542" ht="15.75" customHeight="1">
      <c r="A542" s="250"/>
    </row>
    <row r="543" ht="15.75" customHeight="1">
      <c r="A543" s="250"/>
    </row>
    <row r="544" ht="15.75" customHeight="1">
      <c r="A544" s="250"/>
    </row>
    <row r="545" ht="15.75" customHeight="1">
      <c r="A545" s="250"/>
    </row>
    <row r="546" ht="15.75" customHeight="1">
      <c r="A546" s="250"/>
    </row>
    <row r="547" ht="15.75" customHeight="1">
      <c r="A547" s="250"/>
    </row>
    <row r="548" ht="15.75" customHeight="1">
      <c r="A548" s="250"/>
    </row>
    <row r="549" ht="15.75" customHeight="1">
      <c r="A549" s="250"/>
    </row>
    <row r="550" ht="15.75" customHeight="1">
      <c r="A550" s="250"/>
    </row>
    <row r="551" ht="15.75" customHeight="1">
      <c r="A551" s="250"/>
    </row>
    <row r="552" ht="15.75" customHeight="1">
      <c r="A552" s="250"/>
    </row>
    <row r="553" ht="15.75" customHeight="1">
      <c r="A553" s="250"/>
    </row>
    <row r="554" ht="15.75" customHeight="1">
      <c r="A554" s="250"/>
    </row>
    <row r="555" ht="15.75" customHeight="1">
      <c r="A555" s="250"/>
    </row>
    <row r="556" ht="15.75" customHeight="1">
      <c r="A556" s="250"/>
    </row>
    <row r="557" ht="15.75" customHeight="1">
      <c r="A557" s="250"/>
    </row>
    <row r="558" ht="15.75" customHeight="1">
      <c r="A558" s="250"/>
    </row>
    <row r="559" ht="15.75" customHeight="1">
      <c r="A559" s="250"/>
    </row>
    <row r="560" ht="15.75" customHeight="1">
      <c r="A560" s="250"/>
    </row>
    <row r="561" ht="15.75" customHeight="1">
      <c r="A561" s="250"/>
    </row>
    <row r="562" ht="15.75" customHeight="1">
      <c r="A562" s="250"/>
    </row>
    <row r="563" ht="15.75" customHeight="1">
      <c r="A563" s="250"/>
    </row>
    <row r="564" ht="15.75" customHeight="1">
      <c r="A564" s="250"/>
    </row>
    <row r="565" ht="15.75" customHeight="1">
      <c r="A565" s="250"/>
    </row>
    <row r="566" ht="15.75" customHeight="1">
      <c r="A566" s="250"/>
    </row>
    <row r="567" ht="15.75" customHeight="1">
      <c r="A567" s="250"/>
    </row>
    <row r="568" ht="15.75" customHeight="1">
      <c r="A568" s="250"/>
    </row>
    <row r="569" ht="15.75" customHeight="1">
      <c r="A569" s="250"/>
    </row>
    <row r="570" ht="15.75" customHeight="1">
      <c r="A570" s="250"/>
    </row>
    <row r="571" ht="15.75" customHeight="1">
      <c r="A571" s="250"/>
    </row>
    <row r="572" ht="15.75" customHeight="1">
      <c r="A572" s="250"/>
    </row>
    <row r="573" ht="15.75" customHeight="1">
      <c r="A573" s="250"/>
    </row>
    <row r="574" ht="15.75" customHeight="1">
      <c r="A574" s="250"/>
    </row>
    <row r="575" ht="15.75" customHeight="1">
      <c r="A575" s="250"/>
    </row>
    <row r="576" ht="15.75" customHeight="1">
      <c r="A576" s="250"/>
    </row>
    <row r="577" ht="15.75" customHeight="1">
      <c r="A577" s="250"/>
    </row>
    <row r="578" ht="15.75" customHeight="1">
      <c r="A578" s="250"/>
    </row>
    <row r="579" ht="15.75" customHeight="1">
      <c r="A579" s="250"/>
    </row>
    <row r="580" ht="15.75" customHeight="1">
      <c r="A580" s="250"/>
    </row>
    <row r="581" ht="15.75" customHeight="1">
      <c r="A581" s="250"/>
    </row>
    <row r="582" ht="15.75" customHeight="1">
      <c r="A582" s="250"/>
    </row>
    <row r="583" ht="15.75" customHeight="1">
      <c r="A583" s="250"/>
    </row>
    <row r="584" ht="15.75" customHeight="1">
      <c r="A584" s="250"/>
    </row>
    <row r="585" ht="15.75" customHeight="1">
      <c r="A585" s="250"/>
    </row>
    <row r="586" ht="15.75" customHeight="1">
      <c r="A586" s="250"/>
    </row>
    <row r="587" ht="15.75" customHeight="1">
      <c r="A587" s="250"/>
    </row>
    <row r="588" ht="15.75" customHeight="1">
      <c r="A588" s="250"/>
    </row>
    <row r="589" ht="15.75" customHeight="1">
      <c r="A589" s="250"/>
    </row>
    <row r="590" ht="15.75" customHeight="1">
      <c r="A590" s="250"/>
    </row>
    <row r="591" ht="15.75" customHeight="1">
      <c r="A591" s="250"/>
    </row>
    <row r="592" ht="15.75" customHeight="1">
      <c r="A592" s="250"/>
    </row>
    <row r="593" ht="15.75" customHeight="1">
      <c r="A593" s="250"/>
    </row>
    <row r="594" ht="15.75" customHeight="1">
      <c r="A594" s="250"/>
    </row>
    <row r="595" ht="15.75" customHeight="1">
      <c r="A595" s="250"/>
    </row>
    <row r="596" ht="15.75" customHeight="1">
      <c r="A596" s="250"/>
    </row>
    <row r="597" ht="15.75" customHeight="1">
      <c r="A597" s="250"/>
    </row>
    <row r="598" ht="15.75" customHeight="1">
      <c r="A598" s="250"/>
    </row>
    <row r="599" ht="15.75" customHeight="1">
      <c r="A599" s="250"/>
    </row>
    <row r="600" ht="15.75" customHeight="1">
      <c r="A600" s="250"/>
    </row>
    <row r="601" ht="15.75" customHeight="1">
      <c r="A601" s="250"/>
    </row>
    <row r="602" ht="15.75" customHeight="1">
      <c r="A602" s="250"/>
    </row>
    <row r="603" ht="15.75" customHeight="1">
      <c r="A603" s="250"/>
    </row>
    <row r="604" ht="15.75" customHeight="1">
      <c r="A604" s="250"/>
    </row>
    <row r="605" ht="15.75" customHeight="1">
      <c r="A605" s="250"/>
    </row>
    <row r="606" ht="15.75" customHeight="1">
      <c r="A606" s="250"/>
    </row>
    <row r="607" ht="15.75" customHeight="1">
      <c r="A607" s="250"/>
    </row>
    <row r="608" ht="15.75" customHeight="1">
      <c r="A608" s="250"/>
    </row>
    <row r="609" ht="15.75" customHeight="1">
      <c r="A609" s="250"/>
    </row>
    <row r="610" ht="15.75" customHeight="1">
      <c r="A610" s="250"/>
    </row>
    <row r="611" ht="15.75" customHeight="1">
      <c r="A611" s="250"/>
    </row>
    <row r="612" ht="15.75" customHeight="1">
      <c r="A612" s="250"/>
    </row>
    <row r="613" ht="15.75" customHeight="1">
      <c r="A613" s="250"/>
    </row>
    <row r="614" ht="15.75" customHeight="1">
      <c r="A614" s="250"/>
    </row>
    <row r="615" ht="15.75" customHeight="1">
      <c r="A615" s="250"/>
    </row>
    <row r="616" ht="15.75" customHeight="1">
      <c r="A616" s="250"/>
    </row>
    <row r="617" ht="15.75" customHeight="1">
      <c r="A617" s="250"/>
    </row>
    <row r="618" ht="15.75" customHeight="1">
      <c r="A618" s="250"/>
    </row>
    <row r="619" ht="15.75" customHeight="1">
      <c r="A619" s="250"/>
    </row>
    <row r="620" ht="15.75" customHeight="1">
      <c r="A620" s="250"/>
    </row>
    <row r="621" ht="15.75" customHeight="1">
      <c r="A621" s="250"/>
    </row>
    <row r="622" ht="15.75" customHeight="1">
      <c r="A622" s="250"/>
    </row>
    <row r="623" ht="15.75" customHeight="1">
      <c r="A623" s="250"/>
    </row>
    <row r="624" ht="15.75" customHeight="1">
      <c r="A624" s="250"/>
    </row>
    <row r="625" ht="15.75" customHeight="1">
      <c r="A625" s="250"/>
    </row>
    <row r="626" ht="15.75" customHeight="1">
      <c r="A626" s="250"/>
    </row>
    <row r="627" ht="15.75" customHeight="1">
      <c r="A627" s="250"/>
    </row>
    <row r="628" ht="15.75" customHeight="1">
      <c r="A628" s="250"/>
    </row>
    <row r="629" ht="15.75" customHeight="1">
      <c r="A629" s="250"/>
    </row>
    <row r="630" ht="15.75" customHeight="1">
      <c r="A630" s="250"/>
    </row>
    <row r="631" ht="15.75" customHeight="1">
      <c r="A631" s="250"/>
    </row>
    <row r="632" ht="15.75" customHeight="1">
      <c r="A632" s="250"/>
    </row>
    <row r="633" ht="15.75" customHeight="1">
      <c r="A633" s="250"/>
    </row>
    <row r="634" ht="15.75" customHeight="1">
      <c r="A634" s="250"/>
    </row>
    <row r="635" ht="15.75" customHeight="1">
      <c r="A635" s="250"/>
    </row>
    <row r="636" ht="15.75" customHeight="1">
      <c r="A636" s="250"/>
    </row>
    <row r="637" ht="15.75" customHeight="1">
      <c r="A637" s="250"/>
    </row>
    <row r="638" ht="15.75" customHeight="1">
      <c r="A638" s="250"/>
    </row>
    <row r="639" ht="15.75" customHeight="1">
      <c r="A639" s="250"/>
    </row>
    <row r="640" ht="15.75" customHeight="1">
      <c r="A640" s="250"/>
    </row>
    <row r="641" ht="15.75" customHeight="1">
      <c r="A641" s="250"/>
    </row>
    <row r="642" ht="15.75" customHeight="1">
      <c r="A642" s="250"/>
    </row>
    <row r="643" ht="15.75" customHeight="1">
      <c r="A643" s="250"/>
    </row>
    <row r="644" ht="15.75" customHeight="1">
      <c r="A644" s="250"/>
    </row>
    <row r="645" ht="15.75" customHeight="1">
      <c r="A645" s="250"/>
    </row>
    <row r="646" ht="15.75" customHeight="1">
      <c r="A646" s="250"/>
    </row>
    <row r="647" ht="15.75" customHeight="1">
      <c r="A647" s="250"/>
    </row>
    <row r="648" ht="15.75" customHeight="1">
      <c r="A648" s="250"/>
    </row>
    <row r="649" ht="15.75" customHeight="1">
      <c r="A649" s="250"/>
    </row>
    <row r="650" ht="15.75" customHeight="1">
      <c r="A650" s="250"/>
    </row>
    <row r="651" ht="15.75" customHeight="1">
      <c r="A651" s="250"/>
    </row>
    <row r="652" ht="15.75" customHeight="1">
      <c r="A652" s="250"/>
    </row>
    <row r="653" ht="15.75" customHeight="1">
      <c r="A653" s="250"/>
    </row>
    <row r="654" ht="15.75" customHeight="1">
      <c r="A654" s="250"/>
    </row>
    <row r="655" ht="15.75" customHeight="1">
      <c r="A655" s="250"/>
    </row>
    <row r="656" ht="15.75" customHeight="1">
      <c r="A656" s="250"/>
    </row>
    <row r="657" ht="15.75" customHeight="1">
      <c r="A657" s="250"/>
    </row>
    <row r="658" ht="15.75" customHeight="1">
      <c r="A658" s="250"/>
    </row>
    <row r="659" ht="15.75" customHeight="1">
      <c r="A659" s="250"/>
    </row>
    <row r="660" ht="15.75" customHeight="1">
      <c r="A660" s="250"/>
    </row>
    <row r="661" ht="15.75" customHeight="1">
      <c r="A661" s="250"/>
    </row>
    <row r="662" ht="15.75" customHeight="1">
      <c r="A662" s="250"/>
    </row>
    <row r="663" ht="15.75" customHeight="1">
      <c r="A663" s="250"/>
    </row>
    <row r="664" ht="15.75" customHeight="1">
      <c r="A664" s="250"/>
    </row>
    <row r="665" ht="15.75" customHeight="1">
      <c r="A665" s="250"/>
    </row>
    <row r="666" ht="15.75" customHeight="1">
      <c r="A666" s="250"/>
    </row>
    <row r="667" ht="15.75" customHeight="1">
      <c r="A667" s="250"/>
    </row>
    <row r="668" ht="15.75" customHeight="1">
      <c r="A668" s="250"/>
    </row>
    <row r="669" ht="15.75" customHeight="1">
      <c r="A669" s="250"/>
    </row>
    <row r="670" ht="15.75" customHeight="1">
      <c r="A670" s="250"/>
    </row>
    <row r="671" ht="15.75" customHeight="1">
      <c r="A671" s="250"/>
    </row>
    <row r="672" ht="15.75" customHeight="1">
      <c r="A672" s="250"/>
    </row>
    <row r="673" ht="15.75" customHeight="1">
      <c r="A673" s="250"/>
    </row>
    <row r="674" ht="15.75" customHeight="1">
      <c r="A674" s="250"/>
    </row>
    <row r="675" ht="15.75" customHeight="1">
      <c r="A675" s="250"/>
    </row>
    <row r="676" ht="15.75" customHeight="1">
      <c r="A676" s="250"/>
    </row>
    <row r="677" ht="15.75" customHeight="1">
      <c r="A677" s="250"/>
    </row>
    <row r="678" ht="15.75" customHeight="1">
      <c r="A678" s="250"/>
    </row>
    <row r="679" ht="15.75" customHeight="1">
      <c r="A679" s="250"/>
    </row>
    <row r="680" ht="15.75" customHeight="1">
      <c r="A680" s="250"/>
    </row>
    <row r="681" ht="15.75" customHeight="1">
      <c r="A681" s="250"/>
    </row>
    <row r="682" ht="15.75" customHeight="1">
      <c r="A682" s="250"/>
    </row>
    <row r="683" ht="15.75" customHeight="1">
      <c r="A683" s="250"/>
    </row>
    <row r="684" ht="15.75" customHeight="1">
      <c r="A684" s="250"/>
    </row>
    <row r="685" ht="15.75" customHeight="1">
      <c r="A685" s="250"/>
    </row>
    <row r="686" ht="15.75" customHeight="1">
      <c r="A686" s="250"/>
    </row>
    <row r="687" ht="15.75" customHeight="1">
      <c r="A687" s="250"/>
    </row>
    <row r="688" ht="15.75" customHeight="1">
      <c r="A688" s="250"/>
    </row>
    <row r="689" ht="15.75" customHeight="1">
      <c r="A689" s="250"/>
    </row>
    <row r="690" ht="15.75" customHeight="1">
      <c r="A690" s="250"/>
    </row>
    <row r="691" ht="15.75" customHeight="1">
      <c r="A691" s="250"/>
    </row>
    <row r="692" ht="15.75" customHeight="1">
      <c r="A692" s="250"/>
    </row>
    <row r="693" ht="15.75" customHeight="1">
      <c r="A693" s="250"/>
    </row>
    <row r="694" ht="15.75" customHeight="1">
      <c r="A694" s="250"/>
    </row>
    <row r="695" ht="15.75" customHeight="1">
      <c r="A695" s="250"/>
    </row>
    <row r="696" ht="15.75" customHeight="1">
      <c r="A696" s="250"/>
    </row>
    <row r="697" ht="15.75" customHeight="1">
      <c r="A697" s="250"/>
    </row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4.43" defaultRowHeight="15.0"/>
  <cols>
    <col customWidth="1" min="2" max="5" width="26.43"/>
  </cols>
  <sheetData>
    <row r="1">
      <c r="A1" s="247" t="s">
        <v>407</v>
      </c>
      <c r="B1" s="247" t="s">
        <v>408</v>
      </c>
      <c r="C1" s="247" t="s">
        <v>409</v>
      </c>
      <c r="D1" s="247" t="s">
        <v>410</v>
      </c>
      <c r="E1" s="247" t="s">
        <v>411</v>
      </c>
    </row>
    <row r="2">
      <c r="A2" s="153">
        <v>1.0</v>
      </c>
      <c r="B2" s="153">
        <v>2.8</v>
      </c>
      <c r="C2" s="153">
        <v>47171.0</v>
      </c>
      <c r="D2" s="153">
        <v>97.32</v>
      </c>
      <c r="E2" s="153">
        <v>1.0</v>
      </c>
    </row>
    <row r="3">
      <c r="A3" s="153">
        <v>2.0</v>
      </c>
      <c r="B3" s="153">
        <v>3.08</v>
      </c>
      <c r="C3" s="153">
        <v>46329.0</v>
      </c>
      <c r="D3" s="153">
        <v>95.59</v>
      </c>
      <c r="E3" s="153">
        <v>1.0</v>
      </c>
    </row>
    <row r="4">
      <c r="A4" s="153">
        <v>3.0</v>
      </c>
      <c r="B4" s="153">
        <v>5.0</v>
      </c>
      <c r="C4" s="153">
        <v>43037.0</v>
      </c>
      <c r="D4" s="153">
        <v>88.79</v>
      </c>
      <c r="E4" s="153">
        <v>3.0</v>
      </c>
    </row>
    <row r="5">
      <c r="A5" s="153">
        <v>4.0</v>
      </c>
      <c r="B5" s="153">
        <v>5.46</v>
      </c>
      <c r="C5" s="153">
        <v>42333.0</v>
      </c>
      <c r="D5" s="153">
        <v>87.34</v>
      </c>
      <c r="E5" s="153">
        <v>4.0</v>
      </c>
    </row>
    <row r="6">
      <c r="A6" s="153">
        <v>5.0</v>
      </c>
      <c r="B6" s="153">
        <v>6.38</v>
      </c>
      <c r="C6" s="153">
        <v>41077.0</v>
      </c>
      <c r="D6" s="153">
        <v>84.75</v>
      </c>
      <c r="E6" s="153">
        <v>5.0</v>
      </c>
    </row>
    <row r="7">
      <c r="A7" s="153">
        <v>6.0</v>
      </c>
      <c r="B7" s="153">
        <v>9.23</v>
      </c>
      <c r="C7" s="153">
        <v>37508.0</v>
      </c>
      <c r="D7" s="153">
        <v>77.39</v>
      </c>
      <c r="E7" s="153">
        <v>8.0</v>
      </c>
    </row>
    <row r="8">
      <c r="A8" s="153">
        <v>7.0</v>
      </c>
      <c r="B8" s="153">
        <v>10.15</v>
      </c>
      <c r="C8" s="153">
        <v>36624.0</v>
      </c>
      <c r="D8" s="153">
        <v>75.56</v>
      </c>
      <c r="E8" s="153">
        <v>9.0</v>
      </c>
    </row>
    <row r="9">
      <c r="A9" s="153">
        <v>8.0</v>
      </c>
      <c r="B9" s="153">
        <v>11.93</v>
      </c>
      <c r="C9" s="153">
        <v>34915.0</v>
      </c>
      <c r="D9" s="153">
        <v>72.04</v>
      </c>
      <c r="E9" s="153">
        <v>10.0</v>
      </c>
    </row>
    <row r="10">
      <c r="A10" s="153">
        <v>9.0</v>
      </c>
      <c r="B10" s="153">
        <v>17.71</v>
      </c>
      <c r="C10" s="153">
        <v>30039.0</v>
      </c>
      <c r="D10" s="153">
        <v>61.98</v>
      </c>
      <c r="E10" s="153">
        <v>16.0</v>
      </c>
    </row>
    <row r="11">
      <c r="A11" s="153">
        <v>10.0</v>
      </c>
      <c r="B11" s="153">
        <v>19.63</v>
      </c>
      <c r="C11" s="153">
        <v>28717.0</v>
      </c>
      <c r="D11" s="153">
        <v>59.25</v>
      </c>
      <c r="E11" s="153">
        <v>18.0</v>
      </c>
    </row>
    <row r="12">
      <c r="A12" s="153">
        <v>11.0</v>
      </c>
      <c r="B12" s="153">
        <v>23.46</v>
      </c>
      <c r="C12" s="153">
        <v>26282.0</v>
      </c>
      <c r="D12" s="153">
        <v>54.23</v>
      </c>
      <c r="E12" s="153">
        <v>22.0</v>
      </c>
    </row>
    <row r="13">
      <c r="A13" s="153">
        <v>12.0</v>
      </c>
      <c r="B13" s="153">
        <v>34.68</v>
      </c>
      <c r="C13" s="153">
        <v>20746.0</v>
      </c>
      <c r="D13" s="153">
        <v>42.8</v>
      </c>
      <c r="E13" s="153">
        <v>34.0</v>
      </c>
    </row>
    <row r="14">
      <c r="A14" s="153">
        <v>13.0</v>
      </c>
      <c r="B14" s="153">
        <v>38.41</v>
      </c>
      <c r="C14" s="153">
        <v>19290.0</v>
      </c>
      <c r="D14" s="153">
        <v>39.8</v>
      </c>
      <c r="E14" s="153">
        <v>37.0</v>
      </c>
    </row>
    <row r="15">
      <c r="A15" s="153">
        <v>14.0</v>
      </c>
      <c r="B15" s="153">
        <v>45.88</v>
      </c>
      <c r="C15" s="153">
        <v>16925.0</v>
      </c>
      <c r="D15" s="153">
        <v>34.92</v>
      </c>
      <c r="E15" s="153">
        <v>45.0</v>
      </c>
    </row>
    <row r="16">
      <c r="A16" s="153">
        <v>15.0</v>
      </c>
      <c r="B16" s="153">
        <v>66.52</v>
      </c>
      <c r="C16" s="153">
        <v>11543.0</v>
      </c>
      <c r="D16" s="153">
        <v>23.82</v>
      </c>
      <c r="E16" s="153">
        <v>68.0</v>
      </c>
    </row>
    <row r="17">
      <c r="A17" s="153">
        <v>16.0</v>
      </c>
      <c r="B17" s="153">
        <v>71.34</v>
      </c>
      <c r="C17" s="153">
        <v>10621.0</v>
      </c>
      <c r="D17" s="153">
        <v>21.91</v>
      </c>
      <c r="E17" s="153">
        <v>74.0</v>
      </c>
    </row>
    <row r="18">
      <c r="A18" s="153">
        <v>17.0</v>
      </c>
      <c r="B18" s="153">
        <v>80.47</v>
      </c>
      <c r="C18" s="153">
        <v>9082.0</v>
      </c>
      <c r="D18" s="153">
        <v>18.74</v>
      </c>
      <c r="E18" s="153">
        <v>85.0</v>
      </c>
    </row>
    <row r="19">
      <c r="A19" s="153">
        <v>18.0</v>
      </c>
      <c r="B19" s="153">
        <v>106.72</v>
      </c>
      <c r="C19" s="153">
        <v>5961.0</v>
      </c>
      <c r="D19" s="153">
        <v>12.3</v>
      </c>
      <c r="E19" s="153">
        <v>119.0</v>
      </c>
    </row>
    <row r="20">
      <c r="A20" s="153">
        <v>19.0</v>
      </c>
      <c r="B20" s="153">
        <v>111.66</v>
      </c>
      <c r="C20" s="153">
        <v>5471.0</v>
      </c>
      <c r="D20" s="153">
        <v>11.29</v>
      </c>
      <c r="E20" s="153">
        <v>125.0</v>
      </c>
    </row>
    <row r="21">
      <c r="A21" s="153">
        <v>20.0</v>
      </c>
      <c r="B21" s="153">
        <v>121.7</v>
      </c>
      <c r="C21" s="153">
        <v>4702.0</v>
      </c>
      <c r="D21" s="153">
        <v>9.7</v>
      </c>
      <c r="E21" s="153">
        <v>139.0</v>
      </c>
    </row>
    <row r="22">
      <c r="A22" s="153">
        <v>21.0</v>
      </c>
      <c r="B22" s="153">
        <v>146.99</v>
      </c>
      <c r="C22" s="153">
        <v>3106.0</v>
      </c>
      <c r="D22" s="153">
        <v>6.41</v>
      </c>
      <c r="E22" s="153">
        <v>176.0</v>
      </c>
    </row>
    <row r="23">
      <c r="A23" s="153">
        <v>22.0</v>
      </c>
      <c r="B23" s="153">
        <v>153.49</v>
      </c>
      <c r="C23" s="153">
        <v>2794.0</v>
      </c>
      <c r="D23" s="153">
        <v>5.76</v>
      </c>
      <c r="E23" s="153">
        <v>186.0</v>
      </c>
    </row>
    <row r="24">
      <c r="A24" s="153">
        <v>23.0</v>
      </c>
      <c r="B24" s="153">
        <v>163.69</v>
      </c>
      <c r="C24" s="153">
        <v>2391.0</v>
      </c>
      <c r="D24" s="153">
        <v>4.93</v>
      </c>
      <c r="E24" s="153">
        <v>202.0</v>
      </c>
    </row>
    <row r="25">
      <c r="A25" s="153">
        <v>24.0</v>
      </c>
      <c r="B25" s="153">
        <v>195.84</v>
      </c>
      <c r="C25" s="153">
        <v>1450.0</v>
      </c>
      <c r="D25" s="153">
        <v>2.99</v>
      </c>
      <c r="E25" s="153">
        <v>255.0</v>
      </c>
    </row>
    <row r="26">
      <c r="A26" s="153">
        <v>25.0</v>
      </c>
      <c r="B26" s="153">
        <v>203.74</v>
      </c>
      <c r="C26" s="153">
        <v>1292.0</v>
      </c>
      <c r="D26" s="153">
        <v>2.67</v>
      </c>
      <c r="E26" s="153">
        <v>268.0</v>
      </c>
    </row>
    <row r="27">
      <c r="A27" s="153">
        <v>26.0</v>
      </c>
      <c r="B27" s="153">
        <v>216.66</v>
      </c>
      <c r="C27" s="153">
        <v>1072.0</v>
      </c>
      <c r="D27" s="153">
        <v>2.21</v>
      </c>
      <c r="E27" s="153">
        <v>290.0</v>
      </c>
    </row>
    <row r="28">
      <c r="A28" s="153">
        <v>27.0</v>
      </c>
      <c r="B28" s="153">
        <v>245.04</v>
      </c>
      <c r="C28" s="153">
        <v>612.0</v>
      </c>
      <c r="D28" s="153">
        <v>1.26</v>
      </c>
      <c r="E28" s="153">
        <v>345.0</v>
      </c>
    </row>
    <row r="29">
      <c r="A29" s="153">
        <v>28.0</v>
      </c>
      <c r="B29" s="153">
        <v>261.15</v>
      </c>
      <c r="C29" s="153">
        <v>470.0</v>
      </c>
      <c r="D29" s="153">
        <v>0.97</v>
      </c>
      <c r="E29" s="153">
        <v>367.0</v>
      </c>
    </row>
    <row r="30">
      <c r="A30" s="153">
        <v>29.0</v>
      </c>
      <c r="B30" s="153">
        <v>290.31</v>
      </c>
      <c r="C30" s="153">
        <v>290.0</v>
      </c>
      <c r="D30" s="153">
        <v>0.6</v>
      </c>
      <c r="E30" s="153">
        <v>407.0</v>
      </c>
    </row>
    <row r="31">
      <c r="A31" s="153">
        <v>30.0</v>
      </c>
      <c r="B31" s="153">
        <v>298.1</v>
      </c>
      <c r="C31" s="153">
        <v>113.0</v>
      </c>
      <c r="D31" s="153">
        <v>0.23</v>
      </c>
      <c r="E31" s="153">
        <v>60.0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53" t="s">
        <v>285</v>
      </c>
      <c r="B1" s="153" t="s">
        <v>412</v>
      </c>
      <c r="C1" s="153" t="s">
        <v>286</v>
      </c>
      <c r="D1" s="153" t="s">
        <v>413</v>
      </c>
      <c r="E1" s="153" t="s">
        <v>414</v>
      </c>
      <c r="F1" s="153" t="s">
        <v>415</v>
      </c>
      <c r="G1" s="153" t="s">
        <v>416</v>
      </c>
      <c r="H1" s="153" t="s">
        <v>417</v>
      </c>
      <c r="I1" s="153" t="s">
        <v>418</v>
      </c>
      <c r="J1" s="153" t="s">
        <v>419</v>
      </c>
      <c r="K1" s="153" t="s">
        <v>420</v>
      </c>
      <c r="L1" s="153" t="s">
        <v>421</v>
      </c>
      <c r="M1" s="153" t="s">
        <v>422</v>
      </c>
    </row>
    <row r="2">
      <c r="A2" s="250">
        <v>46240.0</v>
      </c>
      <c r="B2" s="153" t="s">
        <v>423</v>
      </c>
      <c r="C2" s="153" t="s">
        <v>5</v>
      </c>
      <c r="D2" s="153" t="s">
        <v>424</v>
      </c>
      <c r="E2" s="153" t="s">
        <v>425</v>
      </c>
      <c r="F2" s="153" t="s">
        <v>426</v>
      </c>
      <c r="G2" s="153">
        <v>7885.0</v>
      </c>
      <c r="H2" s="153">
        <v>331.0</v>
      </c>
      <c r="I2" s="153">
        <v>4.2</v>
      </c>
      <c r="J2" s="153">
        <v>33925.66</v>
      </c>
      <c r="K2" s="153">
        <v>4.3026</v>
      </c>
      <c r="L2" s="153">
        <v>102.4944</v>
      </c>
      <c r="M2" s="153">
        <v>1057630.0</v>
      </c>
    </row>
    <row r="3">
      <c r="A3" s="250">
        <v>46240.0</v>
      </c>
      <c r="B3" s="153" t="s">
        <v>423</v>
      </c>
      <c r="C3" s="153" t="s">
        <v>5</v>
      </c>
      <c r="D3" s="153" t="s">
        <v>427</v>
      </c>
      <c r="E3" s="153" t="s">
        <v>428</v>
      </c>
      <c r="F3" s="153" t="s">
        <v>429</v>
      </c>
      <c r="G3" s="153">
        <v>7885.0</v>
      </c>
      <c r="H3" s="153">
        <v>461.0</v>
      </c>
      <c r="I3" s="153">
        <v>5.85</v>
      </c>
      <c r="J3" s="153">
        <v>120339.67</v>
      </c>
      <c r="K3" s="153">
        <v>15.2618</v>
      </c>
      <c r="L3" s="153">
        <v>261.0405</v>
      </c>
      <c r="M3" s="153">
        <v>124870.0</v>
      </c>
    </row>
    <row r="4">
      <c r="A4" s="250">
        <v>46240.0</v>
      </c>
      <c r="B4" s="153" t="s">
        <v>423</v>
      </c>
      <c r="C4" s="153" t="s">
        <v>5</v>
      </c>
      <c r="D4" s="153" t="s">
        <v>430</v>
      </c>
      <c r="E4" s="153" t="s">
        <v>431</v>
      </c>
      <c r="F4" s="153" t="s">
        <v>429</v>
      </c>
      <c r="G4" s="153">
        <v>7885.0</v>
      </c>
      <c r="H4" s="153">
        <v>129.0</v>
      </c>
      <c r="I4" s="153">
        <v>1.64</v>
      </c>
      <c r="J4" s="153">
        <v>6364.0</v>
      </c>
      <c r="K4" s="153">
        <v>0.8071</v>
      </c>
      <c r="L4" s="153">
        <v>49.3333</v>
      </c>
      <c r="M4" s="153">
        <v>6364.0</v>
      </c>
    </row>
    <row r="5">
      <c r="A5" s="250">
        <v>46240.0</v>
      </c>
      <c r="B5" s="153" t="s">
        <v>423</v>
      </c>
      <c r="C5" s="153" t="s">
        <v>5</v>
      </c>
      <c r="D5" s="153" t="s">
        <v>430</v>
      </c>
      <c r="E5" s="153" t="s">
        <v>432</v>
      </c>
      <c r="F5" s="153" t="s">
        <v>429</v>
      </c>
      <c r="G5" s="153">
        <v>7885.0</v>
      </c>
      <c r="H5" s="153">
        <v>176.0</v>
      </c>
      <c r="I5" s="153">
        <v>2.23</v>
      </c>
      <c r="J5" s="153">
        <v>6458.0</v>
      </c>
      <c r="K5" s="153">
        <v>0.819</v>
      </c>
      <c r="L5" s="153">
        <v>36.6932</v>
      </c>
      <c r="M5" s="153">
        <v>6458.0</v>
      </c>
    </row>
    <row r="6">
      <c r="A6" s="250">
        <v>46240.0</v>
      </c>
      <c r="B6" s="153" t="s">
        <v>423</v>
      </c>
      <c r="C6" s="153" t="s">
        <v>5</v>
      </c>
      <c r="D6" s="153" t="s">
        <v>430</v>
      </c>
      <c r="E6" s="153" t="s">
        <v>433</v>
      </c>
      <c r="F6" s="153" t="s">
        <v>429</v>
      </c>
      <c r="G6" s="153">
        <v>7885.0</v>
      </c>
      <c r="H6" s="153">
        <v>266.0</v>
      </c>
      <c r="I6" s="153">
        <v>3.37</v>
      </c>
      <c r="J6" s="153">
        <v>6517.0</v>
      </c>
      <c r="K6" s="153">
        <v>0.8265</v>
      </c>
      <c r="L6" s="153">
        <v>24.5</v>
      </c>
      <c r="M6" s="153">
        <v>6517.0</v>
      </c>
    </row>
    <row r="7">
      <c r="A7" s="250">
        <v>46240.0</v>
      </c>
      <c r="B7" s="153" t="s">
        <v>423</v>
      </c>
      <c r="C7" s="153" t="s">
        <v>5</v>
      </c>
      <c r="D7" s="153" t="s">
        <v>434</v>
      </c>
      <c r="E7" s="153" t="s">
        <v>435</v>
      </c>
      <c r="F7" s="153" t="s">
        <v>429</v>
      </c>
      <c r="G7" s="153">
        <v>7885.0</v>
      </c>
      <c r="H7" s="153">
        <v>189.0</v>
      </c>
      <c r="I7" s="153">
        <v>2.4</v>
      </c>
      <c r="J7" s="153">
        <v>380.0</v>
      </c>
      <c r="K7" s="153">
        <v>0.0482</v>
      </c>
      <c r="L7" s="153">
        <v>2.0106</v>
      </c>
      <c r="M7" s="153">
        <v>380.0</v>
      </c>
    </row>
    <row r="8">
      <c r="A8" s="250">
        <v>46240.0</v>
      </c>
      <c r="B8" s="153" t="s">
        <v>423</v>
      </c>
      <c r="C8" s="153" t="s">
        <v>5</v>
      </c>
      <c r="D8" s="153" t="s">
        <v>434</v>
      </c>
      <c r="E8" s="153" t="s">
        <v>436</v>
      </c>
      <c r="F8" s="153" t="s">
        <v>429</v>
      </c>
      <c r="G8" s="153">
        <v>7885.0</v>
      </c>
      <c r="H8" s="153">
        <v>161.0</v>
      </c>
      <c r="I8" s="153">
        <v>2.04</v>
      </c>
      <c r="J8" s="153">
        <v>317.0</v>
      </c>
      <c r="K8" s="153">
        <v>0.0402</v>
      </c>
      <c r="L8" s="153">
        <v>1.9689</v>
      </c>
      <c r="M8" s="153">
        <v>317.0</v>
      </c>
    </row>
    <row r="9">
      <c r="A9" s="250">
        <v>46240.0</v>
      </c>
      <c r="B9" s="153" t="s">
        <v>423</v>
      </c>
      <c r="C9" s="153" t="s">
        <v>5</v>
      </c>
      <c r="D9" s="153" t="s">
        <v>434</v>
      </c>
      <c r="E9" s="153" t="s">
        <v>437</v>
      </c>
      <c r="F9" s="153" t="s">
        <v>429</v>
      </c>
      <c r="G9" s="153">
        <v>7885.0</v>
      </c>
      <c r="H9" s="153">
        <v>187.0</v>
      </c>
      <c r="I9" s="153">
        <v>2.37</v>
      </c>
      <c r="J9" s="153">
        <v>376.0</v>
      </c>
      <c r="K9" s="153">
        <v>0.0477</v>
      </c>
      <c r="L9" s="153">
        <v>2.0107</v>
      </c>
      <c r="M9" s="153">
        <v>376.0</v>
      </c>
    </row>
    <row r="10">
      <c r="A10" s="250">
        <v>46240.0</v>
      </c>
      <c r="B10" s="153" t="s">
        <v>423</v>
      </c>
      <c r="C10" s="153" t="s">
        <v>5</v>
      </c>
      <c r="D10" s="153" t="s">
        <v>438</v>
      </c>
      <c r="E10" s="153" t="s">
        <v>439</v>
      </c>
      <c r="F10" s="153" t="s">
        <v>440</v>
      </c>
      <c r="G10" s="153">
        <v>7885.0</v>
      </c>
      <c r="H10" s="153">
        <v>156.0</v>
      </c>
      <c r="I10" s="153">
        <v>1.98</v>
      </c>
      <c r="J10" s="153">
        <v>3390.0</v>
      </c>
      <c r="K10" s="153">
        <v>0.4299</v>
      </c>
      <c r="L10" s="153">
        <v>21.7308</v>
      </c>
      <c r="M10" s="153">
        <v>3390.0</v>
      </c>
    </row>
    <row r="11">
      <c r="A11" s="250">
        <v>46240.0</v>
      </c>
      <c r="B11" s="153" t="s">
        <v>423</v>
      </c>
      <c r="C11" s="153" t="s">
        <v>5</v>
      </c>
      <c r="D11" s="153" t="s">
        <v>441</v>
      </c>
      <c r="E11" s="153" t="s">
        <v>442</v>
      </c>
      <c r="F11" s="153" t="s">
        <v>440</v>
      </c>
      <c r="G11" s="153">
        <v>7885.0</v>
      </c>
      <c r="H11" s="153">
        <v>13.0</v>
      </c>
      <c r="I11" s="153">
        <v>0.16</v>
      </c>
      <c r="J11" s="153">
        <v>190.0</v>
      </c>
      <c r="K11" s="153">
        <v>0.0241</v>
      </c>
      <c r="L11" s="153">
        <v>14.6154</v>
      </c>
      <c r="M11" s="153">
        <v>190.0</v>
      </c>
    </row>
    <row r="12">
      <c r="A12" s="250">
        <v>46240.0</v>
      </c>
      <c r="B12" s="153" t="s">
        <v>423</v>
      </c>
      <c r="C12" s="153" t="s">
        <v>5</v>
      </c>
      <c r="D12" s="153" t="s">
        <v>441</v>
      </c>
      <c r="E12" s="153" t="s">
        <v>443</v>
      </c>
      <c r="F12" s="153" t="s">
        <v>440</v>
      </c>
      <c r="G12" s="153">
        <v>7885.0</v>
      </c>
      <c r="H12" s="153">
        <v>134.0</v>
      </c>
      <c r="I12" s="153">
        <v>1.7</v>
      </c>
      <c r="J12" s="153">
        <v>1580.0</v>
      </c>
      <c r="K12" s="153">
        <v>0.2004</v>
      </c>
      <c r="L12" s="153">
        <v>11.791</v>
      </c>
      <c r="M12" s="153">
        <v>1580.0</v>
      </c>
    </row>
    <row r="13">
      <c r="A13" s="250">
        <v>46240.0</v>
      </c>
      <c r="B13" s="153" t="s">
        <v>423</v>
      </c>
      <c r="C13" s="153" t="s">
        <v>5</v>
      </c>
      <c r="D13" s="153" t="s">
        <v>444</v>
      </c>
      <c r="E13" s="153" t="s">
        <v>445</v>
      </c>
      <c r="F13" s="153" t="s">
        <v>440</v>
      </c>
      <c r="G13" s="153">
        <v>7885.0</v>
      </c>
      <c r="H13" s="153">
        <v>178.0</v>
      </c>
      <c r="I13" s="153">
        <v>2.26</v>
      </c>
      <c r="J13" s="153">
        <v>9975.0</v>
      </c>
      <c r="K13" s="153">
        <v>1.2651</v>
      </c>
      <c r="L13" s="153">
        <v>56.0393</v>
      </c>
      <c r="M13" s="153">
        <v>9975.0</v>
      </c>
    </row>
    <row r="14">
      <c r="A14" s="250">
        <v>46240.0</v>
      </c>
      <c r="B14" s="153" t="s">
        <v>133</v>
      </c>
      <c r="C14" s="153" t="s">
        <v>4</v>
      </c>
      <c r="D14" s="153" t="s">
        <v>427</v>
      </c>
      <c r="E14" s="153" t="s">
        <v>428</v>
      </c>
      <c r="F14" s="153" t="s">
        <v>429</v>
      </c>
      <c r="G14" s="153">
        <v>10919.0</v>
      </c>
      <c r="H14" s="153">
        <v>1.0</v>
      </c>
      <c r="I14" s="153">
        <v>0.01</v>
      </c>
      <c r="J14" s="153">
        <v>50.0</v>
      </c>
      <c r="K14" s="153">
        <v>0.0046</v>
      </c>
      <c r="L14" s="153">
        <v>50.0</v>
      </c>
      <c r="M14" s="153">
        <v>50.0</v>
      </c>
    </row>
    <row r="15">
      <c r="A15" s="250">
        <v>46240.0</v>
      </c>
      <c r="B15" s="153" t="s">
        <v>133</v>
      </c>
      <c r="C15" s="153" t="s">
        <v>4</v>
      </c>
      <c r="D15" s="153" t="s">
        <v>430</v>
      </c>
      <c r="E15" s="153" t="s">
        <v>433</v>
      </c>
      <c r="F15" s="153" t="s">
        <v>429</v>
      </c>
      <c r="G15" s="153">
        <v>10919.0</v>
      </c>
      <c r="H15" s="153">
        <v>1.0</v>
      </c>
      <c r="I15" s="153">
        <v>0.01</v>
      </c>
      <c r="J15" s="153">
        <v>1.0</v>
      </c>
      <c r="K15" s="153">
        <v>1.0E-4</v>
      </c>
      <c r="L15" s="153">
        <v>1.0</v>
      </c>
      <c r="M15" s="153">
        <v>1.0</v>
      </c>
    </row>
    <row r="16">
      <c r="A16" s="250">
        <v>46240.0</v>
      </c>
      <c r="B16" s="153" t="s">
        <v>133</v>
      </c>
      <c r="C16" s="153" t="s">
        <v>5</v>
      </c>
      <c r="D16" s="153" t="s">
        <v>424</v>
      </c>
      <c r="E16" s="153" t="s">
        <v>425</v>
      </c>
      <c r="F16" s="153" t="s">
        <v>426</v>
      </c>
      <c r="G16" s="153">
        <v>11144.0</v>
      </c>
      <c r="H16" s="153">
        <v>1787.0</v>
      </c>
      <c r="I16" s="153">
        <v>16.04</v>
      </c>
      <c r="J16" s="153">
        <v>26508.0</v>
      </c>
      <c r="K16" s="153">
        <v>2.3787</v>
      </c>
      <c r="L16" s="153">
        <v>14.8338</v>
      </c>
      <c r="M16" s="153">
        <v>29790.0</v>
      </c>
    </row>
    <row r="17">
      <c r="A17" s="250">
        <v>46240.0</v>
      </c>
      <c r="B17" s="153" t="s">
        <v>133</v>
      </c>
      <c r="C17" s="153" t="s">
        <v>5</v>
      </c>
      <c r="D17" s="153" t="s">
        <v>427</v>
      </c>
      <c r="E17" s="153" t="s">
        <v>428</v>
      </c>
      <c r="F17" s="153" t="s">
        <v>429</v>
      </c>
      <c r="G17" s="153">
        <v>11144.0</v>
      </c>
      <c r="H17" s="153">
        <v>1955.0</v>
      </c>
      <c r="I17" s="153">
        <v>17.54</v>
      </c>
      <c r="J17" s="153">
        <v>86845.62</v>
      </c>
      <c r="K17" s="153">
        <v>7.793</v>
      </c>
      <c r="L17" s="153">
        <v>44.4223</v>
      </c>
      <c r="M17" s="153">
        <v>90775.0</v>
      </c>
    </row>
    <row r="18">
      <c r="A18" s="250">
        <v>46240.0</v>
      </c>
      <c r="B18" s="153" t="s">
        <v>133</v>
      </c>
      <c r="C18" s="153" t="s">
        <v>5</v>
      </c>
      <c r="D18" s="153" t="s">
        <v>430</v>
      </c>
      <c r="E18" s="153" t="s">
        <v>431</v>
      </c>
      <c r="F18" s="153" t="s">
        <v>429</v>
      </c>
      <c r="G18" s="153">
        <v>11144.0</v>
      </c>
      <c r="H18" s="153">
        <v>323.0</v>
      </c>
      <c r="I18" s="153">
        <v>2.9</v>
      </c>
      <c r="J18" s="153">
        <v>342.0</v>
      </c>
      <c r="K18" s="153">
        <v>0.0307</v>
      </c>
      <c r="L18" s="153">
        <v>1.0588</v>
      </c>
      <c r="M18" s="153">
        <v>342.0</v>
      </c>
    </row>
    <row r="19">
      <c r="A19" s="250">
        <v>46240.0</v>
      </c>
      <c r="B19" s="153" t="s">
        <v>133</v>
      </c>
      <c r="C19" s="153" t="s">
        <v>5</v>
      </c>
      <c r="D19" s="153" t="s">
        <v>430</v>
      </c>
      <c r="E19" s="153" t="s">
        <v>432</v>
      </c>
      <c r="F19" s="153" t="s">
        <v>429</v>
      </c>
      <c r="G19" s="153">
        <v>11144.0</v>
      </c>
      <c r="H19" s="153">
        <v>1223.0</v>
      </c>
      <c r="I19" s="153">
        <v>10.97</v>
      </c>
      <c r="J19" s="153">
        <v>1928.0</v>
      </c>
      <c r="K19" s="153">
        <v>0.173</v>
      </c>
      <c r="L19" s="153">
        <v>1.5765</v>
      </c>
      <c r="M19" s="153">
        <v>1928.0</v>
      </c>
    </row>
    <row r="20">
      <c r="A20" s="250">
        <v>46240.0</v>
      </c>
      <c r="B20" s="153" t="s">
        <v>133</v>
      </c>
      <c r="C20" s="153" t="s">
        <v>5</v>
      </c>
      <c r="D20" s="153" t="s">
        <v>430</v>
      </c>
      <c r="E20" s="153" t="s">
        <v>433</v>
      </c>
      <c r="F20" s="153" t="s">
        <v>429</v>
      </c>
      <c r="G20" s="153">
        <v>11144.0</v>
      </c>
      <c r="H20" s="153">
        <v>619.0</v>
      </c>
      <c r="I20" s="153">
        <v>5.55</v>
      </c>
      <c r="J20" s="153">
        <v>683.0</v>
      </c>
      <c r="K20" s="153">
        <v>0.0613</v>
      </c>
      <c r="L20" s="153">
        <v>1.1034</v>
      </c>
      <c r="M20" s="153">
        <v>683.0</v>
      </c>
    </row>
    <row r="21">
      <c r="A21" s="250">
        <v>46240.0</v>
      </c>
      <c r="B21" s="153" t="s">
        <v>133</v>
      </c>
      <c r="C21" s="153" t="s">
        <v>5</v>
      </c>
      <c r="D21" s="153" t="s">
        <v>434</v>
      </c>
      <c r="E21" s="153" t="s">
        <v>435</v>
      </c>
      <c r="F21" s="153" t="s">
        <v>429</v>
      </c>
      <c r="G21" s="153">
        <v>11144.0</v>
      </c>
      <c r="H21" s="153">
        <v>1053.0</v>
      </c>
      <c r="I21" s="153">
        <v>9.45</v>
      </c>
      <c r="J21" s="153">
        <v>1088.0</v>
      </c>
      <c r="K21" s="153">
        <v>0.0976</v>
      </c>
      <c r="L21" s="153">
        <v>1.0332</v>
      </c>
      <c r="M21" s="153">
        <v>1088.0</v>
      </c>
    </row>
    <row r="22">
      <c r="A22" s="250">
        <v>46240.0</v>
      </c>
      <c r="B22" s="153" t="s">
        <v>133</v>
      </c>
      <c r="C22" s="153" t="s">
        <v>5</v>
      </c>
      <c r="D22" s="153" t="s">
        <v>434</v>
      </c>
      <c r="E22" s="153" t="s">
        <v>436</v>
      </c>
      <c r="F22" s="153" t="s">
        <v>429</v>
      </c>
      <c r="G22" s="153">
        <v>11144.0</v>
      </c>
      <c r="H22" s="153">
        <v>973.0</v>
      </c>
      <c r="I22" s="153">
        <v>8.73</v>
      </c>
      <c r="J22" s="153">
        <v>1137.0</v>
      </c>
      <c r="K22" s="153">
        <v>0.102</v>
      </c>
      <c r="L22" s="153">
        <v>1.1686</v>
      </c>
      <c r="M22" s="153">
        <v>1137.0</v>
      </c>
    </row>
    <row r="23">
      <c r="A23" s="250">
        <v>46240.0</v>
      </c>
      <c r="B23" s="153" t="s">
        <v>133</v>
      </c>
      <c r="C23" s="153" t="s">
        <v>5</v>
      </c>
      <c r="D23" s="153" t="s">
        <v>434</v>
      </c>
      <c r="E23" s="153" t="s">
        <v>437</v>
      </c>
      <c r="F23" s="153" t="s">
        <v>429</v>
      </c>
      <c r="G23" s="153">
        <v>11144.0</v>
      </c>
      <c r="H23" s="153">
        <v>20.0</v>
      </c>
      <c r="I23" s="153">
        <v>0.18</v>
      </c>
      <c r="J23" s="153">
        <v>24.0</v>
      </c>
      <c r="K23" s="153">
        <v>0.0022</v>
      </c>
      <c r="L23" s="153">
        <v>1.2</v>
      </c>
      <c r="M23" s="153">
        <v>24.0</v>
      </c>
    </row>
    <row r="24">
      <c r="A24" s="250">
        <v>46240.0</v>
      </c>
      <c r="B24" s="153" t="s">
        <v>133</v>
      </c>
      <c r="C24" s="153" t="s">
        <v>5</v>
      </c>
      <c r="D24" s="153" t="s">
        <v>438</v>
      </c>
      <c r="E24" s="153" t="s">
        <v>439</v>
      </c>
      <c r="F24" s="153" t="s">
        <v>440</v>
      </c>
      <c r="G24" s="153">
        <v>11144.0</v>
      </c>
      <c r="H24" s="153">
        <v>887.0</v>
      </c>
      <c r="I24" s="153">
        <v>7.96</v>
      </c>
      <c r="J24" s="153">
        <v>9490.0</v>
      </c>
      <c r="K24" s="153">
        <v>0.8516</v>
      </c>
      <c r="L24" s="153">
        <v>10.699</v>
      </c>
      <c r="M24" s="153">
        <v>9490.0</v>
      </c>
    </row>
    <row r="25">
      <c r="A25" s="250">
        <v>46240.0</v>
      </c>
      <c r="B25" s="153" t="s">
        <v>133</v>
      </c>
      <c r="C25" s="153" t="s">
        <v>5</v>
      </c>
      <c r="D25" s="153" t="s">
        <v>441</v>
      </c>
      <c r="E25" s="153" t="s">
        <v>442</v>
      </c>
      <c r="F25" s="153" t="s">
        <v>440</v>
      </c>
      <c r="G25" s="153">
        <v>11144.0</v>
      </c>
      <c r="H25" s="153">
        <v>245.0</v>
      </c>
      <c r="I25" s="153">
        <v>2.2</v>
      </c>
      <c r="J25" s="153">
        <v>2850.0</v>
      </c>
      <c r="K25" s="153">
        <v>0.2557</v>
      </c>
      <c r="L25" s="153">
        <v>11.6327</v>
      </c>
      <c r="M25" s="153">
        <v>2850.0</v>
      </c>
    </row>
    <row r="26">
      <c r="A26" s="250">
        <v>46240.0</v>
      </c>
      <c r="B26" s="153" t="s">
        <v>133</v>
      </c>
      <c r="C26" s="153" t="s">
        <v>5</v>
      </c>
      <c r="D26" s="153" t="s">
        <v>444</v>
      </c>
      <c r="E26" s="153" t="s">
        <v>445</v>
      </c>
      <c r="F26" s="153" t="s">
        <v>440</v>
      </c>
      <c r="G26" s="153">
        <v>11144.0</v>
      </c>
      <c r="H26" s="153">
        <v>1476.0</v>
      </c>
      <c r="I26" s="153">
        <v>13.24</v>
      </c>
      <c r="J26" s="153">
        <v>33115.0</v>
      </c>
      <c r="K26" s="153">
        <v>2.9716</v>
      </c>
      <c r="L26" s="153">
        <v>22.4356</v>
      </c>
      <c r="M26" s="153">
        <v>33115.0</v>
      </c>
    </row>
    <row r="27">
      <c r="A27" s="250">
        <v>46240.0</v>
      </c>
      <c r="B27" s="153" t="s">
        <v>134</v>
      </c>
      <c r="C27" s="153" t="s">
        <v>4</v>
      </c>
      <c r="D27" s="153" t="s">
        <v>427</v>
      </c>
      <c r="E27" s="153" t="s">
        <v>428</v>
      </c>
      <c r="F27" s="153" t="s">
        <v>429</v>
      </c>
      <c r="G27" s="153">
        <v>7827.0</v>
      </c>
      <c r="H27" s="153">
        <v>1.0</v>
      </c>
      <c r="I27" s="153">
        <v>0.01</v>
      </c>
      <c r="J27" s="153">
        <v>150.0</v>
      </c>
      <c r="K27" s="153">
        <v>0.0192</v>
      </c>
      <c r="L27" s="153">
        <v>150.0</v>
      </c>
      <c r="M27" s="153">
        <v>150.0</v>
      </c>
    </row>
    <row r="28">
      <c r="A28" s="250">
        <v>46240.0</v>
      </c>
      <c r="B28" s="153" t="s">
        <v>134</v>
      </c>
      <c r="C28" s="153" t="s">
        <v>4</v>
      </c>
      <c r="D28" s="153" t="s">
        <v>430</v>
      </c>
      <c r="E28" s="153" t="s">
        <v>431</v>
      </c>
      <c r="F28" s="153" t="s">
        <v>429</v>
      </c>
      <c r="G28" s="153">
        <v>7827.0</v>
      </c>
      <c r="H28" s="153">
        <v>1.0</v>
      </c>
      <c r="I28" s="153">
        <v>0.01</v>
      </c>
      <c r="J28" s="153">
        <v>1.0</v>
      </c>
      <c r="K28" s="153">
        <v>1.0E-4</v>
      </c>
      <c r="L28" s="153">
        <v>1.0</v>
      </c>
      <c r="M28" s="153">
        <v>1.0</v>
      </c>
    </row>
    <row r="29">
      <c r="A29" s="250">
        <v>46240.0</v>
      </c>
      <c r="B29" s="153" t="s">
        <v>134</v>
      </c>
      <c r="C29" s="153" t="s">
        <v>4</v>
      </c>
      <c r="D29" s="153" t="s">
        <v>430</v>
      </c>
      <c r="E29" s="153" t="s">
        <v>432</v>
      </c>
      <c r="F29" s="153" t="s">
        <v>429</v>
      </c>
      <c r="G29" s="153">
        <v>7827.0</v>
      </c>
      <c r="H29" s="153">
        <v>1.0</v>
      </c>
      <c r="I29" s="153">
        <v>0.01</v>
      </c>
      <c r="J29" s="153">
        <v>2.0</v>
      </c>
      <c r="K29" s="153">
        <v>3.0E-4</v>
      </c>
      <c r="L29" s="153">
        <v>2.0</v>
      </c>
      <c r="M29" s="153">
        <v>2.0</v>
      </c>
    </row>
    <row r="30">
      <c r="A30" s="250">
        <v>46240.0</v>
      </c>
      <c r="B30" s="153" t="s">
        <v>134</v>
      </c>
      <c r="C30" s="153" t="s">
        <v>4</v>
      </c>
      <c r="D30" s="153" t="s">
        <v>434</v>
      </c>
      <c r="E30" s="153" t="s">
        <v>437</v>
      </c>
      <c r="F30" s="153" t="s">
        <v>429</v>
      </c>
      <c r="G30" s="153">
        <v>7827.0</v>
      </c>
      <c r="H30" s="153">
        <v>1.0</v>
      </c>
      <c r="I30" s="153">
        <v>0.01</v>
      </c>
      <c r="J30" s="153">
        <v>1.0</v>
      </c>
      <c r="K30" s="153">
        <v>1.0E-4</v>
      </c>
      <c r="L30" s="153">
        <v>1.0</v>
      </c>
      <c r="M30" s="153">
        <v>1.0</v>
      </c>
    </row>
    <row r="31">
      <c r="A31" s="250">
        <v>46240.0</v>
      </c>
      <c r="B31" s="153" t="s">
        <v>134</v>
      </c>
      <c r="C31" s="153" t="s">
        <v>4</v>
      </c>
      <c r="D31" s="153" t="s">
        <v>441</v>
      </c>
      <c r="E31" s="153" t="s">
        <v>442</v>
      </c>
      <c r="F31" s="153" t="s">
        <v>440</v>
      </c>
      <c r="G31" s="153">
        <v>7827.0</v>
      </c>
      <c r="H31" s="153">
        <v>1.0</v>
      </c>
      <c r="I31" s="153">
        <v>0.01</v>
      </c>
      <c r="J31" s="153">
        <v>10.0</v>
      </c>
      <c r="K31" s="153">
        <v>0.0013</v>
      </c>
      <c r="L31" s="153">
        <v>10.0</v>
      </c>
      <c r="M31" s="153">
        <v>10.0</v>
      </c>
    </row>
    <row r="32">
      <c r="A32" s="250">
        <v>46240.0</v>
      </c>
      <c r="B32" s="153" t="s">
        <v>134</v>
      </c>
      <c r="C32" s="153" t="s">
        <v>4</v>
      </c>
      <c r="D32" s="153" t="s">
        <v>444</v>
      </c>
      <c r="E32" s="153" t="s">
        <v>445</v>
      </c>
      <c r="F32" s="153" t="s">
        <v>440</v>
      </c>
      <c r="G32" s="153">
        <v>7827.0</v>
      </c>
      <c r="H32" s="153">
        <v>1.0</v>
      </c>
      <c r="I32" s="153">
        <v>0.01</v>
      </c>
      <c r="J32" s="153">
        <v>30.0</v>
      </c>
      <c r="K32" s="153">
        <v>0.0038</v>
      </c>
      <c r="L32" s="153">
        <v>30.0</v>
      </c>
      <c r="M32" s="153">
        <v>30.0</v>
      </c>
    </row>
    <row r="33">
      <c r="A33" s="250">
        <v>46240.0</v>
      </c>
      <c r="B33" s="153" t="s">
        <v>134</v>
      </c>
      <c r="C33" s="153" t="s">
        <v>5</v>
      </c>
      <c r="D33" s="153" t="s">
        <v>424</v>
      </c>
      <c r="E33" s="153" t="s">
        <v>425</v>
      </c>
      <c r="F33" s="153" t="s">
        <v>426</v>
      </c>
      <c r="G33" s="153">
        <v>7927.0</v>
      </c>
      <c r="H33" s="153">
        <v>1395.0</v>
      </c>
      <c r="I33" s="153">
        <v>17.6</v>
      </c>
      <c r="J33" s="153">
        <v>25760.17</v>
      </c>
      <c r="K33" s="153">
        <v>3.2497</v>
      </c>
      <c r="L33" s="153">
        <v>18.4661</v>
      </c>
      <c r="M33" s="153">
        <v>29870.0</v>
      </c>
    </row>
    <row r="34">
      <c r="A34" s="250">
        <v>46240.0</v>
      </c>
      <c r="B34" s="153" t="s">
        <v>134</v>
      </c>
      <c r="C34" s="153" t="s">
        <v>5</v>
      </c>
      <c r="D34" s="153" t="s">
        <v>427</v>
      </c>
      <c r="E34" s="153" t="s">
        <v>428</v>
      </c>
      <c r="F34" s="153" t="s">
        <v>429</v>
      </c>
      <c r="G34" s="153">
        <v>7927.0</v>
      </c>
      <c r="H34" s="153">
        <v>2119.0</v>
      </c>
      <c r="I34" s="153">
        <v>26.73</v>
      </c>
      <c r="J34" s="153">
        <v>160675.76</v>
      </c>
      <c r="K34" s="153">
        <v>20.2694</v>
      </c>
      <c r="L34" s="153">
        <v>75.8262</v>
      </c>
      <c r="M34" s="153">
        <v>167740.0</v>
      </c>
    </row>
    <row r="35">
      <c r="A35" s="250">
        <v>46240.0</v>
      </c>
      <c r="B35" s="153" t="s">
        <v>134</v>
      </c>
      <c r="C35" s="153" t="s">
        <v>5</v>
      </c>
      <c r="D35" s="153" t="s">
        <v>430</v>
      </c>
      <c r="E35" s="153" t="s">
        <v>431</v>
      </c>
      <c r="F35" s="153" t="s">
        <v>429</v>
      </c>
      <c r="G35" s="153">
        <v>7927.0</v>
      </c>
      <c r="H35" s="153">
        <v>923.0</v>
      </c>
      <c r="I35" s="153">
        <v>11.64</v>
      </c>
      <c r="J35" s="153">
        <v>996.0</v>
      </c>
      <c r="K35" s="153">
        <v>0.1256</v>
      </c>
      <c r="L35" s="153">
        <v>1.0791</v>
      </c>
      <c r="M35" s="153">
        <v>996.0</v>
      </c>
    </row>
    <row r="36">
      <c r="A36" s="250">
        <v>46240.0</v>
      </c>
      <c r="B36" s="153" t="s">
        <v>134</v>
      </c>
      <c r="C36" s="153" t="s">
        <v>5</v>
      </c>
      <c r="D36" s="153" t="s">
        <v>430</v>
      </c>
      <c r="E36" s="153" t="s">
        <v>432</v>
      </c>
      <c r="F36" s="153" t="s">
        <v>429</v>
      </c>
      <c r="G36" s="153">
        <v>7927.0</v>
      </c>
      <c r="H36" s="153">
        <v>1217.0</v>
      </c>
      <c r="I36" s="153">
        <v>15.35</v>
      </c>
      <c r="J36" s="153">
        <v>2056.0</v>
      </c>
      <c r="K36" s="153">
        <v>0.2594</v>
      </c>
      <c r="L36" s="153">
        <v>1.6894</v>
      </c>
      <c r="M36" s="153">
        <v>2056.0</v>
      </c>
    </row>
    <row r="37">
      <c r="A37" s="250">
        <v>46240.0</v>
      </c>
      <c r="B37" s="153" t="s">
        <v>134</v>
      </c>
      <c r="C37" s="153" t="s">
        <v>5</v>
      </c>
      <c r="D37" s="153" t="s">
        <v>430</v>
      </c>
      <c r="E37" s="153" t="s">
        <v>433</v>
      </c>
      <c r="F37" s="153" t="s">
        <v>429</v>
      </c>
      <c r="G37" s="153">
        <v>7927.0</v>
      </c>
      <c r="H37" s="153">
        <v>860.0</v>
      </c>
      <c r="I37" s="153">
        <v>10.85</v>
      </c>
      <c r="J37" s="153">
        <v>970.0</v>
      </c>
      <c r="K37" s="153">
        <v>0.1224</v>
      </c>
      <c r="L37" s="153">
        <v>1.1279</v>
      </c>
      <c r="M37" s="153">
        <v>970.0</v>
      </c>
    </row>
    <row r="38">
      <c r="A38" s="250">
        <v>46240.0</v>
      </c>
      <c r="B38" s="153" t="s">
        <v>134</v>
      </c>
      <c r="C38" s="153" t="s">
        <v>5</v>
      </c>
      <c r="D38" s="153" t="s">
        <v>434</v>
      </c>
      <c r="E38" s="153" t="s">
        <v>435</v>
      </c>
      <c r="F38" s="153" t="s">
        <v>429</v>
      </c>
      <c r="G38" s="153">
        <v>7927.0</v>
      </c>
      <c r="H38" s="153">
        <v>719.0</v>
      </c>
      <c r="I38" s="153">
        <v>9.07</v>
      </c>
      <c r="J38" s="153">
        <v>757.0</v>
      </c>
      <c r="K38" s="153">
        <v>0.0955</v>
      </c>
      <c r="L38" s="153">
        <v>1.0529</v>
      </c>
      <c r="M38" s="153">
        <v>757.0</v>
      </c>
    </row>
    <row r="39">
      <c r="A39" s="250">
        <v>46240.0</v>
      </c>
      <c r="B39" s="153" t="s">
        <v>134</v>
      </c>
      <c r="C39" s="153" t="s">
        <v>5</v>
      </c>
      <c r="D39" s="153" t="s">
        <v>434</v>
      </c>
      <c r="E39" s="153" t="s">
        <v>436</v>
      </c>
      <c r="F39" s="153" t="s">
        <v>429</v>
      </c>
      <c r="G39" s="153">
        <v>7927.0</v>
      </c>
      <c r="H39" s="153">
        <v>757.0</v>
      </c>
      <c r="I39" s="153">
        <v>9.55</v>
      </c>
      <c r="J39" s="153">
        <v>921.0</v>
      </c>
      <c r="K39" s="153">
        <v>0.1162</v>
      </c>
      <c r="L39" s="153">
        <v>1.2166</v>
      </c>
      <c r="M39" s="153">
        <v>921.0</v>
      </c>
    </row>
    <row r="40">
      <c r="A40" s="250">
        <v>46240.0</v>
      </c>
      <c r="B40" s="153" t="s">
        <v>134</v>
      </c>
      <c r="C40" s="153" t="s">
        <v>5</v>
      </c>
      <c r="D40" s="153" t="s">
        <v>434</v>
      </c>
      <c r="E40" s="153" t="s">
        <v>437</v>
      </c>
      <c r="F40" s="153" t="s">
        <v>429</v>
      </c>
      <c r="G40" s="153">
        <v>7927.0</v>
      </c>
      <c r="H40" s="153">
        <v>404.0</v>
      </c>
      <c r="I40" s="153">
        <v>5.1</v>
      </c>
      <c r="J40" s="153">
        <v>450.0</v>
      </c>
      <c r="K40" s="153">
        <v>0.0568</v>
      </c>
      <c r="L40" s="153">
        <v>1.1139</v>
      </c>
      <c r="M40" s="153">
        <v>450.0</v>
      </c>
    </row>
    <row r="41">
      <c r="A41" s="250">
        <v>46240.0</v>
      </c>
      <c r="B41" s="153" t="s">
        <v>134</v>
      </c>
      <c r="C41" s="153" t="s">
        <v>5</v>
      </c>
      <c r="D41" s="153" t="s">
        <v>438</v>
      </c>
      <c r="E41" s="153" t="s">
        <v>439</v>
      </c>
      <c r="F41" s="153" t="s">
        <v>440</v>
      </c>
      <c r="G41" s="153">
        <v>7927.0</v>
      </c>
      <c r="H41" s="153">
        <v>770.0</v>
      </c>
      <c r="I41" s="153">
        <v>9.71</v>
      </c>
      <c r="J41" s="153">
        <v>8500.0</v>
      </c>
      <c r="K41" s="153">
        <v>1.0723</v>
      </c>
      <c r="L41" s="153">
        <v>11.039</v>
      </c>
      <c r="M41" s="153">
        <v>8500.0</v>
      </c>
    </row>
    <row r="42">
      <c r="A42" s="250">
        <v>46240.0</v>
      </c>
      <c r="B42" s="153" t="s">
        <v>134</v>
      </c>
      <c r="C42" s="153" t="s">
        <v>5</v>
      </c>
      <c r="D42" s="153" t="s">
        <v>441</v>
      </c>
      <c r="E42" s="153" t="s">
        <v>442</v>
      </c>
      <c r="F42" s="153" t="s">
        <v>440</v>
      </c>
      <c r="G42" s="153">
        <v>7927.0</v>
      </c>
      <c r="H42" s="153">
        <v>930.0</v>
      </c>
      <c r="I42" s="153">
        <v>11.73</v>
      </c>
      <c r="J42" s="153">
        <v>11120.0</v>
      </c>
      <c r="K42" s="153">
        <v>1.4028</v>
      </c>
      <c r="L42" s="153">
        <v>11.957</v>
      </c>
      <c r="M42" s="153">
        <v>11120.0</v>
      </c>
    </row>
    <row r="43">
      <c r="A43" s="250">
        <v>46240.0</v>
      </c>
      <c r="B43" s="153" t="s">
        <v>134</v>
      </c>
      <c r="C43" s="153" t="s">
        <v>5</v>
      </c>
      <c r="D43" s="153" t="s">
        <v>444</v>
      </c>
      <c r="E43" s="153" t="s">
        <v>445</v>
      </c>
      <c r="F43" s="153" t="s">
        <v>440</v>
      </c>
      <c r="G43" s="153">
        <v>7927.0</v>
      </c>
      <c r="H43" s="153">
        <v>1739.0</v>
      </c>
      <c r="I43" s="153">
        <v>21.94</v>
      </c>
      <c r="J43" s="153">
        <v>57445.0</v>
      </c>
      <c r="K43" s="153">
        <v>7.2468</v>
      </c>
      <c r="L43" s="153">
        <v>33.0334</v>
      </c>
      <c r="M43" s="153">
        <v>57445.0</v>
      </c>
    </row>
    <row r="44">
      <c r="A44" s="250">
        <v>46240.0</v>
      </c>
      <c r="B44" s="153" t="s">
        <v>135</v>
      </c>
      <c r="C44" s="153" t="s">
        <v>4</v>
      </c>
      <c r="D44" s="153" t="s">
        <v>424</v>
      </c>
      <c r="E44" s="153" t="s">
        <v>425</v>
      </c>
      <c r="F44" s="153" t="s">
        <v>426</v>
      </c>
      <c r="G44" s="153">
        <v>6013.0</v>
      </c>
      <c r="H44" s="153">
        <v>1.0</v>
      </c>
      <c r="I44" s="153">
        <v>0.02</v>
      </c>
      <c r="J44" s="153">
        <v>30.0</v>
      </c>
      <c r="K44" s="153">
        <v>0.005</v>
      </c>
      <c r="L44" s="153">
        <v>30.0</v>
      </c>
      <c r="M44" s="153">
        <v>30.0</v>
      </c>
    </row>
    <row r="45">
      <c r="A45" s="250">
        <v>46240.0</v>
      </c>
      <c r="B45" s="153" t="s">
        <v>135</v>
      </c>
      <c r="C45" s="153" t="s">
        <v>4</v>
      </c>
      <c r="D45" s="153" t="s">
        <v>427</v>
      </c>
      <c r="E45" s="153" t="s">
        <v>428</v>
      </c>
      <c r="F45" s="153" t="s">
        <v>429</v>
      </c>
      <c r="G45" s="153">
        <v>6013.0</v>
      </c>
      <c r="H45" s="153">
        <v>1.0</v>
      </c>
      <c r="I45" s="153">
        <v>0.02</v>
      </c>
      <c r="J45" s="153">
        <v>75.0</v>
      </c>
      <c r="K45" s="153">
        <v>0.0125</v>
      </c>
      <c r="L45" s="153">
        <v>75.0</v>
      </c>
      <c r="M45" s="153">
        <v>75.0</v>
      </c>
    </row>
    <row r="46">
      <c r="A46" s="250">
        <v>46240.0</v>
      </c>
      <c r="B46" s="153" t="s">
        <v>135</v>
      </c>
      <c r="C46" s="153" t="s">
        <v>4</v>
      </c>
      <c r="D46" s="153" t="s">
        <v>430</v>
      </c>
      <c r="E46" s="153" t="s">
        <v>433</v>
      </c>
      <c r="F46" s="153" t="s">
        <v>429</v>
      </c>
      <c r="G46" s="153">
        <v>6013.0</v>
      </c>
      <c r="H46" s="153">
        <v>1.0</v>
      </c>
      <c r="I46" s="153">
        <v>0.02</v>
      </c>
      <c r="J46" s="153">
        <v>1.0</v>
      </c>
      <c r="K46" s="153">
        <v>2.0E-4</v>
      </c>
      <c r="L46" s="153">
        <v>1.0</v>
      </c>
      <c r="M46" s="153">
        <v>1.0</v>
      </c>
    </row>
    <row r="47">
      <c r="A47" s="250">
        <v>46240.0</v>
      </c>
      <c r="B47" s="153" t="s">
        <v>135</v>
      </c>
      <c r="C47" s="153" t="s">
        <v>4</v>
      </c>
      <c r="D47" s="153" t="s">
        <v>438</v>
      </c>
      <c r="E47" s="153" t="s">
        <v>439</v>
      </c>
      <c r="F47" s="153" t="s">
        <v>440</v>
      </c>
      <c r="G47" s="153">
        <v>6013.0</v>
      </c>
      <c r="H47" s="153">
        <v>1.0</v>
      </c>
      <c r="I47" s="153">
        <v>0.02</v>
      </c>
      <c r="J47" s="153">
        <v>20.0</v>
      </c>
      <c r="K47" s="153">
        <v>0.0033</v>
      </c>
      <c r="L47" s="153">
        <v>20.0</v>
      </c>
      <c r="M47" s="153">
        <v>20.0</v>
      </c>
    </row>
    <row r="48">
      <c r="A48" s="250">
        <v>46240.0</v>
      </c>
      <c r="B48" s="153" t="s">
        <v>135</v>
      </c>
      <c r="C48" s="153" t="s">
        <v>5</v>
      </c>
      <c r="D48" s="153" t="s">
        <v>424</v>
      </c>
      <c r="E48" s="153" t="s">
        <v>425</v>
      </c>
      <c r="F48" s="153" t="s">
        <v>426</v>
      </c>
      <c r="G48" s="153">
        <v>6008.0</v>
      </c>
      <c r="H48" s="153">
        <v>1418.0</v>
      </c>
      <c r="I48" s="153">
        <v>23.6</v>
      </c>
      <c r="J48" s="153">
        <v>34500.64</v>
      </c>
      <c r="K48" s="153">
        <v>5.7425</v>
      </c>
      <c r="L48" s="153">
        <v>24.3305</v>
      </c>
      <c r="M48" s="153">
        <v>37850.0</v>
      </c>
    </row>
    <row r="49">
      <c r="A49" s="250">
        <v>46240.0</v>
      </c>
      <c r="B49" s="153" t="s">
        <v>135</v>
      </c>
      <c r="C49" s="153" t="s">
        <v>5</v>
      </c>
      <c r="D49" s="153" t="s">
        <v>427</v>
      </c>
      <c r="E49" s="153" t="s">
        <v>428</v>
      </c>
      <c r="F49" s="153" t="s">
        <v>429</v>
      </c>
      <c r="G49" s="153">
        <v>6008.0</v>
      </c>
      <c r="H49" s="153">
        <v>2024.0</v>
      </c>
      <c r="I49" s="153">
        <v>33.69</v>
      </c>
      <c r="J49" s="153">
        <v>225352.07</v>
      </c>
      <c r="K49" s="153">
        <v>37.5087</v>
      </c>
      <c r="L49" s="153">
        <v>111.34</v>
      </c>
      <c r="M49" s="153">
        <v>233700.0</v>
      </c>
    </row>
    <row r="50">
      <c r="A50" s="250">
        <v>46240.0</v>
      </c>
      <c r="B50" s="153" t="s">
        <v>135</v>
      </c>
      <c r="C50" s="153" t="s">
        <v>5</v>
      </c>
      <c r="D50" s="153" t="s">
        <v>430</v>
      </c>
      <c r="E50" s="153" t="s">
        <v>431</v>
      </c>
      <c r="F50" s="153" t="s">
        <v>429</v>
      </c>
      <c r="G50" s="153">
        <v>6008.0</v>
      </c>
      <c r="H50" s="153">
        <v>628.0</v>
      </c>
      <c r="I50" s="153">
        <v>10.45</v>
      </c>
      <c r="J50" s="153">
        <v>677.0</v>
      </c>
      <c r="K50" s="153">
        <v>0.1127</v>
      </c>
      <c r="L50" s="153">
        <v>1.078</v>
      </c>
      <c r="M50" s="153">
        <v>677.0</v>
      </c>
    </row>
    <row r="51">
      <c r="A51" s="250">
        <v>46240.0</v>
      </c>
      <c r="B51" s="153" t="s">
        <v>135</v>
      </c>
      <c r="C51" s="153" t="s">
        <v>5</v>
      </c>
      <c r="D51" s="153" t="s">
        <v>430</v>
      </c>
      <c r="E51" s="153" t="s">
        <v>432</v>
      </c>
      <c r="F51" s="153" t="s">
        <v>429</v>
      </c>
      <c r="G51" s="153">
        <v>6008.0</v>
      </c>
      <c r="H51" s="153">
        <v>1465.0</v>
      </c>
      <c r="I51" s="153">
        <v>24.38</v>
      </c>
      <c r="J51" s="153">
        <v>2326.0</v>
      </c>
      <c r="K51" s="153">
        <v>0.3872</v>
      </c>
      <c r="L51" s="153">
        <v>1.5877</v>
      </c>
      <c r="M51" s="153">
        <v>2326.0</v>
      </c>
    </row>
    <row r="52">
      <c r="A52" s="250">
        <v>46240.0</v>
      </c>
      <c r="B52" s="153" t="s">
        <v>135</v>
      </c>
      <c r="C52" s="153" t="s">
        <v>5</v>
      </c>
      <c r="D52" s="153" t="s">
        <v>430</v>
      </c>
      <c r="E52" s="153" t="s">
        <v>433</v>
      </c>
      <c r="F52" s="153" t="s">
        <v>429</v>
      </c>
      <c r="G52" s="153">
        <v>6008.0</v>
      </c>
      <c r="H52" s="153">
        <v>1046.0</v>
      </c>
      <c r="I52" s="153">
        <v>17.41</v>
      </c>
      <c r="J52" s="153">
        <v>1176.0</v>
      </c>
      <c r="K52" s="153">
        <v>0.1957</v>
      </c>
      <c r="L52" s="153">
        <v>1.1243</v>
      </c>
      <c r="M52" s="153">
        <v>1176.0</v>
      </c>
    </row>
    <row r="53">
      <c r="A53" s="250">
        <v>46240.0</v>
      </c>
      <c r="B53" s="153" t="s">
        <v>135</v>
      </c>
      <c r="C53" s="153" t="s">
        <v>5</v>
      </c>
      <c r="D53" s="153" t="s">
        <v>434</v>
      </c>
      <c r="E53" s="153" t="s">
        <v>435</v>
      </c>
      <c r="F53" s="153" t="s">
        <v>429</v>
      </c>
      <c r="G53" s="153">
        <v>6008.0</v>
      </c>
      <c r="H53" s="153">
        <v>907.0</v>
      </c>
      <c r="I53" s="153">
        <v>15.1</v>
      </c>
      <c r="J53" s="153">
        <v>1251.0</v>
      </c>
      <c r="K53" s="153">
        <v>0.2082</v>
      </c>
      <c r="L53" s="153">
        <v>1.3793</v>
      </c>
      <c r="M53" s="153">
        <v>1251.0</v>
      </c>
    </row>
    <row r="54">
      <c r="A54" s="250">
        <v>46240.0</v>
      </c>
      <c r="B54" s="153" t="s">
        <v>135</v>
      </c>
      <c r="C54" s="153" t="s">
        <v>5</v>
      </c>
      <c r="D54" s="153" t="s">
        <v>434</v>
      </c>
      <c r="E54" s="153" t="s">
        <v>436</v>
      </c>
      <c r="F54" s="153" t="s">
        <v>429</v>
      </c>
      <c r="G54" s="153">
        <v>6008.0</v>
      </c>
      <c r="H54" s="153">
        <v>651.0</v>
      </c>
      <c r="I54" s="153">
        <v>10.84</v>
      </c>
      <c r="J54" s="153">
        <v>810.0</v>
      </c>
      <c r="K54" s="153">
        <v>0.1348</v>
      </c>
      <c r="L54" s="153">
        <v>1.2442</v>
      </c>
      <c r="M54" s="153">
        <v>810.0</v>
      </c>
    </row>
    <row r="55">
      <c r="A55" s="250">
        <v>46240.0</v>
      </c>
      <c r="B55" s="153" t="s">
        <v>135</v>
      </c>
      <c r="C55" s="153" t="s">
        <v>5</v>
      </c>
      <c r="D55" s="153" t="s">
        <v>434</v>
      </c>
      <c r="E55" s="153" t="s">
        <v>437</v>
      </c>
      <c r="F55" s="153" t="s">
        <v>429</v>
      </c>
      <c r="G55" s="153">
        <v>6008.0</v>
      </c>
      <c r="H55" s="153">
        <v>739.0</v>
      </c>
      <c r="I55" s="153">
        <v>12.3</v>
      </c>
      <c r="J55" s="153">
        <v>878.0</v>
      </c>
      <c r="K55" s="153">
        <v>0.1461</v>
      </c>
      <c r="L55" s="153">
        <v>1.1881</v>
      </c>
      <c r="M55" s="153">
        <v>878.0</v>
      </c>
    </row>
    <row r="56">
      <c r="A56" s="250">
        <v>46240.0</v>
      </c>
      <c r="B56" s="153" t="s">
        <v>135</v>
      </c>
      <c r="C56" s="153" t="s">
        <v>5</v>
      </c>
      <c r="D56" s="153" t="s">
        <v>438</v>
      </c>
      <c r="E56" s="153" t="s">
        <v>439</v>
      </c>
      <c r="F56" s="153" t="s">
        <v>440</v>
      </c>
      <c r="G56" s="153">
        <v>6008.0</v>
      </c>
      <c r="H56" s="153">
        <v>986.0</v>
      </c>
      <c r="I56" s="153">
        <v>16.41</v>
      </c>
      <c r="J56" s="153">
        <v>15700.0</v>
      </c>
      <c r="K56" s="153">
        <v>2.6132</v>
      </c>
      <c r="L56" s="153">
        <v>15.9229</v>
      </c>
      <c r="M56" s="153">
        <v>15700.0</v>
      </c>
    </row>
    <row r="57">
      <c r="A57" s="250">
        <v>46240.0</v>
      </c>
      <c r="B57" s="153" t="s">
        <v>135</v>
      </c>
      <c r="C57" s="153" t="s">
        <v>5</v>
      </c>
      <c r="D57" s="153" t="s">
        <v>441</v>
      </c>
      <c r="E57" s="153" t="s">
        <v>442</v>
      </c>
      <c r="F57" s="153" t="s">
        <v>440</v>
      </c>
      <c r="G57" s="153">
        <v>6008.0</v>
      </c>
      <c r="H57" s="153">
        <v>665.0</v>
      </c>
      <c r="I57" s="153">
        <v>11.07</v>
      </c>
      <c r="J57" s="153">
        <v>8630.0</v>
      </c>
      <c r="K57" s="153">
        <v>1.4364</v>
      </c>
      <c r="L57" s="153">
        <v>12.9774</v>
      </c>
      <c r="M57" s="153">
        <v>8630.0</v>
      </c>
    </row>
    <row r="58">
      <c r="A58" s="250">
        <v>46240.0</v>
      </c>
      <c r="B58" s="153" t="s">
        <v>135</v>
      </c>
      <c r="C58" s="153" t="s">
        <v>5</v>
      </c>
      <c r="D58" s="153" t="s">
        <v>441</v>
      </c>
      <c r="E58" s="153" t="s">
        <v>443</v>
      </c>
      <c r="F58" s="153" t="s">
        <v>440</v>
      </c>
      <c r="G58" s="153">
        <v>6008.0</v>
      </c>
      <c r="H58" s="153">
        <v>58.0</v>
      </c>
      <c r="I58" s="153">
        <v>0.97</v>
      </c>
      <c r="J58" s="153">
        <v>700.0</v>
      </c>
      <c r="K58" s="153">
        <v>0.1165</v>
      </c>
      <c r="L58" s="153">
        <v>12.069</v>
      </c>
      <c r="M58" s="153">
        <v>700.0</v>
      </c>
    </row>
    <row r="59">
      <c r="A59" s="250">
        <v>46240.0</v>
      </c>
      <c r="B59" s="153" t="s">
        <v>135</v>
      </c>
      <c r="C59" s="153" t="s">
        <v>5</v>
      </c>
      <c r="D59" s="153" t="s">
        <v>444</v>
      </c>
      <c r="E59" s="153" t="s">
        <v>445</v>
      </c>
      <c r="F59" s="153" t="s">
        <v>440</v>
      </c>
      <c r="G59" s="153">
        <v>6008.0</v>
      </c>
      <c r="H59" s="153">
        <v>1250.0</v>
      </c>
      <c r="I59" s="153">
        <v>20.81</v>
      </c>
      <c r="J59" s="153">
        <v>49655.0</v>
      </c>
      <c r="K59" s="153">
        <v>8.2648</v>
      </c>
      <c r="L59" s="153">
        <v>39.724</v>
      </c>
      <c r="M59" s="153">
        <v>49655.0</v>
      </c>
    </row>
    <row r="60">
      <c r="A60" s="250">
        <v>46240.0</v>
      </c>
      <c r="B60" s="153" t="s">
        <v>136</v>
      </c>
      <c r="C60" s="153" t="s">
        <v>5</v>
      </c>
      <c r="D60" s="153" t="s">
        <v>424</v>
      </c>
      <c r="E60" s="153" t="s">
        <v>425</v>
      </c>
      <c r="F60" s="153" t="s">
        <v>426</v>
      </c>
      <c r="G60" s="153">
        <v>3478.0</v>
      </c>
      <c r="H60" s="153">
        <v>1281.0</v>
      </c>
      <c r="I60" s="153">
        <v>36.83</v>
      </c>
      <c r="J60" s="153">
        <v>52627.63</v>
      </c>
      <c r="K60" s="153">
        <v>15.1316</v>
      </c>
      <c r="L60" s="153">
        <v>41.0832</v>
      </c>
      <c r="M60" s="153">
        <v>85370.0</v>
      </c>
    </row>
    <row r="61">
      <c r="A61" s="250">
        <v>46240.0</v>
      </c>
      <c r="B61" s="153" t="s">
        <v>136</v>
      </c>
      <c r="C61" s="153" t="s">
        <v>5</v>
      </c>
      <c r="D61" s="153" t="s">
        <v>427</v>
      </c>
      <c r="E61" s="153" t="s">
        <v>428</v>
      </c>
      <c r="F61" s="153" t="s">
        <v>429</v>
      </c>
      <c r="G61" s="153">
        <v>3478.0</v>
      </c>
      <c r="H61" s="153">
        <v>1624.0</v>
      </c>
      <c r="I61" s="153">
        <v>46.69</v>
      </c>
      <c r="J61" s="153">
        <v>337224.65</v>
      </c>
      <c r="K61" s="153">
        <v>96.9594</v>
      </c>
      <c r="L61" s="153">
        <v>207.6506</v>
      </c>
      <c r="M61" s="153">
        <v>349885.0</v>
      </c>
    </row>
    <row r="62">
      <c r="A62" s="250">
        <v>46240.0</v>
      </c>
      <c r="B62" s="153" t="s">
        <v>136</v>
      </c>
      <c r="C62" s="153" t="s">
        <v>5</v>
      </c>
      <c r="D62" s="153" t="s">
        <v>430</v>
      </c>
      <c r="E62" s="153" t="s">
        <v>431</v>
      </c>
      <c r="F62" s="153" t="s">
        <v>429</v>
      </c>
      <c r="G62" s="153">
        <v>3478.0</v>
      </c>
      <c r="H62" s="153">
        <v>589.0</v>
      </c>
      <c r="I62" s="153">
        <v>16.94</v>
      </c>
      <c r="J62" s="153">
        <v>811.0</v>
      </c>
      <c r="K62" s="153">
        <v>0.2332</v>
      </c>
      <c r="L62" s="153">
        <v>1.3769</v>
      </c>
      <c r="M62" s="153">
        <v>811.0</v>
      </c>
    </row>
    <row r="63">
      <c r="A63" s="250">
        <v>46240.0</v>
      </c>
      <c r="B63" s="153" t="s">
        <v>136</v>
      </c>
      <c r="C63" s="153" t="s">
        <v>5</v>
      </c>
      <c r="D63" s="153" t="s">
        <v>430</v>
      </c>
      <c r="E63" s="153" t="s">
        <v>432</v>
      </c>
      <c r="F63" s="153" t="s">
        <v>429</v>
      </c>
      <c r="G63" s="153">
        <v>3478.0</v>
      </c>
      <c r="H63" s="153">
        <v>773.0</v>
      </c>
      <c r="I63" s="153">
        <v>22.23</v>
      </c>
      <c r="J63" s="153">
        <v>1567.0</v>
      </c>
      <c r="K63" s="153">
        <v>0.4505</v>
      </c>
      <c r="L63" s="153">
        <v>2.0272</v>
      </c>
      <c r="M63" s="153">
        <v>1567.0</v>
      </c>
    </row>
    <row r="64">
      <c r="A64" s="250">
        <v>46240.0</v>
      </c>
      <c r="B64" s="153" t="s">
        <v>136</v>
      </c>
      <c r="C64" s="153" t="s">
        <v>5</v>
      </c>
      <c r="D64" s="153" t="s">
        <v>430</v>
      </c>
      <c r="E64" s="153" t="s">
        <v>433</v>
      </c>
      <c r="F64" s="153" t="s">
        <v>429</v>
      </c>
      <c r="G64" s="153">
        <v>3478.0</v>
      </c>
      <c r="H64" s="153">
        <v>1030.0</v>
      </c>
      <c r="I64" s="153">
        <v>29.61</v>
      </c>
      <c r="J64" s="153">
        <v>1331.0</v>
      </c>
      <c r="K64" s="153">
        <v>0.3827</v>
      </c>
      <c r="L64" s="153">
        <v>1.2922</v>
      </c>
      <c r="M64" s="153">
        <v>1331.0</v>
      </c>
    </row>
    <row r="65">
      <c r="A65" s="250">
        <v>46240.0</v>
      </c>
      <c r="B65" s="153" t="s">
        <v>136</v>
      </c>
      <c r="C65" s="153" t="s">
        <v>5</v>
      </c>
      <c r="D65" s="153" t="s">
        <v>434</v>
      </c>
      <c r="E65" s="153" t="s">
        <v>435</v>
      </c>
      <c r="F65" s="153" t="s">
        <v>429</v>
      </c>
      <c r="G65" s="153">
        <v>3478.0</v>
      </c>
      <c r="H65" s="153">
        <v>998.0</v>
      </c>
      <c r="I65" s="153">
        <v>28.69</v>
      </c>
      <c r="J65" s="153">
        <v>1632.0</v>
      </c>
      <c r="K65" s="153">
        <v>0.4692</v>
      </c>
      <c r="L65" s="153">
        <v>1.6353</v>
      </c>
      <c r="M65" s="153">
        <v>1632.0</v>
      </c>
    </row>
    <row r="66">
      <c r="A66" s="250">
        <v>46240.0</v>
      </c>
      <c r="B66" s="153" t="s">
        <v>136</v>
      </c>
      <c r="C66" s="153" t="s">
        <v>5</v>
      </c>
      <c r="D66" s="153" t="s">
        <v>434</v>
      </c>
      <c r="E66" s="153" t="s">
        <v>436</v>
      </c>
      <c r="F66" s="153" t="s">
        <v>429</v>
      </c>
      <c r="G66" s="153">
        <v>3478.0</v>
      </c>
      <c r="H66" s="153">
        <v>779.0</v>
      </c>
      <c r="I66" s="153">
        <v>22.4</v>
      </c>
      <c r="J66" s="153">
        <v>1300.0</v>
      </c>
      <c r="K66" s="153">
        <v>0.3738</v>
      </c>
      <c r="L66" s="153">
        <v>1.6688</v>
      </c>
      <c r="M66" s="153">
        <v>1300.0</v>
      </c>
    </row>
    <row r="67">
      <c r="A67" s="250">
        <v>46240.0</v>
      </c>
      <c r="B67" s="153" t="s">
        <v>136</v>
      </c>
      <c r="C67" s="153" t="s">
        <v>5</v>
      </c>
      <c r="D67" s="153" t="s">
        <v>434</v>
      </c>
      <c r="E67" s="153" t="s">
        <v>437</v>
      </c>
      <c r="F67" s="153" t="s">
        <v>429</v>
      </c>
      <c r="G67" s="153">
        <v>3478.0</v>
      </c>
      <c r="H67" s="153">
        <v>524.0</v>
      </c>
      <c r="I67" s="153">
        <v>15.07</v>
      </c>
      <c r="J67" s="153">
        <v>802.0</v>
      </c>
      <c r="K67" s="153">
        <v>0.2306</v>
      </c>
      <c r="L67" s="153">
        <v>1.5305</v>
      </c>
      <c r="M67" s="153">
        <v>802.0</v>
      </c>
    </row>
    <row r="68">
      <c r="A68" s="250">
        <v>46240.0</v>
      </c>
      <c r="B68" s="153" t="s">
        <v>136</v>
      </c>
      <c r="C68" s="153" t="s">
        <v>5</v>
      </c>
      <c r="D68" s="153" t="s">
        <v>438</v>
      </c>
      <c r="E68" s="153" t="s">
        <v>439</v>
      </c>
      <c r="F68" s="153" t="s">
        <v>440</v>
      </c>
      <c r="G68" s="153">
        <v>3478.0</v>
      </c>
      <c r="H68" s="153">
        <v>871.0</v>
      </c>
      <c r="I68" s="153">
        <v>25.04</v>
      </c>
      <c r="J68" s="153">
        <v>16720.0</v>
      </c>
      <c r="K68" s="153">
        <v>4.8074</v>
      </c>
      <c r="L68" s="153">
        <v>19.1963</v>
      </c>
      <c r="M68" s="153">
        <v>16720.0</v>
      </c>
    </row>
    <row r="69">
      <c r="A69" s="250">
        <v>46240.0</v>
      </c>
      <c r="B69" s="153" t="s">
        <v>136</v>
      </c>
      <c r="C69" s="153" t="s">
        <v>5</v>
      </c>
      <c r="D69" s="153" t="s">
        <v>441</v>
      </c>
      <c r="E69" s="153" t="s">
        <v>442</v>
      </c>
      <c r="F69" s="153" t="s">
        <v>440</v>
      </c>
      <c r="G69" s="153">
        <v>3478.0</v>
      </c>
      <c r="H69" s="153">
        <v>355.0</v>
      </c>
      <c r="I69" s="153">
        <v>10.21</v>
      </c>
      <c r="J69" s="153">
        <v>4500.0</v>
      </c>
      <c r="K69" s="153">
        <v>1.2938</v>
      </c>
      <c r="L69" s="153">
        <v>12.6761</v>
      </c>
      <c r="M69" s="153">
        <v>4500.0</v>
      </c>
    </row>
    <row r="70">
      <c r="A70" s="250">
        <v>46240.0</v>
      </c>
      <c r="B70" s="153" t="s">
        <v>136</v>
      </c>
      <c r="C70" s="153" t="s">
        <v>5</v>
      </c>
      <c r="D70" s="153" t="s">
        <v>441</v>
      </c>
      <c r="E70" s="153" t="s">
        <v>443</v>
      </c>
      <c r="F70" s="153" t="s">
        <v>440</v>
      </c>
      <c r="G70" s="153">
        <v>3478.0</v>
      </c>
      <c r="H70" s="153">
        <v>397.0</v>
      </c>
      <c r="I70" s="153">
        <v>11.41</v>
      </c>
      <c r="J70" s="153">
        <v>4940.0</v>
      </c>
      <c r="K70" s="153">
        <v>1.4204</v>
      </c>
      <c r="L70" s="153">
        <v>12.4433</v>
      </c>
      <c r="M70" s="153">
        <v>4940.0</v>
      </c>
    </row>
    <row r="71">
      <c r="A71" s="250">
        <v>46240.0</v>
      </c>
      <c r="B71" s="153" t="s">
        <v>136</v>
      </c>
      <c r="C71" s="153" t="s">
        <v>5</v>
      </c>
      <c r="D71" s="153" t="s">
        <v>444</v>
      </c>
      <c r="E71" s="153" t="s">
        <v>445</v>
      </c>
      <c r="F71" s="153" t="s">
        <v>440</v>
      </c>
      <c r="G71" s="153">
        <v>3478.0</v>
      </c>
      <c r="H71" s="153">
        <v>895.0</v>
      </c>
      <c r="I71" s="153">
        <v>25.73</v>
      </c>
      <c r="J71" s="153">
        <v>41595.0</v>
      </c>
      <c r="K71" s="153">
        <v>11.9595</v>
      </c>
      <c r="L71" s="153">
        <v>46.4749</v>
      </c>
      <c r="M71" s="153">
        <v>41595.0</v>
      </c>
    </row>
    <row r="72">
      <c r="A72" s="250">
        <v>46240.0</v>
      </c>
      <c r="B72" s="153" t="s">
        <v>137</v>
      </c>
      <c r="C72" s="153" t="s">
        <v>5</v>
      </c>
      <c r="D72" s="153" t="s">
        <v>424</v>
      </c>
      <c r="E72" s="153" t="s">
        <v>425</v>
      </c>
      <c r="F72" s="153" t="s">
        <v>426</v>
      </c>
      <c r="G72" s="153">
        <v>492.0</v>
      </c>
      <c r="H72" s="153">
        <v>256.0</v>
      </c>
      <c r="I72" s="153">
        <v>52.03</v>
      </c>
      <c r="J72" s="153">
        <v>35221.28</v>
      </c>
      <c r="K72" s="153">
        <v>71.588</v>
      </c>
      <c r="L72" s="153">
        <v>137.5831</v>
      </c>
      <c r="M72" s="153">
        <v>390050.0</v>
      </c>
    </row>
    <row r="73">
      <c r="A73" s="250">
        <v>46240.0</v>
      </c>
      <c r="B73" s="153" t="s">
        <v>137</v>
      </c>
      <c r="C73" s="153" t="s">
        <v>5</v>
      </c>
      <c r="D73" s="153" t="s">
        <v>427</v>
      </c>
      <c r="E73" s="153" t="s">
        <v>428</v>
      </c>
      <c r="F73" s="153" t="s">
        <v>429</v>
      </c>
      <c r="G73" s="153">
        <v>492.0</v>
      </c>
      <c r="H73" s="153">
        <v>267.0</v>
      </c>
      <c r="I73" s="153">
        <v>54.27</v>
      </c>
      <c r="J73" s="153">
        <v>96417.7</v>
      </c>
      <c r="K73" s="153">
        <v>195.9709</v>
      </c>
      <c r="L73" s="153">
        <v>361.115</v>
      </c>
      <c r="M73" s="153">
        <v>101135.0</v>
      </c>
    </row>
    <row r="74">
      <c r="A74" s="250">
        <v>46240.0</v>
      </c>
      <c r="B74" s="153" t="s">
        <v>137</v>
      </c>
      <c r="C74" s="153" t="s">
        <v>5</v>
      </c>
      <c r="D74" s="153" t="s">
        <v>430</v>
      </c>
      <c r="E74" s="153" t="s">
        <v>431</v>
      </c>
      <c r="F74" s="153" t="s">
        <v>429</v>
      </c>
      <c r="G74" s="153">
        <v>492.0</v>
      </c>
      <c r="H74" s="153">
        <v>206.0</v>
      </c>
      <c r="I74" s="153">
        <v>41.87</v>
      </c>
      <c r="J74" s="153">
        <v>2448.0</v>
      </c>
      <c r="K74" s="153">
        <v>4.9756</v>
      </c>
      <c r="L74" s="153">
        <v>11.8835</v>
      </c>
      <c r="M74" s="153">
        <v>2448.0</v>
      </c>
    </row>
    <row r="75">
      <c r="A75" s="250">
        <v>46240.0</v>
      </c>
      <c r="B75" s="153" t="s">
        <v>137</v>
      </c>
      <c r="C75" s="153" t="s">
        <v>5</v>
      </c>
      <c r="D75" s="153" t="s">
        <v>430</v>
      </c>
      <c r="E75" s="153" t="s">
        <v>432</v>
      </c>
      <c r="F75" s="153" t="s">
        <v>429</v>
      </c>
      <c r="G75" s="153">
        <v>492.0</v>
      </c>
      <c r="H75" s="153">
        <v>188.0</v>
      </c>
      <c r="I75" s="153">
        <v>38.21</v>
      </c>
      <c r="J75" s="153">
        <v>2633.0</v>
      </c>
      <c r="K75" s="153">
        <v>5.3516</v>
      </c>
      <c r="L75" s="153">
        <v>14.0053</v>
      </c>
      <c r="M75" s="153">
        <v>2633.0</v>
      </c>
    </row>
    <row r="76">
      <c r="A76" s="250">
        <v>46240.0</v>
      </c>
      <c r="B76" s="153" t="s">
        <v>137</v>
      </c>
      <c r="C76" s="153" t="s">
        <v>5</v>
      </c>
      <c r="D76" s="153" t="s">
        <v>430</v>
      </c>
      <c r="E76" s="153" t="s">
        <v>433</v>
      </c>
      <c r="F76" s="153" t="s">
        <v>429</v>
      </c>
      <c r="G76" s="153">
        <v>492.0</v>
      </c>
      <c r="H76" s="153">
        <v>246.0</v>
      </c>
      <c r="I76" s="153">
        <v>50.0</v>
      </c>
      <c r="J76" s="153">
        <v>2547.0</v>
      </c>
      <c r="K76" s="153">
        <v>5.1768</v>
      </c>
      <c r="L76" s="153">
        <v>10.3537</v>
      </c>
      <c r="M76" s="153">
        <v>2547.0</v>
      </c>
    </row>
    <row r="77">
      <c r="A77" s="250">
        <v>46240.0</v>
      </c>
      <c r="B77" s="153" t="s">
        <v>137</v>
      </c>
      <c r="C77" s="153" t="s">
        <v>5</v>
      </c>
      <c r="D77" s="153" t="s">
        <v>434</v>
      </c>
      <c r="E77" s="153" t="s">
        <v>435</v>
      </c>
      <c r="F77" s="153" t="s">
        <v>429</v>
      </c>
      <c r="G77" s="153">
        <v>492.0</v>
      </c>
      <c r="H77" s="153">
        <v>167.0</v>
      </c>
      <c r="I77" s="153">
        <v>33.94</v>
      </c>
      <c r="J77" s="153">
        <v>261.0</v>
      </c>
      <c r="K77" s="153">
        <v>0.5305</v>
      </c>
      <c r="L77" s="153">
        <v>1.5629</v>
      </c>
      <c r="M77" s="153">
        <v>261.0</v>
      </c>
    </row>
    <row r="78">
      <c r="A78" s="250">
        <v>46240.0</v>
      </c>
      <c r="B78" s="153" t="s">
        <v>137</v>
      </c>
      <c r="C78" s="153" t="s">
        <v>5</v>
      </c>
      <c r="D78" s="153" t="s">
        <v>434</v>
      </c>
      <c r="E78" s="153" t="s">
        <v>436</v>
      </c>
      <c r="F78" s="153" t="s">
        <v>429</v>
      </c>
      <c r="G78" s="153">
        <v>492.0</v>
      </c>
      <c r="H78" s="153">
        <v>168.0</v>
      </c>
      <c r="I78" s="153">
        <v>34.15</v>
      </c>
      <c r="J78" s="153">
        <v>250.0</v>
      </c>
      <c r="K78" s="153">
        <v>0.5081</v>
      </c>
      <c r="L78" s="153">
        <v>1.4881</v>
      </c>
      <c r="M78" s="153">
        <v>250.0</v>
      </c>
    </row>
    <row r="79">
      <c r="A79" s="250">
        <v>46240.0</v>
      </c>
      <c r="B79" s="153" t="s">
        <v>137</v>
      </c>
      <c r="C79" s="153" t="s">
        <v>5</v>
      </c>
      <c r="D79" s="153" t="s">
        <v>434</v>
      </c>
      <c r="E79" s="153" t="s">
        <v>437</v>
      </c>
      <c r="F79" s="153" t="s">
        <v>429</v>
      </c>
      <c r="G79" s="153">
        <v>492.0</v>
      </c>
      <c r="H79" s="153">
        <v>197.0</v>
      </c>
      <c r="I79" s="153">
        <v>40.04</v>
      </c>
      <c r="J79" s="153">
        <v>466.0</v>
      </c>
      <c r="K79" s="153">
        <v>0.9472</v>
      </c>
      <c r="L79" s="153">
        <v>2.3655</v>
      </c>
      <c r="M79" s="153">
        <v>466.0</v>
      </c>
    </row>
    <row r="80">
      <c r="A80" s="250">
        <v>46240.0</v>
      </c>
      <c r="B80" s="153" t="s">
        <v>137</v>
      </c>
      <c r="C80" s="153" t="s">
        <v>5</v>
      </c>
      <c r="D80" s="153" t="s">
        <v>438</v>
      </c>
      <c r="E80" s="153" t="s">
        <v>439</v>
      </c>
      <c r="F80" s="153" t="s">
        <v>440</v>
      </c>
      <c r="G80" s="153">
        <v>492.0</v>
      </c>
      <c r="H80" s="153">
        <v>168.0</v>
      </c>
      <c r="I80" s="153">
        <v>34.15</v>
      </c>
      <c r="J80" s="153">
        <v>3280.0</v>
      </c>
      <c r="K80" s="153">
        <v>6.6667</v>
      </c>
      <c r="L80" s="153">
        <v>19.5238</v>
      </c>
      <c r="M80" s="153">
        <v>3280.0</v>
      </c>
    </row>
    <row r="81">
      <c r="A81" s="250">
        <v>46240.0</v>
      </c>
      <c r="B81" s="153" t="s">
        <v>137</v>
      </c>
      <c r="C81" s="153" t="s">
        <v>5</v>
      </c>
      <c r="D81" s="153" t="s">
        <v>441</v>
      </c>
      <c r="E81" s="153" t="s">
        <v>442</v>
      </c>
      <c r="F81" s="153" t="s">
        <v>440</v>
      </c>
      <c r="G81" s="153">
        <v>492.0</v>
      </c>
      <c r="H81" s="153">
        <v>122.0</v>
      </c>
      <c r="I81" s="153">
        <v>24.8</v>
      </c>
      <c r="J81" s="153">
        <v>1700.0</v>
      </c>
      <c r="K81" s="153">
        <v>3.4553</v>
      </c>
      <c r="L81" s="153">
        <v>13.9344</v>
      </c>
      <c r="M81" s="153">
        <v>1700.0</v>
      </c>
    </row>
    <row r="82">
      <c r="A82" s="250">
        <v>46240.0</v>
      </c>
      <c r="B82" s="153" t="s">
        <v>137</v>
      </c>
      <c r="C82" s="153" t="s">
        <v>5</v>
      </c>
      <c r="D82" s="153" t="s">
        <v>441</v>
      </c>
      <c r="E82" s="153" t="s">
        <v>443</v>
      </c>
      <c r="F82" s="153" t="s">
        <v>440</v>
      </c>
      <c r="G82" s="153">
        <v>492.0</v>
      </c>
      <c r="H82" s="153">
        <v>43.0</v>
      </c>
      <c r="I82" s="153">
        <v>8.74</v>
      </c>
      <c r="J82" s="153">
        <v>510.0</v>
      </c>
      <c r="K82" s="153">
        <v>1.0366</v>
      </c>
      <c r="L82" s="153">
        <v>11.8605</v>
      </c>
      <c r="M82" s="153">
        <v>510.0</v>
      </c>
    </row>
    <row r="83">
      <c r="A83" s="250">
        <v>46240.0</v>
      </c>
      <c r="B83" s="153" t="s">
        <v>137</v>
      </c>
      <c r="C83" s="153" t="s">
        <v>5</v>
      </c>
      <c r="D83" s="153" t="s">
        <v>444</v>
      </c>
      <c r="E83" s="153" t="s">
        <v>445</v>
      </c>
      <c r="F83" s="153" t="s">
        <v>440</v>
      </c>
      <c r="G83" s="153">
        <v>492.0</v>
      </c>
      <c r="H83" s="153">
        <v>251.0</v>
      </c>
      <c r="I83" s="153">
        <v>51.02</v>
      </c>
      <c r="J83" s="153">
        <v>16895.0</v>
      </c>
      <c r="K83" s="153">
        <v>34.3394</v>
      </c>
      <c r="L83" s="153">
        <v>67.3108</v>
      </c>
      <c r="M83" s="153">
        <v>16895.0</v>
      </c>
    </row>
    <row r="84">
      <c r="A84" s="250">
        <v>46241.0</v>
      </c>
      <c r="B84" s="153" t="s">
        <v>423</v>
      </c>
      <c r="C84" s="153" t="s">
        <v>5</v>
      </c>
      <c r="D84" s="153" t="s">
        <v>424</v>
      </c>
      <c r="E84" s="153" t="s">
        <v>425</v>
      </c>
      <c r="F84" s="153" t="s">
        <v>426</v>
      </c>
      <c r="G84" s="153">
        <v>7658.0</v>
      </c>
      <c r="H84" s="153">
        <v>36.0</v>
      </c>
      <c r="I84" s="153">
        <v>0.47</v>
      </c>
      <c r="J84" s="153">
        <v>2537.91</v>
      </c>
      <c r="K84" s="153">
        <v>0.3314</v>
      </c>
      <c r="L84" s="153">
        <v>70.4975</v>
      </c>
      <c r="M84" s="153">
        <v>100150.0</v>
      </c>
    </row>
    <row r="85">
      <c r="A85" s="250">
        <v>46241.0</v>
      </c>
      <c r="B85" s="153" t="s">
        <v>423</v>
      </c>
      <c r="C85" s="153" t="s">
        <v>5</v>
      </c>
      <c r="D85" s="153" t="s">
        <v>427</v>
      </c>
      <c r="E85" s="153" t="s">
        <v>428</v>
      </c>
      <c r="F85" s="153" t="s">
        <v>429</v>
      </c>
      <c r="G85" s="153">
        <v>7658.0</v>
      </c>
      <c r="H85" s="153">
        <v>37.0</v>
      </c>
      <c r="I85" s="153">
        <v>0.48</v>
      </c>
      <c r="J85" s="153">
        <v>5160.33</v>
      </c>
      <c r="K85" s="153">
        <v>0.6738</v>
      </c>
      <c r="L85" s="153">
        <v>139.4685</v>
      </c>
      <c r="M85" s="153">
        <v>5315.0</v>
      </c>
    </row>
    <row r="86">
      <c r="A86" s="250">
        <v>46241.0</v>
      </c>
      <c r="B86" s="153" t="s">
        <v>423</v>
      </c>
      <c r="C86" s="153" t="s">
        <v>5</v>
      </c>
      <c r="D86" s="153" t="s">
        <v>430</v>
      </c>
      <c r="E86" s="153" t="s">
        <v>431</v>
      </c>
      <c r="F86" s="153" t="s">
        <v>429</v>
      </c>
      <c r="G86" s="153">
        <v>7658.0</v>
      </c>
      <c r="H86" s="153">
        <v>18.0</v>
      </c>
      <c r="I86" s="153">
        <v>0.24</v>
      </c>
      <c r="J86" s="153">
        <v>600.0</v>
      </c>
      <c r="K86" s="153">
        <v>0.0783</v>
      </c>
      <c r="L86" s="153">
        <v>33.3333</v>
      </c>
      <c r="M86" s="153">
        <v>600.0</v>
      </c>
    </row>
    <row r="87">
      <c r="A87" s="250">
        <v>46241.0</v>
      </c>
      <c r="B87" s="153" t="s">
        <v>423</v>
      </c>
      <c r="C87" s="153" t="s">
        <v>5</v>
      </c>
      <c r="D87" s="153" t="s">
        <v>430</v>
      </c>
      <c r="E87" s="153" t="s">
        <v>432</v>
      </c>
      <c r="F87" s="153" t="s">
        <v>429</v>
      </c>
      <c r="G87" s="153">
        <v>7658.0</v>
      </c>
      <c r="H87" s="153">
        <v>31.0</v>
      </c>
      <c r="I87" s="153">
        <v>0.4</v>
      </c>
      <c r="J87" s="153">
        <v>615.0</v>
      </c>
      <c r="K87" s="153">
        <v>0.0803</v>
      </c>
      <c r="L87" s="153">
        <v>19.8387</v>
      </c>
      <c r="M87" s="153">
        <v>615.0</v>
      </c>
    </row>
    <row r="88">
      <c r="A88" s="250">
        <v>46241.0</v>
      </c>
      <c r="B88" s="153" t="s">
        <v>423</v>
      </c>
      <c r="C88" s="153" t="s">
        <v>5</v>
      </c>
      <c r="D88" s="153" t="s">
        <v>430</v>
      </c>
      <c r="E88" s="153" t="s">
        <v>433</v>
      </c>
      <c r="F88" s="153" t="s">
        <v>429</v>
      </c>
      <c r="G88" s="153">
        <v>7658.0</v>
      </c>
      <c r="H88" s="153">
        <v>30.0</v>
      </c>
      <c r="I88" s="153">
        <v>0.39</v>
      </c>
      <c r="J88" s="153">
        <v>613.0</v>
      </c>
      <c r="K88" s="153">
        <v>0.08</v>
      </c>
      <c r="L88" s="153">
        <v>20.4333</v>
      </c>
      <c r="M88" s="153">
        <v>613.0</v>
      </c>
    </row>
    <row r="89">
      <c r="A89" s="250">
        <v>46241.0</v>
      </c>
      <c r="B89" s="153" t="s">
        <v>423</v>
      </c>
      <c r="C89" s="153" t="s">
        <v>5</v>
      </c>
      <c r="D89" s="153" t="s">
        <v>434</v>
      </c>
      <c r="E89" s="153" t="s">
        <v>435</v>
      </c>
      <c r="F89" s="153" t="s">
        <v>429</v>
      </c>
      <c r="G89" s="153">
        <v>7658.0</v>
      </c>
      <c r="H89" s="153">
        <v>21.0</v>
      </c>
      <c r="I89" s="153">
        <v>0.27</v>
      </c>
      <c r="J89" s="153">
        <v>36.0</v>
      </c>
      <c r="K89" s="153">
        <v>0.0047</v>
      </c>
      <c r="L89" s="153">
        <v>1.7143</v>
      </c>
      <c r="M89" s="153">
        <v>36.0</v>
      </c>
    </row>
    <row r="90">
      <c r="A90" s="250">
        <v>46241.0</v>
      </c>
      <c r="B90" s="153" t="s">
        <v>423</v>
      </c>
      <c r="C90" s="153" t="s">
        <v>5</v>
      </c>
      <c r="D90" s="153" t="s">
        <v>434</v>
      </c>
      <c r="E90" s="153" t="s">
        <v>436</v>
      </c>
      <c r="F90" s="153" t="s">
        <v>429</v>
      </c>
      <c r="G90" s="153">
        <v>7658.0</v>
      </c>
      <c r="H90" s="153">
        <v>21.0</v>
      </c>
      <c r="I90" s="153">
        <v>0.27</v>
      </c>
      <c r="J90" s="153">
        <v>32.0</v>
      </c>
      <c r="K90" s="153">
        <v>0.0042</v>
      </c>
      <c r="L90" s="153">
        <v>1.5238</v>
      </c>
      <c r="M90" s="153">
        <v>32.0</v>
      </c>
    </row>
    <row r="91">
      <c r="A91" s="250">
        <v>46241.0</v>
      </c>
      <c r="B91" s="153" t="s">
        <v>423</v>
      </c>
      <c r="C91" s="153" t="s">
        <v>5</v>
      </c>
      <c r="D91" s="153" t="s">
        <v>434</v>
      </c>
      <c r="E91" s="153" t="s">
        <v>437</v>
      </c>
      <c r="F91" s="153" t="s">
        <v>429</v>
      </c>
      <c r="G91" s="153">
        <v>7658.0</v>
      </c>
      <c r="H91" s="153">
        <v>11.0</v>
      </c>
      <c r="I91" s="153">
        <v>0.14</v>
      </c>
      <c r="J91" s="153">
        <v>25.0</v>
      </c>
      <c r="K91" s="153">
        <v>0.0033</v>
      </c>
      <c r="L91" s="153">
        <v>2.2727</v>
      </c>
      <c r="M91" s="153">
        <v>25.0</v>
      </c>
    </row>
    <row r="92">
      <c r="A92" s="250">
        <v>46241.0</v>
      </c>
      <c r="B92" s="153" t="s">
        <v>423</v>
      </c>
      <c r="C92" s="153" t="s">
        <v>5</v>
      </c>
      <c r="D92" s="153" t="s">
        <v>438</v>
      </c>
      <c r="E92" s="153" t="s">
        <v>439</v>
      </c>
      <c r="F92" s="153" t="s">
        <v>440</v>
      </c>
      <c r="G92" s="153">
        <v>7658.0</v>
      </c>
      <c r="H92" s="153">
        <v>14.0</v>
      </c>
      <c r="I92" s="153">
        <v>0.18</v>
      </c>
      <c r="J92" s="153">
        <v>240.0</v>
      </c>
      <c r="K92" s="153">
        <v>0.0313</v>
      </c>
      <c r="L92" s="153">
        <v>17.1429</v>
      </c>
      <c r="M92" s="153">
        <v>240.0</v>
      </c>
    </row>
    <row r="93">
      <c r="A93" s="250">
        <v>46241.0</v>
      </c>
      <c r="B93" s="153" t="s">
        <v>423</v>
      </c>
      <c r="C93" s="153" t="s">
        <v>5</v>
      </c>
      <c r="D93" s="153" t="s">
        <v>441</v>
      </c>
      <c r="E93" s="153" t="s">
        <v>442</v>
      </c>
      <c r="F93" s="153" t="s">
        <v>440</v>
      </c>
      <c r="G93" s="153">
        <v>7658.0</v>
      </c>
      <c r="H93" s="153">
        <v>1.0</v>
      </c>
      <c r="I93" s="153">
        <v>0.01</v>
      </c>
      <c r="J93" s="153">
        <v>10.0</v>
      </c>
      <c r="K93" s="153">
        <v>0.0013</v>
      </c>
      <c r="L93" s="153">
        <v>10.0</v>
      </c>
      <c r="M93" s="153">
        <v>10.0</v>
      </c>
    </row>
    <row r="94">
      <c r="A94" s="250">
        <v>46241.0</v>
      </c>
      <c r="B94" s="153" t="s">
        <v>423</v>
      </c>
      <c r="C94" s="153" t="s">
        <v>5</v>
      </c>
      <c r="D94" s="153" t="s">
        <v>441</v>
      </c>
      <c r="E94" s="153" t="s">
        <v>443</v>
      </c>
      <c r="F94" s="153" t="s">
        <v>440</v>
      </c>
      <c r="G94" s="153">
        <v>7658.0</v>
      </c>
      <c r="H94" s="153">
        <v>7.0</v>
      </c>
      <c r="I94" s="153">
        <v>0.09</v>
      </c>
      <c r="J94" s="153">
        <v>80.0</v>
      </c>
      <c r="K94" s="153">
        <v>0.0104</v>
      </c>
      <c r="L94" s="153">
        <v>11.4286</v>
      </c>
      <c r="M94" s="153">
        <v>80.0</v>
      </c>
    </row>
    <row r="95">
      <c r="A95" s="250">
        <v>46241.0</v>
      </c>
      <c r="B95" s="153" t="s">
        <v>423</v>
      </c>
      <c r="C95" s="153" t="s">
        <v>5</v>
      </c>
      <c r="D95" s="153" t="s">
        <v>444</v>
      </c>
      <c r="E95" s="153" t="s">
        <v>445</v>
      </c>
      <c r="F95" s="153" t="s">
        <v>440</v>
      </c>
      <c r="G95" s="153">
        <v>7658.0</v>
      </c>
      <c r="H95" s="153">
        <v>14.0</v>
      </c>
      <c r="I95" s="153">
        <v>0.18</v>
      </c>
      <c r="J95" s="153">
        <v>500.0</v>
      </c>
      <c r="K95" s="153">
        <v>0.0653</v>
      </c>
      <c r="L95" s="153">
        <v>35.7143</v>
      </c>
      <c r="M95" s="153">
        <v>500.0</v>
      </c>
    </row>
    <row r="96">
      <c r="A96" s="250">
        <v>46241.0</v>
      </c>
      <c r="B96" s="153" t="s">
        <v>133</v>
      </c>
      <c r="C96" s="153" t="s">
        <v>5</v>
      </c>
      <c r="D96" s="153" t="s">
        <v>424</v>
      </c>
      <c r="E96" s="153" t="s">
        <v>425</v>
      </c>
      <c r="F96" s="153" t="s">
        <v>426</v>
      </c>
      <c r="G96" s="153">
        <v>11160.0</v>
      </c>
      <c r="H96" s="153">
        <v>176.0</v>
      </c>
      <c r="I96" s="153">
        <v>1.58</v>
      </c>
      <c r="J96" s="153">
        <v>2667.83</v>
      </c>
      <c r="K96" s="153">
        <v>0.2391</v>
      </c>
      <c r="L96" s="153">
        <v>15.1581</v>
      </c>
      <c r="M96" s="153">
        <v>3050.0</v>
      </c>
    </row>
    <row r="97">
      <c r="A97" s="250">
        <v>46241.0</v>
      </c>
      <c r="B97" s="153" t="s">
        <v>133</v>
      </c>
      <c r="C97" s="153" t="s">
        <v>5</v>
      </c>
      <c r="D97" s="153" t="s">
        <v>427</v>
      </c>
      <c r="E97" s="153" t="s">
        <v>428</v>
      </c>
      <c r="F97" s="153" t="s">
        <v>429</v>
      </c>
      <c r="G97" s="153">
        <v>11160.0</v>
      </c>
      <c r="H97" s="153">
        <v>198.0</v>
      </c>
      <c r="I97" s="153">
        <v>1.77</v>
      </c>
      <c r="J97" s="153">
        <v>8596.89</v>
      </c>
      <c r="K97" s="153">
        <v>0.7703</v>
      </c>
      <c r="L97" s="153">
        <v>43.4186</v>
      </c>
      <c r="M97" s="153">
        <v>9120.0</v>
      </c>
    </row>
    <row r="98">
      <c r="A98" s="250">
        <v>46241.0</v>
      </c>
      <c r="B98" s="153" t="s">
        <v>133</v>
      </c>
      <c r="C98" s="153" t="s">
        <v>5</v>
      </c>
      <c r="D98" s="153" t="s">
        <v>430</v>
      </c>
      <c r="E98" s="153" t="s">
        <v>431</v>
      </c>
      <c r="F98" s="153" t="s">
        <v>429</v>
      </c>
      <c r="G98" s="153">
        <v>11160.0</v>
      </c>
      <c r="H98" s="153">
        <v>21.0</v>
      </c>
      <c r="I98" s="153">
        <v>0.19</v>
      </c>
      <c r="J98" s="153">
        <v>22.0</v>
      </c>
      <c r="K98" s="153">
        <v>0.002</v>
      </c>
      <c r="L98" s="153">
        <v>1.0476</v>
      </c>
      <c r="M98" s="153">
        <v>22.0</v>
      </c>
    </row>
    <row r="99">
      <c r="A99" s="250">
        <v>46241.0</v>
      </c>
      <c r="B99" s="153" t="s">
        <v>133</v>
      </c>
      <c r="C99" s="153" t="s">
        <v>5</v>
      </c>
      <c r="D99" s="153" t="s">
        <v>430</v>
      </c>
      <c r="E99" s="153" t="s">
        <v>432</v>
      </c>
      <c r="F99" s="153" t="s">
        <v>429</v>
      </c>
      <c r="G99" s="153">
        <v>11160.0</v>
      </c>
      <c r="H99" s="153">
        <v>127.0</v>
      </c>
      <c r="I99" s="153">
        <v>1.14</v>
      </c>
      <c r="J99" s="153">
        <v>194.0</v>
      </c>
      <c r="K99" s="153">
        <v>0.0174</v>
      </c>
      <c r="L99" s="153">
        <v>1.5276</v>
      </c>
      <c r="M99" s="153">
        <v>194.0</v>
      </c>
    </row>
    <row r="100">
      <c r="A100" s="250">
        <v>46241.0</v>
      </c>
      <c r="B100" s="153" t="s">
        <v>133</v>
      </c>
      <c r="C100" s="153" t="s">
        <v>5</v>
      </c>
      <c r="D100" s="153" t="s">
        <v>430</v>
      </c>
      <c r="E100" s="153" t="s">
        <v>433</v>
      </c>
      <c r="F100" s="153" t="s">
        <v>429</v>
      </c>
      <c r="G100" s="153">
        <v>11160.0</v>
      </c>
      <c r="H100" s="153">
        <v>61.0</v>
      </c>
      <c r="I100" s="153">
        <v>0.55</v>
      </c>
      <c r="J100" s="153">
        <v>70.0</v>
      </c>
      <c r="K100" s="153">
        <v>0.0063</v>
      </c>
      <c r="L100" s="153">
        <v>1.1475</v>
      </c>
      <c r="M100" s="153">
        <v>70.0</v>
      </c>
    </row>
    <row r="101">
      <c r="A101" s="250">
        <v>46241.0</v>
      </c>
      <c r="B101" s="153" t="s">
        <v>133</v>
      </c>
      <c r="C101" s="153" t="s">
        <v>5</v>
      </c>
      <c r="D101" s="153" t="s">
        <v>434</v>
      </c>
      <c r="E101" s="153" t="s">
        <v>435</v>
      </c>
      <c r="F101" s="153" t="s">
        <v>429</v>
      </c>
      <c r="G101" s="153">
        <v>11160.0</v>
      </c>
      <c r="H101" s="153">
        <v>102.0</v>
      </c>
      <c r="I101" s="153">
        <v>0.91</v>
      </c>
      <c r="J101" s="153">
        <v>107.0</v>
      </c>
      <c r="K101" s="153">
        <v>0.0096</v>
      </c>
      <c r="L101" s="153">
        <v>1.049</v>
      </c>
      <c r="M101" s="153">
        <v>107.0</v>
      </c>
    </row>
    <row r="102">
      <c r="A102" s="250">
        <v>46241.0</v>
      </c>
      <c r="B102" s="153" t="s">
        <v>133</v>
      </c>
      <c r="C102" s="153" t="s">
        <v>5</v>
      </c>
      <c r="D102" s="153" t="s">
        <v>434</v>
      </c>
      <c r="E102" s="153" t="s">
        <v>436</v>
      </c>
      <c r="F102" s="153" t="s">
        <v>429</v>
      </c>
      <c r="G102" s="153">
        <v>11160.0</v>
      </c>
      <c r="H102" s="153">
        <v>97.0</v>
      </c>
      <c r="I102" s="153">
        <v>0.87</v>
      </c>
      <c r="J102" s="153">
        <v>111.0</v>
      </c>
      <c r="K102" s="153">
        <v>0.0099</v>
      </c>
      <c r="L102" s="153">
        <v>1.1443</v>
      </c>
      <c r="M102" s="153">
        <v>111.0</v>
      </c>
    </row>
    <row r="103">
      <c r="A103" s="250">
        <v>46241.0</v>
      </c>
      <c r="B103" s="153" t="s">
        <v>133</v>
      </c>
      <c r="C103" s="153" t="s">
        <v>5</v>
      </c>
      <c r="D103" s="153" t="s">
        <v>434</v>
      </c>
      <c r="E103" s="153" t="s">
        <v>437</v>
      </c>
      <c r="F103" s="153" t="s">
        <v>429</v>
      </c>
      <c r="G103" s="153">
        <v>11160.0</v>
      </c>
      <c r="H103" s="153">
        <v>2.0</v>
      </c>
      <c r="I103" s="153">
        <v>0.02</v>
      </c>
      <c r="J103" s="153">
        <v>3.0</v>
      </c>
      <c r="K103" s="153">
        <v>3.0E-4</v>
      </c>
      <c r="L103" s="153">
        <v>1.5</v>
      </c>
      <c r="M103" s="153">
        <v>3.0</v>
      </c>
    </row>
    <row r="104">
      <c r="A104" s="250">
        <v>46241.0</v>
      </c>
      <c r="B104" s="153" t="s">
        <v>133</v>
      </c>
      <c r="C104" s="153" t="s">
        <v>5</v>
      </c>
      <c r="D104" s="153" t="s">
        <v>438</v>
      </c>
      <c r="E104" s="153" t="s">
        <v>439</v>
      </c>
      <c r="F104" s="153" t="s">
        <v>440</v>
      </c>
      <c r="G104" s="153">
        <v>11160.0</v>
      </c>
      <c r="H104" s="153">
        <v>78.0</v>
      </c>
      <c r="I104" s="153">
        <v>0.7</v>
      </c>
      <c r="J104" s="153">
        <v>810.0</v>
      </c>
      <c r="K104" s="153">
        <v>0.0726</v>
      </c>
      <c r="L104" s="153">
        <v>10.3846</v>
      </c>
      <c r="M104" s="153">
        <v>810.0</v>
      </c>
    </row>
    <row r="105">
      <c r="A105" s="250">
        <v>46241.0</v>
      </c>
      <c r="B105" s="153" t="s">
        <v>133</v>
      </c>
      <c r="C105" s="153" t="s">
        <v>5</v>
      </c>
      <c r="D105" s="153" t="s">
        <v>441</v>
      </c>
      <c r="E105" s="153" t="s">
        <v>442</v>
      </c>
      <c r="F105" s="153" t="s">
        <v>440</v>
      </c>
      <c r="G105" s="153">
        <v>11160.0</v>
      </c>
      <c r="H105" s="153">
        <v>21.0</v>
      </c>
      <c r="I105" s="153">
        <v>0.19</v>
      </c>
      <c r="J105" s="153">
        <v>250.0</v>
      </c>
      <c r="K105" s="153">
        <v>0.0224</v>
      </c>
      <c r="L105" s="153">
        <v>11.9048</v>
      </c>
      <c r="M105" s="153">
        <v>250.0</v>
      </c>
    </row>
    <row r="106">
      <c r="A106" s="250">
        <v>46241.0</v>
      </c>
      <c r="B106" s="153" t="s">
        <v>133</v>
      </c>
      <c r="C106" s="153" t="s">
        <v>5</v>
      </c>
      <c r="D106" s="153" t="s">
        <v>444</v>
      </c>
      <c r="E106" s="153" t="s">
        <v>445</v>
      </c>
      <c r="F106" s="153" t="s">
        <v>440</v>
      </c>
      <c r="G106" s="153">
        <v>11160.0</v>
      </c>
      <c r="H106" s="153">
        <v>131.0</v>
      </c>
      <c r="I106" s="153">
        <v>1.17</v>
      </c>
      <c r="J106" s="153">
        <v>2745.0</v>
      </c>
      <c r="K106" s="153">
        <v>0.246</v>
      </c>
      <c r="L106" s="153">
        <v>20.9542</v>
      </c>
      <c r="M106" s="153">
        <v>2745.0</v>
      </c>
    </row>
    <row r="107">
      <c r="A107" s="250">
        <v>46241.0</v>
      </c>
      <c r="B107" s="153" t="s">
        <v>134</v>
      </c>
      <c r="C107" s="153" t="s">
        <v>5</v>
      </c>
      <c r="D107" s="153" t="s">
        <v>424</v>
      </c>
      <c r="E107" s="153" t="s">
        <v>425</v>
      </c>
      <c r="F107" s="153" t="s">
        <v>426</v>
      </c>
      <c r="G107" s="153">
        <v>7957.0</v>
      </c>
      <c r="H107" s="153">
        <v>130.0</v>
      </c>
      <c r="I107" s="153">
        <v>1.63</v>
      </c>
      <c r="J107" s="153">
        <v>2191.43</v>
      </c>
      <c r="K107" s="153">
        <v>0.2754</v>
      </c>
      <c r="L107" s="153">
        <v>16.8571</v>
      </c>
      <c r="M107" s="153">
        <v>2610.0</v>
      </c>
    </row>
    <row r="108">
      <c r="A108" s="250">
        <v>46241.0</v>
      </c>
      <c r="B108" s="153" t="s">
        <v>134</v>
      </c>
      <c r="C108" s="153" t="s">
        <v>5</v>
      </c>
      <c r="D108" s="153" t="s">
        <v>427</v>
      </c>
      <c r="E108" s="153" t="s">
        <v>428</v>
      </c>
      <c r="F108" s="153" t="s">
        <v>429</v>
      </c>
      <c r="G108" s="153">
        <v>7957.0</v>
      </c>
      <c r="H108" s="153">
        <v>213.0</v>
      </c>
      <c r="I108" s="153">
        <v>2.68</v>
      </c>
      <c r="J108" s="153">
        <v>13324.54</v>
      </c>
      <c r="K108" s="153">
        <v>1.6746</v>
      </c>
      <c r="L108" s="153">
        <v>62.5565</v>
      </c>
      <c r="M108" s="153">
        <v>14005.0</v>
      </c>
    </row>
    <row r="109">
      <c r="A109" s="250">
        <v>46241.0</v>
      </c>
      <c r="B109" s="153" t="s">
        <v>134</v>
      </c>
      <c r="C109" s="153" t="s">
        <v>5</v>
      </c>
      <c r="D109" s="153" t="s">
        <v>430</v>
      </c>
      <c r="E109" s="153" t="s">
        <v>431</v>
      </c>
      <c r="F109" s="153" t="s">
        <v>429</v>
      </c>
      <c r="G109" s="153">
        <v>7957.0</v>
      </c>
      <c r="H109" s="153">
        <v>56.0</v>
      </c>
      <c r="I109" s="153">
        <v>0.7</v>
      </c>
      <c r="J109" s="153">
        <v>59.0</v>
      </c>
      <c r="K109" s="153">
        <v>0.0074</v>
      </c>
      <c r="L109" s="153">
        <v>1.0536</v>
      </c>
      <c r="M109" s="153">
        <v>59.0</v>
      </c>
    </row>
    <row r="110">
      <c r="A110" s="250">
        <v>46241.0</v>
      </c>
      <c r="B110" s="153" t="s">
        <v>134</v>
      </c>
      <c r="C110" s="153" t="s">
        <v>5</v>
      </c>
      <c r="D110" s="153" t="s">
        <v>430</v>
      </c>
      <c r="E110" s="153" t="s">
        <v>432</v>
      </c>
      <c r="F110" s="153" t="s">
        <v>429</v>
      </c>
      <c r="G110" s="153">
        <v>7957.0</v>
      </c>
      <c r="H110" s="153">
        <v>122.0</v>
      </c>
      <c r="I110" s="153">
        <v>1.53</v>
      </c>
      <c r="J110" s="153">
        <v>188.0</v>
      </c>
      <c r="K110" s="153">
        <v>0.0236</v>
      </c>
      <c r="L110" s="153">
        <v>1.541</v>
      </c>
      <c r="M110" s="153">
        <v>188.0</v>
      </c>
    </row>
    <row r="111">
      <c r="A111" s="250">
        <v>46241.0</v>
      </c>
      <c r="B111" s="153" t="s">
        <v>134</v>
      </c>
      <c r="C111" s="153" t="s">
        <v>5</v>
      </c>
      <c r="D111" s="153" t="s">
        <v>430</v>
      </c>
      <c r="E111" s="153" t="s">
        <v>433</v>
      </c>
      <c r="F111" s="153" t="s">
        <v>429</v>
      </c>
      <c r="G111" s="153">
        <v>7957.0</v>
      </c>
      <c r="H111" s="153">
        <v>73.0</v>
      </c>
      <c r="I111" s="153">
        <v>0.92</v>
      </c>
      <c r="J111" s="153">
        <v>82.0</v>
      </c>
      <c r="K111" s="153">
        <v>0.0103</v>
      </c>
      <c r="L111" s="153">
        <v>1.1233</v>
      </c>
      <c r="M111" s="153">
        <v>82.0</v>
      </c>
    </row>
    <row r="112">
      <c r="A112" s="250">
        <v>46241.0</v>
      </c>
      <c r="B112" s="153" t="s">
        <v>134</v>
      </c>
      <c r="C112" s="153" t="s">
        <v>5</v>
      </c>
      <c r="D112" s="153" t="s">
        <v>434</v>
      </c>
      <c r="E112" s="153" t="s">
        <v>435</v>
      </c>
      <c r="F112" s="153" t="s">
        <v>429</v>
      </c>
      <c r="G112" s="153">
        <v>7957.0</v>
      </c>
      <c r="H112" s="153">
        <v>73.0</v>
      </c>
      <c r="I112" s="153">
        <v>0.92</v>
      </c>
      <c r="J112" s="153">
        <v>77.0</v>
      </c>
      <c r="K112" s="153">
        <v>0.0097</v>
      </c>
      <c r="L112" s="153">
        <v>1.0548</v>
      </c>
      <c r="M112" s="153">
        <v>77.0</v>
      </c>
    </row>
    <row r="113">
      <c r="A113" s="250">
        <v>46241.0</v>
      </c>
      <c r="B113" s="153" t="s">
        <v>134</v>
      </c>
      <c r="C113" s="153" t="s">
        <v>5</v>
      </c>
      <c r="D113" s="153" t="s">
        <v>434</v>
      </c>
      <c r="E113" s="153" t="s">
        <v>436</v>
      </c>
      <c r="F113" s="153" t="s">
        <v>429</v>
      </c>
      <c r="G113" s="153">
        <v>7957.0</v>
      </c>
      <c r="H113" s="153">
        <v>70.0</v>
      </c>
      <c r="I113" s="153">
        <v>0.88</v>
      </c>
      <c r="J113" s="153">
        <v>86.0</v>
      </c>
      <c r="K113" s="153">
        <v>0.0108</v>
      </c>
      <c r="L113" s="153">
        <v>1.2286</v>
      </c>
      <c r="M113" s="153">
        <v>86.0</v>
      </c>
    </row>
    <row r="114">
      <c r="A114" s="250">
        <v>46241.0</v>
      </c>
      <c r="B114" s="153" t="s">
        <v>134</v>
      </c>
      <c r="C114" s="153" t="s">
        <v>5</v>
      </c>
      <c r="D114" s="153" t="s">
        <v>434</v>
      </c>
      <c r="E114" s="153" t="s">
        <v>437</v>
      </c>
      <c r="F114" s="153" t="s">
        <v>429</v>
      </c>
      <c r="G114" s="153">
        <v>7957.0</v>
      </c>
      <c r="H114" s="153">
        <v>34.0</v>
      </c>
      <c r="I114" s="153">
        <v>0.43</v>
      </c>
      <c r="J114" s="153">
        <v>35.0</v>
      </c>
      <c r="K114" s="153">
        <v>0.0044</v>
      </c>
      <c r="L114" s="153">
        <v>1.0294</v>
      </c>
      <c r="M114" s="153">
        <v>35.0</v>
      </c>
    </row>
    <row r="115">
      <c r="A115" s="250">
        <v>46241.0</v>
      </c>
      <c r="B115" s="153" t="s">
        <v>134</v>
      </c>
      <c r="C115" s="153" t="s">
        <v>5</v>
      </c>
      <c r="D115" s="153" t="s">
        <v>438</v>
      </c>
      <c r="E115" s="153" t="s">
        <v>439</v>
      </c>
      <c r="F115" s="153" t="s">
        <v>440</v>
      </c>
      <c r="G115" s="153">
        <v>7957.0</v>
      </c>
      <c r="H115" s="153">
        <v>61.0</v>
      </c>
      <c r="I115" s="153">
        <v>0.77</v>
      </c>
      <c r="J115" s="153">
        <v>660.0</v>
      </c>
      <c r="K115" s="153">
        <v>0.0829</v>
      </c>
      <c r="L115" s="153">
        <v>10.8197</v>
      </c>
      <c r="M115" s="153">
        <v>660.0</v>
      </c>
    </row>
    <row r="116">
      <c r="A116" s="250">
        <v>46241.0</v>
      </c>
      <c r="B116" s="153" t="s">
        <v>134</v>
      </c>
      <c r="C116" s="153" t="s">
        <v>5</v>
      </c>
      <c r="D116" s="153" t="s">
        <v>441</v>
      </c>
      <c r="E116" s="153" t="s">
        <v>442</v>
      </c>
      <c r="F116" s="153" t="s">
        <v>440</v>
      </c>
      <c r="G116" s="153">
        <v>7957.0</v>
      </c>
      <c r="H116" s="153">
        <v>75.0</v>
      </c>
      <c r="I116" s="153">
        <v>0.94</v>
      </c>
      <c r="J116" s="153">
        <v>860.0</v>
      </c>
      <c r="K116" s="153">
        <v>0.1081</v>
      </c>
      <c r="L116" s="153">
        <v>11.4667</v>
      </c>
      <c r="M116" s="153">
        <v>860.0</v>
      </c>
    </row>
    <row r="117">
      <c r="A117" s="250">
        <v>46241.0</v>
      </c>
      <c r="B117" s="153" t="s">
        <v>134</v>
      </c>
      <c r="C117" s="153" t="s">
        <v>5</v>
      </c>
      <c r="D117" s="153" t="s">
        <v>444</v>
      </c>
      <c r="E117" s="153" t="s">
        <v>445</v>
      </c>
      <c r="F117" s="153" t="s">
        <v>440</v>
      </c>
      <c r="G117" s="153">
        <v>7957.0</v>
      </c>
      <c r="H117" s="153">
        <v>136.0</v>
      </c>
      <c r="I117" s="153">
        <v>1.71</v>
      </c>
      <c r="J117" s="153">
        <v>4145.0</v>
      </c>
      <c r="K117" s="153">
        <v>0.5209</v>
      </c>
      <c r="L117" s="153">
        <v>30.4779</v>
      </c>
      <c r="M117" s="153">
        <v>4145.0</v>
      </c>
    </row>
    <row r="118">
      <c r="A118" s="250">
        <v>46241.0</v>
      </c>
      <c r="B118" s="153" t="s">
        <v>135</v>
      </c>
      <c r="C118" s="153" t="s">
        <v>4</v>
      </c>
      <c r="D118" s="153" t="s">
        <v>427</v>
      </c>
      <c r="E118" s="153" t="s">
        <v>428</v>
      </c>
      <c r="F118" s="153" t="s">
        <v>429</v>
      </c>
      <c r="G118" s="153">
        <v>6221.0</v>
      </c>
      <c r="H118" s="153">
        <v>1.0</v>
      </c>
      <c r="I118" s="153">
        <v>0.02</v>
      </c>
      <c r="J118" s="153">
        <v>125.0</v>
      </c>
      <c r="K118" s="153">
        <v>0.0201</v>
      </c>
      <c r="L118" s="153">
        <v>125.0</v>
      </c>
      <c r="M118" s="153">
        <v>125.0</v>
      </c>
    </row>
    <row r="119">
      <c r="A119" s="250">
        <v>46241.0</v>
      </c>
      <c r="B119" s="153" t="s">
        <v>135</v>
      </c>
      <c r="C119" s="153" t="s">
        <v>5</v>
      </c>
      <c r="D119" s="153" t="s">
        <v>424</v>
      </c>
      <c r="E119" s="153" t="s">
        <v>425</v>
      </c>
      <c r="F119" s="153" t="s">
        <v>426</v>
      </c>
      <c r="G119" s="153">
        <v>6048.0</v>
      </c>
      <c r="H119" s="153">
        <v>129.0</v>
      </c>
      <c r="I119" s="153">
        <v>2.13</v>
      </c>
      <c r="J119" s="153">
        <v>2424.21</v>
      </c>
      <c r="K119" s="153">
        <v>0.4008</v>
      </c>
      <c r="L119" s="153">
        <v>18.7924</v>
      </c>
      <c r="M119" s="153">
        <v>2760.0</v>
      </c>
    </row>
    <row r="120">
      <c r="A120" s="250">
        <v>46241.0</v>
      </c>
      <c r="B120" s="153" t="s">
        <v>135</v>
      </c>
      <c r="C120" s="153" t="s">
        <v>5</v>
      </c>
      <c r="D120" s="153" t="s">
        <v>427</v>
      </c>
      <c r="E120" s="153" t="s">
        <v>428</v>
      </c>
      <c r="F120" s="153" t="s">
        <v>429</v>
      </c>
      <c r="G120" s="153">
        <v>6048.0</v>
      </c>
      <c r="H120" s="153">
        <v>189.0</v>
      </c>
      <c r="I120" s="153">
        <v>3.13</v>
      </c>
      <c r="J120" s="153">
        <v>16055.49</v>
      </c>
      <c r="K120" s="153">
        <v>2.6547</v>
      </c>
      <c r="L120" s="153">
        <v>84.9497</v>
      </c>
      <c r="M120" s="153">
        <v>16545.0</v>
      </c>
    </row>
    <row r="121">
      <c r="A121" s="250">
        <v>46241.0</v>
      </c>
      <c r="B121" s="153" t="s">
        <v>135</v>
      </c>
      <c r="C121" s="153" t="s">
        <v>5</v>
      </c>
      <c r="D121" s="153" t="s">
        <v>430</v>
      </c>
      <c r="E121" s="153" t="s">
        <v>431</v>
      </c>
      <c r="F121" s="153" t="s">
        <v>429</v>
      </c>
      <c r="G121" s="153">
        <v>6048.0</v>
      </c>
      <c r="H121" s="153">
        <v>46.0</v>
      </c>
      <c r="I121" s="153">
        <v>0.76</v>
      </c>
      <c r="J121" s="153">
        <v>48.0</v>
      </c>
      <c r="K121" s="153">
        <v>0.0079</v>
      </c>
      <c r="L121" s="153">
        <v>1.0435</v>
      </c>
      <c r="M121" s="153">
        <v>48.0</v>
      </c>
    </row>
    <row r="122">
      <c r="A122" s="250">
        <v>46241.0</v>
      </c>
      <c r="B122" s="153" t="s">
        <v>135</v>
      </c>
      <c r="C122" s="153" t="s">
        <v>5</v>
      </c>
      <c r="D122" s="153" t="s">
        <v>430</v>
      </c>
      <c r="E122" s="153" t="s">
        <v>432</v>
      </c>
      <c r="F122" s="153" t="s">
        <v>429</v>
      </c>
      <c r="G122" s="153">
        <v>6048.0</v>
      </c>
      <c r="H122" s="153">
        <v>111.0</v>
      </c>
      <c r="I122" s="153">
        <v>1.84</v>
      </c>
      <c r="J122" s="153">
        <v>158.0</v>
      </c>
      <c r="K122" s="153">
        <v>0.0261</v>
      </c>
      <c r="L122" s="153">
        <v>1.4234</v>
      </c>
      <c r="M122" s="153">
        <v>158.0</v>
      </c>
    </row>
    <row r="123">
      <c r="A123" s="250">
        <v>46241.0</v>
      </c>
      <c r="B123" s="153" t="s">
        <v>135</v>
      </c>
      <c r="C123" s="153" t="s">
        <v>5</v>
      </c>
      <c r="D123" s="153" t="s">
        <v>430</v>
      </c>
      <c r="E123" s="153" t="s">
        <v>433</v>
      </c>
      <c r="F123" s="153" t="s">
        <v>429</v>
      </c>
      <c r="G123" s="153">
        <v>6048.0</v>
      </c>
      <c r="H123" s="153">
        <v>71.0</v>
      </c>
      <c r="I123" s="153">
        <v>1.17</v>
      </c>
      <c r="J123" s="153">
        <v>76.0</v>
      </c>
      <c r="K123" s="153">
        <v>0.0126</v>
      </c>
      <c r="L123" s="153">
        <v>1.0704</v>
      </c>
      <c r="M123" s="153">
        <v>76.0</v>
      </c>
    </row>
    <row r="124">
      <c r="A124" s="250">
        <v>46241.0</v>
      </c>
      <c r="B124" s="153" t="s">
        <v>135</v>
      </c>
      <c r="C124" s="153" t="s">
        <v>5</v>
      </c>
      <c r="D124" s="153" t="s">
        <v>434</v>
      </c>
      <c r="E124" s="153" t="s">
        <v>435</v>
      </c>
      <c r="F124" s="153" t="s">
        <v>429</v>
      </c>
      <c r="G124" s="153">
        <v>6048.0</v>
      </c>
      <c r="H124" s="153">
        <v>95.0</v>
      </c>
      <c r="I124" s="153">
        <v>1.57</v>
      </c>
      <c r="J124" s="153">
        <v>127.0</v>
      </c>
      <c r="K124" s="153">
        <v>0.021</v>
      </c>
      <c r="L124" s="153">
        <v>1.3368</v>
      </c>
      <c r="M124" s="153">
        <v>127.0</v>
      </c>
    </row>
    <row r="125">
      <c r="A125" s="250">
        <v>46241.0</v>
      </c>
      <c r="B125" s="153" t="s">
        <v>135</v>
      </c>
      <c r="C125" s="153" t="s">
        <v>5</v>
      </c>
      <c r="D125" s="153" t="s">
        <v>434</v>
      </c>
      <c r="E125" s="153" t="s">
        <v>436</v>
      </c>
      <c r="F125" s="153" t="s">
        <v>429</v>
      </c>
      <c r="G125" s="153">
        <v>6048.0</v>
      </c>
      <c r="H125" s="153">
        <v>61.0</v>
      </c>
      <c r="I125" s="153">
        <v>1.01</v>
      </c>
      <c r="J125" s="153">
        <v>76.0</v>
      </c>
      <c r="K125" s="153">
        <v>0.0126</v>
      </c>
      <c r="L125" s="153">
        <v>1.2459</v>
      </c>
      <c r="M125" s="153">
        <v>76.0</v>
      </c>
    </row>
    <row r="126">
      <c r="A126" s="250">
        <v>46241.0</v>
      </c>
      <c r="B126" s="153" t="s">
        <v>135</v>
      </c>
      <c r="C126" s="153" t="s">
        <v>5</v>
      </c>
      <c r="D126" s="153" t="s">
        <v>434</v>
      </c>
      <c r="E126" s="153" t="s">
        <v>437</v>
      </c>
      <c r="F126" s="153" t="s">
        <v>429</v>
      </c>
      <c r="G126" s="153">
        <v>6048.0</v>
      </c>
      <c r="H126" s="153">
        <v>47.0</v>
      </c>
      <c r="I126" s="153">
        <v>0.78</v>
      </c>
      <c r="J126" s="153">
        <v>50.0</v>
      </c>
      <c r="K126" s="153">
        <v>0.0083</v>
      </c>
      <c r="L126" s="153">
        <v>1.0638</v>
      </c>
      <c r="M126" s="153">
        <v>50.0</v>
      </c>
    </row>
    <row r="127">
      <c r="A127" s="250">
        <v>46241.0</v>
      </c>
      <c r="B127" s="153" t="s">
        <v>135</v>
      </c>
      <c r="C127" s="153" t="s">
        <v>5</v>
      </c>
      <c r="D127" s="153" t="s">
        <v>438</v>
      </c>
      <c r="E127" s="153" t="s">
        <v>439</v>
      </c>
      <c r="F127" s="153" t="s">
        <v>440</v>
      </c>
      <c r="G127" s="153">
        <v>6048.0</v>
      </c>
      <c r="H127" s="153">
        <v>78.0</v>
      </c>
      <c r="I127" s="153">
        <v>1.29</v>
      </c>
      <c r="J127" s="153">
        <v>1270.0</v>
      </c>
      <c r="K127" s="153">
        <v>0.21</v>
      </c>
      <c r="L127" s="153">
        <v>16.2821</v>
      </c>
      <c r="M127" s="153">
        <v>1270.0</v>
      </c>
    </row>
    <row r="128">
      <c r="A128" s="250">
        <v>46241.0</v>
      </c>
      <c r="B128" s="153" t="s">
        <v>135</v>
      </c>
      <c r="C128" s="153" t="s">
        <v>5</v>
      </c>
      <c r="D128" s="153" t="s">
        <v>441</v>
      </c>
      <c r="E128" s="153" t="s">
        <v>442</v>
      </c>
      <c r="F128" s="153" t="s">
        <v>440</v>
      </c>
      <c r="G128" s="153">
        <v>6048.0</v>
      </c>
      <c r="H128" s="153">
        <v>57.0</v>
      </c>
      <c r="I128" s="153">
        <v>0.94</v>
      </c>
      <c r="J128" s="153">
        <v>650.0</v>
      </c>
      <c r="K128" s="153">
        <v>0.1075</v>
      </c>
      <c r="L128" s="153">
        <v>11.4035</v>
      </c>
      <c r="M128" s="153">
        <v>650.0</v>
      </c>
    </row>
    <row r="129">
      <c r="A129" s="250">
        <v>46241.0</v>
      </c>
      <c r="B129" s="153" t="s">
        <v>135</v>
      </c>
      <c r="C129" s="153" t="s">
        <v>5</v>
      </c>
      <c r="D129" s="153" t="s">
        <v>441</v>
      </c>
      <c r="E129" s="153" t="s">
        <v>443</v>
      </c>
      <c r="F129" s="153" t="s">
        <v>440</v>
      </c>
      <c r="G129" s="153">
        <v>6048.0</v>
      </c>
      <c r="H129" s="153">
        <v>6.0</v>
      </c>
      <c r="I129" s="153">
        <v>0.1</v>
      </c>
      <c r="J129" s="153">
        <v>60.0</v>
      </c>
      <c r="K129" s="153">
        <v>0.0099</v>
      </c>
      <c r="L129" s="153">
        <v>10.0</v>
      </c>
      <c r="M129" s="153">
        <v>60.0</v>
      </c>
    </row>
    <row r="130">
      <c r="A130" s="250">
        <v>46241.0</v>
      </c>
      <c r="B130" s="153" t="s">
        <v>135</v>
      </c>
      <c r="C130" s="153" t="s">
        <v>5</v>
      </c>
      <c r="D130" s="153" t="s">
        <v>444</v>
      </c>
      <c r="E130" s="153" t="s">
        <v>445</v>
      </c>
      <c r="F130" s="153" t="s">
        <v>440</v>
      </c>
      <c r="G130" s="153">
        <v>6048.0</v>
      </c>
      <c r="H130" s="153">
        <v>117.0</v>
      </c>
      <c r="I130" s="153">
        <v>1.93</v>
      </c>
      <c r="J130" s="153">
        <v>3780.0</v>
      </c>
      <c r="K130" s="153">
        <v>0.625</v>
      </c>
      <c r="L130" s="153">
        <v>32.3077</v>
      </c>
      <c r="M130" s="153">
        <v>3780.0</v>
      </c>
    </row>
    <row r="131">
      <c r="A131" s="250">
        <v>46241.0</v>
      </c>
      <c r="B131" s="153" t="s">
        <v>136</v>
      </c>
      <c r="C131" s="153" t="s">
        <v>5</v>
      </c>
      <c r="D131" s="153" t="s">
        <v>424</v>
      </c>
      <c r="E131" s="153" t="s">
        <v>425</v>
      </c>
      <c r="F131" s="153" t="s">
        <v>426</v>
      </c>
      <c r="G131" s="153">
        <v>3551.0</v>
      </c>
      <c r="H131" s="153">
        <v>73.0</v>
      </c>
      <c r="I131" s="153">
        <v>2.06</v>
      </c>
      <c r="J131" s="153">
        <v>2656.8</v>
      </c>
      <c r="K131" s="153">
        <v>0.7482</v>
      </c>
      <c r="L131" s="153">
        <v>36.3945</v>
      </c>
      <c r="M131" s="153">
        <v>2880.0</v>
      </c>
    </row>
    <row r="132">
      <c r="A132" s="250">
        <v>46241.0</v>
      </c>
      <c r="B132" s="153" t="s">
        <v>136</v>
      </c>
      <c r="C132" s="153" t="s">
        <v>5</v>
      </c>
      <c r="D132" s="153" t="s">
        <v>427</v>
      </c>
      <c r="E132" s="153" t="s">
        <v>428</v>
      </c>
      <c r="F132" s="153" t="s">
        <v>429</v>
      </c>
      <c r="G132" s="153">
        <v>3551.0</v>
      </c>
      <c r="H132" s="153">
        <v>114.0</v>
      </c>
      <c r="I132" s="153">
        <v>3.21</v>
      </c>
      <c r="J132" s="153">
        <v>19138.5</v>
      </c>
      <c r="K132" s="153">
        <v>5.3896</v>
      </c>
      <c r="L132" s="153">
        <v>167.8816</v>
      </c>
      <c r="M132" s="153">
        <v>19785.0</v>
      </c>
    </row>
    <row r="133">
      <c r="A133" s="250">
        <v>46241.0</v>
      </c>
      <c r="B133" s="153" t="s">
        <v>136</v>
      </c>
      <c r="C133" s="153" t="s">
        <v>5</v>
      </c>
      <c r="D133" s="153" t="s">
        <v>430</v>
      </c>
      <c r="E133" s="153" t="s">
        <v>431</v>
      </c>
      <c r="F133" s="153" t="s">
        <v>429</v>
      </c>
      <c r="G133" s="153">
        <v>3551.0</v>
      </c>
      <c r="H133" s="153">
        <v>26.0</v>
      </c>
      <c r="I133" s="153">
        <v>0.73</v>
      </c>
      <c r="J133" s="153">
        <v>29.0</v>
      </c>
      <c r="K133" s="153">
        <v>0.0082</v>
      </c>
      <c r="L133" s="153">
        <v>1.1154</v>
      </c>
      <c r="M133" s="153">
        <v>29.0</v>
      </c>
    </row>
    <row r="134">
      <c r="A134" s="250">
        <v>46241.0</v>
      </c>
      <c r="B134" s="153" t="s">
        <v>136</v>
      </c>
      <c r="C134" s="153" t="s">
        <v>5</v>
      </c>
      <c r="D134" s="153" t="s">
        <v>430</v>
      </c>
      <c r="E134" s="153" t="s">
        <v>432</v>
      </c>
      <c r="F134" s="153" t="s">
        <v>429</v>
      </c>
      <c r="G134" s="153">
        <v>3551.0</v>
      </c>
      <c r="H134" s="153">
        <v>46.0</v>
      </c>
      <c r="I134" s="153">
        <v>1.3</v>
      </c>
      <c r="J134" s="153">
        <v>72.0</v>
      </c>
      <c r="K134" s="153">
        <v>0.0203</v>
      </c>
      <c r="L134" s="153">
        <v>1.5652</v>
      </c>
      <c r="M134" s="153">
        <v>72.0</v>
      </c>
    </row>
    <row r="135">
      <c r="A135" s="250">
        <v>46241.0</v>
      </c>
      <c r="B135" s="153" t="s">
        <v>136</v>
      </c>
      <c r="C135" s="153" t="s">
        <v>5</v>
      </c>
      <c r="D135" s="153" t="s">
        <v>430</v>
      </c>
      <c r="E135" s="153" t="s">
        <v>433</v>
      </c>
      <c r="F135" s="153" t="s">
        <v>429</v>
      </c>
      <c r="G135" s="153">
        <v>3551.0</v>
      </c>
      <c r="H135" s="153">
        <v>50.0</v>
      </c>
      <c r="I135" s="153">
        <v>1.41</v>
      </c>
      <c r="J135" s="153">
        <v>57.0</v>
      </c>
      <c r="K135" s="153">
        <v>0.0161</v>
      </c>
      <c r="L135" s="153">
        <v>1.14</v>
      </c>
      <c r="M135" s="153">
        <v>57.0</v>
      </c>
    </row>
    <row r="136">
      <c r="A136" s="250">
        <v>46241.0</v>
      </c>
      <c r="B136" s="153" t="s">
        <v>136</v>
      </c>
      <c r="C136" s="153" t="s">
        <v>5</v>
      </c>
      <c r="D136" s="153" t="s">
        <v>434</v>
      </c>
      <c r="E136" s="153" t="s">
        <v>435</v>
      </c>
      <c r="F136" s="153" t="s">
        <v>429</v>
      </c>
      <c r="G136" s="153">
        <v>3551.0</v>
      </c>
      <c r="H136" s="153">
        <v>38.0</v>
      </c>
      <c r="I136" s="153">
        <v>1.07</v>
      </c>
      <c r="J136" s="153">
        <v>62.0</v>
      </c>
      <c r="K136" s="153">
        <v>0.0175</v>
      </c>
      <c r="L136" s="153">
        <v>1.6316</v>
      </c>
      <c r="M136" s="153">
        <v>62.0</v>
      </c>
    </row>
    <row r="137">
      <c r="A137" s="250">
        <v>46241.0</v>
      </c>
      <c r="B137" s="153" t="s">
        <v>136</v>
      </c>
      <c r="C137" s="153" t="s">
        <v>5</v>
      </c>
      <c r="D137" s="153" t="s">
        <v>434</v>
      </c>
      <c r="E137" s="153" t="s">
        <v>436</v>
      </c>
      <c r="F137" s="153" t="s">
        <v>429</v>
      </c>
      <c r="G137" s="153">
        <v>3551.0</v>
      </c>
      <c r="H137" s="153">
        <v>34.0</v>
      </c>
      <c r="I137" s="153">
        <v>0.96</v>
      </c>
      <c r="J137" s="153">
        <v>48.0</v>
      </c>
      <c r="K137" s="153">
        <v>0.0135</v>
      </c>
      <c r="L137" s="153">
        <v>1.4118</v>
      </c>
      <c r="M137" s="153">
        <v>48.0</v>
      </c>
    </row>
    <row r="138">
      <c r="A138" s="250">
        <v>46241.0</v>
      </c>
      <c r="B138" s="153" t="s">
        <v>136</v>
      </c>
      <c r="C138" s="153" t="s">
        <v>5</v>
      </c>
      <c r="D138" s="153" t="s">
        <v>434</v>
      </c>
      <c r="E138" s="153" t="s">
        <v>437</v>
      </c>
      <c r="F138" s="153" t="s">
        <v>429</v>
      </c>
      <c r="G138" s="153">
        <v>3551.0</v>
      </c>
      <c r="H138" s="153">
        <v>32.0</v>
      </c>
      <c r="I138" s="153">
        <v>0.9</v>
      </c>
      <c r="J138" s="153">
        <v>57.0</v>
      </c>
      <c r="K138" s="153">
        <v>0.0161</v>
      </c>
      <c r="L138" s="153">
        <v>1.7813</v>
      </c>
      <c r="M138" s="153">
        <v>57.0</v>
      </c>
    </row>
    <row r="139">
      <c r="A139" s="250">
        <v>46241.0</v>
      </c>
      <c r="B139" s="153" t="s">
        <v>136</v>
      </c>
      <c r="C139" s="153" t="s">
        <v>5</v>
      </c>
      <c r="D139" s="153" t="s">
        <v>438</v>
      </c>
      <c r="E139" s="153" t="s">
        <v>439</v>
      </c>
      <c r="F139" s="153" t="s">
        <v>440</v>
      </c>
      <c r="G139" s="153">
        <v>3551.0</v>
      </c>
      <c r="H139" s="153">
        <v>52.0</v>
      </c>
      <c r="I139" s="153">
        <v>1.46</v>
      </c>
      <c r="J139" s="153">
        <v>880.0</v>
      </c>
      <c r="K139" s="153">
        <v>0.2478</v>
      </c>
      <c r="L139" s="153">
        <v>16.9231</v>
      </c>
      <c r="M139" s="153">
        <v>880.0</v>
      </c>
    </row>
    <row r="140">
      <c r="A140" s="250">
        <v>46241.0</v>
      </c>
      <c r="B140" s="153" t="s">
        <v>136</v>
      </c>
      <c r="C140" s="153" t="s">
        <v>5</v>
      </c>
      <c r="D140" s="153" t="s">
        <v>441</v>
      </c>
      <c r="E140" s="153" t="s">
        <v>442</v>
      </c>
      <c r="F140" s="153" t="s">
        <v>440</v>
      </c>
      <c r="G140" s="153">
        <v>3551.0</v>
      </c>
      <c r="H140" s="153">
        <v>17.0</v>
      </c>
      <c r="I140" s="153">
        <v>0.48</v>
      </c>
      <c r="J140" s="153">
        <v>190.0</v>
      </c>
      <c r="K140" s="153">
        <v>0.0535</v>
      </c>
      <c r="L140" s="153">
        <v>11.1765</v>
      </c>
      <c r="M140" s="153">
        <v>190.0</v>
      </c>
    </row>
    <row r="141">
      <c r="A141" s="250">
        <v>46241.0</v>
      </c>
      <c r="B141" s="153" t="s">
        <v>136</v>
      </c>
      <c r="C141" s="153" t="s">
        <v>5</v>
      </c>
      <c r="D141" s="153" t="s">
        <v>441</v>
      </c>
      <c r="E141" s="153" t="s">
        <v>443</v>
      </c>
      <c r="F141" s="153" t="s">
        <v>440</v>
      </c>
      <c r="G141" s="153">
        <v>3551.0</v>
      </c>
      <c r="H141" s="153">
        <v>30.0</v>
      </c>
      <c r="I141" s="153">
        <v>0.84</v>
      </c>
      <c r="J141" s="153">
        <v>310.0</v>
      </c>
      <c r="K141" s="153">
        <v>0.0873</v>
      </c>
      <c r="L141" s="153">
        <v>10.3333</v>
      </c>
      <c r="M141" s="153">
        <v>310.0</v>
      </c>
    </row>
    <row r="142">
      <c r="A142" s="250">
        <v>46241.0</v>
      </c>
      <c r="B142" s="153" t="s">
        <v>136</v>
      </c>
      <c r="C142" s="153" t="s">
        <v>5</v>
      </c>
      <c r="D142" s="153" t="s">
        <v>444</v>
      </c>
      <c r="E142" s="153" t="s">
        <v>445</v>
      </c>
      <c r="F142" s="153" t="s">
        <v>440</v>
      </c>
      <c r="G142" s="153">
        <v>3551.0</v>
      </c>
      <c r="H142" s="153">
        <v>56.0</v>
      </c>
      <c r="I142" s="153">
        <v>1.58</v>
      </c>
      <c r="J142" s="153">
        <v>2025.0</v>
      </c>
      <c r="K142" s="153">
        <v>0.5703</v>
      </c>
      <c r="L142" s="153">
        <v>36.1607</v>
      </c>
      <c r="M142" s="153">
        <v>2025.0</v>
      </c>
    </row>
    <row r="143">
      <c r="A143" s="250">
        <v>46241.0</v>
      </c>
      <c r="B143" s="153" t="s">
        <v>137</v>
      </c>
      <c r="C143" s="153" t="s">
        <v>5</v>
      </c>
      <c r="D143" s="153" t="s">
        <v>424</v>
      </c>
      <c r="E143" s="153" t="s">
        <v>425</v>
      </c>
      <c r="F143" s="153" t="s">
        <v>426</v>
      </c>
      <c r="G143" s="153">
        <v>518.0</v>
      </c>
      <c r="H143" s="153">
        <v>31.0</v>
      </c>
      <c r="I143" s="153">
        <v>5.98</v>
      </c>
      <c r="J143" s="153">
        <v>3808.72</v>
      </c>
      <c r="K143" s="153">
        <v>7.3527</v>
      </c>
      <c r="L143" s="153">
        <v>122.8618</v>
      </c>
      <c r="M143" s="153">
        <v>40000.0</v>
      </c>
    </row>
    <row r="144">
      <c r="A144" s="250">
        <v>46241.0</v>
      </c>
      <c r="B144" s="153" t="s">
        <v>137</v>
      </c>
      <c r="C144" s="153" t="s">
        <v>5</v>
      </c>
      <c r="D144" s="153" t="s">
        <v>427</v>
      </c>
      <c r="E144" s="153" t="s">
        <v>428</v>
      </c>
      <c r="F144" s="153" t="s">
        <v>429</v>
      </c>
      <c r="G144" s="153">
        <v>518.0</v>
      </c>
      <c r="H144" s="153">
        <v>20.0</v>
      </c>
      <c r="I144" s="153">
        <v>3.86</v>
      </c>
      <c r="J144" s="153">
        <v>4616.27</v>
      </c>
      <c r="K144" s="153">
        <v>8.9117</v>
      </c>
      <c r="L144" s="153">
        <v>230.8135</v>
      </c>
      <c r="M144" s="153">
        <v>4880.0</v>
      </c>
    </row>
    <row r="145">
      <c r="A145" s="250">
        <v>46241.0</v>
      </c>
      <c r="B145" s="153" t="s">
        <v>137</v>
      </c>
      <c r="C145" s="153" t="s">
        <v>5</v>
      </c>
      <c r="D145" s="153" t="s">
        <v>430</v>
      </c>
      <c r="E145" s="153" t="s">
        <v>431</v>
      </c>
      <c r="F145" s="153" t="s">
        <v>429</v>
      </c>
      <c r="G145" s="153">
        <v>518.0</v>
      </c>
      <c r="H145" s="153">
        <v>21.0</v>
      </c>
      <c r="I145" s="153">
        <v>4.05</v>
      </c>
      <c r="J145" s="153">
        <v>241.0</v>
      </c>
      <c r="K145" s="153">
        <v>0.4653</v>
      </c>
      <c r="L145" s="153">
        <v>11.4762</v>
      </c>
      <c r="M145" s="153">
        <v>241.0</v>
      </c>
    </row>
    <row r="146">
      <c r="A146" s="250">
        <v>46241.0</v>
      </c>
      <c r="B146" s="153" t="s">
        <v>137</v>
      </c>
      <c r="C146" s="153" t="s">
        <v>5</v>
      </c>
      <c r="D146" s="153" t="s">
        <v>430</v>
      </c>
      <c r="E146" s="153" t="s">
        <v>432</v>
      </c>
      <c r="F146" s="153" t="s">
        <v>429</v>
      </c>
      <c r="G146" s="153">
        <v>518.0</v>
      </c>
      <c r="H146" s="153">
        <v>27.0</v>
      </c>
      <c r="I146" s="153">
        <v>5.21</v>
      </c>
      <c r="J146" s="153">
        <v>259.0</v>
      </c>
      <c r="K146" s="153">
        <v>0.5</v>
      </c>
      <c r="L146" s="153">
        <v>9.5926</v>
      </c>
      <c r="M146" s="153">
        <v>259.0</v>
      </c>
    </row>
    <row r="147">
      <c r="A147" s="250">
        <v>46241.0</v>
      </c>
      <c r="B147" s="153" t="s">
        <v>137</v>
      </c>
      <c r="C147" s="153" t="s">
        <v>5</v>
      </c>
      <c r="D147" s="153" t="s">
        <v>430</v>
      </c>
      <c r="E147" s="153" t="s">
        <v>433</v>
      </c>
      <c r="F147" s="153" t="s">
        <v>429</v>
      </c>
      <c r="G147" s="153">
        <v>518.0</v>
      </c>
      <c r="H147" s="153">
        <v>24.0</v>
      </c>
      <c r="I147" s="153">
        <v>4.63</v>
      </c>
      <c r="J147" s="153">
        <v>244.0</v>
      </c>
      <c r="K147" s="153">
        <v>0.471</v>
      </c>
      <c r="L147" s="153">
        <v>10.1667</v>
      </c>
      <c r="M147" s="153">
        <v>244.0</v>
      </c>
    </row>
    <row r="148">
      <c r="A148" s="250">
        <v>46241.0</v>
      </c>
      <c r="B148" s="153" t="s">
        <v>137</v>
      </c>
      <c r="C148" s="153" t="s">
        <v>5</v>
      </c>
      <c r="D148" s="153" t="s">
        <v>434</v>
      </c>
      <c r="E148" s="153" t="s">
        <v>435</v>
      </c>
      <c r="F148" s="153" t="s">
        <v>429</v>
      </c>
      <c r="G148" s="153">
        <v>518.0</v>
      </c>
      <c r="H148" s="153">
        <v>10.0</v>
      </c>
      <c r="I148" s="153">
        <v>1.93</v>
      </c>
      <c r="J148" s="153">
        <v>14.0</v>
      </c>
      <c r="K148" s="153">
        <v>0.027</v>
      </c>
      <c r="L148" s="153">
        <v>1.4</v>
      </c>
      <c r="M148" s="153">
        <v>14.0</v>
      </c>
    </row>
    <row r="149">
      <c r="A149" s="250">
        <v>46241.0</v>
      </c>
      <c r="B149" s="153" t="s">
        <v>137</v>
      </c>
      <c r="C149" s="153" t="s">
        <v>5</v>
      </c>
      <c r="D149" s="153" t="s">
        <v>434</v>
      </c>
      <c r="E149" s="153" t="s">
        <v>436</v>
      </c>
      <c r="F149" s="153" t="s">
        <v>429</v>
      </c>
      <c r="G149" s="153">
        <v>518.0</v>
      </c>
      <c r="H149" s="153">
        <v>10.0</v>
      </c>
      <c r="I149" s="153">
        <v>1.93</v>
      </c>
      <c r="J149" s="153">
        <v>22.0</v>
      </c>
      <c r="K149" s="153">
        <v>0.0425</v>
      </c>
      <c r="L149" s="153">
        <v>2.2</v>
      </c>
      <c r="M149" s="153">
        <v>22.0</v>
      </c>
    </row>
    <row r="150">
      <c r="A150" s="250">
        <v>46241.0</v>
      </c>
      <c r="B150" s="153" t="s">
        <v>137</v>
      </c>
      <c r="C150" s="153" t="s">
        <v>5</v>
      </c>
      <c r="D150" s="153" t="s">
        <v>434</v>
      </c>
      <c r="E150" s="153" t="s">
        <v>437</v>
      </c>
      <c r="F150" s="153" t="s">
        <v>429</v>
      </c>
      <c r="G150" s="153">
        <v>518.0</v>
      </c>
      <c r="H150" s="153">
        <v>15.0</v>
      </c>
      <c r="I150" s="153">
        <v>2.9</v>
      </c>
      <c r="J150" s="153">
        <v>29.0</v>
      </c>
      <c r="K150" s="153">
        <v>0.056</v>
      </c>
      <c r="L150" s="153">
        <v>1.9333</v>
      </c>
      <c r="M150" s="153">
        <v>29.0</v>
      </c>
    </row>
    <row r="151">
      <c r="A151" s="250">
        <v>46241.0</v>
      </c>
      <c r="B151" s="153" t="s">
        <v>137</v>
      </c>
      <c r="C151" s="153" t="s">
        <v>5</v>
      </c>
      <c r="D151" s="153" t="s">
        <v>438</v>
      </c>
      <c r="E151" s="153" t="s">
        <v>439</v>
      </c>
      <c r="F151" s="153" t="s">
        <v>440</v>
      </c>
      <c r="G151" s="153">
        <v>518.0</v>
      </c>
      <c r="H151" s="153">
        <v>10.0</v>
      </c>
      <c r="I151" s="153">
        <v>1.93</v>
      </c>
      <c r="J151" s="153">
        <v>130.0</v>
      </c>
      <c r="K151" s="153">
        <v>0.251</v>
      </c>
      <c r="L151" s="153">
        <v>13.0</v>
      </c>
      <c r="M151" s="153">
        <v>130.0</v>
      </c>
    </row>
    <row r="152">
      <c r="A152" s="250">
        <v>46241.0</v>
      </c>
      <c r="B152" s="153" t="s">
        <v>137</v>
      </c>
      <c r="C152" s="153" t="s">
        <v>5</v>
      </c>
      <c r="D152" s="153" t="s">
        <v>441</v>
      </c>
      <c r="E152" s="153" t="s">
        <v>442</v>
      </c>
      <c r="F152" s="153" t="s">
        <v>440</v>
      </c>
      <c r="G152" s="153">
        <v>518.0</v>
      </c>
      <c r="H152" s="153">
        <v>2.0</v>
      </c>
      <c r="I152" s="153">
        <v>0.39</v>
      </c>
      <c r="J152" s="153">
        <v>20.0</v>
      </c>
      <c r="K152" s="153">
        <v>0.0386</v>
      </c>
      <c r="L152" s="153">
        <v>10.0</v>
      </c>
      <c r="M152" s="153">
        <v>20.0</v>
      </c>
    </row>
    <row r="153">
      <c r="A153" s="250">
        <v>46241.0</v>
      </c>
      <c r="B153" s="153" t="s">
        <v>137</v>
      </c>
      <c r="C153" s="153" t="s">
        <v>5</v>
      </c>
      <c r="D153" s="153" t="s">
        <v>441</v>
      </c>
      <c r="E153" s="153" t="s">
        <v>443</v>
      </c>
      <c r="F153" s="153" t="s">
        <v>440</v>
      </c>
      <c r="G153" s="153">
        <v>518.0</v>
      </c>
      <c r="H153" s="153">
        <v>3.0</v>
      </c>
      <c r="I153" s="153">
        <v>0.58</v>
      </c>
      <c r="J153" s="153">
        <v>50.0</v>
      </c>
      <c r="K153" s="153">
        <v>0.0965</v>
      </c>
      <c r="L153" s="153">
        <v>16.6667</v>
      </c>
      <c r="M153" s="153">
        <v>50.0</v>
      </c>
    </row>
    <row r="154">
      <c r="A154" s="250">
        <v>46241.0</v>
      </c>
      <c r="B154" s="153" t="s">
        <v>137</v>
      </c>
      <c r="C154" s="153" t="s">
        <v>5</v>
      </c>
      <c r="D154" s="153" t="s">
        <v>444</v>
      </c>
      <c r="E154" s="153" t="s">
        <v>445</v>
      </c>
      <c r="F154" s="153" t="s">
        <v>440</v>
      </c>
      <c r="G154" s="153">
        <v>518.0</v>
      </c>
      <c r="H154" s="153">
        <v>15.0</v>
      </c>
      <c r="I154" s="153">
        <v>2.9</v>
      </c>
      <c r="J154" s="153">
        <v>650.0</v>
      </c>
      <c r="K154" s="153">
        <v>1.2548</v>
      </c>
      <c r="L154" s="153">
        <v>43.3333</v>
      </c>
      <c r="M154" s="153">
        <v>650.0</v>
      </c>
    </row>
    <row r="155">
      <c r="A155" s="250">
        <v>46242.0</v>
      </c>
      <c r="B155" s="153" t="s">
        <v>423</v>
      </c>
      <c r="C155" s="153" t="s">
        <v>5</v>
      </c>
      <c r="D155" s="153" t="s">
        <v>424</v>
      </c>
      <c r="E155" s="153" t="s">
        <v>425</v>
      </c>
      <c r="F155" s="153" t="s">
        <v>426</v>
      </c>
      <c r="G155" s="153">
        <v>7943.0</v>
      </c>
      <c r="H155" s="153">
        <v>7.0</v>
      </c>
      <c r="I155" s="153">
        <v>0.09</v>
      </c>
      <c r="J155" s="153">
        <v>70.0</v>
      </c>
      <c r="K155" s="153">
        <v>0.0088</v>
      </c>
      <c r="L155" s="153">
        <v>10.0</v>
      </c>
      <c r="M155" s="153">
        <v>80.0</v>
      </c>
    </row>
    <row r="156">
      <c r="A156" s="250">
        <v>46242.0</v>
      </c>
      <c r="B156" s="153" t="s">
        <v>423</v>
      </c>
      <c r="C156" s="153" t="s">
        <v>5</v>
      </c>
      <c r="D156" s="153" t="s">
        <v>427</v>
      </c>
      <c r="E156" s="153" t="s">
        <v>428</v>
      </c>
      <c r="F156" s="153" t="s">
        <v>429</v>
      </c>
      <c r="G156" s="153">
        <v>7943.0</v>
      </c>
      <c r="H156" s="153">
        <v>3.0</v>
      </c>
      <c r="I156" s="153">
        <v>0.04</v>
      </c>
      <c r="J156" s="153">
        <v>80.0</v>
      </c>
      <c r="K156" s="153">
        <v>0.0101</v>
      </c>
      <c r="L156" s="153">
        <v>26.6667</v>
      </c>
      <c r="M156" s="153">
        <v>90.0</v>
      </c>
    </row>
    <row r="157">
      <c r="A157" s="250">
        <v>46242.0</v>
      </c>
      <c r="B157" s="153" t="s">
        <v>423</v>
      </c>
      <c r="C157" s="153" t="s">
        <v>5</v>
      </c>
      <c r="D157" s="153" t="s">
        <v>430</v>
      </c>
      <c r="E157" s="153" t="s">
        <v>431</v>
      </c>
      <c r="F157" s="153" t="s">
        <v>429</v>
      </c>
      <c r="G157" s="153">
        <v>7943.0</v>
      </c>
      <c r="H157" s="153">
        <v>1.0</v>
      </c>
      <c r="I157" s="153">
        <v>0.01</v>
      </c>
      <c r="J157" s="153">
        <v>1.0</v>
      </c>
      <c r="K157" s="153">
        <v>1.0E-4</v>
      </c>
      <c r="L157" s="153">
        <v>1.0</v>
      </c>
      <c r="M157" s="153">
        <v>1.0</v>
      </c>
    </row>
    <row r="158">
      <c r="A158" s="250">
        <v>46242.0</v>
      </c>
      <c r="B158" s="153" t="s">
        <v>423</v>
      </c>
      <c r="C158" s="153" t="s">
        <v>5</v>
      </c>
      <c r="D158" s="153" t="s">
        <v>430</v>
      </c>
      <c r="E158" s="153" t="s">
        <v>432</v>
      </c>
      <c r="F158" s="153" t="s">
        <v>429</v>
      </c>
      <c r="G158" s="153">
        <v>7943.0</v>
      </c>
      <c r="H158" s="153">
        <v>1.0</v>
      </c>
      <c r="I158" s="153">
        <v>0.01</v>
      </c>
      <c r="J158" s="153">
        <v>1.0</v>
      </c>
      <c r="K158" s="153">
        <v>1.0E-4</v>
      </c>
      <c r="L158" s="153">
        <v>1.0</v>
      </c>
      <c r="M158" s="153">
        <v>1.0</v>
      </c>
    </row>
    <row r="159">
      <c r="A159" s="250">
        <v>46242.0</v>
      </c>
      <c r="B159" s="153" t="s">
        <v>423</v>
      </c>
      <c r="C159" s="153" t="s">
        <v>5</v>
      </c>
      <c r="D159" s="153" t="s">
        <v>430</v>
      </c>
      <c r="E159" s="153" t="s">
        <v>433</v>
      </c>
      <c r="F159" s="153" t="s">
        <v>429</v>
      </c>
      <c r="G159" s="153">
        <v>7943.0</v>
      </c>
      <c r="H159" s="153">
        <v>2.0</v>
      </c>
      <c r="I159" s="153">
        <v>0.03</v>
      </c>
      <c r="J159" s="153">
        <v>2.0</v>
      </c>
      <c r="K159" s="153">
        <v>3.0E-4</v>
      </c>
      <c r="L159" s="153">
        <v>1.0</v>
      </c>
      <c r="M159" s="153">
        <v>2.0</v>
      </c>
    </row>
    <row r="160">
      <c r="A160" s="250">
        <v>46242.0</v>
      </c>
      <c r="B160" s="153" t="s">
        <v>423</v>
      </c>
      <c r="C160" s="153" t="s">
        <v>5</v>
      </c>
      <c r="D160" s="153" t="s">
        <v>434</v>
      </c>
      <c r="E160" s="153" t="s">
        <v>435</v>
      </c>
      <c r="F160" s="153" t="s">
        <v>429</v>
      </c>
      <c r="G160" s="153">
        <v>7943.0</v>
      </c>
      <c r="H160" s="153">
        <v>3.0</v>
      </c>
      <c r="I160" s="153">
        <v>0.04</v>
      </c>
      <c r="J160" s="153">
        <v>3.0</v>
      </c>
      <c r="K160" s="153">
        <v>4.0E-4</v>
      </c>
      <c r="L160" s="153">
        <v>1.0</v>
      </c>
      <c r="M160" s="153">
        <v>3.0</v>
      </c>
    </row>
    <row r="161">
      <c r="A161" s="250">
        <v>46242.0</v>
      </c>
      <c r="B161" s="153" t="s">
        <v>423</v>
      </c>
      <c r="C161" s="153" t="s">
        <v>5</v>
      </c>
      <c r="D161" s="153" t="s">
        <v>434</v>
      </c>
      <c r="E161" s="153" t="s">
        <v>436</v>
      </c>
      <c r="F161" s="153" t="s">
        <v>429</v>
      </c>
      <c r="G161" s="153">
        <v>7943.0</v>
      </c>
      <c r="H161" s="153">
        <v>3.0</v>
      </c>
      <c r="I161" s="153">
        <v>0.04</v>
      </c>
      <c r="J161" s="153">
        <v>3.0</v>
      </c>
      <c r="K161" s="153">
        <v>4.0E-4</v>
      </c>
      <c r="L161" s="153">
        <v>1.0</v>
      </c>
      <c r="M161" s="153">
        <v>3.0</v>
      </c>
    </row>
    <row r="162">
      <c r="A162" s="250">
        <v>46242.0</v>
      </c>
      <c r="B162" s="153" t="s">
        <v>423</v>
      </c>
      <c r="C162" s="153" t="s">
        <v>5</v>
      </c>
      <c r="D162" s="153" t="s">
        <v>438</v>
      </c>
      <c r="E162" s="153" t="s">
        <v>439</v>
      </c>
      <c r="F162" s="153" t="s">
        <v>440</v>
      </c>
      <c r="G162" s="153">
        <v>7943.0</v>
      </c>
      <c r="H162" s="153">
        <v>1.0</v>
      </c>
      <c r="I162" s="153">
        <v>0.01</v>
      </c>
      <c r="J162" s="153">
        <v>10.0</v>
      </c>
      <c r="K162" s="153">
        <v>0.0013</v>
      </c>
      <c r="L162" s="153">
        <v>10.0</v>
      </c>
      <c r="M162" s="153">
        <v>10.0</v>
      </c>
    </row>
    <row r="163">
      <c r="A163" s="250">
        <v>46242.0</v>
      </c>
      <c r="B163" s="153" t="s">
        <v>423</v>
      </c>
      <c r="C163" s="153" t="s">
        <v>5</v>
      </c>
      <c r="D163" s="153" t="s">
        <v>441</v>
      </c>
      <c r="E163" s="153" t="s">
        <v>442</v>
      </c>
      <c r="F163" s="153" t="s">
        <v>440</v>
      </c>
      <c r="G163" s="153">
        <v>7943.0</v>
      </c>
      <c r="H163" s="153">
        <v>1.0</v>
      </c>
      <c r="I163" s="153">
        <v>0.01</v>
      </c>
      <c r="J163" s="153">
        <v>10.0</v>
      </c>
      <c r="K163" s="153">
        <v>0.0013</v>
      </c>
      <c r="L163" s="153">
        <v>10.0</v>
      </c>
      <c r="M163" s="153">
        <v>10.0</v>
      </c>
    </row>
    <row r="164">
      <c r="A164" s="250">
        <v>46242.0</v>
      </c>
      <c r="B164" s="153" t="s">
        <v>423</v>
      </c>
      <c r="C164" s="153" t="s">
        <v>5</v>
      </c>
      <c r="D164" s="153" t="s">
        <v>444</v>
      </c>
      <c r="E164" s="153" t="s">
        <v>445</v>
      </c>
      <c r="F164" s="153" t="s">
        <v>440</v>
      </c>
      <c r="G164" s="153">
        <v>7943.0</v>
      </c>
      <c r="H164" s="153">
        <v>2.0</v>
      </c>
      <c r="I164" s="153">
        <v>0.03</v>
      </c>
      <c r="J164" s="153">
        <v>40.0</v>
      </c>
      <c r="K164" s="153">
        <v>0.005</v>
      </c>
      <c r="L164" s="153">
        <v>20.0</v>
      </c>
      <c r="M164" s="153">
        <v>40.0</v>
      </c>
    </row>
    <row r="165">
      <c r="A165" s="250">
        <v>46242.0</v>
      </c>
      <c r="B165" s="153" t="s">
        <v>133</v>
      </c>
      <c r="C165" s="153" t="s">
        <v>5</v>
      </c>
      <c r="D165" s="153" t="s">
        <v>424</v>
      </c>
      <c r="E165" s="153" t="s">
        <v>425</v>
      </c>
      <c r="F165" s="153" t="s">
        <v>426</v>
      </c>
      <c r="G165" s="153">
        <v>10997.0</v>
      </c>
      <c r="H165" s="153">
        <v>49.0</v>
      </c>
      <c r="I165" s="153">
        <v>0.45</v>
      </c>
      <c r="J165" s="153">
        <v>510.0</v>
      </c>
      <c r="K165" s="153">
        <v>0.0464</v>
      </c>
      <c r="L165" s="153">
        <v>10.4082</v>
      </c>
      <c r="M165" s="153">
        <v>590.0</v>
      </c>
    </row>
    <row r="166">
      <c r="A166" s="250">
        <v>46242.0</v>
      </c>
      <c r="B166" s="153" t="s">
        <v>133</v>
      </c>
      <c r="C166" s="153" t="s">
        <v>5</v>
      </c>
      <c r="D166" s="153" t="s">
        <v>427</v>
      </c>
      <c r="E166" s="153" t="s">
        <v>428</v>
      </c>
      <c r="F166" s="153" t="s">
        <v>429</v>
      </c>
      <c r="G166" s="153">
        <v>10997.0</v>
      </c>
      <c r="H166" s="153">
        <v>34.0</v>
      </c>
      <c r="I166" s="153">
        <v>0.31</v>
      </c>
      <c r="J166" s="153">
        <v>1003.41</v>
      </c>
      <c r="K166" s="153">
        <v>0.0912</v>
      </c>
      <c r="L166" s="153">
        <v>29.5121</v>
      </c>
      <c r="M166" s="153">
        <v>1180.0</v>
      </c>
    </row>
    <row r="167">
      <c r="A167" s="250">
        <v>46242.0</v>
      </c>
      <c r="B167" s="153" t="s">
        <v>133</v>
      </c>
      <c r="C167" s="153" t="s">
        <v>5</v>
      </c>
      <c r="D167" s="153" t="s">
        <v>430</v>
      </c>
      <c r="E167" s="153" t="s">
        <v>432</v>
      </c>
      <c r="F167" s="153" t="s">
        <v>429</v>
      </c>
      <c r="G167" s="153">
        <v>10997.0</v>
      </c>
      <c r="H167" s="153">
        <v>17.0</v>
      </c>
      <c r="I167" s="153">
        <v>0.15</v>
      </c>
      <c r="J167" s="153">
        <v>24.0</v>
      </c>
      <c r="K167" s="153">
        <v>0.0022</v>
      </c>
      <c r="L167" s="153">
        <v>1.4118</v>
      </c>
      <c r="M167" s="153">
        <v>24.0</v>
      </c>
    </row>
    <row r="168">
      <c r="A168" s="250">
        <v>46242.0</v>
      </c>
      <c r="B168" s="153" t="s">
        <v>133</v>
      </c>
      <c r="C168" s="153" t="s">
        <v>5</v>
      </c>
      <c r="D168" s="153" t="s">
        <v>430</v>
      </c>
      <c r="E168" s="153" t="s">
        <v>433</v>
      </c>
      <c r="F168" s="153" t="s">
        <v>429</v>
      </c>
      <c r="G168" s="153">
        <v>10997.0</v>
      </c>
      <c r="H168" s="153">
        <v>9.0</v>
      </c>
      <c r="I168" s="153">
        <v>0.08</v>
      </c>
      <c r="J168" s="153">
        <v>9.0</v>
      </c>
      <c r="K168" s="153">
        <v>8.0E-4</v>
      </c>
      <c r="L168" s="153">
        <v>1.0</v>
      </c>
      <c r="M168" s="153">
        <v>9.0</v>
      </c>
    </row>
    <row r="169">
      <c r="A169" s="250">
        <v>46242.0</v>
      </c>
      <c r="B169" s="153" t="s">
        <v>133</v>
      </c>
      <c r="C169" s="153" t="s">
        <v>5</v>
      </c>
      <c r="D169" s="153" t="s">
        <v>434</v>
      </c>
      <c r="E169" s="153" t="s">
        <v>435</v>
      </c>
      <c r="F169" s="153" t="s">
        <v>429</v>
      </c>
      <c r="G169" s="153">
        <v>10997.0</v>
      </c>
      <c r="H169" s="153">
        <v>27.0</v>
      </c>
      <c r="I169" s="153">
        <v>0.25</v>
      </c>
      <c r="J169" s="153">
        <v>29.0</v>
      </c>
      <c r="K169" s="153">
        <v>0.0026</v>
      </c>
      <c r="L169" s="153">
        <v>1.0741</v>
      </c>
      <c r="M169" s="153">
        <v>29.0</v>
      </c>
    </row>
    <row r="170">
      <c r="A170" s="250">
        <v>46242.0</v>
      </c>
      <c r="B170" s="153" t="s">
        <v>133</v>
      </c>
      <c r="C170" s="153" t="s">
        <v>5</v>
      </c>
      <c r="D170" s="153" t="s">
        <v>434</v>
      </c>
      <c r="E170" s="153" t="s">
        <v>436</v>
      </c>
      <c r="F170" s="153" t="s">
        <v>429</v>
      </c>
      <c r="G170" s="153">
        <v>10997.0</v>
      </c>
      <c r="H170" s="153">
        <v>24.0</v>
      </c>
      <c r="I170" s="153">
        <v>0.22</v>
      </c>
      <c r="J170" s="153">
        <v>26.0</v>
      </c>
      <c r="K170" s="153">
        <v>0.0024</v>
      </c>
      <c r="L170" s="153">
        <v>1.0833</v>
      </c>
      <c r="M170" s="153">
        <v>26.0</v>
      </c>
    </row>
    <row r="171">
      <c r="A171" s="250">
        <v>46242.0</v>
      </c>
      <c r="B171" s="153" t="s">
        <v>133</v>
      </c>
      <c r="C171" s="153" t="s">
        <v>5</v>
      </c>
      <c r="D171" s="153" t="s">
        <v>438</v>
      </c>
      <c r="E171" s="153" t="s">
        <v>439</v>
      </c>
      <c r="F171" s="153" t="s">
        <v>440</v>
      </c>
      <c r="G171" s="153">
        <v>10997.0</v>
      </c>
      <c r="H171" s="153">
        <v>9.0</v>
      </c>
      <c r="I171" s="153">
        <v>0.08</v>
      </c>
      <c r="J171" s="153">
        <v>110.0</v>
      </c>
      <c r="K171" s="153">
        <v>0.01</v>
      </c>
      <c r="L171" s="153">
        <v>12.2222</v>
      </c>
      <c r="M171" s="153">
        <v>110.0</v>
      </c>
    </row>
    <row r="172">
      <c r="A172" s="250">
        <v>46242.0</v>
      </c>
      <c r="B172" s="153" t="s">
        <v>133</v>
      </c>
      <c r="C172" s="153" t="s">
        <v>5</v>
      </c>
      <c r="D172" s="153" t="s">
        <v>444</v>
      </c>
      <c r="E172" s="153" t="s">
        <v>445</v>
      </c>
      <c r="F172" s="153" t="s">
        <v>440</v>
      </c>
      <c r="G172" s="153">
        <v>10997.0</v>
      </c>
      <c r="H172" s="153">
        <v>35.0</v>
      </c>
      <c r="I172" s="153">
        <v>0.32</v>
      </c>
      <c r="J172" s="153">
        <v>715.0</v>
      </c>
      <c r="K172" s="153">
        <v>0.065</v>
      </c>
      <c r="L172" s="153">
        <v>20.4286</v>
      </c>
      <c r="M172" s="153">
        <v>715.0</v>
      </c>
    </row>
    <row r="173">
      <c r="A173" s="250">
        <v>46242.0</v>
      </c>
      <c r="B173" s="153" t="s">
        <v>134</v>
      </c>
      <c r="C173" s="153" t="s">
        <v>5</v>
      </c>
      <c r="D173" s="153" t="s">
        <v>424</v>
      </c>
      <c r="E173" s="153" t="s">
        <v>425</v>
      </c>
      <c r="F173" s="153" t="s">
        <v>426</v>
      </c>
      <c r="G173" s="153">
        <v>7883.0</v>
      </c>
      <c r="H173" s="153">
        <v>22.0</v>
      </c>
      <c r="I173" s="153">
        <v>0.28</v>
      </c>
      <c r="J173" s="153">
        <v>275.0</v>
      </c>
      <c r="K173" s="153">
        <v>0.0349</v>
      </c>
      <c r="L173" s="153">
        <v>12.5</v>
      </c>
      <c r="M173" s="153">
        <v>320.0</v>
      </c>
    </row>
    <row r="174">
      <c r="A174" s="250">
        <v>46242.0</v>
      </c>
      <c r="B174" s="153" t="s">
        <v>134</v>
      </c>
      <c r="C174" s="153" t="s">
        <v>5</v>
      </c>
      <c r="D174" s="153" t="s">
        <v>427</v>
      </c>
      <c r="E174" s="153" t="s">
        <v>428</v>
      </c>
      <c r="F174" s="153" t="s">
        <v>429</v>
      </c>
      <c r="G174" s="153">
        <v>7883.0</v>
      </c>
      <c r="H174" s="153">
        <v>29.0</v>
      </c>
      <c r="I174" s="153">
        <v>0.37</v>
      </c>
      <c r="J174" s="153">
        <v>1039.69</v>
      </c>
      <c r="K174" s="153">
        <v>0.1319</v>
      </c>
      <c r="L174" s="153">
        <v>35.8513</v>
      </c>
      <c r="M174" s="153">
        <v>1130.0</v>
      </c>
    </row>
    <row r="175">
      <c r="A175" s="250">
        <v>46242.0</v>
      </c>
      <c r="B175" s="153" t="s">
        <v>134</v>
      </c>
      <c r="C175" s="153" t="s">
        <v>5</v>
      </c>
      <c r="D175" s="153" t="s">
        <v>430</v>
      </c>
      <c r="E175" s="153" t="s">
        <v>431</v>
      </c>
      <c r="F175" s="153" t="s">
        <v>429</v>
      </c>
      <c r="G175" s="153">
        <v>7883.0</v>
      </c>
      <c r="H175" s="153">
        <v>5.0</v>
      </c>
      <c r="I175" s="153">
        <v>0.06</v>
      </c>
      <c r="J175" s="153">
        <v>6.0</v>
      </c>
      <c r="K175" s="153">
        <v>8.0E-4</v>
      </c>
      <c r="L175" s="153">
        <v>1.2</v>
      </c>
      <c r="M175" s="153">
        <v>6.0</v>
      </c>
    </row>
    <row r="176">
      <c r="A176" s="250">
        <v>46242.0</v>
      </c>
      <c r="B176" s="153" t="s">
        <v>134</v>
      </c>
      <c r="C176" s="153" t="s">
        <v>5</v>
      </c>
      <c r="D176" s="153" t="s">
        <v>430</v>
      </c>
      <c r="E176" s="153" t="s">
        <v>432</v>
      </c>
      <c r="F176" s="153" t="s">
        <v>429</v>
      </c>
      <c r="G176" s="153">
        <v>7883.0</v>
      </c>
      <c r="H176" s="153">
        <v>15.0</v>
      </c>
      <c r="I176" s="153">
        <v>0.19</v>
      </c>
      <c r="J176" s="153">
        <v>22.0</v>
      </c>
      <c r="K176" s="153">
        <v>0.0028</v>
      </c>
      <c r="L176" s="153">
        <v>1.4667</v>
      </c>
      <c r="M176" s="153">
        <v>22.0</v>
      </c>
    </row>
    <row r="177">
      <c r="A177" s="250">
        <v>46242.0</v>
      </c>
      <c r="B177" s="153" t="s">
        <v>134</v>
      </c>
      <c r="C177" s="153" t="s">
        <v>5</v>
      </c>
      <c r="D177" s="153" t="s">
        <v>430</v>
      </c>
      <c r="E177" s="153" t="s">
        <v>433</v>
      </c>
      <c r="F177" s="153" t="s">
        <v>429</v>
      </c>
      <c r="G177" s="153">
        <v>7883.0</v>
      </c>
      <c r="H177" s="153">
        <v>4.0</v>
      </c>
      <c r="I177" s="153">
        <v>0.05</v>
      </c>
      <c r="J177" s="153">
        <v>4.0</v>
      </c>
      <c r="K177" s="153">
        <v>5.0E-4</v>
      </c>
      <c r="L177" s="153">
        <v>1.0</v>
      </c>
      <c r="M177" s="153">
        <v>4.0</v>
      </c>
    </row>
    <row r="178">
      <c r="A178" s="250">
        <v>46242.0</v>
      </c>
      <c r="B178" s="153" t="s">
        <v>134</v>
      </c>
      <c r="C178" s="153" t="s">
        <v>5</v>
      </c>
      <c r="D178" s="153" t="s">
        <v>434</v>
      </c>
      <c r="E178" s="153" t="s">
        <v>435</v>
      </c>
      <c r="F178" s="153" t="s">
        <v>429</v>
      </c>
      <c r="G178" s="153">
        <v>7883.0</v>
      </c>
      <c r="H178" s="153">
        <v>16.0</v>
      </c>
      <c r="I178" s="153">
        <v>0.2</v>
      </c>
      <c r="J178" s="153">
        <v>17.0</v>
      </c>
      <c r="K178" s="153">
        <v>0.0022</v>
      </c>
      <c r="L178" s="153">
        <v>1.0625</v>
      </c>
      <c r="M178" s="153">
        <v>17.0</v>
      </c>
    </row>
    <row r="179">
      <c r="A179" s="250">
        <v>46242.0</v>
      </c>
      <c r="B179" s="153" t="s">
        <v>134</v>
      </c>
      <c r="C179" s="153" t="s">
        <v>5</v>
      </c>
      <c r="D179" s="153" t="s">
        <v>434</v>
      </c>
      <c r="E179" s="153" t="s">
        <v>436</v>
      </c>
      <c r="F179" s="153" t="s">
        <v>429</v>
      </c>
      <c r="G179" s="153">
        <v>7883.0</v>
      </c>
      <c r="H179" s="153">
        <v>12.0</v>
      </c>
      <c r="I179" s="153">
        <v>0.15</v>
      </c>
      <c r="J179" s="153">
        <v>15.0</v>
      </c>
      <c r="K179" s="153">
        <v>0.0019</v>
      </c>
      <c r="L179" s="153">
        <v>1.25</v>
      </c>
      <c r="M179" s="153">
        <v>15.0</v>
      </c>
    </row>
    <row r="180">
      <c r="A180" s="250">
        <v>46242.0</v>
      </c>
      <c r="B180" s="153" t="s">
        <v>134</v>
      </c>
      <c r="C180" s="153" t="s">
        <v>5</v>
      </c>
      <c r="D180" s="153" t="s">
        <v>434</v>
      </c>
      <c r="E180" s="153" t="s">
        <v>437</v>
      </c>
      <c r="F180" s="153" t="s">
        <v>429</v>
      </c>
      <c r="G180" s="153">
        <v>7883.0</v>
      </c>
      <c r="H180" s="153">
        <v>1.0</v>
      </c>
      <c r="I180" s="153">
        <v>0.01</v>
      </c>
      <c r="J180" s="153">
        <v>1.0</v>
      </c>
      <c r="K180" s="153">
        <v>1.0E-4</v>
      </c>
      <c r="L180" s="153">
        <v>1.0</v>
      </c>
      <c r="M180" s="153">
        <v>1.0</v>
      </c>
    </row>
    <row r="181">
      <c r="A181" s="250">
        <v>46242.0</v>
      </c>
      <c r="B181" s="153" t="s">
        <v>134</v>
      </c>
      <c r="C181" s="153" t="s">
        <v>5</v>
      </c>
      <c r="D181" s="153" t="s">
        <v>438</v>
      </c>
      <c r="E181" s="153" t="s">
        <v>439</v>
      </c>
      <c r="F181" s="153" t="s">
        <v>440</v>
      </c>
      <c r="G181" s="153">
        <v>7883.0</v>
      </c>
      <c r="H181" s="153">
        <v>8.0</v>
      </c>
      <c r="I181" s="153">
        <v>0.1</v>
      </c>
      <c r="J181" s="153">
        <v>80.0</v>
      </c>
      <c r="K181" s="153">
        <v>0.0101</v>
      </c>
      <c r="L181" s="153">
        <v>10.0</v>
      </c>
      <c r="M181" s="153">
        <v>80.0</v>
      </c>
    </row>
    <row r="182">
      <c r="A182" s="250">
        <v>46242.0</v>
      </c>
      <c r="B182" s="153" t="s">
        <v>134</v>
      </c>
      <c r="C182" s="153" t="s">
        <v>5</v>
      </c>
      <c r="D182" s="153" t="s">
        <v>441</v>
      </c>
      <c r="E182" s="153" t="s">
        <v>442</v>
      </c>
      <c r="F182" s="153" t="s">
        <v>440</v>
      </c>
      <c r="G182" s="153">
        <v>7883.0</v>
      </c>
      <c r="H182" s="153">
        <v>3.0</v>
      </c>
      <c r="I182" s="153">
        <v>0.04</v>
      </c>
      <c r="J182" s="153">
        <v>30.0</v>
      </c>
      <c r="K182" s="153">
        <v>0.0038</v>
      </c>
      <c r="L182" s="153">
        <v>10.0</v>
      </c>
      <c r="M182" s="153">
        <v>30.0</v>
      </c>
    </row>
    <row r="183">
      <c r="A183" s="250">
        <v>46242.0</v>
      </c>
      <c r="B183" s="153" t="s">
        <v>134</v>
      </c>
      <c r="C183" s="153" t="s">
        <v>5</v>
      </c>
      <c r="D183" s="153" t="s">
        <v>444</v>
      </c>
      <c r="E183" s="153" t="s">
        <v>445</v>
      </c>
      <c r="F183" s="153" t="s">
        <v>440</v>
      </c>
      <c r="G183" s="153">
        <v>7883.0</v>
      </c>
      <c r="H183" s="153">
        <v>22.0</v>
      </c>
      <c r="I183" s="153">
        <v>0.28</v>
      </c>
      <c r="J183" s="153">
        <v>445.0</v>
      </c>
      <c r="K183" s="153">
        <v>0.0565</v>
      </c>
      <c r="L183" s="153">
        <v>20.2273</v>
      </c>
      <c r="M183" s="153">
        <v>445.0</v>
      </c>
    </row>
    <row r="184">
      <c r="A184" s="250">
        <v>46242.0</v>
      </c>
      <c r="B184" s="153" t="s">
        <v>135</v>
      </c>
      <c r="C184" s="153" t="s">
        <v>5</v>
      </c>
      <c r="D184" s="153" t="s">
        <v>424</v>
      </c>
      <c r="E184" s="153" t="s">
        <v>425</v>
      </c>
      <c r="F184" s="153" t="s">
        <v>426</v>
      </c>
      <c r="G184" s="153">
        <v>6199.0</v>
      </c>
      <c r="H184" s="153">
        <v>12.0</v>
      </c>
      <c r="I184" s="153">
        <v>0.19</v>
      </c>
      <c r="J184" s="153">
        <v>200.0</v>
      </c>
      <c r="K184" s="153">
        <v>0.0323</v>
      </c>
      <c r="L184" s="153">
        <v>16.6667</v>
      </c>
      <c r="M184" s="153">
        <v>230.0</v>
      </c>
    </row>
    <row r="185">
      <c r="A185" s="250">
        <v>46242.0</v>
      </c>
      <c r="B185" s="153" t="s">
        <v>135</v>
      </c>
      <c r="C185" s="153" t="s">
        <v>5</v>
      </c>
      <c r="D185" s="153" t="s">
        <v>427</v>
      </c>
      <c r="E185" s="153" t="s">
        <v>428</v>
      </c>
      <c r="F185" s="153" t="s">
        <v>429</v>
      </c>
      <c r="G185" s="153">
        <v>6199.0</v>
      </c>
      <c r="H185" s="153">
        <v>20.0</v>
      </c>
      <c r="I185" s="153">
        <v>0.32</v>
      </c>
      <c r="J185" s="153">
        <v>1240.0</v>
      </c>
      <c r="K185" s="153">
        <v>0.2</v>
      </c>
      <c r="L185" s="153">
        <v>62.0</v>
      </c>
      <c r="M185" s="153">
        <v>1340.0</v>
      </c>
    </row>
    <row r="186">
      <c r="A186" s="250">
        <v>46242.0</v>
      </c>
      <c r="B186" s="153" t="s">
        <v>135</v>
      </c>
      <c r="C186" s="153" t="s">
        <v>5</v>
      </c>
      <c r="D186" s="153" t="s">
        <v>430</v>
      </c>
      <c r="E186" s="153" t="s">
        <v>431</v>
      </c>
      <c r="F186" s="153" t="s">
        <v>429</v>
      </c>
      <c r="G186" s="153">
        <v>6199.0</v>
      </c>
      <c r="H186" s="153">
        <v>5.0</v>
      </c>
      <c r="I186" s="153">
        <v>0.08</v>
      </c>
      <c r="J186" s="153">
        <v>8.0</v>
      </c>
      <c r="K186" s="153">
        <v>0.0013</v>
      </c>
      <c r="L186" s="153">
        <v>1.6</v>
      </c>
      <c r="M186" s="153">
        <v>8.0</v>
      </c>
    </row>
    <row r="187">
      <c r="A187" s="250">
        <v>46242.0</v>
      </c>
      <c r="B187" s="153" t="s">
        <v>135</v>
      </c>
      <c r="C187" s="153" t="s">
        <v>5</v>
      </c>
      <c r="D187" s="153" t="s">
        <v>430</v>
      </c>
      <c r="E187" s="153" t="s">
        <v>432</v>
      </c>
      <c r="F187" s="153" t="s">
        <v>429</v>
      </c>
      <c r="G187" s="153">
        <v>6199.0</v>
      </c>
      <c r="H187" s="153">
        <v>10.0</v>
      </c>
      <c r="I187" s="153">
        <v>0.16</v>
      </c>
      <c r="J187" s="153">
        <v>20.0</v>
      </c>
      <c r="K187" s="153">
        <v>0.0032</v>
      </c>
      <c r="L187" s="153">
        <v>2.0</v>
      </c>
      <c r="M187" s="153">
        <v>20.0</v>
      </c>
    </row>
    <row r="188">
      <c r="A188" s="250">
        <v>46242.0</v>
      </c>
      <c r="B188" s="153" t="s">
        <v>135</v>
      </c>
      <c r="C188" s="153" t="s">
        <v>5</v>
      </c>
      <c r="D188" s="153" t="s">
        <v>430</v>
      </c>
      <c r="E188" s="153" t="s">
        <v>433</v>
      </c>
      <c r="F188" s="153" t="s">
        <v>429</v>
      </c>
      <c r="G188" s="153">
        <v>6199.0</v>
      </c>
      <c r="H188" s="153">
        <v>4.0</v>
      </c>
      <c r="I188" s="153">
        <v>0.06</v>
      </c>
      <c r="J188" s="153">
        <v>6.0</v>
      </c>
      <c r="K188" s="153">
        <v>0.001</v>
      </c>
      <c r="L188" s="153">
        <v>1.5</v>
      </c>
      <c r="M188" s="153">
        <v>6.0</v>
      </c>
    </row>
    <row r="189">
      <c r="A189" s="250">
        <v>46242.0</v>
      </c>
      <c r="B189" s="153" t="s">
        <v>135</v>
      </c>
      <c r="C189" s="153" t="s">
        <v>5</v>
      </c>
      <c r="D189" s="153" t="s">
        <v>434</v>
      </c>
      <c r="E189" s="153" t="s">
        <v>435</v>
      </c>
      <c r="F189" s="153" t="s">
        <v>429</v>
      </c>
      <c r="G189" s="153">
        <v>6199.0</v>
      </c>
      <c r="H189" s="153">
        <v>10.0</v>
      </c>
      <c r="I189" s="153">
        <v>0.16</v>
      </c>
      <c r="J189" s="153">
        <v>14.0</v>
      </c>
      <c r="K189" s="153">
        <v>0.0023</v>
      </c>
      <c r="L189" s="153">
        <v>1.4</v>
      </c>
      <c r="M189" s="153">
        <v>14.0</v>
      </c>
    </row>
    <row r="190">
      <c r="A190" s="250">
        <v>46242.0</v>
      </c>
      <c r="B190" s="153" t="s">
        <v>135</v>
      </c>
      <c r="C190" s="153" t="s">
        <v>5</v>
      </c>
      <c r="D190" s="153" t="s">
        <v>434</v>
      </c>
      <c r="E190" s="153" t="s">
        <v>436</v>
      </c>
      <c r="F190" s="153" t="s">
        <v>429</v>
      </c>
      <c r="G190" s="153">
        <v>6199.0</v>
      </c>
      <c r="H190" s="153">
        <v>10.0</v>
      </c>
      <c r="I190" s="153">
        <v>0.16</v>
      </c>
      <c r="J190" s="153">
        <v>16.0</v>
      </c>
      <c r="K190" s="153">
        <v>0.0026</v>
      </c>
      <c r="L190" s="153">
        <v>1.6</v>
      </c>
      <c r="M190" s="153">
        <v>16.0</v>
      </c>
    </row>
    <row r="191">
      <c r="A191" s="250">
        <v>46242.0</v>
      </c>
      <c r="B191" s="153" t="s">
        <v>135</v>
      </c>
      <c r="C191" s="153" t="s">
        <v>5</v>
      </c>
      <c r="D191" s="153" t="s">
        <v>434</v>
      </c>
      <c r="E191" s="153" t="s">
        <v>437</v>
      </c>
      <c r="F191" s="153" t="s">
        <v>429</v>
      </c>
      <c r="G191" s="153">
        <v>6199.0</v>
      </c>
      <c r="H191" s="153">
        <v>5.0</v>
      </c>
      <c r="I191" s="153">
        <v>0.08</v>
      </c>
      <c r="J191" s="153">
        <v>6.0</v>
      </c>
      <c r="K191" s="153">
        <v>0.001</v>
      </c>
      <c r="L191" s="153">
        <v>1.2</v>
      </c>
      <c r="M191" s="153">
        <v>6.0</v>
      </c>
    </row>
    <row r="192">
      <c r="A192" s="250">
        <v>46242.0</v>
      </c>
      <c r="B192" s="153" t="s">
        <v>135</v>
      </c>
      <c r="C192" s="153" t="s">
        <v>5</v>
      </c>
      <c r="D192" s="153" t="s">
        <v>438</v>
      </c>
      <c r="E192" s="153" t="s">
        <v>439</v>
      </c>
      <c r="F192" s="153" t="s">
        <v>440</v>
      </c>
      <c r="G192" s="153">
        <v>6199.0</v>
      </c>
      <c r="H192" s="153">
        <v>5.0</v>
      </c>
      <c r="I192" s="153">
        <v>0.08</v>
      </c>
      <c r="J192" s="153">
        <v>50.0</v>
      </c>
      <c r="K192" s="153">
        <v>0.0081</v>
      </c>
      <c r="L192" s="153">
        <v>10.0</v>
      </c>
      <c r="M192" s="153">
        <v>50.0</v>
      </c>
    </row>
    <row r="193">
      <c r="A193" s="250">
        <v>46242.0</v>
      </c>
      <c r="B193" s="153" t="s">
        <v>135</v>
      </c>
      <c r="C193" s="153" t="s">
        <v>5</v>
      </c>
      <c r="D193" s="153" t="s">
        <v>441</v>
      </c>
      <c r="E193" s="153" t="s">
        <v>442</v>
      </c>
      <c r="F193" s="153" t="s">
        <v>440</v>
      </c>
      <c r="G193" s="153">
        <v>6199.0</v>
      </c>
      <c r="H193" s="153">
        <v>3.0</v>
      </c>
      <c r="I193" s="153">
        <v>0.05</v>
      </c>
      <c r="J193" s="153">
        <v>60.0</v>
      </c>
      <c r="K193" s="153">
        <v>0.0097</v>
      </c>
      <c r="L193" s="153">
        <v>20.0</v>
      </c>
      <c r="M193" s="153">
        <v>60.0</v>
      </c>
    </row>
    <row r="194">
      <c r="A194" s="250">
        <v>46242.0</v>
      </c>
      <c r="B194" s="153" t="s">
        <v>135</v>
      </c>
      <c r="C194" s="153" t="s">
        <v>5</v>
      </c>
      <c r="D194" s="153" t="s">
        <v>444</v>
      </c>
      <c r="E194" s="153" t="s">
        <v>445</v>
      </c>
      <c r="F194" s="153" t="s">
        <v>440</v>
      </c>
      <c r="G194" s="153">
        <v>6199.0</v>
      </c>
      <c r="H194" s="153">
        <v>15.0</v>
      </c>
      <c r="I194" s="153">
        <v>0.24</v>
      </c>
      <c r="J194" s="153">
        <v>820.0</v>
      </c>
      <c r="K194" s="153">
        <v>0.1323</v>
      </c>
      <c r="L194" s="153">
        <v>54.6667</v>
      </c>
      <c r="M194" s="153">
        <v>820.0</v>
      </c>
    </row>
    <row r="195">
      <c r="A195" s="250">
        <v>46242.0</v>
      </c>
      <c r="B195" s="153" t="s">
        <v>136</v>
      </c>
      <c r="C195" s="153" t="s">
        <v>5</v>
      </c>
      <c r="D195" s="153" t="s">
        <v>424</v>
      </c>
      <c r="E195" s="153" t="s">
        <v>425</v>
      </c>
      <c r="F195" s="153" t="s">
        <v>426</v>
      </c>
      <c r="G195" s="153">
        <v>3737.0</v>
      </c>
      <c r="H195" s="153">
        <v>4.0</v>
      </c>
      <c r="I195" s="153">
        <v>0.11</v>
      </c>
      <c r="J195" s="153">
        <v>60.0</v>
      </c>
      <c r="K195" s="153">
        <v>0.0161</v>
      </c>
      <c r="L195" s="153">
        <v>15.0</v>
      </c>
      <c r="M195" s="153">
        <v>80.0</v>
      </c>
    </row>
    <row r="196">
      <c r="A196" s="250">
        <v>46242.0</v>
      </c>
      <c r="B196" s="153" t="s">
        <v>136</v>
      </c>
      <c r="C196" s="153" t="s">
        <v>5</v>
      </c>
      <c r="D196" s="153" t="s">
        <v>427</v>
      </c>
      <c r="E196" s="153" t="s">
        <v>428</v>
      </c>
      <c r="F196" s="153" t="s">
        <v>429</v>
      </c>
      <c r="G196" s="153">
        <v>3737.0</v>
      </c>
      <c r="H196" s="153">
        <v>4.0</v>
      </c>
      <c r="I196" s="153">
        <v>0.11</v>
      </c>
      <c r="J196" s="153">
        <v>265.0</v>
      </c>
      <c r="K196" s="153">
        <v>0.0709</v>
      </c>
      <c r="L196" s="153">
        <v>66.25</v>
      </c>
      <c r="M196" s="153">
        <v>265.0</v>
      </c>
    </row>
    <row r="197">
      <c r="A197" s="250">
        <v>46242.0</v>
      </c>
      <c r="B197" s="153" t="s">
        <v>136</v>
      </c>
      <c r="C197" s="153" t="s">
        <v>5</v>
      </c>
      <c r="D197" s="153" t="s">
        <v>430</v>
      </c>
      <c r="E197" s="153" t="s">
        <v>431</v>
      </c>
      <c r="F197" s="153" t="s">
        <v>429</v>
      </c>
      <c r="G197" s="153">
        <v>3737.0</v>
      </c>
      <c r="H197" s="153">
        <v>4.0</v>
      </c>
      <c r="I197" s="153">
        <v>0.11</v>
      </c>
      <c r="J197" s="153">
        <v>4.0</v>
      </c>
      <c r="K197" s="153">
        <v>0.0011</v>
      </c>
      <c r="L197" s="153">
        <v>1.0</v>
      </c>
      <c r="M197" s="153">
        <v>4.0</v>
      </c>
    </row>
    <row r="198">
      <c r="A198" s="250">
        <v>46242.0</v>
      </c>
      <c r="B198" s="153" t="s">
        <v>136</v>
      </c>
      <c r="C198" s="153" t="s">
        <v>5</v>
      </c>
      <c r="D198" s="153" t="s">
        <v>430</v>
      </c>
      <c r="E198" s="153" t="s">
        <v>432</v>
      </c>
      <c r="F198" s="153" t="s">
        <v>429</v>
      </c>
      <c r="G198" s="153">
        <v>3737.0</v>
      </c>
      <c r="H198" s="153">
        <v>3.0</v>
      </c>
      <c r="I198" s="153">
        <v>0.08</v>
      </c>
      <c r="J198" s="153">
        <v>6.0</v>
      </c>
      <c r="K198" s="153">
        <v>0.0016</v>
      </c>
      <c r="L198" s="153">
        <v>2.0</v>
      </c>
      <c r="M198" s="153">
        <v>6.0</v>
      </c>
    </row>
    <row r="199">
      <c r="A199" s="250">
        <v>46242.0</v>
      </c>
      <c r="B199" s="153" t="s">
        <v>136</v>
      </c>
      <c r="C199" s="153" t="s">
        <v>5</v>
      </c>
      <c r="D199" s="153" t="s">
        <v>430</v>
      </c>
      <c r="E199" s="153" t="s">
        <v>433</v>
      </c>
      <c r="F199" s="153" t="s">
        <v>429</v>
      </c>
      <c r="G199" s="153">
        <v>3737.0</v>
      </c>
      <c r="H199" s="153">
        <v>1.0</v>
      </c>
      <c r="I199" s="153">
        <v>0.03</v>
      </c>
      <c r="J199" s="153">
        <v>1.0</v>
      </c>
      <c r="K199" s="153">
        <v>3.0E-4</v>
      </c>
      <c r="L199" s="153">
        <v>1.0</v>
      </c>
      <c r="M199" s="153">
        <v>1.0</v>
      </c>
    </row>
    <row r="200">
      <c r="A200" s="250">
        <v>46242.0</v>
      </c>
      <c r="B200" s="153" t="s">
        <v>136</v>
      </c>
      <c r="C200" s="153" t="s">
        <v>5</v>
      </c>
      <c r="D200" s="153" t="s">
        <v>434</v>
      </c>
      <c r="E200" s="153" t="s">
        <v>435</v>
      </c>
      <c r="F200" s="153" t="s">
        <v>429</v>
      </c>
      <c r="G200" s="153">
        <v>3737.0</v>
      </c>
      <c r="H200" s="153">
        <v>5.0</v>
      </c>
      <c r="I200" s="153">
        <v>0.13</v>
      </c>
      <c r="J200" s="153">
        <v>6.0</v>
      </c>
      <c r="K200" s="153">
        <v>0.0016</v>
      </c>
      <c r="L200" s="153">
        <v>1.2</v>
      </c>
      <c r="M200" s="153">
        <v>6.0</v>
      </c>
    </row>
    <row r="201">
      <c r="A201" s="250">
        <v>46242.0</v>
      </c>
      <c r="B201" s="153" t="s">
        <v>136</v>
      </c>
      <c r="C201" s="153" t="s">
        <v>5</v>
      </c>
      <c r="D201" s="153" t="s">
        <v>434</v>
      </c>
      <c r="E201" s="153" t="s">
        <v>436</v>
      </c>
      <c r="F201" s="153" t="s">
        <v>429</v>
      </c>
      <c r="G201" s="153">
        <v>3737.0</v>
      </c>
      <c r="H201" s="153">
        <v>2.0</v>
      </c>
      <c r="I201" s="153">
        <v>0.05</v>
      </c>
      <c r="J201" s="153">
        <v>3.0</v>
      </c>
      <c r="K201" s="153">
        <v>8.0E-4</v>
      </c>
      <c r="L201" s="153">
        <v>1.5</v>
      </c>
      <c r="M201" s="153">
        <v>3.0</v>
      </c>
    </row>
    <row r="202">
      <c r="A202" s="250">
        <v>46242.0</v>
      </c>
      <c r="B202" s="153" t="s">
        <v>136</v>
      </c>
      <c r="C202" s="153" t="s">
        <v>5</v>
      </c>
      <c r="D202" s="153" t="s">
        <v>438</v>
      </c>
      <c r="E202" s="153" t="s">
        <v>439</v>
      </c>
      <c r="F202" s="153" t="s">
        <v>440</v>
      </c>
      <c r="G202" s="153">
        <v>3737.0</v>
      </c>
      <c r="H202" s="153">
        <v>2.0</v>
      </c>
      <c r="I202" s="153">
        <v>0.05</v>
      </c>
      <c r="J202" s="153">
        <v>20.0</v>
      </c>
      <c r="K202" s="153">
        <v>0.0054</v>
      </c>
      <c r="L202" s="153">
        <v>10.0</v>
      </c>
      <c r="M202" s="153">
        <v>20.0</v>
      </c>
    </row>
    <row r="203">
      <c r="A203" s="250">
        <v>46242.0</v>
      </c>
      <c r="B203" s="153" t="s">
        <v>136</v>
      </c>
      <c r="C203" s="153" t="s">
        <v>5</v>
      </c>
      <c r="D203" s="153" t="s">
        <v>441</v>
      </c>
      <c r="E203" s="153" t="s">
        <v>442</v>
      </c>
      <c r="F203" s="153" t="s">
        <v>440</v>
      </c>
      <c r="G203" s="153">
        <v>3737.0</v>
      </c>
      <c r="H203" s="153">
        <v>3.0</v>
      </c>
      <c r="I203" s="153">
        <v>0.08</v>
      </c>
      <c r="J203" s="153">
        <v>30.0</v>
      </c>
      <c r="K203" s="153">
        <v>0.008</v>
      </c>
      <c r="L203" s="153">
        <v>10.0</v>
      </c>
      <c r="M203" s="153">
        <v>30.0</v>
      </c>
    </row>
    <row r="204">
      <c r="A204" s="250">
        <v>46242.0</v>
      </c>
      <c r="B204" s="153" t="s">
        <v>136</v>
      </c>
      <c r="C204" s="153" t="s">
        <v>5</v>
      </c>
      <c r="D204" s="153" t="s">
        <v>444</v>
      </c>
      <c r="E204" s="153" t="s">
        <v>445</v>
      </c>
      <c r="F204" s="153" t="s">
        <v>440</v>
      </c>
      <c r="G204" s="153">
        <v>3737.0</v>
      </c>
      <c r="H204" s="153">
        <v>6.0</v>
      </c>
      <c r="I204" s="153">
        <v>0.16</v>
      </c>
      <c r="J204" s="153">
        <v>210.0</v>
      </c>
      <c r="K204" s="153">
        <v>0.0562</v>
      </c>
      <c r="L204" s="153">
        <v>35.0</v>
      </c>
      <c r="M204" s="153">
        <v>210.0</v>
      </c>
    </row>
    <row r="205">
      <c r="A205" s="250">
        <v>46243.0</v>
      </c>
      <c r="B205" s="153" t="s">
        <v>423</v>
      </c>
      <c r="C205" s="153" t="s">
        <v>5</v>
      </c>
      <c r="D205" s="153" t="s">
        <v>427</v>
      </c>
      <c r="E205" s="153" t="s">
        <v>428</v>
      </c>
      <c r="F205" s="153" t="s">
        <v>429</v>
      </c>
      <c r="G205" s="153">
        <v>8239.0</v>
      </c>
      <c r="H205" s="153">
        <v>1.0</v>
      </c>
      <c r="I205" s="153">
        <v>0.01</v>
      </c>
      <c r="J205" s="153">
        <v>50.0</v>
      </c>
      <c r="K205" s="153">
        <v>0.0061</v>
      </c>
      <c r="L205" s="153">
        <v>50.0</v>
      </c>
      <c r="M205" s="153">
        <v>50.0</v>
      </c>
    </row>
    <row r="206">
      <c r="A206" s="250">
        <v>46243.0</v>
      </c>
      <c r="B206" s="153" t="s">
        <v>423</v>
      </c>
      <c r="C206" s="153" t="s">
        <v>5</v>
      </c>
      <c r="D206" s="153" t="s">
        <v>430</v>
      </c>
      <c r="E206" s="153" t="s">
        <v>432</v>
      </c>
      <c r="F206" s="153" t="s">
        <v>429</v>
      </c>
      <c r="G206" s="153">
        <v>8239.0</v>
      </c>
      <c r="H206" s="153">
        <v>1.0</v>
      </c>
      <c r="I206" s="153">
        <v>0.01</v>
      </c>
      <c r="J206" s="153">
        <v>1.0</v>
      </c>
      <c r="K206" s="153">
        <v>1.0E-4</v>
      </c>
      <c r="L206" s="153">
        <v>1.0</v>
      </c>
      <c r="M206" s="153">
        <v>1.0</v>
      </c>
    </row>
    <row r="207">
      <c r="A207" s="250">
        <v>46243.0</v>
      </c>
      <c r="B207" s="153" t="s">
        <v>423</v>
      </c>
      <c r="C207" s="153" t="s">
        <v>5</v>
      </c>
      <c r="D207" s="153" t="s">
        <v>434</v>
      </c>
      <c r="E207" s="153" t="s">
        <v>436</v>
      </c>
      <c r="F207" s="153" t="s">
        <v>429</v>
      </c>
      <c r="G207" s="153">
        <v>8239.0</v>
      </c>
      <c r="H207" s="153">
        <v>1.0</v>
      </c>
      <c r="I207" s="153">
        <v>0.01</v>
      </c>
      <c r="J207" s="153">
        <v>1.0</v>
      </c>
      <c r="K207" s="153">
        <v>1.0E-4</v>
      </c>
      <c r="L207" s="153">
        <v>1.0</v>
      </c>
      <c r="M207" s="153">
        <v>1.0</v>
      </c>
    </row>
    <row r="208">
      <c r="A208" s="250">
        <v>46243.0</v>
      </c>
      <c r="B208" s="153" t="s">
        <v>423</v>
      </c>
      <c r="C208" s="153" t="s">
        <v>5</v>
      </c>
      <c r="D208" s="153" t="s">
        <v>438</v>
      </c>
      <c r="E208" s="153" t="s">
        <v>439</v>
      </c>
      <c r="F208" s="153" t="s">
        <v>440</v>
      </c>
      <c r="G208" s="153">
        <v>8239.0</v>
      </c>
      <c r="H208" s="153">
        <v>1.0</v>
      </c>
      <c r="I208" s="153">
        <v>0.01</v>
      </c>
      <c r="J208" s="153">
        <v>10.0</v>
      </c>
      <c r="K208" s="153">
        <v>0.0012</v>
      </c>
      <c r="L208" s="153">
        <v>10.0</v>
      </c>
      <c r="M208" s="153">
        <v>10.0</v>
      </c>
    </row>
    <row r="209">
      <c r="A209" s="250">
        <v>46243.0</v>
      </c>
      <c r="B209" s="153" t="s">
        <v>423</v>
      </c>
      <c r="C209" s="153" t="s">
        <v>5</v>
      </c>
      <c r="D209" s="153" t="s">
        <v>444</v>
      </c>
      <c r="E209" s="153" t="s">
        <v>445</v>
      </c>
      <c r="F209" s="153" t="s">
        <v>440</v>
      </c>
      <c r="G209" s="153">
        <v>8239.0</v>
      </c>
      <c r="H209" s="153">
        <v>1.0</v>
      </c>
      <c r="I209" s="153">
        <v>0.01</v>
      </c>
      <c r="J209" s="153">
        <v>50.0</v>
      </c>
      <c r="K209" s="153">
        <v>0.0061</v>
      </c>
      <c r="L209" s="153">
        <v>50.0</v>
      </c>
      <c r="M209" s="153">
        <v>50.0</v>
      </c>
    </row>
    <row r="210">
      <c r="A210" s="250">
        <v>46243.0</v>
      </c>
      <c r="B210" s="153" t="s">
        <v>133</v>
      </c>
      <c r="C210" s="153" t="s">
        <v>5</v>
      </c>
      <c r="D210" s="153" t="s">
        <v>424</v>
      </c>
      <c r="E210" s="153" t="s">
        <v>425</v>
      </c>
      <c r="F210" s="153" t="s">
        <v>426</v>
      </c>
      <c r="G210" s="153">
        <v>11090.0</v>
      </c>
      <c r="H210" s="153">
        <v>30.0</v>
      </c>
      <c r="I210" s="153">
        <v>0.27</v>
      </c>
      <c r="J210" s="153">
        <v>403.33</v>
      </c>
      <c r="K210" s="153">
        <v>0.0364</v>
      </c>
      <c r="L210" s="153">
        <v>13.4444</v>
      </c>
      <c r="M210" s="153">
        <v>490.0</v>
      </c>
    </row>
    <row r="211">
      <c r="A211" s="250">
        <v>46243.0</v>
      </c>
      <c r="B211" s="153" t="s">
        <v>133</v>
      </c>
      <c r="C211" s="153" t="s">
        <v>5</v>
      </c>
      <c r="D211" s="153" t="s">
        <v>427</v>
      </c>
      <c r="E211" s="153" t="s">
        <v>428</v>
      </c>
      <c r="F211" s="153" t="s">
        <v>429</v>
      </c>
      <c r="G211" s="153">
        <v>11090.0</v>
      </c>
      <c r="H211" s="153">
        <v>25.0</v>
      </c>
      <c r="I211" s="153">
        <v>0.23</v>
      </c>
      <c r="J211" s="153">
        <v>625.97</v>
      </c>
      <c r="K211" s="153">
        <v>0.0564</v>
      </c>
      <c r="L211" s="153">
        <v>25.039</v>
      </c>
      <c r="M211" s="153">
        <v>690.0</v>
      </c>
    </row>
    <row r="212">
      <c r="A212" s="250">
        <v>46243.0</v>
      </c>
      <c r="B212" s="153" t="s">
        <v>133</v>
      </c>
      <c r="C212" s="153" t="s">
        <v>5</v>
      </c>
      <c r="D212" s="153" t="s">
        <v>430</v>
      </c>
      <c r="E212" s="153" t="s">
        <v>432</v>
      </c>
      <c r="F212" s="153" t="s">
        <v>429</v>
      </c>
      <c r="G212" s="153">
        <v>11090.0</v>
      </c>
      <c r="H212" s="153">
        <v>9.0</v>
      </c>
      <c r="I212" s="153">
        <v>0.08</v>
      </c>
      <c r="J212" s="153">
        <v>10.0</v>
      </c>
      <c r="K212" s="153">
        <v>9.0E-4</v>
      </c>
      <c r="L212" s="153">
        <v>1.1111</v>
      </c>
      <c r="M212" s="153">
        <v>10.0</v>
      </c>
    </row>
    <row r="213">
      <c r="A213" s="250">
        <v>46243.0</v>
      </c>
      <c r="B213" s="153" t="s">
        <v>133</v>
      </c>
      <c r="C213" s="153" t="s">
        <v>5</v>
      </c>
      <c r="D213" s="153" t="s">
        <v>430</v>
      </c>
      <c r="E213" s="153" t="s">
        <v>433</v>
      </c>
      <c r="F213" s="153" t="s">
        <v>429</v>
      </c>
      <c r="G213" s="153">
        <v>11090.0</v>
      </c>
      <c r="H213" s="153">
        <v>3.0</v>
      </c>
      <c r="I213" s="153">
        <v>0.03</v>
      </c>
      <c r="J213" s="153">
        <v>3.0</v>
      </c>
      <c r="K213" s="153">
        <v>3.0E-4</v>
      </c>
      <c r="L213" s="153">
        <v>1.0</v>
      </c>
      <c r="M213" s="153">
        <v>3.0</v>
      </c>
    </row>
    <row r="214">
      <c r="A214" s="250">
        <v>46243.0</v>
      </c>
      <c r="B214" s="153" t="s">
        <v>133</v>
      </c>
      <c r="C214" s="153" t="s">
        <v>5</v>
      </c>
      <c r="D214" s="153" t="s">
        <v>434</v>
      </c>
      <c r="E214" s="153" t="s">
        <v>435</v>
      </c>
      <c r="F214" s="153" t="s">
        <v>429</v>
      </c>
      <c r="G214" s="153">
        <v>11090.0</v>
      </c>
      <c r="H214" s="153">
        <v>24.0</v>
      </c>
      <c r="I214" s="153">
        <v>0.22</v>
      </c>
      <c r="J214" s="153">
        <v>25.0</v>
      </c>
      <c r="K214" s="153">
        <v>0.0023</v>
      </c>
      <c r="L214" s="153">
        <v>1.0417</v>
      </c>
      <c r="M214" s="153">
        <v>25.0</v>
      </c>
    </row>
    <row r="215">
      <c r="A215" s="250">
        <v>46243.0</v>
      </c>
      <c r="B215" s="153" t="s">
        <v>133</v>
      </c>
      <c r="C215" s="153" t="s">
        <v>5</v>
      </c>
      <c r="D215" s="153" t="s">
        <v>434</v>
      </c>
      <c r="E215" s="153" t="s">
        <v>436</v>
      </c>
      <c r="F215" s="153" t="s">
        <v>429</v>
      </c>
      <c r="G215" s="153">
        <v>11090.0</v>
      </c>
      <c r="H215" s="153">
        <v>14.0</v>
      </c>
      <c r="I215" s="153">
        <v>0.13</v>
      </c>
      <c r="J215" s="153">
        <v>18.0</v>
      </c>
      <c r="K215" s="153">
        <v>0.0016</v>
      </c>
      <c r="L215" s="153">
        <v>1.2857</v>
      </c>
      <c r="M215" s="153">
        <v>18.0</v>
      </c>
    </row>
    <row r="216">
      <c r="A216" s="250">
        <v>46243.0</v>
      </c>
      <c r="B216" s="153" t="s">
        <v>133</v>
      </c>
      <c r="C216" s="153" t="s">
        <v>5</v>
      </c>
      <c r="D216" s="153" t="s">
        <v>438</v>
      </c>
      <c r="E216" s="153" t="s">
        <v>439</v>
      </c>
      <c r="F216" s="153" t="s">
        <v>440</v>
      </c>
      <c r="G216" s="153">
        <v>11090.0</v>
      </c>
      <c r="H216" s="153">
        <v>4.0</v>
      </c>
      <c r="I216" s="153">
        <v>0.04</v>
      </c>
      <c r="J216" s="153">
        <v>40.0</v>
      </c>
      <c r="K216" s="153">
        <v>0.0036</v>
      </c>
      <c r="L216" s="153">
        <v>10.0</v>
      </c>
      <c r="M216" s="153">
        <v>40.0</v>
      </c>
    </row>
    <row r="217">
      <c r="A217" s="250">
        <v>46243.0</v>
      </c>
      <c r="B217" s="153" t="s">
        <v>133</v>
      </c>
      <c r="C217" s="153" t="s">
        <v>5</v>
      </c>
      <c r="D217" s="153" t="s">
        <v>444</v>
      </c>
      <c r="E217" s="153" t="s">
        <v>445</v>
      </c>
      <c r="F217" s="153" t="s">
        <v>440</v>
      </c>
      <c r="G217" s="153">
        <v>11090.0</v>
      </c>
      <c r="H217" s="153">
        <v>24.0</v>
      </c>
      <c r="I217" s="153">
        <v>0.22</v>
      </c>
      <c r="J217" s="153">
        <v>380.0</v>
      </c>
      <c r="K217" s="153">
        <v>0.0343</v>
      </c>
      <c r="L217" s="153">
        <v>15.8333</v>
      </c>
      <c r="M217" s="153">
        <v>380.0</v>
      </c>
    </row>
    <row r="218">
      <c r="A218" s="250">
        <v>46243.0</v>
      </c>
      <c r="B218" s="153" t="s">
        <v>134</v>
      </c>
      <c r="C218" s="153" t="s">
        <v>5</v>
      </c>
      <c r="D218" s="153" t="s">
        <v>424</v>
      </c>
      <c r="E218" s="153" t="s">
        <v>425</v>
      </c>
      <c r="F218" s="153" t="s">
        <v>426</v>
      </c>
      <c r="G218" s="153">
        <v>7945.0</v>
      </c>
      <c r="H218" s="153">
        <v>26.0</v>
      </c>
      <c r="I218" s="153">
        <v>0.33</v>
      </c>
      <c r="J218" s="153">
        <v>427.5</v>
      </c>
      <c r="K218" s="153">
        <v>0.0538</v>
      </c>
      <c r="L218" s="153">
        <v>16.4423</v>
      </c>
      <c r="M218" s="153">
        <v>460.0</v>
      </c>
    </row>
    <row r="219">
      <c r="A219" s="250">
        <v>46243.0</v>
      </c>
      <c r="B219" s="153" t="s">
        <v>134</v>
      </c>
      <c r="C219" s="153" t="s">
        <v>5</v>
      </c>
      <c r="D219" s="153" t="s">
        <v>427</v>
      </c>
      <c r="E219" s="153" t="s">
        <v>428</v>
      </c>
      <c r="F219" s="153" t="s">
        <v>429</v>
      </c>
      <c r="G219" s="153">
        <v>7945.0</v>
      </c>
      <c r="H219" s="153">
        <v>18.0</v>
      </c>
      <c r="I219" s="153">
        <v>0.23</v>
      </c>
      <c r="J219" s="153">
        <v>905.0</v>
      </c>
      <c r="K219" s="153">
        <v>0.1139</v>
      </c>
      <c r="L219" s="153">
        <v>50.2778</v>
      </c>
      <c r="M219" s="153">
        <v>1065.0</v>
      </c>
    </row>
    <row r="220">
      <c r="A220" s="250">
        <v>46243.0</v>
      </c>
      <c r="B220" s="153" t="s">
        <v>134</v>
      </c>
      <c r="C220" s="153" t="s">
        <v>5</v>
      </c>
      <c r="D220" s="153" t="s">
        <v>430</v>
      </c>
      <c r="E220" s="153" t="s">
        <v>431</v>
      </c>
      <c r="F220" s="153" t="s">
        <v>429</v>
      </c>
      <c r="G220" s="153">
        <v>7945.0</v>
      </c>
      <c r="H220" s="153">
        <v>2.0</v>
      </c>
      <c r="I220" s="153">
        <v>0.03</v>
      </c>
      <c r="J220" s="153">
        <v>2.0</v>
      </c>
      <c r="K220" s="153">
        <v>3.0E-4</v>
      </c>
      <c r="L220" s="153">
        <v>1.0</v>
      </c>
      <c r="M220" s="153">
        <v>2.0</v>
      </c>
    </row>
    <row r="221">
      <c r="A221" s="250">
        <v>46243.0</v>
      </c>
      <c r="B221" s="153" t="s">
        <v>134</v>
      </c>
      <c r="C221" s="153" t="s">
        <v>5</v>
      </c>
      <c r="D221" s="153" t="s">
        <v>430</v>
      </c>
      <c r="E221" s="153" t="s">
        <v>432</v>
      </c>
      <c r="F221" s="153" t="s">
        <v>429</v>
      </c>
      <c r="G221" s="153">
        <v>7945.0</v>
      </c>
      <c r="H221" s="153">
        <v>12.0</v>
      </c>
      <c r="I221" s="153">
        <v>0.15</v>
      </c>
      <c r="J221" s="153">
        <v>20.0</v>
      </c>
      <c r="K221" s="153">
        <v>0.0025</v>
      </c>
      <c r="L221" s="153">
        <v>1.6667</v>
      </c>
      <c r="M221" s="153">
        <v>20.0</v>
      </c>
    </row>
    <row r="222">
      <c r="A222" s="250">
        <v>46243.0</v>
      </c>
      <c r="B222" s="153" t="s">
        <v>134</v>
      </c>
      <c r="C222" s="153" t="s">
        <v>5</v>
      </c>
      <c r="D222" s="153" t="s">
        <v>430</v>
      </c>
      <c r="E222" s="153" t="s">
        <v>433</v>
      </c>
      <c r="F222" s="153" t="s">
        <v>429</v>
      </c>
      <c r="G222" s="153">
        <v>7945.0</v>
      </c>
      <c r="H222" s="153">
        <v>10.0</v>
      </c>
      <c r="I222" s="153">
        <v>0.13</v>
      </c>
      <c r="J222" s="153">
        <v>10.0</v>
      </c>
      <c r="K222" s="153">
        <v>0.0013</v>
      </c>
      <c r="L222" s="153">
        <v>1.0</v>
      </c>
      <c r="M222" s="153">
        <v>10.0</v>
      </c>
    </row>
    <row r="223">
      <c r="A223" s="250">
        <v>46243.0</v>
      </c>
      <c r="B223" s="153" t="s">
        <v>134</v>
      </c>
      <c r="C223" s="153" t="s">
        <v>5</v>
      </c>
      <c r="D223" s="153" t="s">
        <v>434</v>
      </c>
      <c r="E223" s="153" t="s">
        <v>435</v>
      </c>
      <c r="F223" s="153" t="s">
        <v>429</v>
      </c>
      <c r="G223" s="153">
        <v>7945.0</v>
      </c>
      <c r="H223" s="153">
        <v>17.0</v>
      </c>
      <c r="I223" s="153">
        <v>0.21</v>
      </c>
      <c r="J223" s="153">
        <v>17.0</v>
      </c>
      <c r="K223" s="153">
        <v>0.0021</v>
      </c>
      <c r="L223" s="153">
        <v>1.0</v>
      </c>
      <c r="M223" s="153">
        <v>17.0</v>
      </c>
    </row>
    <row r="224">
      <c r="A224" s="250">
        <v>46243.0</v>
      </c>
      <c r="B224" s="153" t="s">
        <v>134</v>
      </c>
      <c r="C224" s="153" t="s">
        <v>5</v>
      </c>
      <c r="D224" s="153" t="s">
        <v>434</v>
      </c>
      <c r="E224" s="153" t="s">
        <v>436</v>
      </c>
      <c r="F224" s="153" t="s">
        <v>429</v>
      </c>
      <c r="G224" s="153">
        <v>7945.0</v>
      </c>
      <c r="H224" s="153">
        <v>11.0</v>
      </c>
      <c r="I224" s="153">
        <v>0.14</v>
      </c>
      <c r="J224" s="153">
        <v>12.0</v>
      </c>
      <c r="K224" s="153">
        <v>0.0015</v>
      </c>
      <c r="L224" s="153">
        <v>1.0909</v>
      </c>
      <c r="M224" s="153">
        <v>12.0</v>
      </c>
    </row>
    <row r="225">
      <c r="A225" s="250">
        <v>46243.0</v>
      </c>
      <c r="B225" s="153" t="s">
        <v>134</v>
      </c>
      <c r="C225" s="153" t="s">
        <v>5</v>
      </c>
      <c r="D225" s="153" t="s">
        <v>434</v>
      </c>
      <c r="E225" s="153" t="s">
        <v>437</v>
      </c>
      <c r="F225" s="153" t="s">
        <v>429</v>
      </c>
      <c r="G225" s="153">
        <v>7945.0</v>
      </c>
      <c r="H225" s="153">
        <v>1.0</v>
      </c>
      <c r="I225" s="153">
        <v>0.01</v>
      </c>
      <c r="J225" s="153">
        <v>1.0</v>
      </c>
      <c r="K225" s="153">
        <v>1.0E-4</v>
      </c>
      <c r="L225" s="153">
        <v>1.0</v>
      </c>
      <c r="M225" s="153">
        <v>1.0</v>
      </c>
    </row>
    <row r="226">
      <c r="A226" s="250">
        <v>46243.0</v>
      </c>
      <c r="B226" s="153" t="s">
        <v>134</v>
      </c>
      <c r="C226" s="153" t="s">
        <v>5</v>
      </c>
      <c r="D226" s="153" t="s">
        <v>438</v>
      </c>
      <c r="E226" s="153" t="s">
        <v>439</v>
      </c>
      <c r="F226" s="153" t="s">
        <v>440</v>
      </c>
      <c r="G226" s="153">
        <v>7945.0</v>
      </c>
      <c r="H226" s="153">
        <v>8.0</v>
      </c>
      <c r="I226" s="153">
        <v>0.1</v>
      </c>
      <c r="J226" s="153">
        <v>80.0</v>
      </c>
      <c r="K226" s="153">
        <v>0.0101</v>
      </c>
      <c r="L226" s="153">
        <v>10.0</v>
      </c>
      <c r="M226" s="153">
        <v>80.0</v>
      </c>
    </row>
    <row r="227">
      <c r="A227" s="250">
        <v>46243.0</v>
      </c>
      <c r="B227" s="153" t="s">
        <v>134</v>
      </c>
      <c r="C227" s="153" t="s">
        <v>5</v>
      </c>
      <c r="D227" s="153" t="s">
        <v>441</v>
      </c>
      <c r="E227" s="153" t="s">
        <v>442</v>
      </c>
      <c r="F227" s="153" t="s">
        <v>440</v>
      </c>
      <c r="G227" s="153">
        <v>7945.0</v>
      </c>
      <c r="H227" s="153">
        <v>4.0</v>
      </c>
      <c r="I227" s="153">
        <v>0.05</v>
      </c>
      <c r="J227" s="153">
        <v>40.0</v>
      </c>
      <c r="K227" s="153">
        <v>0.005</v>
      </c>
      <c r="L227" s="153">
        <v>10.0</v>
      </c>
      <c r="M227" s="153">
        <v>40.0</v>
      </c>
    </row>
    <row r="228">
      <c r="A228" s="250">
        <v>46243.0</v>
      </c>
      <c r="B228" s="153" t="s">
        <v>134</v>
      </c>
      <c r="C228" s="153" t="s">
        <v>5</v>
      </c>
      <c r="D228" s="153" t="s">
        <v>444</v>
      </c>
      <c r="E228" s="153" t="s">
        <v>445</v>
      </c>
      <c r="F228" s="153" t="s">
        <v>440</v>
      </c>
      <c r="G228" s="153">
        <v>7945.0</v>
      </c>
      <c r="H228" s="153">
        <v>16.0</v>
      </c>
      <c r="I228" s="153">
        <v>0.2</v>
      </c>
      <c r="J228" s="153">
        <v>370.0</v>
      </c>
      <c r="K228" s="153">
        <v>0.0466</v>
      </c>
      <c r="L228" s="153">
        <v>23.125</v>
      </c>
      <c r="M228" s="153">
        <v>370.0</v>
      </c>
    </row>
    <row r="229">
      <c r="A229" s="250">
        <v>46243.0</v>
      </c>
      <c r="B229" s="153" t="s">
        <v>135</v>
      </c>
      <c r="C229" s="153" t="s">
        <v>5</v>
      </c>
      <c r="D229" s="153" t="s">
        <v>424</v>
      </c>
      <c r="E229" s="153" t="s">
        <v>425</v>
      </c>
      <c r="F229" s="153" t="s">
        <v>426</v>
      </c>
      <c r="G229" s="153">
        <v>6387.0</v>
      </c>
      <c r="H229" s="153">
        <v>15.0</v>
      </c>
      <c r="I229" s="153">
        <v>0.23</v>
      </c>
      <c r="J229" s="153">
        <v>255.0</v>
      </c>
      <c r="K229" s="153">
        <v>0.0399</v>
      </c>
      <c r="L229" s="153">
        <v>17.0</v>
      </c>
      <c r="M229" s="153">
        <v>260.0</v>
      </c>
    </row>
    <row r="230">
      <c r="A230" s="250">
        <v>46243.0</v>
      </c>
      <c r="B230" s="153" t="s">
        <v>135</v>
      </c>
      <c r="C230" s="153" t="s">
        <v>5</v>
      </c>
      <c r="D230" s="153" t="s">
        <v>427</v>
      </c>
      <c r="E230" s="153" t="s">
        <v>428</v>
      </c>
      <c r="F230" s="153" t="s">
        <v>429</v>
      </c>
      <c r="G230" s="153">
        <v>6387.0</v>
      </c>
      <c r="H230" s="153">
        <v>16.0</v>
      </c>
      <c r="I230" s="153">
        <v>0.25</v>
      </c>
      <c r="J230" s="153">
        <v>670.0</v>
      </c>
      <c r="K230" s="153">
        <v>0.1049</v>
      </c>
      <c r="L230" s="153">
        <v>41.875</v>
      </c>
      <c r="M230" s="153">
        <v>795.0</v>
      </c>
    </row>
    <row r="231">
      <c r="A231" s="250">
        <v>46243.0</v>
      </c>
      <c r="B231" s="153" t="s">
        <v>135</v>
      </c>
      <c r="C231" s="153" t="s">
        <v>5</v>
      </c>
      <c r="D231" s="153" t="s">
        <v>430</v>
      </c>
      <c r="E231" s="153" t="s">
        <v>431</v>
      </c>
      <c r="F231" s="153" t="s">
        <v>429</v>
      </c>
      <c r="G231" s="153">
        <v>6387.0</v>
      </c>
      <c r="H231" s="153">
        <v>4.0</v>
      </c>
      <c r="I231" s="153">
        <v>0.06</v>
      </c>
      <c r="J231" s="153">
        <v>4.0</v>
      </c>
      <c r="K231" s="153">
        <v>6.0E-4</v>
      </c>
      <c r="L231" s="153">
        <v>1.0</v>
      </c>
      <c r="M231" s="153">
        <v>4.0</v>
      </c>
    </row>
    <row r="232">
      <c r="A232" s="250">
        <v>46243.0</v>
      </c>
      <c r="B232" s="153" t="s">
        <v>135</v>
      </c>
      <c r="C232" s="153" t="s">
        <v>5</v>
      </c>
      <c r="D232" s="153" t="s">
        <v>430</v>
      </c>
      <c r="E232" s="153" t="s">
        <v>432</v>
      </c>
      <c r="F232" s="153" t="s">
        <v>429</v>
      </c>
      <c r="G232" s="153">
        <v>6387.0</v>
      </c>
      <c r="H232" s="153">
        <v>5.0</v>
      </c>
      <c r="I232" s="153">
        <v>0.08</v>
      </c>
      <c r="J232" s="153">
        <v>12.0</v>
      </c>
      <c r="K232" s="153">
        <v>0.0019</v>
      </c>
      <c r="L232" s="153">
        <v>2.4</v>
      </c>
      <c r="M232" s="153">
        <v>12.0</v>
      </c>
    </row>
    <row r="233">
      <c r="A233" s="250">
        <v>46243.0</v>
      </c>
      <c r="B233" s="153" t="s">
        <v>135</v>
      </c>
      <c r="C233" s="153" t="s">
        <v>5</v>
      </c>
      <c r="D233" s="153" t="s">
        <v>430</v>
      </c>
      <c r="E233" s="153" t="s">
        <v>433</v>
      </c>
      <c r="F233" s="153" t="s">
        <v>429</v>
      </c>
      <c r="G233" s="153">
        <v>6387.0</v>
      </c>
      <c r="H233" s="153">
        <v>4.0</v>
      </c>
      <c r="I233" s="153">
        <v>0.06</v>
      </c>
      <c r="J233" s="153">
        <v>4.0</v>
      </c>
      <c r="K233" s="153">
        <v>6.0E-4</v>
      </c>
      <c r="L233" s="153">
        <v>1.0</v>
      </c>
      <c r="M233" s="153">
        <v>4.0</v>
      </c>
    </row>
    <row r="234">
      <c r="A234" s="250">
        <v>46243.0</v>
      </c>
      <c r="B234" s="153" t="s">
        <v>135</v>
      </c>
      <c r="C234" s="153" t="s">
        <v>5</v>
      </c>
      <c r="D234" s="153" t="s">
        <v>434</v>
      </c>
      <c r="E234" s="153" t="s">
        <v>435</v>
      </c>
      <c r="F234" s="153" t="s">
        <v>429</v>
      </c>
      <c r="G234" s="153">
        <v>6387.0</v>
      </c>
      <c r="H234" s="153">
        <v>8.0</v>
      </c>
      <c r="I234" s="153">
        <v>0.13</v>
      </c>
      <c r="J234" s="153">
        <v>8.0</v>
      </c>
      <c r="K234" s="153">
        <v>0.0013</v>
      </c>
      <c r="L234" s="153">
        <v>1.0</v>
      </c>
      <c r="M234" s="153">
        <v>8.0</v>
      </c>
    </row>
    <row r="235">
      <c r="A235" s="250">
        <v>46243.0</v>
      </c>
      <c r="B235" s="153" t="s">
        <v>135</v>
      </c>
      <c r="C235" s="153" t="s">
        <v>5</v>
      </c>
      <c r="D235" s="153" t="s">
        <v>434</v>
      </c>
      <c r="E235" s="153" t="s">
        <v>436</v>
      </c>
      <c r="F235" s="153" t="s">
        <v>429</v>
      </c>
      <c r="G235" s="153">
        <v>6387.0</v>
      </c>
      <c r="H235" s="153">
        <v>6.0</v>
      </c>
      <c r="I235" s="153">
        <v>0.09</v>
      </c>
      <c r="J235" s="153">
        <v>10.0</v>
      </c>
      <c r="K235" s="153">
        <v>0.0016</v>
      </c>
      <c r="L235" s="153">
        <v>1.6667</v>
      </c>
      <c r="M235" s="153">
        <v>10.0</v>
      </c>
    </row>
    <row r="236">
      <c r="A236" s="250">
        <v>46243.0</v>
      </c>
      <c r="B236" s="153" t="s">
        <v>135</v>
      </c>
      <c r="C236" s="153" t="s">
        <v>5</v>
      </c>
      <c r="D236" s="153" t="s">
        <v>434</v>
      </c>
      <c r="E236" s="153" t="s">
        <v>437</v>
      </c>
      <c r="F236" s="153" t="s">
        <v>429</v>
      </c>
      <c r="G236" s="153">
        <v>6387.0</v>
      </c>
      <c r="H236" s="153">
        <v>1.0</v>
      </c>
      <c r="I236" s="153">
        <v>0.02</v>
      </c>
      <c r="J236" s="153">
        <v>1.0</v>
      </c>
      <c r="K236" s="153">
        <v>2.0E-4</v>
      </c>
      <c r="L236" s="153">
        <v>1.0</v>
      </c>
      <c r="M236" s="153">
        <v>1.0</v>
      </c>
    </row>
    <row r="237">
      <c r="A237" s="250">
        <v>46243.0</v>
      </c>
      <c r="B237" s="153" t="s">
        <v>135</v>
      </c>
      <c r="C237" s="153" t="s">
        <v>5</v>
      </c>
      <c r="D237" s="153" t="s">
        <v>438</v>
      </c>
      <c r="E237" s="153" t="s">
        <v>439</v>
      </c>
      <c r="F237" s="153" t="s">
        <v>440</v>
      </c>
      <c r="G237" s="153">
        <v>6387.0</v>
      </c>
      <c r="H237" s="153">
        <v>4.0</v>
      </c>
      <c r="I237" s="153">
        <v>0.06</v>
      </c>
      <c r="J237" s="153">
        <v>50.0</v>
      </c>
      <c r="K237" s="153">
        <v>0.0078</v>
      </c>
      <c r="L237" s="153">
        <v>12.5</v>
      </c>
      <c r="M237" s="153">
        <v>50.0</v>
      </c>
    </row>
    <row r="238">
      <c r="A238" s="250">
        <v>46243.0</v>
      </c>
      <c r="B238" s="153" t="s">
        <v>135</v>
      </c>
      <c r="C238" s="153" t="s">
        <v>5</v>
      </c>
      <c r="D238" s="153" t="s">
        <v>441</v>
      </c>
      <c r="E238" s="153" t="s">
        <v>442</v>
      </c>
      <c r="F238" s="153" t="s">
        <v>440</v>
      </c>
      <c r="G238" s="153">
        <v>6387.0</v>
      </c>
      <c r="H238" s="153">
        <v>2.0</v>
      </c>
      <c r="I238" s="153">
        <v>0.03</v>
      </c>
      <c r="J238" s="153">
        <v>20.0</v>
      </c>
      <c r="K238" s="153">
        <v>0.0031</v>
      </c>
      <c r="L238" s="153">
        <v>10.0</v>
      </c>
      <c r="M238" s="153">
        <v>20.0</v>
      </c>
    </row>
    <row r="239">
      <c r="A239" s="250">
        <v>46243.0</v>
      </c>
      <c r="B239" s="153" t="s">
        <v>135</v>
      </c>
      <c r="C239" s="153" t="s">
        <v>5</v>
      </c>
      <c r="D239" s="153" t="s">
        <v>444</v>
      </c>
      <c r="E239" s="153" t="s">
        <v>445</v>
      </c>
      <c r="F239" s="153" t="s">
        <v>440</v>
      </c>
      <c r="G239" s="153">
        <v>6387.0</v>
      </c>
      <c r="H239" s="153">
        <v>13.0</v>
      </c>
      <c r="I239" s="153">
        <v>0.2</v>
      </c>
      <c r="J239" s="153">
        <v>425.0</v>
      </c>
      <c r="K239" s="153">
        <v>0.0665</v>
      </c>
      <c r="L239" s="153">
        <v>32.6923</v>
      </c>
      <c r="M239" s="153">
        <v>425.0</v>
      </c>
    </row>
    <row r="240">
      <c r="A240" s="250">
        <v>46243.0</v>
      </c>
      <c r="B240" s="153" t="s">
        <v>136</v>
      </c>
      <c r="C240" s="153" t="s">
        <v>5</v>
      </c>
      <c r="D240" s="153" t="s">
        <v>424</v>
      </c>
      <c r="E240" s="153" t="s">
        <v>425</v>
      </c>
      <c r="F240" s="153" t="s">
        <v>426</v>
      </c>
      <c r="G240" s="153">
        <v>3713.0</v>
      </c>
      <c r="H240" s="153">
        <v>2.0</v>
      </c>
      <c r="I240" s="153">
        <v>0.05</v>
      </c>
      <c r="J240" s="153">
        <v>110.0</v>
      </c>
      <c r="K240" s="153">
        <v>0.0296</v>
      </c>
      <c r="L240" s="153">
        <v>55.0</v>
      </c>
      <c r="M240" s="153">
        <v>110.0</v>
      </c>
    </row>
    <row r="241">
      <c r="A241" s="250">
        <v>46243.0</v>
      </c>
      <c r="B241" s="153" t="s">
        <v>136</v>
      </c>
      <c r="C241" s="153" t="s">
        <v>5</v>
      </c>
      <c r="D241" s="153" t="s">
        <v>427</v>
      </c>
      <c r="E241" s="153" t="s">
        <v>428</v>
      </c>
      <c r="F241" s="153" t="s">
        <v>429</v>
      </c>
      <c r="G241" s="153">
        <v>3713.0</v>
      </c>
      <c r="H241" s="153">
        <v>1.0</v>
      </c>
      <c r="I241" s="153">
        <v>0.03</v>
      </c>
      <c r="J241" s="153">
        <v>350.0</v>
      </c>
      <c r="K241" s="153">
        <v>0.0943</v>
      </c>
      <c r="L241" s="153">
        <v>350.0</v>
      </c>
      <c r="M241" s="153">
        <v>350.0</v>
      </c>
    </row>
    <row r="242">
      <c r="A242" s="250">
        <v>46243.0</v>
      </c>
      <c r="B242" s="153" t="s">
        <v>136</v>
      </c>
      <c r="C242" s="153" t="s">
        <v>5</v>
      </c>
      <c r="D242" s="153" t="s">
        <v>430</v>
      </c>
      <c r="E242" s="153" t="s">
        <v>431</v>
      </c>
      <c r="F242" s="153" t="s">
        <v>429</v>
      </c>
      <c r="G242" s="153">
        <v>3713.0</v>
      </c>
      <c r="H242" s="153">
        <v>1.0</v>
      </c>
      <c r="I242" s="153">
        <v>0.03</v>
      </c>
      <c r="J242" s="153">
        <v>1.0</v>
      </c>
      <c r="K242" s="153">
        <v>3.0E-4</v>
      </c>
      <c r="L242" s="153">
        <v>1.0</v>
      </c>
      <c r="M242" s="153">
        <v>1.0</v>
      </c>
    </row>
    <row r="243">
      <c r="A243" s="250">
        <v>46243.0</v>
      </c>
      <c r="B243" s="153" t="s">
        <v>136</v>
      </c>
      <c r="C243" s="153" t="s">
        <v>5</v>
      </c>
      <c r="D243" s="153" t="s">
        <v>430</v>
      </c>
      <c r="E243" s="153" t="s">
        <v>433</v>
      </c>
      <c r="F243" s="153" t="s">
        <v>429</v>
      </c>
      <c r="G243" s="153">
        <v>3713.0</v>
      </c>
      <c r="H243" s="153">
        <v>1.0</v>
      </c>
      <c r="I243" s="153">
        <v>0.03</v>
      </c>
      <c r="J243" s="153">
        <v>1.0</v>
      </c>
      <c r="K243" s="153">
        <v>3.0E-4</v>
      </c>
      <c r="L243" s="153">
        <v>1.0</v>
      </c>
      <c r="M243" s="153">
        <v>1.0</v>
      </c>
    </row>
    <row r="244">
      <c r="A244" s="250">
        <v>46243.0</v>
      </c>
      <c r="B244" s="153" t="s">
        <v>136</v>
      </c>
      <c r="C244" s="153" t="s">
        <v>5</v>
      </c>
      <c r="D244" s="153" t="s">
        <v>434</v>
      </c>
      <c r="E244" s="153" t="s">
        <v>435</v>
      </c>
      <c r="F244" s="153" t="s">
        <v>429</v>
      </c>
      <c r="G244" s="153">
        <v>3713.0</v>
      </c>
      <c r="H244" s="153">
        <v>2.0</v>
      </c>
      <c r="I244" s="153">
        <v>0.05</v>
      </c>
      <c r="J244" s="153">
        <v>4.0</v>
      </c>
      <c r="K244" s="153">
        <v>0.0011</v>
      </c>
      <c r="L244" s="153">
        <v>2.0</v>
      </c>
      <c r="M244" s="153">
        <v>4.0</v>
      </c>
    </row>
    <row r="245">
      <c r="A245" s="250">
        <v>46243.0</v>
      </c>
      <c r="B245" s="153" t="s">
        <v>137</v>
      </c>
      <c r="C245" s="153" t="s">
        <v>5</v>
      </c>
      <c r="D245" s="153" t="s">
        <v>424</v>
      </c>
      <c r="E245" s="153" t="s">
        <v>425</v>
      </c>
      <c r="F245" s="153" t="s">
        <v>426</v>
      </c>
      <c r="G245" s="153">
        <v>605.0</v>
      </c>
      <c r="H245" s="153">
        <v>1.0</v>
      </c>
      <c r="I245" s="153">
        <v>0.17</v>
      </c>
      <c r="J245" s="153">
        <v>10.0</v>
      </c>
      <c r="K245" s="153">
        <v>0.0165</v>
      </c>
      <c r="L245" s="153">
        <v>10.0</v>
      </c>
      <c r="M245" s="153">
        <v>10.0</v>
      </c>
    </row>
    <row r="246">
      <c r="A246" s="250">
        <v>46244.0</v>
      </c>
      <c r="B246" s="153" t="s">
        <v>423</v>
      </c>
      <c r="C246" s="153" t="s">
        <v>5</v>
      </c>
      <c r="D246" s="153" t="s">
        <v>424</v>
      </c>
      <c r="E246" s="153" t="s">
        <v>425</v>
      </c>
      <c r="F246" s="153" t="s">
        <v>426</v>
      </c>
      <c r="G246" s="153">
        <v>6151.0</v>
      </c>
      <c r="H246" s="153">
        <v>24.0</v>
      </c>
      <c r="I246" s="153">
        <v>0.39</v>
      </c>
      <c r="J246" s="153">
        <v>468.23</v>
      </c>
      <c r="K246" s="153">
        <v>0.0761</v>
      </c>
      <c r="L246" s="153">
        <v>19.5096</v>
      </c>
      <c r="M246" s="153">
        <v>630.0</v>
      </c>
    </row>
    <row r="247">
      <c r="A247" s="250">
        <v>46244.0</v>
      </c>
      <c r="B247" s="153" t="s">
        <v>423</v>
      </c>
      <c r="C247" s="153" t="s">
        <v>5</v>
      </c>
      <c r="D247" s="153" t="s">
        <v>427</v>
      </c>
      <c r="E247" s="153" t="s">
        <v>428</v>
      </c>
      <c r="F247" s="153" t="s">
        <v>429</v>
      </c>
      <c r="G247" s="153">
        <v>6151.0</v>
      </c>
      <c r="H247" s="153">
        <v>23.0</v>
      </c>
      <c r="I247" s="153">
        <v>0.37</v>
      </c>
      <c r="J247" s="153">
        <v>1564.39</v>
      </c>
      <c r="K247" s="153">
        <v>0.2543</v>
      </c>
      <c r="L247" s="153">
        <v>68.017</v>
      </c>
      <c r="M247" s="153">
        <v>1800.0</v>
      </c>
    </row>
    <row r="248">
      <c r="A248" s="250">
        <v>46244.0</v>
      </c>
      <c r="B248" s="153" t="s">
        <v>423</v>
      </c>
      <c r="C248" s="153" t="s">
        <v>5</v>
      </c>
      <c r="D248" s="153" t="s">
        <v>430</v>
      </c>
      <c r="E248" s="153" t="s">
        <v>431</v>
      </c>
      <c r="F248" s="153" t="s">
        <v>429</v>
      </c>
      <c r="G248" s="153">
        <v>6151.0</v>
      </c>
      <c r="H248" s="153">
        <v>5.0</v>
      </c>
      <c r="I248" s="153">
        <v>0.08</v>
      </c>
      <c r="J248" s="153">
        <v>5.0</v>
      </c>
      <c r="K248" s="153">
        <v>8.0E-4</v>
      </c>
      <c r="L248" s="153">
        <v>1.0</v>
      </c>
      <c r="M248" s="153">
        <v>5.0</v>
      </c>
    </row>
    <row r="249">
      <c r="A249" s="250">
        <v>46244.0</v>
      </c>
      <c r="B249" s="153" t="s">
        <v>423</v>
      </c>
      <c r="C249" s="153" t="s">
        <v>5</v>
      </c>
      <c r="D249" s="153" t="s">
        <v>430</v>
      </c>
      <c r="E249" s="153" t="s">
        <v>432</v>
      </c>
      <c r="F249" s="153" t="s">
        <v>429</v>
      </c>
      <c r="G249" s="153">
        <v>6151.0</v>
      </c>
      <c r="H249" s="153">
        <v>18.0</v>
      </c>
      <c r="I249" s="153">
        <v>0.29</v>
      </c>
      <c r="J249" s="153">
        <v>34.0</v>
      </c>
      <c r="K249" s="153">
        <v>0.0055</v>
      </c>
      <c r="L249" s="153">
        <v>1.8889</v>
      </c>
      <c r="M249" s="153">
        <v>34.0</v>
      </c>
    </row>
    <row r="250">
      <c r="A250" s="250">
        <v>46244.0</v>
      </c>
      <c r="B250" s="153" t="s">
        <v>423</v>
      </c>
      <c r="C250" s="153" t="s">
        <v>5</v>
      </c>
      <c r="D250" s="153" t="s">
        <v>430</v>
      </c>
      <c r="E250" s="153" t="s">
        <v>433</v>
      </c>
      <c r="F250" s="153" t="s">
        <v>429</v>
      </c>
      <c r="G250" s="153">
        <v>6151.0</v>
      </c>
      <c r="H250" s="153">
        <v>9.0</v>
      </c>
      <c r="I250" s="153">
        <v>0.15</v>
      </c>
      <c r="J250" s="153">
        <v>10.0</v>
      </c>
      <c r="K250" s="153">
        <v>0.0016</v>
      </c>
      <c r="L250" s="153">
        <v>1.1111</v>
      </c>
      <c r="M250" s="153">
        <v>10.0</v>
      </c>
    </row>
    <row r="251">
      <c r="A251" s="250">
        <v>46244.0</v>
      </c>
      <c r="B251" s="153" t="s">
        <v>423</v>
      </c>
      <c r="C251" s="153" t="s">
        <v>5</v>
      </c>
      <c r="D251" s="153" t="s">
        <v>434</v>
      </c>
      <c r="E251" s="153" t="s">
        <v>435</v>
      </c>
      <c r="F251" s="153" t="s">
        <v>429</v>
      </c>
      <c r="G251" s="153">
        <v>6151.0</v>
      </c>
      <c r="H251" s="153">
        <v>22.0</v>
      </c>
      <c r="I251" s="153">
        <v>0.36</v>
      </c>
      <c r="J251" s="153">
        <v>22.0</v>
      </c>
      <c r="K251" s="153">
        <v>0.0036</v>
      </c>
      <c r="L251" s="153">
        <v>1.0</v>
      </c>
      <c r="M251" s="153">
        <v>22.0</v>
      </c>
    </row>
    <row r="252">
      <c r="A252" s="250">
        <v>46244.0</v>
      </c>
      <c r="B252" s="153" t="s">
        <v>423</v>
      </c>
      <c r="C252" s="153" t="s">
        <v>5</v>
      </c>
      <c r="D252" s="153" t="s">
        <v>434</v>
      </c>
      <c r="E252" s="153" t="s">
        <v>436</v>
      </c>
      <c r="F252" s="153" t="s">
        <v>429</v>
      </c>
      <c r="G252" s="153">
        <v>6151.0</v>
      </c>
      <c r="H252" s="153">
        <v>23.0</v>
      </c>
      <c r="I252" s="153">
        <v>0.37</v>
      </c>
      <c r="J252" s="153">
        <v>28.0</v>
      </c>
      <c r="K252" s="153">
        <v>0.0046</v>
      </c>
      <c r="L252" s="153">
        <v>1.2174</v>
      </c>
      <c r="M252" s="153">
        <v>28.0</v>
      </c>
    </row>
    <row r="253">
      <c r="A253" s="250">
        <v>46244.0</v>
      </c>
      <c r="B253" s="153" t="s">
        <v>423</v>
      </c>
      <c r="C253" s="153" t="s">
        <v>5</v>
      </c>
      <c r="D253" s="153" t="s">
        <v>438</v>
      </c>
      <c r="E253" s="153" t="s">
        <v>439</v>
      </c>
      <c r="F253" s="153" t="s">
        <v>440</v>
      </c>
      <c r="G253" s="153">
        <v>6151.0</v>
      </c>
      <c r="H253" s="153">
        <v>18.0</v>
      </c>
      <c r="I253" s="153">
        <v>0.29</v>
      </c>
      <c r="J253" s="153">
        <v>180.0</v>
      </c>
      <c r="K253" s="153">
        <v>0.0293</v>
      </c>
      <c r="L253" s="153">
        <v>10.0</v>
      </c>
      <c r="M253" s="153">
        <v>180.0</v>
      </c>
    </row>
    <row r="254">
      <c r="A254" s="250">
        <v>46244.0</v>
      </c>
      <c r="B254" s="153" t="s">
        <v>423</v>
      </c>
      <c r="C254" s="153" t="s">
        <v>5</v>
      </c>
      <c r="D254" s="153" t="s">
        <v>441</v>
      </c>
      <c r="E254" s="153" t="s">
        <v>442</v>
      </c>
      <c r="F254" s="153" t="s">
        <v>440</v>
      </c>
      <c r="G254" s="153">
        <v>6151.0</v>
      </c>
      <c r="H254" s="153">
        <v>5.0</v>
      </c>
      <c r="I254" s="153">
        <v>0.08</v>
      </c>
      <c r="J254" s="153">
        <v>50.0</v>
      </c>
      <c r="K254" s="153">
        <v>0.0081</v>
      </c>
      <c r="L254" s="153">
        <v>10.0</v>
      </c>
      <c r="M254" s="153">
        <v>50.0</v>
      </c>
    </row>
    <row r="255">
      <c r="A255" s="250">
        <v>46244.0</v>
      </c>
      <c r="B255" s="153" t="s">
        <v>423</v>
      </c>
      <c r="C255" s="153" t="s">
        <v>5</v>
      </c>
      <c r="D255" s="153" t="s">
        <v>444</v>
      </c>
      <c r="E255" s="153" t="s">
        <v>445</v>
      </c>
      <c r="F255" s="153" t="s">
        <v>440</v>
      </c>
      <c r="G255" s="153">
        <v>6151.0</v>
      </c>
      <c r="H255" s="153">
        <v>23.0</v>
      </c>
      <c r="I255" s="153">
        <v>0.37</v>
      </c>
      <c r="J255" s="153">
        <v>440.0</v>
      </c>
      <c r="K255" s="153">
        <v>0.0715</v>
      </c>
      <c r="L255" s="153">
        <v>19.1304</v>
      </c>
      <c r="M255" s="153">
        <v>440.0</v>
      </c>
    </row>
    <row r="256">
      <c r="A256" s="250">
        <v>46244.0</v>
      </c>
      <c r="B256" s="153" t="s">
        <v>133</v>
      </c>
      <c r="C256" s="153" t="s">
        <v>5</v>
      </c>
      <c r="D256" s="153" t="s">
        <v>424</v>
      </c>
      <c r="E256" s="153" t="s">
        <v>425</v>
      </c>
      <c r="F256" s="153" t="s">
        <v>426</v>
      </c>
      <c r="G256" s="153">
        <v>11201.0</v>
      </c>
      <c r="H256" s="153">
        <v>3648.0</v>
      </c>
      <c r="I256" s="153">
        <v>32.57</v>
      </c>
      <c r="J256" s="153">
        <v>41196.5</v>
      </c>
      <c r="K256" s="153">
        <v>3.6779</v>
      </c>
      <c r="L256" s="153">
        <v>11.2929</v>
      </c>
      <c r="M256" s="153">
        <v>48250.0</v>
      </c>
    </row>
    <row r="257">
      <c r="A257" s="250">
        <v>46244.0</v>
      </c>
      <c r="B257" s="153" t="s">
        <v>133</v>
      </c>
      <c r="C257" s="153" t="s">
        <v>5</v>
      </c>
      <c r="D257" s="153" t="s">
        <v>427</v>
      </c>
      <c r="E257" s="153" t="s">
        <v>428</v>
      </c>
      <c r="F257" s="153" t="s">
        <v>429</v>
      </c>
      <c r="G257" s="153">
        <v>11201.0</v>
      </c>
      <c r="H257" s="153">
        <v>2187.0</v>
      </c>
      <c r="I257" s="153">
        <v>19.53</v>
      </c>
      <c r="J257" s="153">
        <v>65235.55</v>
      </c>
      <c r="K257" s="153">
        <v>5.8241</v>
      </c>
      <c r="L257" s="153">
        <v>29.8288</v>
      </c>
      <c r="M257" s="153">
        <v>72265.0</v>
      </c>
    </row>
    <row r="258">
      <c r="A258" s="250">
        <v>46244.0</v>
      </c>
      <c r="B258" s="153" t="s">
        <v>133</v>
      </c>
      <c r="C258" s="153" t="s">
        <v>5</v>
      </c>
      <c r="D258" s="153" t="s">
        <v>430</v>
      </c>
      <c r="E258" s="153" t="s">
        <v>431</v>
      </c>
      <c r="F258" s="153" t="s">
        <v>429</v>
      </c>
      <c r="G258" s="153">
        <v>11201.0</v>
      </c>
      <c r="H258" s="153">
        <v>22.0</v>
      </c>
      <c r="I258" s="153">
        <v>0.2</v>
      </c>
      <c r="J258" s="153">
        <v>22.0</v>
      </c>
      <c r="K258" s="153">
        <v>0.002</v>
      </c>
      <c r="L258" s="153">
        <v>1.0</v>
      </c>
      <c r="M258" s="153">
        <v>22.0</v>
      </c>
    </row>
    <row r="259">
      <c r="A259" s="250">
        <v>46244.0</v>
      </c>
      <c r="B259" s="153" t="s">
        <v>133</v>
      </c>
      <c r="C259" s="153" t="s">
        <v>5</v>
      </c>
      <c r="D259" s="153" t="s">
        <v>430</v>
      </c>
      <c r="E259" s="153" t="s">
        <v>432</v>
      </c>
      <c r="F259" s="153" t="s">
        <v>429</v>
      </c>
      <c r="G259" s="153">
        <v>11201.0</v>
      </c>
      <c r="H259" s="153">
        <v>1133.0</v>
      </c>
      <c r="I259" s="153">
        <v>10.12</v>
      </c>
      <c r="J259" s="153">
        <v>1975.0</v>
      </c>
      <c r="K259" s="153">
        <v>0.1763</v>
      </c>
      <c r="L259" s="153">
        <v>1.7432</v>
      </c>
      <c r="M259" s="153">
        <v>1975.0</v>
      </c>
    </row>
    <row r="260">
      <c r="A260" s="250">
        <v>46244.0</v>
      </c>
      <c r="B260" s="153" t="s">
        <v>133</v>
      </c>
      <c r="C260" s="153" t="s">
        <v>5</v>
      </c>
      <c r="D260" s="153" t="s">
        <v>430</v>
      </c>
      <c r="E260" s="153" t="s">
        <v>433</v>
      </c>
      <c r="F260" s="153" t="s">
        <v>429</v>
      </c>
      <c r="G260" s="153">
        <v>11201.0</v>
      </c>
      <c r="H260" s="153">
        <v>119.0</v>
      </c>
      <c r="I260" s="153">
        <v>1.06</v>
      </c>
      <c r="J260" s="153">
        <v>129.0</v>
      </c>
      <c r="K260" s="153">
        <v>0.0115</v>
      </c>
      <c r="L260" s="153">
        <v>1.084</v>
      </c>
      <c r="M260" s="153">
        <v>129.0</v>
      </c>
    </row>
    <row r="261">
      <c r="A261" s="250">
        <v>46244.0</v>
      </c>
      <c r="B261" s="153" t="s">
        <v>133</v>
      </c>
      <c r="C261" s="153" t="s">
        <v>5</v>
      </c>
      <c r="D261" s="153" t="s">
        <v>434</v>
      </c>
      <c r="E261" s="153" t="s">
        <v>435</v>
      </c>
      <c r="F261" s="153" t="s">
        <v>429</v>
      </c>
      <c r="G261" s="153">
        <v>11201.0</v>
      </c>
      <c r="H261" s="153">
        <v>4144.0</v>
      </c>
      <c r="I261" s="153">
        <v>37.0</v>
      </c>
      <c r="J261" s="153">
        <v>4259.0</v>
      </c>
      <c r="K261" s="153">
        <v>0.3802</v>
      </c>
      <c r="L261" s="153">
        <v>1.0278</v>
      </c>
      <c r="M261" s="153">
        <v>4259.0</v>
      </c>
    </row>
    <row r="262">
      <c r="A262" s="250">
        <v>46244.0</v>
      </c>
      <c r="B262" s="153" t="s">
        <v>133</v>
      </c>
      <c r="C262" s="153" t="s">
        <v>5</v>
      </c>
      <c r="D262" s="153" t="s">
        <v>434</v>
      </c>
      <c r="E262" s="153" t="s">
        <v>436</v>
      </c>
      <c r="F262" s="153" t="s">
        <v>429</v>
      </c>
      <c r="G262" s="153">
        <v>11201.0</v>
      </c>
      <c r="H262" s="153">
        <v>1854.0</v>
      </c>
      <c r="I262" s="153">
        <v>16.55</v>
      </c>
      <c r="J262" s="153">
        <v>2144.0</v>
      </c>
      <c r="K262" s="153">
        <v>0.1914</v>
      </c>
      <c r="L262" s="153">
        <v>1.1564</v>
      </c>
      <c r="M262" s="153">
        <v>2144.0</v>
      </c>
    </row>
    <row r="263">
      <c r="A263" s="250">
        <v>46244.0</v>
      </c>
      <c r="B263" s="153" t="s">
        <v>133</v>
      </c>
      <c r="C263" s="153" t="s">
        <v>5</v>
      </c>
      <c r="D263" s="153" t="s">
        <v>438</v>
      </c>
      <c r="E263" s="153" t="s">
        <v>439</v>
      </c>
      <c r="F263" s="153" t="s">
        <v>440</v>
      </c>
      <c r="G263" s="153">
        <v>11201.0</v>
      </c>
      <c r="H263" s="153">
        <v>1122.0</v>
      </c>
      <c r="I263" s="153">
        <v>10.02</v>
      </c>
      <c r="J263" s="153">
        <v>11860.0</v>
      </c>
      <c r="K263" s="153">
        <v>1.0588</v>
      </c>
      <c r="L263" s="153">
        <v>10.5704</v>
      </c>
      <c r="M263" s="153">
        <v>11860.0</v>
      </c>
    </row>
    <row r="264">
      <c r="A264" s="250">
        <v>46244.0</v>
      </c>
      <c r="B264" s="153" t="s">
        <v>133</v>
      </c>
      <c r="C264" s="153" t="s">
        <v>5</v>
      </c>
      <c r="D264" s="153" t="s">
        <v>441</v>
      </c>
      <c r="E264" s="153" t="s">
        <v>442</v>
      </c>
      <c r="F264" s="153" t="s">
        <v>440</v>
      </c>
      <c r="G264" s="153">
        <v>11201.0</v>
      </c>
      <c r="H264" s="153">
        <v>9.0</v>
      </c>
      <c r="I264" s="153">
        <v>0.08</v>
      </c>
      <c r="J264" s="153">
        <v>100.0</v>
      </c>
      <c r="K264" s="153">
        <v>0.0089</v>
      </c>
      <c r="L264" s="153">
        <v>11.1111</v>
      </c>
      <c r="M264" s="153">
        <v>100.0</v>
      </c>
    </row>
    <row r="265">
      <c r="A265" s="250">
        <v>46244.0</v>
      </c>
      <c r="B265" s="153" t="s">
        <v>133</v>
      </c>
      <c r="C265" s="153" t="s">
        <v>5</v>
      </c>
      <c r="D265" s="153" t="s">
        <v>444</v>
      </c>
      <c r="E265" s="153" t="s">
        <v>445</v>
      </c>
      <c r="F265" s="153" t="s">
        <v>440</v>
      </c>
      <c r="G265" s="153">
        <v>11201.0</v>
      </c>
      <c r="H265" s="153">
        <v>2577.0</v>
      </c>
      <c r="I265" s="153">
        <v>23.01</v>
      </c>
      <c r="J265" s="153">
        <v>33835.0</v>
      </c>
      <c r="K265" s="153">
        <v>3.0207</v>
      </c>
      <c r="L265" s="153">
        <v>13.1296</v>
      </c>
      <c r="M265" s="153">
        <v>33835.0</v>
      </c>
    </row>
    <row r="266">
      <c r="A266" s="250">
        <v>46244.0</v>
      </c>
      <c r="B266" s="153" t="s">
        <v>134</v>
      </c>
      <c r="C266" s="153" t="s">
        <v>5</v>
      </c>
      <c r="D266" s="153" t="s">
        <v>424</v>
      </c>
      <c r="E266" s="153" t="s">
        <v>425</v>
      </c>
      <c r="F266" s="153" t="s">
        <v>426</v>
      </c>
      <c r="G266" s="153">
        <v>8768.0</v>
      </c>
      <c r="H266" s="153">
        <v>4186.0</v>
      </c>
      <c r="I266" s="153">
        <v>47.74</v>
      </c>
      <c r="J266" s="153">
        <v>69394.55</v>
      </c>
      <c r="K266" s="153">
        <v>7.9145</v>
      </c>
      <c r="L266" s="153">
        <v>16.5778</v>
      </c>
      <c r="M266" s="153">
        <v>84240.0</v>
      </c>
    </row>
    <row r="267">
      <c r="A267" s="250">
        <v>46244.0</v>
      </c>
      <c r="B267" s="153" t="s">
        <v>134</v>
      </c>
      <c r="C267" s="153" t="s">
        <v>5</v>
      </c>
      <c r="D267" s="153" t="s">
        <v>427</v>
      </c>
      <c r="E267" s="153" t="s">
        <v>428</v>
      </c>
      <c r="F267" s="153" t="s">
        <v>429</v>
      </c>
      <c r="G267" s="153">
        <v>8768.0</v>
      </c>
      <c r="H267" s="153">
        <v>3403.0</v>
      </c>
      <c r="I267" s="153">
        <v>38.81</v>
      </c>
      <c r="J267" s="153">
        <v>191488.77</v>
      </c>
      <c r="K267" s="153">
        <v>21.8395</v>
      </c>
      <c r="L267" s="153">
        <v>56.2706</v>
      </c>
      <c r="M267" s="153">
        <v>214060.0</v>
      </c>
    </row>
    <row r="268">
      <c r="A268" s="250">
        <v>46244.0</v>
      </c>
      <c r="B268" s="153" t="s">
        <v>134</v>
      </c>
      <c r="C268" s="153" t="s">
        <v>5</v>
      </c>
      <c r="D268" s="153" t="s">
        <v>430</v>
      </c>
      <c r="E268" s="153" t="s">
        <v>431</v>
      </c>
      <c r="F268" s="153" t="s">
        <v>429</v>
      </c>
      <c r="G268" s="153">
        <v>8768.0</v>
      </c>
      <c r="H268" s="153">
        <v>253.0</v>
      </c>
      <c r="I268" s="153">
        <v>2.89</v>
      </c>
      <c r="J268" s="153">
        <v>265.0</v>
      </c>
      <c r="K268" s="153">
        <v>0.0302</v>
      </c>
      <c r="L268" s="153">
        <v>1.0474</v>
      </c>
      <c r="M268" s="153">
        <v>265.0</v>
      </c>
    </row>
    <row r="269">
      <c r="A269" s="250">
        <v>46244.0</v>
      </c>
      <c r="B269" s="153" t="s">
        <v>134</v>
      </c>
      <c r="C269" s="153" t="s">
        <v>5</v>
      </c>
      <c r="D269" s="153" t="s">
        <v>430</v>
      </c>
      <c r="E269" s="153" t="s">
        <v>432</v>
      </c>
      <c r="F269" s="153" t="s">
        <v>429</v>
      </c>
      <c r="G269" s="153">
        <v>8768.0</v>
      </c>
      <c r="H269" s="153">
        <v>2706.0</v>
      </c>
      <c r="I269" s="153">
        <v>30.86</v>
      </c>
      <c r="J269" s="153">
        <v>5314.0</v>
      </c>
      <c r="K269" s="153">
        <v>0.6061</v>
      </c>
      <c r="L269" s="153">
        <v>1.9638</v>
      </c>
      <c r="M269" s="153">
        <v>5314.0</v>
      </c>
    </row>
    <row r="270">
      <c r="A270" s="250">
        <v>46244.0</v>
      </c>
      <c r="B270" s="153" t="s">
        <v>134</v>
      </c>
      <c r="C270" s="153" t="s">
        <v>5</v>
      </c>
      <c r="D270" s="153" t="s">
        <v>430</v>
      </c>
      <c r="E270" s="153" t="s">
        <v>433</v>
      </c>
      <c r="F270" s="153" t="s">
        <v>429</v>
      </c>
      <c r="G270" s="153">
        <v>8768.0</v>
      </c>
      <c r="H270" s="153">
        <v>784.0</v>
      </c>
      <c r="I270" s="153">
        <v>8.94</v>
      </c>
      <c r="J270" s="153">
        <v>858.0</v>
      </c>
      <c r="K270" s="153">
        <v>0.0979</v>
      </c>
      <c r="L270" s="153">
        <v>1.0944</v>
      </c>
      <c r="M270" s="153">
        <v>858.0</v>
      </c>
    </row>
    <row r="271">
      <c r="A271" s="250">
        <v>46244.0</v>
      </c>
      <c r="B271" s="153" t="s">
        <v>134</v>
      </c>
      <c r="C271" s="153" t="s">
        <v>5</v>
      </c>
      <c r="D271" s="153" t="s">
        <v>434</v>
      </c>
      <c r="E271" s="153" t="s">
        <v>435</v>
      </c>
      <c r="F271" s="153" t="s">
        <v>429</v>
      </c>
      <c r="G271" s="153">
        <v>8768.0</v>
      </c>
      <c r="H271" s="153">
        <v>4424.0</v>
      </c>
      <c r="I271" s="153">
        <v>50.46</v>
      </c>
      <c r="J271" s="153">
        <v>4555.0</v>
      </c>
      <c r="K271" s="153">
        <v>0.5195</v>
      </c>
      <c r="L271" s="153">
        <v>1.0296</v>
      </c>
      <c r="M271" s="153">
        <v>4555.0</v>
      </c>
    </row>
    <row r="272">
      <c r="A272" s="250">
        <v>46244.0</v>
      </c>
      <c r="B272" s="153" t="s">
        <v>134</v>
      </c>
      <c r="C272" s="153" t="s">
        <v>5</v>
      </c>
      <c r="D272" s="153" t="s">
        <v>434</v>
      </c>
      <c r="E272" s="153" t="s">
        <v>436</v>
      </c>
      <c r="F272" s="153" t="s">
        <v>429</v>
      </c>
      <c r="G272" s="153">
        <v>8768.0</v>
      </c>
      <c r="H272" s="153">
        <v>3185.0</v>
      </c>
      <c r="I272" s="153">
        <v>36.33</v>
      </c>
      <c r="J272" s="153">
        <v>3756.0</v>
      </c>
      <c r="K272" s="153">
        <v>0.4284</v>
      </c>
      <c r="L272" s="153">
        <v>1.1793</v>
      </c>
      <c r="M272" s="153">
        <v>3756.0</v>
      </c>
    </row>
    <row r="273">
      <c r="A273" s="250">
        <v>46244.0</v>
      </c>
      <c r="B273" s="153" t="s">
        <v>134</v>
      </c>
      <c r="C273" s="153" t="s">
        <v>5</v>
      </c>
      <c r="D273" s="153" t="s">
        <v>434</v>
      </c>
      <c r="E273" s="153" t="s">
        <v>437</v>
      </c>
      <c r="F273" s="153" t="s">
        <v>429</v>
      </c>
      <c r="G273" s="153">
        <v>8768.0</v>
      </c>
      <c r="H273" s="153">
        <v>10.0</v>
      </c>
      <c r="I273" s="153">
        <v>0.11</v>
      </c>
      <c r="J273" s="153">
        <v>10.0</v>
      </c>
      <c r="K273" s="153">
        <v>0.0011</v>
      </c>
      <c r="L273" s="153">
        <v>1.0</v>
      </c>
      <c r="M273" s="153">
        <v>10.0</v>
      </c>
    </row>
    <row r="274">
      <c r="A274" s="250">
        <v>46244.0</v>
      </c>
      <c r="B274" s="153" t="s">
        <v>134</v>
      </c>
      <c r="C274" s="153" t="s">
        <v>5</v>
      </c>
      <c r="D274" s="153" t="s">
        <v>438</v>
      </c>
      <c r="E274" s="153" t="s">
        <v>439</v>
      </c>
      <c r="F274" s="153" t="s">
        <v>440</v>
      </c>
      <c r="G274" s="153">
        <v>8768.0</v>
      </c>
      <c r="H274" s="153">
        <v>2686.0</v>
      </c>
      <c r="I274" s="153">
        <v>30.63</v>
      </c>
      <c r="J274" s="153">
        <v>28450.0</v>
      </c>
      <c r="K274" s="153">
        <v>3.2448</v>
      </c>
      <c r="L274" s="153">
        <v>10.592</v>
      </c>
      <c r="M274" s="153">
        <v>28450.0</v>
      </c>
    </row>
    <row r="275">
      <c r="A275" s="250">
        <v>46244.0</v>
      </c>
      <c r="B275" s="153" t="s">
        <v>134</v>
      </c>
      <c r="C275" s="153" t="s">
        <v>5</v>
      </c>
      <c r="D275" s="153" t="s">
        <v>446</v>
      </c>
      <c r="E275" s="153" t="s">
        <v>447</v>
      </c>
      <c r="F275" s="153" t="s">
        <v>429</v>
      </c>
      <c r="G275" s="153">
        <v>8768.0</v>
      </c>
      <c r="H275" s="153">
        <v>1.0</v>
      </c>
      <c r="I275" s="153">
        <v>0.01</v>
      </c>
      <c r="J275" s="153">
        <v>10.0</v>
      </c>
      <c r="K275" s="153">
        <v>0.0011</v>
      </c>
      <c r="L275" s="153">
        <v>10.0</v>
      </c>
      <c r="M275" s="153">
        <v>10.0</v>
      </c>
    </row>
    <row r="276">
      <c r="A276" s="250">
        <v>46244.0</v>
      </c>
      <c r="B276" s="153" t="s">
        <v>134</v>
      </c>
      <c r="C276" s="153" t="s">
        <v>5</v>
      </c>
      <c r="D276" s="153" t="s">
        <v>441</v>
      </c>
      <c r="E276" s="153" t="s">
        <v>442</v>
      </c>
      <c r="F276" s="153" t="s">
        <v>440</v>
      </c>
      <c r="G276" s="153">
        <v>8768.0</v>
      </c>
      <c r="H276" s="153">
        <v>175.0</v>
      </c>
      <c r="I276" s="153">
        <v>2.0</v>
      </c>
      <c r="J276" s="153">
        <v>1900.0</v>
      </c>
      <c r="K276" s="153">
        <v>0.2167</v>
      </c>
      <c r="L276" s="153">
        <v>10.8571</v>
      </c>
      <c r="M276" s="153">
        <v>1900.0</v>
      </c>
    </row>
    <row r="277">
      <c r="A277" s="250">
        <v>46244.0</v>
      </c>
      <c r="B277" s="153" t="s">
        <v>134</v>
      </c>
      <c r="C277" s="153" t="s">
        <v>5</v>
      </c>
      <c r="D277" s="153" t="s">
        <v>444</v>
      </c>
      <c r="E277" s="153" t="s">
        <v>445</v>
      </c>
      <c r="F277" s="153" t="s">
        <v>440</v>
      </c>
      <c r="G277" s="153">
        <v>8768.0</v>
      </c>
      <c r="H277" s="153">
        <v>3714.0</v>
      </c>
      <c r="I277" s="153">
        <v>42.36</v>
      </c>
      <c r="J277" s="153">
        <v>60760.0</v>
      </c>
      <c r="K277" s="153">
        <v>6.9297</v>
      </c>
      <c r="L277" s="153">
        <v>16.3597</v>
      </c>
      <c r="M277" s="153">
        <v>60760.0</v>
      </c>
    </row>
    <row r="278">
      <c r="A278" s="250">
        <v>46244.0</v>
      </c>
      <c r="B278" s="153" t="s">
        <v>135</v>
      </c>
      <c r="C278" s="153" t="s">
        <v>4</v>
      </c>
      <c r="D278" s="153" t="s">
        <v>424</v>
      </c>
      <c r="E278" s="153" t="s">
        <v>425</v>
      </c>
      <c r="F278" s="153" t="s">
        <v>426</v>
      </c>
      <c r="G278" s="153">
        <v>6813.0</v>
      </c>
      <c r="H278" s="153">
        <v>1.0</v>
      </c>
      <c r="I278" s="153">
        <v>0.01</v>
      </c>
      <c r="J278" s="153">
        <v>15.0</v>
      </c>
      <c r="K278" s="153">
        <v>0.0022</v>
      </c>
      <c r="L278" s="153">
        <v>15.0</v>
      </c>
      <c r="M278" s="153">
        <v>20.0</v>
      </c>
    </row>
    <row r="279">
      <c r="A279" s="250">
        <v>46244.0</v>
      </c>
      <c r="B279" s="153" t="s">
        <v>135</v>
      </c>
      <c r="C279" s="153" t="s">
        <v>4</v>
      </c>
      <c r="D279" s="153" t="s">
        <v>427</v>
      </c>
      <c r="E279" s="153" t="s">
        <v>428</v>
      </c>
      <c r="F279" s="153" t="s">
        <v>429</v>
      </c>
      <c r="G279" s="153">
        <v>6813.0</v>
      </c>
      <c r="H279" s="153">
        <v>1.0</v>
      </c>
      <c r="I279" s="153">
        <v>0.01</v>
      </c>
      <c r="J279" s="153">
        <v>47.69</v>
      </c>
      <c r="K279" s="153">
        <v>0.007</v>
      </c>
      <c r="L279" s="153">
        <v>47.6923</v>
      </c>
      <c r="M279" s="153">
        <v>50.0</v>
      </c>
    </row>
    <row r="280">
      <c r="A280" s="250">
        <v>46244.0</v>
      </c>
      <c r="B280" s="153" t="s">
        <v>135</v>
      </c>
      <c r="C280" s="153" t="s">
        <v>4</v>
      </c>
      <c r="D280" s="153" t="s">
        <v>430</v>
      </c>
      <c r="E280" s="153" t="s">
        <v>432</v>
      </c>
      <c r="F280" s="153" t="s">
        <v>429</v>
      </c>
      <c r="G280" s="153">
        <v>6813.0</v>
      </c>
      <c r="H280" s="153">
        <v>1.0</v>
      </c>
      <c r="I280" s="153">
        <v>0.01</v>
      </c>
      <c r="J280" s="153">
        <v>1.0</v>
      </c>
      <c r="K280" s="153">
        <v>1.0E-4</v>
      </c>
      <c r="L280" s="153">
        <v>1.0</v>
      </c>
      <c r="M280" s="153">
        <v>1.0</v>
      </c>
    </row>
    <row r="281">
      <c r="A281" s="250">
        <v>46244.0</v>
      </c>
      <c r="B281" s="153" t="s">
        <v>135</v>
      </c>
      <c r="C281" s="153" t="s">
        <v>4</v>
      </c>
      <c r="D281" s="153" t="s">
        <v>430</v>
      </c>
      <c r="E281" s="153" t="s">
        <v>433</v>
      </c>
      <c r="F281" s="153" t="s">
        <v>429</v>
      </c>
      <c r="G281" s="153">
        <v>6813.0</v>
      </c>
      <c r="H281" s="153">
        <v>1.0</v>
      </c>
      <c r="I281" s="153">
        <v>0.01</v>
      </c>
      <c r="J281" s="153">
        <v>1.0</v>
      </c>
      <c r="K281" s="153">
        <v>1.0E-4</v>
      </c>
      <c r="L281" s="153">
        <v>1.0</v>
      </c>
      <c r="M281" s="153">
        <v>1.0</v>
      </c>
    </row>
    <row r="282">
      <c r="A282" s="250">
        <v>46244.0</v>
      </c>
      <c r="B282" s="153" t="s">
        <v>135</v>
      </c>
      <c r="C282" s="153" t="s">
        <v>5</v>
      </c>
      <c r="D282" s="153" t="s">
        <v>424</v>
      </c>
      <c r="E282" s="153" t="s">
        <v>425</v>
      </c>
      <c r="F282" s="153" t="s">
        <v>426</v>
      </c>
      <c r="G282" s="153">
        <v>6896.0</v>
      </c>
      <c r="H282" s="153">
        <v>4206.0</v>
      </c>
      <c r="I282" s="153">
        <v>60.99</v>
      </c>
      <c r="J282" s="153">
        <v>89144.62</v>
      </c>
      <c r="K282" s="153">
        <v>12.927</v>
      </c>
      <c r="L282" s="153">
        <v>21.1946</v>
      </c>
      <c r="M282" s="153">
        <v>110660.0</v>
      </c>
    </row>
    <row r="283">
      <c r="A283" s="250">
        <v>46244.0</v>
      </c>
      <c r="B283" s="153" t="s">
        <v>135</v>
      </c>
      <c r="C283" s="153" t="s">
        <v>5</v>
      </c>
      <c r="D283" s="153" t="s">
        <v>427</v>
      </c>
      <c r="E283" s="153" t="s">
        <v>428</v>
      </c>
      <c r="F283" s="153" t="s">
        <v>429</v>
      </c>
      <c r="G283" s="153">
        <v>6896.0</v>
      </c>
      <c r="H283" s="153">
        <v>3650.0</v>
      </c>
      <c r="I283" s="153">
        <v>52.93</v>
      </c>
      <c r="J283" s="153">
        <v>311691.53</v>
      </c>
      <c r="K283" s="153">
        <v>45.1989</v>
      </c>
      <c r="L283" s="153">
        <v>85.3949</v>
      </c>
      <c r="M283" s="153">
        <v>350620.0</v>
      </c>
    </row>
    <row r="284">
      <c r="A284" s="250">
        <v>46244.0</v>
      </c>
      <c r="B284" s="153" t="s">
        <v>135</v>
      </c>
      <c r="C284" s="153" t="s">
        <v>5</v>
      </c>
      <c r="D284" s="153" t="s">
        <v>430</v>
      </c>
      <c r="E284" s="153" t="s">
        <v>431</v>
      </c>
      <c r="F284" s="153" t="s">
        <v>429</v>
      </c>
      <c r="G284" s="153">
        <v>6896.0</v>
      </c>
      <c r="H284" s="153">
        <v>1020.0</v>
      </c>
      <c r="I284" s="153">
        <v>14.79</v>
      </c>
      <c r="J284" s="153">
        <v>1090.0</v>
      </c>
      <c r="K284" s="153">
        <v>0.1581</v>
      </c>
      <c r="L284" s="153">
        <v>1.0686</v>
      </c>
      <c r="M284" s="153">
        <v>1090.0</v>
      </c>
    </row>
    <row r="285">
      <c r="A285" s="250">
        <v>46244.0</v>
      </c>
      <c r="B285" s="153" t="s">
        <v>135</v>
      </c>
      <c r="C285" s="153" t="s">
        <v>5</v>
      </c>
      <c r="D285" s="153" t="s">
        <v>430</v>
      </c>
      <c r="E285" s="153" t="s">
        <v>432</v>
      </c>
      <c r="F285" s="153" t="s">
        <v>429</v>
      </c>
      <c r="G285" s="153">
        <v>6896.0</v>
      </c>
      <c r="H285" s="153">
        <v>3197.0</v>
      </c>
      <c r="I285" s="153">
        <v>46.36</v>
      </c>
      <c r="J285" s="153">
        <v>6731.0</v>
      </c>
      <c r="K285" s="153">
        <v>0.9761</v>
      </c>
      <c r="L285" s="153">
        <v>2.1054</v>
      </c>
      <c r="M285" s="153">
        <v>6731.0</v>
      </c>
    </row>
    <row r="286">
      <c r="A286" s="250">
        <v>46244.0</v>
      </c>
      <c r="B286" s="153" t="s">
        <v>135</v>
      </c>
      <c r="C286" s="153" t="s">
        <v>5</v>
      </c>
      <c r="D286" s="153" t="s">
        <v>430</v>
      </c>
      <c r="E286" s="153" t="s">
        <v>433</v>
      </c>
      <c r="F286" s="153" t="s">
        <v>429</v>
      </c>
      <c r="G286" s="153">
        <v>6896.0</v>
      </c>
      <c r="H286" s="153">
        <v>1719.0</v>
      </c>
      <c r="I286" s="153">
        <v>24.93</v>
      </c>
      <c r="J286" s="153">
        <v>1926.0</v>
      </c>
      <c r="K286" s="153">
        <v>0.2793</v>
      </c>
      <c r="L286" s="153">
        <v>1.1204</v>
      </c>
      <c r="M286" s="153">
        <v>1926.0</v>
      </c>
    </row>
    <row r="287">
      <c r="A287" s="250">
        <v>46244.0</v>
      </c>
      <c r="B287" s="153" t="s">
        <v>135</v>
      </c>
      <c r="C287" s="153" t="s">
        <v>5</v>
      </c>
      <c r="D287" s="153" t="s">
        <v>434</v>
      </c>
      <c r="E287" s="153" t="s">
        <v>435</v>
      </c>
      <c r="F287" s="153" t="s">
        <v>429</v>
      </c>
      <c r="G287" s="153">
        <v>6896.0</v>
      </c>
      <c r="H287" s="153">
        <v>4352.0</v>
      </c>
      <c r="I287" s="153">
        <v>63.11</v>
      </c>
      <c r="J287" s="153">
        <v>4518.0</v>
      </c>
      <c r="K287" s="153">
        <v>0.6552</v>
      </c>
      <c r="L287" s="153">
        <v>1.0381</v>
      </c>
      <c r="M287" s="153">
        <v>4518.0</v>
      </c>
    </row>
    <row r="288">
      <c r="A288" s="250">
        <v>46244.0</v>
      </c>
      <c r="B288" s="153" t="s">
        <v>135</v>
      </c>
      <c r="C288" s="153" t="s">
        <v>5</v>
      </c>
      <c r="D288" s="153" t="s">
        <v>434</v>
      </c>
      <c r="E288" s="153" t="s">
        <v>436</v>
      </c>
      <c r="F288" s="153" t="s">
        <v>429</v>
      </c>
      <c r="G288" s="153">
        <v>6896.0</v>
      </c>
      <c r="H288" s="153">
        <v>3481.0</v>
      </c>
      <c r="I288" s="153">
        <v>50.48</v>
      </c>
      <c r="J288" s="153">
        <v>4189.0</v>
      </c>
      <c r="K288" s="153">
        <v>0.6075</v>
      </c>
      <c r="L288" s="153">
        <v>1.2034</v>
      </c>
      <c r="M288" s="153">
        <v>4189.0</v>
      </c>
    </row>
    <row r="289">
      <c r="A289" s="250">
        <v>46244.0</v>
      </c>
      <c r="B289" s="153" t="s">
        <v>135</v>
      </c>
      <c r="C289" s="153" t="s">
        <v>5</v>
      </c>
      <c r="D289" s="153" t="s">
        <v>434</v>
      </c>
      <c r="E289" s="153" t="s">
        <v>437</v>
      </c>
      <c r="F289" s="153" t="s">
        <v>429</v>
      </c>
      <c r="G289" s="153">
        <v>6896.0</v>
      </c>
      <c r="H289" s="153">
        <v>148.0</v>
      </c>
      <c r="I289" s="153">
        <v>2.15</v>
      </c>
      <c r="J289" s="153">
        <v>174.0</v>
      </c>
      <c r="K289" s="153">
        <v>0.0252</v>
      </c>
      <c r="L289" s="153">
        <v>1.1757</v>
      </c>
      <c r="M289" s="153">
        <v>174.0</v>
      </c>
    </row>
    <row r="290">
      <c r="A290" s="250">
        <v>46244.0</v>
      </c>
      <c r="B290" s="153" t="s">
        <v>135</v>
      </c>
      <c r="C290" s="153" t="s">
        <v>5</v>
      </c>
      <c r="D290" s="153" t="s">
        <v>438</v>
      </c>
      <c r="E290" s="153" t="s">
        <v>439</v>
      </c>
      <c r="F290" s="153" t="s">
        <v>440</v>
      </c>
      <c r="G290" s="153">
        <v>6896.0</v>
      </c>
      <c r="H290" s="153">
        <v>3163.0</v>
      </c>
      <c r="I290" s="153">
        <v>45.87</v>
      </c>
      <c r="J290" s="153">
        <v>33800.0</v>
      </c>
      <c r="K290" s="153">
        <v>4.9014</v>
      </c>
      <c r="L290" s="153">
        <v>10.6861</v>
      </c>
      <c r="M290" s="153">
        <v>33800.0</v>
      </c>
    </row>
    <row r="291">
      <c r="A291" s="250">
        <v>46244.0</v>
      </c>
      <c r="B291" s="153" t="s">
        <v>135</v>
      </c>
      <c r="C291" s="153" t="s">
        <v>5</v>
      </c>
      <c r="D291" s="153" t="s">
        <v>441</v>
      </c>
      <c r="E291" s="153" t="s">
        <v>442</v>
      </c>
      <c r="F291" s="153" t="s">
        <v>440</v>
      </c>
      <c r="G291" s="153">
        <v>6896.0</v>
      </c>
      <c r="H291" s="153">
        <v>840.0</v>
      </c>
      <c r="I291" s="153">
        <v>12.18</v>
      </c>
      <c r="J291" s="153">
        <v>10270.0</v>
      </c>
      <c r="K291" s="153">
        <v>1.4893</v>
      </c>
      <c r="L291" s="153">
        <v>12.2262</v>
      </c>
      <c r="M291" s="153">
        <v>10270.0</v>
      </c>
    </row>
    <row r="292">
      <c r="A292" s="250">
        <v>46244.0</v>
      </c>
      <c r="B292" s="153" t="s">
        <v>135</v>
      </c>
      <c r="C292" s="153" t="s">
        <v>5</v>
      </c>
      <c r="D292" s="153" t="s">
        <v>441</v>
      </c>
      <c r="E292" s="153" t="s">
        <v>443</v>
      </c>
      <c r="F292" s="153" t="s">
        <v>440</v>
      </c>
      <c r="G292" s="153">
        <v>6896.0</v>
      </c>
      <c r="H292" s="153">
        <v>2.0</v>
      </c>
      <c r="I292" s="153">
        <v>0.03</v>
      </c>
      <c r="J292" s="153">
        <v>20.0</v>
      </c>
      <c r="K292" s="153">
        <v>0.0029</v>
      </c>
      <c r="L292" s="153">
        <v>10.0</v>
      </c>
      <c r="M292" s="153">
        <v>20.0</v>
      </c>
    </row>
    <row r="293">
      <c r="A293" s="250">
        <v>46244.0</v>
      </c>
      <c r="B293" s="153" t="s">
        <v>135</v>
      </c>
      <c r="C293" s="153" t="s">
        <v>5</v>
      </c>
      <c r="D293" s="153" t="s">
        <v>444</v>
      </c>
      <c r="E293" s="153" t="s">
        <v>445</v>
      </c>
      <c r="F293" s="153" t="s">
        <v>440</v>
      </c>
      <c r="G293" s="153">
        <v>6896.0</v>
      </c>
      <c r="H293" s="153">
        <v>3854.0</v>
      </c>
      <c r="I293" s="153">
        <v>55.89</v>
      </c>
      <c r="J293" s="153">
        <v>89725.0</v>
      </c>
      <c r="K293" s="153">
        <v>13.0112</v>
      </c>
      <c r="L293" s="153">
        <v>23.281</v>
      </c>
      <c r="M293" s="153">
        <v>89725.0</v>
      </c>
    </row>
    <row r="294">
      <c r="A294" s="250">
        <v>46244.0</v>
      </c>
      <c r="B294" s="153" t="s">
        <v>136</v>
      </c>
      <c r="C294" s="153" t="s">
        <v>5</v>
      </c>
      <c r="D294" s="153" t="s">
        <v>424</v>
      </c>
      <c r="E294" s="153" t="s">
        <v>425</v>
      </c>
      <c r="F294" s="153" t="s">
        <v>426</v>
      </c>
      <c r="G294" s="153">
        <v>4086.0</v>
      </c>
      <c r="H294" s="153">
        <v>3092.0</v>
      </c>
      <c r="I294" s="153">
        <v>75.67</v>
      </c>
      <c r="J294" s="153">
        <v>83462.79</v>
      </c>
      <c r="K294" s="153">
        <v>20.4265</v>
      </c>
      <c r="L294" s="153">
        <v>26.9931</v>
      </c>
      <c r="M294" s="153">
        <v>102780.0</v>
      </c>
    </row>
    <row r="295">
      <c r="A295" s="250">
        <v>46244.0</v>
      </c>
      <c r="B295" s="153" t="s">
        <v>136</v>
      </c>
      <c r="C295" s="153" t="s">
        <v>5</v>
      </c>
      <c r="D295" s="153" t="s">
        <v>427</v>
      </c>
      <c r="E295" s="153" t="s">
        <v>428</v>
      </c>
      <c r="F295" s="153" t="s">
        <v>429</v>
      </c>
      <c r="G295" s="153">
        <v>4086.0</v>
      </c>
      <c r="H295" s="153">
        <v>2870.0</v>
      </c>
      <c r="I295" s="153">
        <v>70.24</v>
      </c>
      <c r="J295" s="153">
        <v>408696.35</v>
      </c>
      <c r="K295" s="153">
        <v>100.0236</v>
      </c>
      <c r="L295" s="153">
        <v>142.4029</v>
      </c>
      <c r="M295" s="153">
        <v>453020.0</v>
      </c>
    </row>
    <row r="296">
      <c r="A296" s="250">
        <v>46244.0</v>
      </c>
      <c r="B296" s="153" t="s">
        <v>136</v>
      </c>
      <c r="C296" s="153" t="s">
        <v>5</v>
      </c>
      <c r="D296" s="153" t="s">
        <v>430</v>
      </c>
      <c r="E296" s="153" t="s">
        <v>431</v>
      </c>
      <c r="F296" s="153" t="s">
        <v>429</v>
      </c>
      <c r="G296" s="153">
        <v>4086.0</v>
      </c>
      <c r="H296" s="153">
        <v>1597.0</v>
      </c>
      <c r="I296" s="153">
        <v>39.08</v>
      </c>
      <c r="J296" s="153">
        <v>1732.0</v>
      </c>
      <c r="K296" s="153">
        <v>0.4239</v>
      </c>
      <c r="L296" s="153">
        <v>1.0845</v>
      </c>
      <c r="M296" s="153">
        <v>1732.0</v>
      </c>
    </row>
    <row r="297">
      <c r="A297" s="250">
        <v>46244.0</v>
      </c>
      <c r="B297" s="153" t="s">
        <v>136</v>
      </c>
      <c r="C297" s="153" t="s">
        <v>5</v>
      </c>
      <c r="D297" s="153" t="s">
        <v>430</v>
      </c>
      <c r="E297" s="153" t="s">
        <v>432</v>
      </c>
      <c r="F297" s="153" t="s">
        <v>429</v>
      </c>
      <c r="G297" s="153">
        <v>4086.0</v>
      </c>
      <c r="H297" s="153">
        <v>2652.0</v>
      </c>
      <c r="I297" s="153">
        <v>64.9</v>
      </c>
      <c r="J297" s="153">
        <v>6442.0</v>
      </c>
      <c r="K297" s="153">
        <v>1.5766</v>
      </c>
      <c r="L297" s="153">
        <v>2.4291</v>
      </c>
      <c r="M297" s="153">
        <v>6442.0</v>
      </c>
    </row>
    <row r="298">
      <c r="A298" s="250">
        <v>46244.0</v>
      </c>
      <c r="B298" s="153" t="s">
        <v>136</v>
      </c>
      <c r="C298" s="153" t="s">
        <v>5</v>
      </c>
      <c r="D298" s="153" t="s">
        <v>430</v>
      </c>
      <c r="E298" s="153" t="s">
        <v>433</v>
      </c>
      <c r="F298" s="153" t="s">
        <v>429</v>
      </c>
      <c r="G298" s="153">
        <v>4086.0</v>
      </c>
      <c r="H298" s="153">
        <v>2006.0</v>
      </c>
      <c r="I298" s="153">
        <v>49.09</v>
      </c>
      <c r="J298" s="153">
        <v>2458.0</v>
      </c>
      <c r="K298" s="153">
        <v>0.6016</v>
      </c>
      <c r="L298" s="153">
        <v>1.2253</v>
      </c>
      <c r="M298" s="153">
        <v>2458.0</v>
      </c>
    </row>
    <row r="299">
      <c r="A299" s="250">
        <v>46244.0</v>
      </c>
      <c r="B299" s="153" t="s">
        <v>136</v>
      </c>
      <c r="C299" s="153" t="s">
        <v>5</v>
      </c>
      <c r="D299" s="153" t="s">
        <v>434</v>
      </c>
      <c r="E299" s="153" t="s">
        <v>435</v>
      </c>
      <c r="F299" s="153" t="s">
        <v>429</v>
      </c>
      <c r="G299" s="153">
        <v>4086.0</v>
      </c>
      <c r="H299" s="153">
        <v>3152.0</v>
      </c>
      <c r="I299" s="153">
        <v>77.14</v>
      </c>
      <c r="J299" s="153">
        <v>3424.0</v>
      </c>
      <c r="K299" s="153">
        <v>0.838</v>
      </c>
      <c r="L299" s="153">
        <v>1.0863</v>
      </c>
      <c r="M299" s="153">
        <v>3424.0</v>
      </c>
    </row>
    <row r="300">
      <c r="A300" s="250">
        <v>46244.0</v>
      </c>
      <c r="B300" s="153" t="s">
        <v>136</v>
      </c>
      <c r="C300" s="153" t="s">
        <v>5</v>
      </c>
      <c r="D300" s="153" t="s">
        <v>434</v>
      </c>
      <c r="E300" s="153" t="s">
        <v>436</v>
      </c>
      <c r="F300" s="153" t="s">
        <v>429</v>
      </c>
      <c r="G300" s="153">
        <v>4086.0</v>
      </c>
      <c r="H300" s="153">
        <v>2779.0</v>
      </c>
      <c r="I300" s="153">
        <v>68.01</v>
      </c>
      <c r="J300" s="153">
        <v>3444.0</v>
      </c>
      <c r="K300" s="153">
        <v>0.8429</v>
      </c>
      <c r="L300" s="153">
        <v>1.2393</v>
      </c>
      <c r="M300" s="153">
        <v>3444.0</v>
      </c>
    </row>
    <row r="301">
      <c r="A301" s="250">
        <v>46244.0</v>
      </c>
      <c r="B301" s="153" t="s">
        <v>136</v>
      </c>
      <c r="C301" s="153" t="s">
        <v>5</v>
      </c>
      <c r="D301" s="153" t="s">
        <v>434</v>
      </c>
      <c r="E301" s="153" t="s">
        <v>437</v>
      </c>
      <c r="F301" s="153" t="s">
        <v>429</v>
      </c>
      <c r="G301" s="153">
        <v>4086.0</v>
      </c>
      <c r="H301" s="153">
        <v>709.0</v>
      </c>
      <c r="I301" s="153">
        <v>17.35</v>
      </c>
      <c r="J301" s="153">
        <v>812.0</v>
      </c>
      <c r="K301" s="153">
        <v>0.1987</v>
      </c>
      <c r="L301" s="153">
        <v>1.1453</v>
      </c>
      <c r="M301" s="153">
        <v>812.0</v>
      </c>
    </row>
    <row r="302">
      <c r="A302" s="250">
        <v>46244.0</v>
      </c>
      <c r="B302" s="153" t="s">
        <v>136</v>
      </c>
      <c r="C302" s="153" t="s">
        <v>5</v>
      </c>
      <c r="D302" s="153" t="s">
        <v>438</v>
      </c>
      <c r="E302" s="153" t="s">
        <v>439</v>
      </c>
      <c r="F302" s="153" t="s">
        <v>440</v>
      </c>
      <c r="G302" s="153">
        <v>4086.0</v>
      </c>
      <c r="H302" s="153">
        <v>2627.0</v>
      </c>
      <c r="I302" s="153">
        <v>64.29</v>
      </c>
      <c r="J302" s="153">
        <v>31400.0</v>
      </c>
      <c r="K302" s="153">
        <v>7.6848</v>
      </c>
      <c r="L302" s="153">
        <v>11.9528</v>
      </c>
      <c r="M302" s="153">
        <v>31400.0</v>
      </c>
    </row>
    <row r="303">
      <c r="A303" s="250">
        <v>46244.0</v>
      </c>
      <c r="B303" s="153" t="s">
        <v>136</v>
      </c>
      <c r="C303" s="153" t="s">
        <v>5</v>
      </c>
      <c r="D303" s="153" t="s">
        <v>441</v>
      </c>
      <c r="E303" s="153" t="s">
        <v>442</v>
      </c>
      <c r="F303" s="153" t="s">
        <v>440</v>
      </c>
      <c r="G303" s="153">
        <v>4086.0</v>
      </c>
      <c r="H303" s="153">
        <v>1475.0</v>
      </c>
      <c r="I303" s="153">
        <v>36.1</v>
      </c>
      <c r="J303" s="153">
        <v>19010.0</v>
      </c>
      <c r="K303" s="153">
        <v>4.6525</v>
      </c>
      <c r="L303" s="153">
        <v>12.8881</v>
      </c>
      <c r="M303" s="153">
        <v>19010.0</v>
      </c>
    </row>
    <row r="304">
      <c r="A304" s="250">
        <v>46244.0</v>
      </c>
      <c r="B304" s="153" t="s">
        <v>136</v>
      </c>
      <c r="C304" s="153" t="s">
        <v>5</v>
      </c>
      <c r="D304" s="153" t="s">
        <v>441</v>
      </c>
      <c r="E304" s="153" t="s">
        <v>443</v>
      </c>
      <c r="F304" s="153" t="s">
        <v>440</v>
      </c>
      <c r="G304" s="153">
        <v>4086.0</v>
      </c>
      <c r="H304" s="153">
        <v>32.0</v>
      </c>
      <c r="I304" s="153">
        <v>0.78</v>
      </c>
      <c r="J304" s="153">
        <v>360.0</v>
      </c>
      <c r="K304" s="153">
        <v>0.0881</v>
      </c>
      <c r="L304" s="153">
        <v>11.25</v>
      </c>
      <c r="M304" s="153">
        <v>360.0</v>
      </c>
    </row>
    <row r="305">
      <c r="A305" s="250">
        <v>46244.0</v>
      </c>
      <c r="B305" s="153" t="s">
        <v>136</v>
      </c>
      <c r="C305" s="153" t="s">
        <v>5</v>
      </c>
      <c r="D305" s="153" t="s">
        <v>444</v>
      </c>
      <c r="E305" s="153" t="s">
        <v>445</v>
      </c>
      <c r="F305" s="153" t="s">
        <v>440</v>
      </c>
      <c r="G305" s="153">
        <v>4086.0</v>
      </c>
      <c r="H305" s="153">
        <v>2965.0</v>
      </c>
      <c r="I305" s="153">
        <v>72.56</v>
      </c>
      <c r="J305" s="153">
        <v>96650.0</v>
      </c>
      <c r="K305" s="153">
        <v>23.6539</v>
      </c>
      <c r="L305" s="153">
        <v>32.597</v>
      </c>
      <c r="M305" s="153">
        <v>96650.0</v>
      </c>
    </row>
    <row r="306">
      <c r="A306" s="250">
        <v>46244.0</v>
      </c>
      <c r="B306" s="153" t="s">
        <v>137</v>
      </c>
      <c r="C306" s="153" t="s">
        <v>5</v>
      </c>
      <c r="D306" s="153" t="s">
        <v>424</v>
      </c>
      <c r="E306" s="153" t="s">
        <v>425</v>
      </c>
      <c r="F306" s="153" t="s">
        <v>426</v>
      </c>
      <c r="G306" s="153">
        <v>593.0</v>
      </c>
      <c r="H306" s="153">
        <v>490.0</v>
      </c>
      <c r="I306" s="153">
        <v>82.63</v>
      </c>
      <c r="J306" s="153">
        <v>18204.67</v>
      </c>
      <c r="K306" s="153">
        <v>30.6993</v>
      </c>
      <c r="L306" s="153">
        <v>37.1524</v>
      </c>
      <c r="M306" s="153">
        <v>24540.0</v>
      </c>
    </row>
    <row r="307">
      <c r="A307" s="250">
        <v>46244.0</v>
      </c>
      <c r="B307" s="153" t="s">
        <v>137</v>
      </c>
      <c r="C307" s="153" t="s">
        <v>5</v>
      </c>
      <c r="D307" s="153" t="s">
        <v>427</v>
      </c>
      <c r="E307" s="153" t="s">
        <v>428</v>
      </c>
      <c r="F307" s="153" t="s">
        <v>429</v>
      </c>
      <c r="G307" s="153">
        <v>593.0</v>
      </c>
      <c r="H307" s="153">
        <v>483.0</v>
      </c>
      <c r="I307" s="153">
        <v>81.45</v>
      </c>
      <c r="J307" s="153">
        <v>121366.39</v>
      </c>
      <c r="K307" s="153">
        <v>204.6651</v>
      </c>
      <c r="L307" s="153">
        <v>251.2762</v>
      </c>
      <c r="M307" s="153">
        <v>133435.0</v>
      </c>
    </row>
    <row r="308">
      <c r="A308" s="250">
        <v>46244.0</v>
      </c>
      <c r="B308" s="153" t="s">
        <v>137</v>
      </c>
      <c r="C308" s="153" t="s">
        <v>5</v>
      </c>
      <c r="D308" s="153" t="s">
        <v>430</v>
      </c>
      <c r="E308" s="153" t="s">
        <v>431</v>
      </c>
      <c r="F308" s="153" t="s">
        <v>429</v>
      </c>
      <c r="G308" s="153">
        <v>593.0</v>
      </c>
      <c r="H308" s="153">
        <v>407.0</v>
      </c>
      <c r="I308" s="153">
        <v>68.63</v>
      </c>
      <c r="J308" s="153">
        <v>447.0</v>
      </c>
      <c r="K308" s="153">
        <v>0.7538</v>
      </c>
      <c r="L308" s="153">
        <v>1.0983</v>
      </c>
      <c r="M308" s="153">
        <v>447.0</v>
      </c>
    </row>
    <row r="309">
      <c r="A309" s="250">
        <v>46244.0</v>
      </c>
      <c r="B309" s="153" t="s">
        <v>137</v>
      </c>
      <c r="C309" s="153" t="s">
        <v>5</v>
      </c>
      <c r="D309" s="153" t="s">
        <v>430</v>
      </c>
      <c r="E309" s="153" t="s">
        <v>432</v>
      </c>
      <c r="F309" s="153" t="s">
        <v>429</v>
      </c>
      <c r="G309" s="153">
        <v>593.0</v>
      </c>
      <c r="H309" s="153">
        <v>472.0</v>
      </c>
      <c r="I309" s="153">
        <v>79.6</v>
      </c>
      <c r="J309" s="153">
        <v>1393.0</v>
      </c>
      <c r="K309" s="153">
        <v>2.3491</v>
      </c>
      <c r="L309" s="153">
        <v>2.9513</v>
      </c>
      <c r="M309" s="153">
        <v>1393.0</v>
      </c>
    </row>
    <row r="310">
      <c r="A310" s="250">
        <v>46244.0</v>
      </c>
      <c r="B310" s="153" t="s">
        <v>137</v>
      </c>
      <c r="C310" s="153" t="s">
        <v>5</v>
      </c>
      <c r="D310" s="153" t="s">
        <v>430</v>
      </c>
      <c r="E310" s="153" t="s">
        <v>433</v>
      </c>
      <c r="F310" s="153" t="s">
        <v>429</v>
      </c>
      <c r="G310" s="153">
        <v>593.0</v>
      </c>
      <c r="H310" s="153">
        <v>430.0</v>
      </c>
      <c r="I310" s="153">
        <v>72.51</v>
      </c>
      <c r="J310" s="153">
        <v>663.0</v>
      </c>
      <c r="K310" s="153">
        <v>1.118</v>
      </c>
      <c r="L310" s="153">
        <v>1.5419</v>
      </c>
      <c r="M310" s="153">
        <v>663.0</v>
      </c>
    </row>
    <row r="311">
      <c r="A311" s="250">
        <v>46244.0</v>
      </c>
      <c r="B311" s="153" t="s">
        <v>137</v>
      </c>
      <c r="C311" s="153" t="s">
        <v>5</v>
      </c>
      <c r="D311" s="153" t="s">
        <v>434</v>
      </c>
      <c r="E311" s="153" t="s">
        <v>435</v>
      </c>
      <c r="F311" s="153" t="s">
        <v>429</v>
      </c>
      <c r="G311" s="153">
        <v>593.0</v>
      </c>
      <c r="H311" s="153">
        <v>490.0</v>
      </c>
      <c r="I311" s="153">
        <v>82.63</v>
      </c>
      <c r="J311" s="153">
        <v>721.0</v>
      </c>
      <c r="K311" s="153">
        <v>1.2159</v>
      </c>
      <c r="L311" s="153">
        <v>1.4714</v>
      </c>
      <c r="M311" s="153">
        <v>721.0</v>
      </c>
    </row>
    <row r="312">
      <c r="A312" s="250">
        <v>46244.0</v>
      </c>
      <c r="B312" s="153" t="s">
        <v>137</v>
      </c>
      <c r="C312" s="153" t="s">
        <v>5</v>
      </c>
      <c r="D312" s="153" t="s">
        <v>434</v>
      </c>
      <c r="E312" s="153" t="s">
        <v>436</v>
      </c>
      <c r="F312" s="153" t="s">
        <v>429</v>
      </c>
      <c r="G312" s="153">
        <v>593.0</v>
      </c>
      <c r="H312" s="153">
        <v>473.0</v>
      </c>
      <c r="I312" s="153">
        <v>79.76</v>
      </c>
      <c r="J312" s="153">
        <v>646.0</v>
      </c>
      <c r="K312" s="153">
        <v>1.0894</v>
      </c>
      <c r="L312" s="153">
        <v>1.3658</v>
      </c>
      <c r="M312" s="153">
        <v>646.0</v>
      </c>
    </row>
    <row r="313">
      <c r="A313" s="250">
        <v>46244.0</v>
      </c>
      <c r="B313" s="153" t="s">
        <v>137</v>
      </c>
      <c r="C313" s="153" t="s">
        <v>5</v>
      </c>
      <c r="D313" s="153" t="s">
        <v>434</v>
      </c>
      <c r="E313" s="153" t="s">
        <v>437</v>
      </c>
      <c r="F313" s="153" t="s">
        <v>429</v>
      </c>
      <c r="G313" s="153">
        <v>593.0</v>
      </c>
      <c r="H313" s="153">
        <v>287.0</v>
      </c>
      <c r="I313" s="153">
        <v>48.4</v>
      </c>
      <c r="J313" s="153">
        <v>371.0</v>
      </c>
      <c r="K313" s="153">
        <v>0.6256</v>
      </c>
      <c r="L313" s="153">
        <v>1.2927</v>
      </c>
      <c r="M313" s="153">
        <v>371.0</v>
      </c>
    </row>
    <row r="314">
      <c r="A314" s="250">
        <v>46244.0</v>
      </c>
      <c r="B314" s="153" t="s">
        <v>137</v>
      </c>
      <c r="C314" s="153" t="s">
        <v>5</v>
      </c>
      <c r="D314" s="153" t="s">
        <v>438</v>
      </c>
      <c r="E314" s="153" t="s">
        <v>439</v>
      </c>
      <c r="F314" s="153" t="s">
        <v>440</v>
      </c>
      <c r="G314" s="153">
        <v>593.0</v>
      </c>
      <c r="H314" s="153">
        <v>465.0</v>
      </c>
      <c r="I314" s="153">
        <v>78.41</v>
      </c>
      <c r="J314" s="153">
        <v>8030.0</v>
      </c>
      <c r="K314" s="153">
        <v>13.5413</v>
      </c>
      <c r="L314" s="153">
        <v>17.2688</v>
      </c>
      <c r="M314" s="153">
        <v>8030.0</v>
      </c>
    </row>
    <row r="315">
      <c r="A315" s="250">
        <v>46244.0</v>
      </c>
      <c r="B315" s="153" t="s">
        <v>137</v>
      </c>
      <c r="C315" s="153" t="s">
        <v>5</v>
      </c>
      <c r="D315" s="153" t="s">
        <v>441</v>
      </c>
      <c r="E315" s="153" t="s">
        <v>442</v>
      </c>
      <c r="F315" s="153" t="s">
        <v>440</v>
      </c>
      <c r="G315" s="153">
        <v>593.0</v>
      </c>
      <c r="H315" s="153">
        <v>395.0</v>
      </c>
      <c r="I315" s="153">
        <v>66.61</v>
      </c>
      <c r="J315" s="153">
        <v>5140.0</v>
      </c>
      <c r="K315" s="153">
        <v>8.6678</v>
      </c>
      <c r="L315" s="153">
        <v>13.0127</v>
      </c>
      <c r="M315" s="153">
        <v>5140.0</v>
      </c>
    </row>
    <row r="316">
      <c r="A316" s="250">
        <v>46244.0</v>
      </c>
      <c r="B316" s="153" t="s">
        <v>137</v>
      </c>
      <c r="C316" s="153" t="s">
        <v>5</v>
      </c>
      <c r="D316" s="153" t="s">
        <v>441</v>
      </c>
      <c r="E316" s="153" t="s">
        <v>443</v>
      </c>
      <c r="F316" s="153" t="s">
        <v>440</v>
      </c>
      <c r="G316" s="153">
        <v>593.0</v>
      </c>
      <c r="H316" s="153">
        <v>39.0</v>
      </c>
      <c r="I316" s="153">
        <v>6.58</v>
      </c>
      <c r="J316" s="153">
        <v>540.0</v>
      </c>
      <c r="K316" s="153">
        <v>0.9106</v>
      </c>
      <c r="L316" s="153">
        <v>13.8462</v>
      </c>
      <c r="M316" s="153">
        <v>540.0</v>
      </c>
    </row>
    <row r="317">
      <c r="A317" s="250">
        <v>46244.0</v>
      </c>
      <c r="B317" s="153" t="s">
        <v>137</v>
      </c>
      <c r="C317" s="153" t="s">
        <v>5</v>
      </c>
      <c r="D317" s="153" t="s">
        <v>444</v>
      </c>
      <c r="E317" s="153" t="s">
        <v>445</v>
      </c>
      <c r="F317" s="153" t="s">
        <v>440</v>
      </c>
      <c r="G317" s="153">
        <v>593.0</v>
      </c>
      <c r="H317" s="153">
        <v>486.0</v>
      </c>
      <c r="I317" s="153">
        <v>81.96</v>
      </c>
      <c r="J317" s="153">
        <v>20880.0</v>
      </c>
      <c r="K317" s="153">
        <v>35.2108</v>
      </c>
      <c r="L317" s="153">
        <v>42.963</v>
      </c>
      <c r="M317" s="153">
        <v>20880.0</v>
      </c>
    </row>
    <row r="318">
      <c r="A318" s="250">
        <v>46245.0</v>
      </c>
      <c r="B318" s="153" t="s">
        <v>423</v>
      </c>
      <c r="C318" s="153" t="s">
        <v>5</v>
      </c>
      <c r="D318" s="153" t="s">
        <v>424</v>
      </c>
      <c r="E318" s="153" t="s">
        <v>425</v>
      </c>
      <c r="F318" s="153" t="s">
        <v>426</v>
      </c>
      <c r="G318" s="153">
        <v>6765.0</v>
      </c>
      <c r="H318" s="153">
        <v>206.0</v>
      </c>
      <c r="I318" s="153">
        <v>3.05</v>
      </c>
      <c r="J318" s="153">
        <v>5608.72</v>
      </c>
      <c r="K318" s="153">
        <v>0.8291</v>
      </c>
      <c r="L318" s="153">
        <v>27.2268</v>
      </c>
      <c r="M318" s="153">
        <v>8540.0</v>
      </c>
    </row>
    <row r="319">
      <c r="A319" s="250">
        <v>46245.0</v>
      </c>
      <c r="B319" s="153" t="s">
        <v>423</v>
      </c>
      <c r="C319" s="153" t="s">
        <v>5</v>
      </c>
      <c r="D319" s="153" t="s">
        <v>427</v>
      </c>
      <c r="E319" s="153" t="s">
        <v>428</v>
      </c>
      <c r="F319" s="153" t="s">
        <v>429</v>
      </c>
      <c r="G319" s="153">
        <v>6765.0</v>
      </c>
      <c r="H319" s="153">
        <v>235.0</v>
      </c>
      <c r="I319" s="153">
        <v>3.47</v>
      </c>
      <c r="J319" s="153">
        <v>44655.94</v>
      </c>
      <c r="K319" s="153">
        <v>6.601</v>
      </c>
      <c r="L319" s="153">
        <v>190.0253</v>
      </c>
      <c r="M319" s="153">
        <v>50285.0</v>
      </c>
    </row>
    <row r="320">
      <c r="A320" s="250">
        <v>46245.0</v>
      </c>
      <c r="B320" s="153" t="s">
        <v>423</v>
      </c>
      <c r="C320" s="153" t="s">
        <v>5</v>
      </c>
      <c r="D320" s="153" t="s">
        <v>430</v>
      </c>
      <c r="E320" s="153" t="s">
        <v>431</v>
      </c>
      <c r="F320" s="153" t="s">
        <v>429</v>
      </c>
      <c r="G320" s="153">
        <v>6765.0</v>
      </c>
      <c r="H320" s="153">
        <v>38.0</v>
      </c>
      <c r="I320" s="153">
        <v>0.56</v>
      </c>
      <c r="J320" s="153">
        <v>43.0</v>
      </c>
      <c r="K320" s="153">
        <v>0.0064</v>
      </c>
      <c r="L320" s="153">
        <v>1.1316</v>
      </c>
      <c r="M320" s="153">
        <v>43.0</v>
      </c>
    </row>
    <row r="321">
      <c r="A321" s="250">
        <v>46245.0</v>
      </c>
      <c r="B321" s="153" t="s">
        <v>423</v>
      </c>
      <c r="C321" s="153" t="s">
        <v>5</v>
      </c>
      <c r="D321" s="153" t="s">
        <v>430</v>
      </c>
      <c r="E321" s="153" t="s">
        <v>432</v>
      </c>
      <c r="F321" s="153" t="s">
        <v>429</v>
      </c>
      <c r="G321" s="153">
        <v>6765.0</v>
      </c>
      <c r="H321" s="153">
        <v>105.0</v>
      </c>
      <c r="I321" s="153">
        <v>1.55</v>
      </c>
      <c r="J321" s="153">
        <v>154.0</v>
      </c>
      <c r="K321" s="153">
        <v>0.0228</v>
      </c>
      <c r="L321" s="153">
        <v>1.4667</v>
      </c>
      <c r="M321" s="153">
        <v>154.0</v>
      </c>
    </row>
    <row r="322">
      <c r="A322" s="250">
        <v>46245.0</v>
      </c>
      <c r="B322" s="153" t="s">
        <v>423</v>
      </c>
      <c r="C322" s="153" t="s">
        <v>5</v>
      </c>
      <c r="D322" s="153" t="s">
        <v>430</v>
      </c>
      <c r="E322" s="153" t="s">
        <v>433</v>
      </c>
      <c r="F322" s="153" t="s">
        <v>429</v>
      </c>
      <c r="G322" s="153">
        <v>6765.0</v>
      </c>
      <c r="H322" s="153">
        <v>130.0</v>
      </c>
      <c r="I322" s="153">
        <v>1.92</v>
      </c>
      <c r="J322" s="153">
        <v>159.0</v>
      </c>
      <c r="K322" s="153">
        <v>0.0235</v>
      </c>
      <c r="L322" s="153">
        <v>1.2231</v>
      </c>
      <c r="M322" s="153">
        <v>159.0</v>
      </c>
    </row>
    <row r="323">
      <c r="A323" s="250">
        <v>46245.0</v>
      </c>
      <c r="B323" s="153" t="s">
        <v>423</v>
      </c>
      <c r="C323" s="153" t="s">
        <v>5</v>
      </c>
      <c r="D323" s="153" t="s">
        <v>434</v>
      </c>
      <c r="E323" s="153" t="s">
        <v>435</v>
      </c>
      <c r="F323" s="153" t="s">
        <v>429</v>
      </c>
      <c r="G323" s="153">
        <v>6765.0</v>
      </c>
      <c r="H323" s="153">
        <v>151.0</v>
      </c>
      <c r="I323" s="153">
        <v>2.23</v>
      </c>
      <c r="J323" s="153">
        <v>259.0</v>
      </c>
      <c r="K323" s="153">
        <v>0.0383</v>
      </c>
      <c r="L323" s="153">
        <v>1.7152</v>
      </c>
      <c r="M323" s="153">
        <v>259.0</v>
      </c>
    </row>
    <row r="324">
      <c r="A324" s="250">
        <v>46245.0</v>
      </c>
      <c r="B324" s="153" t="s">
        <v>423</v>
      </c>
      <c r="C324" s="153" t="s">
        <v>5</v>
      </c>
      <c r="D324" s="153" t="s">
        <v>434</v>
      </c>
      <c r="E324" s="153" t="s">
        <v>436</v>
      </c>
      <c r="F324" s="153" t="s">
        <v>429</v>
      </c>
      <c r="G324" s="153">
        <v>6765.0</v>
      </c>
      <c r="H324" s="153">
        <v>102.0</v>
      </c>
      <c r="I324" s="153">
        <v>1.51</v>
      </c>
      <c r="J324" s="153">
        <v>172.0</v>
      </c>
      <c r="K324" s="153">
        <v>0.0254</v>
      </c>
      <c r="L324" s="153">
        <v>1.6863</v>
      </c>
      <c r="M324" s="153">
        <v>172.0</v>
      </c>
    </row>
    <row r="325">
      <c r="A325" s="250">
        <v>46245.0</v>
      </c>
      <c r="B325" s="153" t="s">
        <v>423</v>
      </c>
      <c r="C325" s="153" t="s">
        <v>5</v>
      </c>
      <c r="D325" s="153" t="s">
        <v>434</v>
      </c>
      <c r="E325" s="153" t="s">
        <v>437</v>
      </c>
      <c r="F325" s="153" t="s">
        <v>429</v>
      </c>
      <c r="G325" s="153">
        <v>6765.0</v>
      </c>
      <c r="H325" s="153">
        <v>69.0</v>
      </c>
      <c r="I325" s="153">
        <v>1.02</v>
      </c>
      <c r="J325" s="153">
        <v>144.0</v>
      </c>
      <c r="K325" s="153">
        <v>0.0213</v>
      </c>
      <c r="L325" s="153">
        <v>2.087</v>
      </c>
      <c r="M325" s="153">
        <v>144.0</v>
      </c>
    </row>
    <row r="326">
      <c r="A326" s="250">
        <v>46245.0</v>
      </c>
      <c r="B326" s="153" t="s">
        <v>423</v>
      </c>
      <c r="C326" s="153" t="s">
        <v>5</v>
      </c>
      <c r="D326" s="153" t="s">
        <v>438</v>
      </c>
      <c r="E326" s="153" t="s">
        <v>439</v>
      </c>
      <c r="F326" s="153" t="s">
        <v>440</v>
      </c>
      <c r="G326" s="153">
        <v>6765.0</v>
      </c>
      <c r="H326" s="153">
        <v>131.0</v>
      </c>
      <c r="I326" s="153">
        <v>1.94</v>
      </c>
      <c r="J326" s="153">
        <v>2920.0</v>
      </c>
      <c r="K326" s="153">
        <v>0.4316</v>
      </c>
      <c r="L326" s="153">
        <v>22.2901</v>
      </c>
      <c r="M326" s="153">
        <v>2920.0</v>
      </c>
    </row>
    <row r="327">
      <c r="A327" s="250">
        <v>46245.0</v>
      </c>
      <c r="B327" s="153" t="s">
        <v>423</v>
      </c>
      <c r="C327" s="153" t="s">
        <v>5</v>
      </c>
      <c r="D327" s="153" t="s">
        <v>441</v>
      </c>
      <c r="E327" s="153" t="s">
        <v>442</v>
      </c>
      <c r="F327" s="153" t="s">
        <v>440</v>
      </c>
      <c r="G327" s="153">
        <v>6765.0</v>
      </c>
      <c r="H327" s="153">
        <v>12.0</v>
      </c>
      <c r="I327" s="153">
        <v>0.18</v>
      </c>
      <c r="J327" s="153">
        <v>170.0</v>
      </c>
      <c r="K327" s="153">
        <v>0.0251</v>
      </c>
      <c r="L327" s="153">
        <v>14.1667</v>
      </c>
      <c r="M327" s="153">
        <v>170.0</v>
      </c>
    </row>
    <row r="328">
      <c r="A328" s="250">
        <v>46245.0</v>
      </c>
      <c r="B328" s="153" t="s">
        <v>423</v>
      </c>
      <c r="C328" s="153" t="s">
        <v>5</v>
      </c>
      <c r="D328" s="153" t="s">
        <v>441</v>
      </c>
      <c r="E328" s="153" t="s">
        <v>443</v>
      </c>
      <c r="F328" s="153" t="s">
        <v>440</v>
      </c>
      <c r="G328" s="153">
        <v>6765.0</v>
      </c>
      <c r="H328" s="153">
        <v>63.0</v>
      </c>
      <c r="I328" s="153">
        <v>0.93</v>
      </c>
      <c r="J328" s="153">
        <v>780.0</v>
      </c>
      <c r="K328" s="153">
        <v>0.1153</v>
      </c>
      <c r="L328" s="153">
        <v>12.381</v>
      </c>
      <c r="M328" s="153">
        <v>780.0</v>
      </c>
    </row>
    <row r="329">
      <c r="A329" s="250">
        <v>46245.0</v>
      </c>
      <c r="B329" s="153" t="s">
        <v>423</v>
      </c>
      <c r="C329" s="153" t="s">
        <v>5</v>
      </c>
      <c r="D329" s="153" t="s">
        <v>444</v>
      </c>
      <c r="E329" s="153" t="s">
        <v>445</v>
      </c>
      <c r="F329" s="153" t="s">
        <v>440</v>
      </c>
      <c r="G329" s="153">
        <v>6765.0</v>
      </c>
      <c r="H329" s="153">
        <v>91.0</v>
      </c>
      <c r="I329" s="153">
        <v>1.35</v>
      </c>
      <c r="J329" s="153">
        <v>4030.0</v>
      </c>
      <c r="K329" s="153">
        <v>0.5957</v>
      </c>
      <c r="L329" s="153">
        <v>44.2857</v>
      </c>
      <c r="M329" s="153">
        <v>4030.0</v>
      </c>
    </row>
    <row r="330">
      <c r="A330" s="250">
        <v>46245.0</v>
      </c>
      <c r="B330" s="153" t="s">
        <v>133</v>
      </c>
      <c r="C330" s="153" t="s">
        <v>5</v>
      </c>
      <c r="D330" s="153" t="s">
        <v>424</v>
      </c>
      <c r="E330" s="153" t="s">
        <v>425</v>
      </c>
      <c r="F330" s="153" t="s">
        <v>426</v>
      </c>
      <c r="G330" s="153">
        <v>11327.0</v>
      </c>
      <c r="H330" s="153">
        <v>2715.0</v>
      </c>
      <c r="I330" s="153">
        <v>23.97</v>
      </c>
      <c r="J330" s="153">
        <v>33085.32</v>
      </c>
      <c r="K330" s="153">
        <v>2.9209</v>
      </c>
      <c r="L330" s="153">
        <v>12.1861</v>
      </c>
      <c r="M330" s="153">
        <v>40320.0</v>
      </c>
    </row>
    <row r="331">
      <c r="A331" s="250">
        <v>46245.0</v>
      </c>
      <c r="B331" s="153" t="s">
        <v>133</v>
      </c>
      <c r="C331" s="153" t="s">
        <v>5</v>
      </c>
      <c r="D331" s="153" t="s">
        <v>427</v>
      </c>
      <c r="E331" s="153" t="s">
        <v>428</v>
      </c>
      <c r="F331" s="153" t="s">
        <v>429</v>
      </c>
      <c r="G331" s="153">
        <v>11327.0</v>
      </c>
      <c r="H331" s="153">
        <v>2554.0</v>
      </c>
      <c r="I331" s="153">
        <v>22.55</v>
      </c>
      <c r="J331" s="153">
        <v>87447.37</v>
      </c>
      <c r="K331" s="153">
        <v>7.7203</v>
      </c>
      <c r="L331" s="153">
        <v>34.2394</v>
      </c>
      <c r="M331" s="153">
        <v>97805.0</v>
      </c>
    </row>
    <row r="332">
      <c r="A332" s="250">
        <v>46245.0</v>
      </c>
      <c r="B332" s="153" t="s">
        <v>133</v>
      </c>
      <c r="C332" s="153" t="s">
        <v>5</v>
      </c>
      <c r="D332" s="153" t="s">
        <v>430</v>
      </c>
      <c r="E332" s="153" t="s">
        <v>431</v>
      </c>
      <c r="F332" s="153" t="s">
        <v>429</v>
      </c>
      <c r="G332" s="153">
        <v>11327.0</v>
      </c>
      <c r="H332" s="153">
        <v>82.0</v>
      </c>
      <c r="I332" s="153">
        <v>0.72</v>
      </c>
      <c r="J332" s="153">
        <v>89.0</v>
      </c>
      <c r="K332" s="153">
        <v>0.0079</v>
      </c>
      <c r="L332" s="153">
        <v>1.0854</v>
      </c>
      <c r="M332" s="153">
        <v>89.0</v>
      </c>
    </row>
    <row r="333">
      <c r="A333" s="250">
        <v>46245.0</v>
      </c>
      <c r="B333" s="153" t="s">
        <v>133</v>
      </c>
      <c r="C333" s="153" t="s">
        <v>5</v>
      </c>
      <c r="D333" s="153" t="s">
        <v>430</v>
      </c>
      <c r="E333" s="153" t="s">
        <v>432</v>
      </c>
      <c r="F333" s="153" t="s">
        <v>429</v>
      </c>
      <c r="G333" s="153">
        <v>11327.0</v>
      </c>
      <c r="H333" s="153">
        <v>1579.0</v>
      </c>
      <c r="I333" s="153">
        <v>13.94</v>
      </c>
      <c r="J333" s="153">
        <v>2617.0</v>
      </c>
      <c r="K333" s="153">
        <v>0.231</v>
      </c>
      <c r="L333" s="153">
        <v>1.6574</v>
      </c>
      <c r="M333" s="153">
        <v>2617.0</v>
      </c>
    </row>
    <row r="334">
      <c r="A334" s="250">
        <v>46245.0</v>
      </c>
      <c r="B334" s="153" t="s">
        <v>133</v>
      </c>
      <c r="C334" s="153" t="s">
        <v>5</v>
      </c>
      <c r="D334" s="153" t="s">
        <v>430</v>
      </c>
      <c r="E334" s="153" t="s">
        <v>433</v>
      </c>
      <c r="F334" s="153" t="s">
        <v>429</v>
      </c>
      <c r="G334" s="153">
        <v>11327.0</v>
      </c>
      <c r="H334" s="153">
        <v>324.0</v>
      </c>
      <c r="I334" s="153">
        <v>2.86</v>
      </c>
      <c r="J334" s="153">
        <v>351.0</v>
      </c>
      <c r="K334" s="153">
        <v>0.031</v>
      </c>
      <c r="L334" s="153">
        <v>1.0833</v>
      </c>
      <c r="M334" s="153">
        <v>351.0</v>
      </c>
    </row>
    <row r="335">
      <c r="A335" s="250">
        <v>46245.0</v>
      </c>
      <c r="B335" s="153" t="s">
        <v>133</v>
      </c>
      <c r="C335" s="153" t="s">
        <v>5</v>
      </c>
      <c r="D335" s="153" t="s">
        <v>434</v>
      </c>
      <c r="E335" s="153" t="s">
        <v>435</v>
      </c>
      <c r="F335" s="153" t="s">
        <v>429</v>
      </c>
      <c r="G335" s="153">
        <v>11327.0</v>
      </c>
      <c r="H335" s="153">
        <v>2210.0</v>
      </c>
      <c r="I335" s="153">
        <v>19.51</v>
      </c>
      <c r="J335" s="153">
        <v>2298.0</v>
      </c>
      <c r="K335" s="153">
        <v>0.2029</v>
      </c>
      <c r="L335" s="153">
        <v>1.0398</v>
      </c>
      <c r="M335" s="153">
        <v>2298.0</v>
      </c>
    </row>
    <row r="336">
      <c r="A336" s="250">
        <v>46245.0</v>
      </c>
      <c r="B336" s="153" t="s">
        <v>133</v>
      </c>
      <c r="C336" s="153" t="s">
        <v>5</v>
      </c>
      <c r="D336" s="153" t="s">
        <v>434</v>
      </c>
      <c r="E336" s="153" t="s">
        <v>436</v>
      </c>
      <c r="F336" s="153" t="s">
        <v>429</v>
      </c>
      <c r="G336" s="153">
        <v>11327.0</v>
      </c>
      <c r="H336" s="153">
        <v>1640.0</v>
      </c>
      <c r="I336" s="153">
        <v>14.48</v>
      </c>
      <c r="J336" s="153">
        <v>1898.0</v>
      </c>
      <c r="K336" s="153">
        <v>0.1676</v>
      </c>
      <c r="L336" s="153">
        <v>1.1573</v>
      </c>
      <c r="M336" s="153">
        <v>1898.0</v>
      </c>
    </row>
    <row r="337">
      <c r="A337" s="250">
        <v>46245.0</v>
      </c>
      <c r="B337" s="153" t="s">
        <v>133</v>
      </c>
      <c r="C337" s="153" t="s">
        <v>5</v>
      </c>
      <c r="D337" s="153" t="s">
        <v>438</v>
      </c>
      <c r="E337" s="153" t="s">
        <v>439</v>
      </c>
      <c r="F337" s="153" t="s">
        <v>440</v>
      </c>
      <c r="G337" s="153">
        <v>11327.0</v>
      </c>
      <c r="H337" s="153">
        <v>1348.0</v>
      </c>
      <c r="I337" s="153">
        <v>11.9</v>
      </c>
      <c r="J337" s="153">
        <v>14370.0</v>
      </c>
      <c r="K337" s="153">
        <v>1.2687</v>
      </c>
      <c r="L337" s="153">
        <v>10.6602</v>
      </c>
      <c r="M337" s="153">
        <v>14370.0</v>
      </c>
    </row>
    <row r="338">
      <c r="A338" s="250">
        <v>46245.0</v>
      </c>
      <c r="B338" s="153" t="s">
        <v>133</v>
      </c>
      <c r="C338" s="153" t="s">
        <v>5</v>
      </c>
      <c r="D338" s="153" t="s">
        <v>441</v>
      </c>
      <c r="E338" s="153" t="s">
        <v>442</v>
      </c>
      <c r="F338" s="153" t="s">
        <v>440</v>
      </c>
      <c r="G338" s="153">
        <v>11327.0</v>
      </c>
      <c r="H338" s="153">
        <v>47.0</v>
      </c>
      <c r="I338" s="153">
        <v>0.41</v>
      </c>
      <c r="J338" s="153">
        <v>570.0</v>
      </c>
      <c r="K338" s="153">
        <v>0.0503</v>
      </c>
      <c r="L338" s="153">
        <v>12.1277</v>
      </c>
      <c r="M338" s="153">
        <v>570.0</v>
      </c>
    </row>
    <row r="339">
      <c r="A339" s="250">
        <v>46245.0</v>
      </c>
      <c r="B339" s="153" t="s">
        <v>133</v>
      </c>
      <c r="C339" s="153" t="s">
        <v>5</v>
      </c>
      <c r="D339" s="153" t="s">
        <v>444</v>
      </c>
      <c r="E339" s="153" t="s">
        <v>445</v>
      </c>
      <c r="F339" s="153" t="s">
        <v>440</v>
      </c>
      <c r="G339" s="153">
        <v>11327.0</v>
      </c>
      <c r="H339" s="153">
        <v>2062.0</v>
      </c>
      <c r="I339" s="153">
        <v>18.2</v>
      </c>
      <c r="J339" s="153">
        <v>28750.0</v>
      </c>
      <c r="K339" s="153">
        <v>2.5382</v>
      </c>
      <c r="L339" s="153">
        <v>13.9428</v>
      </c>
      <c r="M339" s="153">
        <v>28750.0</v>
      </c>
    </row>
    <row r="340">
      <c r="A340" s="250">
        <v>46245.0</v>
      </c>
      <c r="B340" s="153" t="s">
        <v>134</v>
      </c>
      <c r="C340" s="153" t="s">
        <v>5</v>
      </c>
      <c r="D340" s="153" t="s">
        <v>424</v>
      </c>
      <c r="E340" s="153" t="s">
        <v>425</v>
      </c>
      <c r="F340" s="153" t="s">
        <v>426</v>
      </c>
      <c r="G340" s="153">
        <v>8810.0</v>
      </c>
      <c r="H340" s="153">
        <v>3066.0</v>
      </c>
      <c r="I340" s="153">
        <v>34.8</v>
      </c>
      <c r="J340" s="153">
        <v>51716.26</v>
      </c>
      <c r="K340" s="153">
        <v>5.8702</v>
      </c>
      <c r="L340" s="153">
        <v>16.8677</v>
      </c>
      <c r="M340" s="153">
        <v>65780.0</v>
      </c>
    </row>
    <row r="341">
      <c r="A341" s="250">
        <v>46245.0</v>
      </c>
      <c r="B341" s="153" t="s">
        <v>134</v>
      </c>
      <c r="C341" s="153" t="s">
        <v>5</v>
      </c>
      <c r="D341" s="153" t="s">
        <v>427</v>
      </c>
      <c r="E341" s="153" t="s">
        <v>428</v>
      </c>
      <c r="F341" s="153" t="s">
        <v>429</v>
      </c>
      <c r="G341" s="153">
        <v>8810.0</v>
      </c>
      <c r="H341" s="153">
        <v>3374.0</v>
      </c>
      <c r="I341" s="153">
        <v>38.3</v>
      </c>
      <c r="J341" s="153">
        <v>203679.62</v>
      </c>
      <c r="K341" s="153">
        <v>23.1191</v>
      </c>
      <c r="L341" s="153">
        <v>60.3674</v>
      </c>
      <c r="M341" s="153">
        <v>232395.0</v>
      </c>
    </row>
    <row r="342">
      <c r="A342" s="250">
        <v>46245.0</v>
      </c>
      <c r="B342" s="153" t="s">
        <v>134</v>
      </c>
      <c r="C342" s="153" t="s">
        <v>5</v>
      </c>
      <c r="D342" s="153" t="s">
        <v>430</v>
      </c>
      <c r="E342" s="153" t="s">
        <v>431</v>
      </c>
      <c r="F342" s="153" t="s">
        <v>429</v>
      </c>
      <c r="G342" s="153">
        <v>8810.0</v>
      </c>
      <c r="H342" s="153">
        <v>876.0</v>
      </c>
      <c r="I342" s="153">
        <v>9.94</v>
      </c>
      <c r="J342" s="153">
        <v>937.0</v>
      </c>
      <c r="K342" s="153">
        <v>0.1064</v>
      </c>
      <c r="L342" s="153">
        <v>1.0696</v>
      </c>
      <c r="M342" s="153">
        <v>937.0</v>
      </c>
    </row>
    <row r="343">
      <c r="A343" s="250">
        <v>46245.0</v>
      </c>
      <c r="B343" s="153" t="s">
        <v>134</v>
      </c>
      <c r="C343" s="153" t="s">
        <v>5</v>
      </c>
      <c r="D343" s="153" t="s">
        <v>430</v>
      </c>
      <c r="E343" s="153" t="s">
        <v>432</v>
      </c>
      <c r="F343" s="153" t="s">
        <v>429</v>
      </c>
      <c r="G343" s="153">
        <v>8810.0</v>
      </c>
      <c r="H343" s="153">
        <v>2177.0</v>
      </c>
      <c r="I343" s="153">
        <v>24.71</v>
      </c>
      <c r="J343" s="153">
        <v>4069.0</v>
      </c>
      <c r="K343" s="153">
        <v>0.4619</v>
      </c>
      <c r="L343" s="153">
        <v>1.8691</v>
      </c>
      <c r="M343" s="153">
        <v>4069.0</v>
      </c>
    </row>
    <row r="344">
      <c r="A344" s="250">
        <v>46245.0</v>
      </c>
      <c r="B344" s="153" t="s">
        <v>134</v>
      </c>
      <c r="C344" s="153" t="s">
        <v>5</v>
      </c>
      <c r="D344" s="153" t="s">
        <v>430</v>
      </c>
      <c r="E344" s="153" t="s">
        <v>433</v>
      </c>
      <c r="F344" s="153" t="s">
        <v>429</v>
      </c>
      <c r="G344" s="153">
        <v>8810.0</v>
      </c>
      <c r="H344" s="153">
        <v>1418.0</v>
      </c>
      <c r="I344" s="153">
        <v>16.1</v>
      </c>
      <c r="J344" s="153">
        <v>1580.0</v>
      </c>
      <c r="K344" s="153">
        <v>0.1793</v>
      </c>
      <c r="L344" s="153">
        <v>1.1142</v>
      </c>
      <c r="M344" s="153">
        <v>1580.0</v>
      </c>
    </row>
    <row r="345">
      <c r="A345" s="250">
        <v>46245.0</v>
      </c>
      <c r="B345" s="153" t="s">
        <v>134</v>
      </c>
      <c r="C345" s="153" t="s">
        <v>5</v>
      </c>
      <c r="D345" s="153" t="s">
        <v>434</v>
      </c>
      <c r="E345" s="153" t="s">
        <v>435</v>
      </c>
      <c r="F345" s="153" t="s">
        <v>429</v>
      </c>
      <c r="G345" s="153">
        <v>8810.0</v>
      </c>
      <c r="H345" s="153">
        <v>1774.0</v>
      </c>
      <c r="I345" s="153">
        <v>20.14</v>
      </c>
      <c r="J345" s="153">
        <v>1845.0</v>
      </c>
      <c r="K345" s="153">
        <v>0.2094</v>
      </c>
      <c r="L345" s="153">
        <v>1.04</v>
      </c>
      <c r="M345" s="153">
        <v>1845.0</v>
      </c>
    </row>
    <row r="346">
      <c r="A346" s="250">
        <v>46245.0</v>
      </c>
      <c r="B346" s="153" t="s">
        <v>134</v>
      </c>
      <c r="C346" s="153" t="s">
        <v>5</v>
      </c>
      <c r="D346" s="153" t="s">
        <v>434</v>
      </c>
      <c r="E346" s="153" t="s">
        <v>436</v>
      </c>
      <c r="F346" s="153" t="s">
        <v>429</v>
      </c>
      <c r="G346" s="153">
        <v>8810.0</v>
      </c>
      <c r="H346" s="153">
        <v>1819.0</v>
      </c>
      <c r="I346" s="153">
        <v>20.65</v>
      </c>
      <c r="J346" s="153">
        <v>2225.0</v>
      </c>
      <c r="K346" s="153">
        <v>0.2526</v>
      </c>
      <c r="L346" s="153">
        <v>1.2232</v>
      </c>
      <c r="M346" s="153">
        <v>2225.0</v>
      </c>
    </row>
    <row r="347">
      <c r="A347" s="250">
        <v>46245.0</v>
      </c>
      <c r="B347" s="153" t="s">
        <v>134</v>
      </c>
      <c r="C347" s="153" t="s">
        <v>5</v>
      </c>
      <c r="D347" s="153" t="s">
        <v>434</v>
      </c>
      <c r="E347" s="153" t="s">
        <v>437</v>
      </c>
      <c r="F347" s="153" t="s">
        <v>429</v>
      </c>
      <c r="G347" s="153">
        <v>8810.0</v>
      </c>
      <c r="H347" s="153">
        <v>76.0</v>
      </c>
      <c r="I347" s="153">
        <v>0.86</v>
      </c>
      <c r="J347" s="153">
        <v>86.0</v>
      </c>
      <c r="K347" s="153">
        <v>0.0098</v>
      </c>
      <c r="L347" s="153">
        <v>1.1316</v>
      </c>
      <c r="M347" s="153">
        <v>86.0</v>
      </c>
    </row>
    <row r="348">
      <c r="A348" s="250">
        <v>46245.0</v>
      </c>
      <c r="B348" s="153" t="s">
        <v>134</v>
      </c>
      <c r="C348" s="153" t="s">
        <v>5</v>
      </c>
      <c r="D348" s="153" t="s">
        <v>438</v>
      </c>
      <c r="E348" s="153" t="s">
        <v>439</v>
      </c>
      <c r="F348" s="153" t="s">
        <v>440</v>
      </c>
      <c r="G348" s="153">
        <v>8810.0</v>
      </c>
      <c r="H348" s="153">
        <v>1826.0</v>
      </c>
      <c r="I348" s="153">
        <v>20.73</v>
      </c>
      <c r="J348" s="153">
        <v>19650.0</v>
      </c>
      <c r="K348" s="153">
        <v>2.2304</v>
      </c>
      <c r="L348" s="153">
        <v>10.7612</v>
      </c>
      <c r="M348" s="153">
        <v>19650.0</v>
      </c>
    </row>
    <row r="349">
      <c r="A349" s="250">
        <v>46245.0</v>
      </c>
      <c r="B349" s="153" t="s">
        <v>134</v>
      </c>
      <c r="C349" s="153" t="s">
        <v>5</v>
      </c>
      <c r="D349" s="153" t="s">
        <v>441</v>
      </c>
      <c r="E349" s="153" t="s">
        <v>442</v>
      </c>
      <c r="F349" s="153" t="s">
        <v>440</v>
      </c>
      <c r="G349" s="153">
        <v>8810.0</v>
      </c>
      <c r="H349" s="153">
        <v>696.0</v>
      </c>
      <c r="I349" s="153">
        <v>7.9</v>
      </c>
      <c r="J349" s="153">
        <v>8140.0</v>
      </c>
      <c r="K349" s="153">
        <v>0.924</v>
      </c>
      <c r="L349" s="153">
        <v>11.6954</v>
      </c>
      <c r="M349" s="153">
        <v>8140.0</v>
      </c>
    </row>
    <row r="350">
      <c r="A350" s="250">
        <v>46245.0</v>
      </c>
      <c r="B350" s="153" t="s">
        <v>134</v>
      </c>
      <c r="C350" s="153" t="s">
        <v>5</v>
      </c>
      <c r="D350" s="153" t="s">
        <v>444</v>
      </c>
      <c r="E350" s="153" t="s">
        <v>445</v>
      </c>
      <c r="F350" s="153" t="s">
        <v>440</v>
      </c>
      <c r="G350" s="153">
        <v>8810.0</v>
      </c>
      <c r="H350" s="153">
        <v>2632.0</v>
      </c>
      <c r="I350" s="153">
        <v>29.88</v>
      </c>
      <c r="J350" s="153">
        <v>57710.0</v>
      </c>
      <c r="K350" s="153">
        <v>6.5505</v>
      </c>
      <c r="L350" s="153">
        <v>21.9263</v>
      </c>
      <c r="M350" s="153">
        <v>57710.0</v>
      </c>
    </row>
    <row r="351">
      <c r="A351" s="250">
        <v>46245.0</v>
      </c>
      <c r="B351" s="153" t="s">
        <v>135</v>
      </c>
      <c r="C351" s="153" t="s">
        <v>5</v>
      </c>
      <c r="D351" s="153" t="s">
        <v>424</v>
      </c>
      <c r="E351" s="153" t="s">
        <v>425</v>
      </c>
      <c r="F351" s="153" t="s">
        <v>426</v>
      </c>
      <c r="G351" s="153">
        <v>7060.0</v>
      </c>
      <c r="H351" s="153">
        <v>2624.0</v>
      </c>
      <c r="I351" s="153">
        <v>37.17</v>
      </c>
      <c r="J351" s="153">
        <v>52334.33</v>
      </c>
      <c r="K351" s="153">
        <v>7.4128</v>
      </c>
      <c r="L351" s="153">
        <v>19.9445</v>
      </c>
      <c r="M351" s="153">
        <v>66920.0</v>
      </c>
    </row>
    <row r="352">
      <c r="A352" s="250">
        <v>46245.0</v>
      </c>
      <c r="B352" s="153" t="s">
        <v>135</v>
      </c>
      <c r="C352" s="153" t="s">
        <v>5</v>
      </c>
      <c r="D352" s="153" t="s">
        <v>427</v>
      </c>
      <c r="E352" s="153" t="s">
        <v>428</v>
      </c>
      <c r="F352" s="153" t="s">
        <v>429</v>
      </c>
      <c r="G352" s="153">
        <v>7060.0</v>
      </c>
      <c r="H352" s="153">
        <v>3472.0</v>
      </c>
      <c r="I352" s="153">
        <v>49.18</v>
      </c>
      <c r="J352" s="153">
        <v>310623.19</v>
      </c>
      <c r="K352" s="153">
        <v>43.9976</v>
      </c>
      <c r="L352" s="153">
        <v>89.4652</v>
      </c>
      <c r="M352" s="153">
        <v>356815.0</v>
      </c>
    </row>
    <row r="353">
      <c r="A353" s="250">
        <v>46245.0</v>
      </c>
      <c r="B353" s="153" t="s">
        <v>135</v>
      </c>
      <c r="C353" s="153" t="s">
        <v>5</v>
      </c>
      <c r="D353" s="153" t="s">
        <v>430</v>
      </c>
      <c r="E353" s="153" t="s">
        <v>431</v>
      </c>
      <c r="F353" s="153" t="s">
        <v>429</v>
      </c>
      <c r="G353" s="153">
        <v>7060.0</v>
      </c>
      <c r="H353" s="153">
        <v>1475.0</v>
      </c>
      <c r="I353" s="153">
        <v>20.89</v>
      </c>
      <c r="J353" s="153">
        <v>1576.0</v>
      </c>
      <c r="K353" s="153">
        <v>0.2232</v>
      </c>
      <c r="L353" s="153">
        <v>1.0685</v>
      </c>
      <c r="M353" s="153">
        <v>1576.0</v>
      </c>
    </row>
    <row r="354">
      <c r="A354" s="250">
        <v>46245.0</v>
      </c>
      <c r="B354" s="153" t="s">
        <v>135</v>
      </c>
      <c r="C354" s="153" t="s">
        <v>5</v>
      </c>
      <c r="D354" s="153" t="s">
        <v>430</v>
      </c>
      <c r="E354" s="153" t="s">
        <v>432</v>
      </c>
      <c r="F354" s="153" t="s">
        <v>429</v>
      </c>
      <c r="G354" s="153">
        <v>7060.0</v>
      </c>
      <c r="H354" s="153">
        <v>2316.0</v>
      </c>
      <c r="I354" s="153">
        <v>32.8</v>
      </c>
      <c r="J354" s="153">
        <v>4282.0</v>
      </c>
      <c r="K354" s="153">
        <v>0.6065</v>
      </c>
      <c r="L354" s="153">
        <v>1.8489</v>
      </c>
      <c r="M354" s="153">
        <v>4282.0</v>
      </c>
    </row>
    <row r="355">
      <c r="A355" s="250">
        <v>46245.0</v>
      </c>
      <c r="B355" s="153" t="s">
        <v>135</v>
      </c>
      <c r="C355" s="153" t="s">
        <v>5</v>
      </c>
      <c r="D355" s="153" t="s">
        <v>430</v>
      </c>
      <c r="E355" s="153" t="s">
        <v>433</v>
      </c>
      <c r="F355" s="153" t="s">
        <v>429</v>
      </c>
      <c r="G355" s="153">
        <v>7060.0</v>
      </c>
      <c r="H355" s="153">
        <v>1757.0</v>
      </c>
      <c r="I355" s="153">
        <v>24.89</v>
      </c>
      <c r="J355" s="153">
        <v>2009.0</v>
      </c>
      <c r="K355" s="153">
        <v>0.2846</v>
      </c>
      <c r="L355" s="153">
        <v>1.1434</v>
      </c>
      <c r="M355" s="153">
        <v>2009.0</v>
      </c>
    </row>
    <row r="356">
      <c r="A356" s="250">
        <v>46245.0</v>
      </c>
      <c r="B356" s="153" t="s">
        <v>135</v>
      </c>
      <c r="C356" s="153" t="s">
        <v>5</v>
      </c>
      <c r="D356" s="153" t="s">
        <v>434</v>
      </c>
      <c r="E356" s="153" t="s">
        <v>435</v>
      </c>
      <c r="F356" s="153" t="s">
        <v>429</v>
      </c>
      <c r="G356" s="153">
        <v>7060.0</v>
      </c>
      <c r="H356" s="153">
        <v>1486.0</v>
      </c>
      <c r="I356" s="153">
        <v>21.05</v>
      </c>
      <c r="J356" s="153">
        <v>1600.0</v>
      </c>
      <c r="K356" s="153">
        <v>0.2266</v>
      </c>
      <c r="L356" s="153">
        <v>1.0767</v>
      </c>
      <c r="M356" s="153">
        <v>1600.0</v>
      </c>
    </row>
    <row r="357">
      <c r="A357" s="250">
        <v>46245.0</v>
      </c>
      <c r="B357" s="153" t="s">
        <v>135</v>
      </c>
      <c r="C357" s="153" t="s">
        <v>5</v>
      </c>
      <c r="D357" s="153" t="s">
        <v>434</v>
      </c>
      <c r="E357" s="153" t="s">
        <v>436</v>
      </c>
      <c r="F357" s="153" t="s">
        <v>429</v>
      </c>
      <c r="G357" s="153">
        <v>7060.0</v>
      </c>
      <c r="H357" s="153">
        <v>1575.0</v>
      </c>
      <c r="I357" s="153">
        <v>22.31</v>
      </c>
      <c r="J357" s="153">
        <v>1948.0</v>
      </c>
      <c r="K357" s="153">
        <v>0.2759</v>
      </c>
      <c r="L357" s="153">
        <v>1.2368</v>
      </c>
      <c r="M357" s="153">
        <v>1948.0</v>
      </c>
    </row>
    <row r="358">
      <c r="A358" s="250">
        <v>46245.0</v>
      </c>
      <c r="B358" s="153" t="s">
        <v>135</v>
      </c>
      <c r="C358" s="153" t="s">
        <v>5</v>
      </c>
      <c r="D358" s="153" t="s">
        <v>434</v>
      </c>
      <c r="E358" s="153" t="s">
        <v>437</v>
      </c>
      <c r="F358" s="153" t="s">
        <v>429</v>
      </c>
      <c r="G358" s="153">
        <v>7060.0</v>
      </c>
      <c r="H358" s="153">
        <v>673.0</v>
      </c>
      <c r="I358" s="153">
        <v>9.53</v>
      </c>
      <c r="J358" s="153">
        <v>785.0</v>
      </c>
      <c r="K358" s="153">
        <v>0.1112</v>
      </c>
      <c r="L358" s="153">
        <v>1.1664</v>
      </c>
      <c r="M358" s="153">
        <v>785.0</v>
      </c>
    </row>
    <row r="359">
      <c r="A359" s="250">
        <v>46245.0</v>
      </c>
      <c r="B359" s="153" t="s">
        <v>135</v>
      </c>
      <c r="C359" s="153" t="s">
        <v>5</v>
      </c>
      <c r="D359" s="153" t="s">
        <v>438</v>
      </c>
      <c r="E359" s="153" t="s">
        <v>439</v>
      </c>
      <c r="F359" s="153" t="s">
        <v>440</v>
      </c>
      <c r="G359" s="153">
        <v>7060.0</v>
      </c>
      <c r="H359" s="153">
        <v>1648.0</v>
      </c>
      <c r="I359" s="153">
        <v>23.34</v>
      </c>
      <c r="J359" s="153">
        <v>19040.0</v>
      </c>
      <c r="K359" s="153">
        <v>2.6969</v>
      </c>
      <c r="L359" s="153">
        <v>11.5534</v>
      </c>
      <c r="M359" s="153">
        <v>19040.0</v>
      </c>
    </row>
    <row r="360">
      <c r="A360" s="250">
        <v>46245.0</v>
      </c>
      <c r="B360" s="153" t="s">
        <v>135</v>
      </c>
      <c r="C360" s="153" t="s">
        <v>5</v>
      </c>
      <c r="D360" s="153" t="s">
        <v>441</v>
      </c>
      <c r="E360" s="153" t="s">
        <v>442</v>
      </c>
      <c r="F360" s="153" t="s">
        <v>440</v>
      </c>
      <c r="G360" s="153">
        <v>7060.0</v>
      </c>
      <c r="H360" s="153">
        <v>1421.0</v>
      </c>
      <c r="I360" s="153">
        <v>20.13</v>
      </c>
      <c r="J360" s="153">
        <v>17700.0</v>
      </c>
      <c r="K360" s="153">
        <v>2.5071</v>
      </c>
      <c r="L360" s="153">
        <v>12.456</v>
      </c>
      <c r="M360" s="153">
        <v>17700.0</v>
      </c>
    </row>
    <row r="361">
      <c r="A361" s="250">
        <v>46245.0</v>
      </c>
      <c r="B361" s="153" t="s">
        <v>135</v>
      </c>
      <c r="C361" s="153" t="s">
        <v>5</v>
      </c>
      <c r="D361" s="153" t="s">
        <v>441</v>
      </c>
      <c r="E361" s="153" t="s">
        <v>443</v>
      </c>
      <c r="F361" s="153" t="s">
        <v>440</v>
      </c>
      <c r="G361" s="153">
        <v>7060.0</v>
      </c>
      <c r="H361" s="153">
        <v>16.0</v>
      </c>
      <c r="I361" s="153">
        <v>0.23</v>
      </c>
      <c r="J361" s="153">
        <v>200.0</v>
      </c>
      <c r="K361" s="153">
        <v>0.0283</v>
      </c>
      <c r="L361" s="153">
        <v>12.5</v>
      </c>
      <c r="M361" s="153">
        <v>200.0</v>
      </c>
    </row>
    <row r="362">
      <c r="A362" s="250">
        <v>46245.0</v>
      </c>
      <c r="B362" s="153" t="s">
        <v>135</v>
      </c>
      <c r="C362" s="153" t="s">
        <v>5</v>
      </c>
      <c r="D362" s="153" t="s">
        <v>444</v>
      </c>
      <c r="E362" s="153" t="s">
        <v>445</v>
      </c>
      <c r="F362" s="153" t="s">
        <v>440</v>
      </c>
      <c r="G362" s="153">
        <v>7060.0</v>
      </c>
      <c r="H362" s="153">
        <v>2722.0</v>
      </c>
      <c r="I362" s="153">
        <v>38.56</v>
      </c>
      <c r="J362" s="153">
        <v>73330.0</v>
      </c>
      <c r="K362" s="153">
        <v>10.3867</v>
      </c>
      <c r="L362" s="153">
        <v>26.9398</v>
      </c>
      <c r="M362" s="153">
        <v>73330.0</v>
      </c>
    </row>
    <row r="363">
      <c r="A363" s="250">
        <v>46245.0</v>
      </c>
      <c r="B363" s="153" t="s">
        <v>136</v>
      </c>
      <c r="C363" s="153" t="s">
        <v>5</v>
      </c>
      <c r="D363" s="153" t="s">
        <v>424</v>
      </c>
      <c r="E363" s="153" t="s">
        <v>425</v>
      </c>
      <c r="F363" s="153" t="s">
        <v>426</v>
      </c>
      <c r="G363" s="153">
        <v>3932.0</v>
      </c>
      <c r="H363" s="153">
        <v>1808.0</v>
      </c>
      <c r="I363" s="153">
        <v>45.98</v>
      </c>
      <c r="J363" s="153">
        <v>45587.98</v>
      </c>
      <c r="K363" s="153">
        <v>11.5941</v>
      </c>
      <c r="L363" s="153">
        <v>25.2146</v>
      </c>
      <c r="M363" s="153">
        <v>56510.0</v>
      </c>
    </row>
    <row r="364">
      <c r="A364" s="250">
        <v>46245.0</v>
      </c>
      <c r="B364" s="153" t="s">
        <v>136</v>
      </c>
      <c r="C364" s="153" t="s">
        <v>5</v>
      </c>
      <c r="D364" s="153" t="s">
        <v>427</v>
      </c>
      <c r="E364" s="153" t="s">
        <v>428</v>
      </c>
      <c r="F364" s="153" t="s">
        <v>429</v>
      </c>
      <c r="G364" s="153">
        <v>3932.0</v>
      </c>
      <c r="H364" s="153">
        <v>2447.0</v>
      </c>
      <c r="I364" s="153">
        <v>62.23</v>
      </c>
      <c r="J364" s="153">
        <v>324572.8</v>
      </c>
      <c r="K364" s="153">
        <v>82.5465</v>
      </c>
      <c r="L364" s="153">
        <v>132.6411</v>
      </c>
      <c r="M364" s="153">
        <v>367070.0</v>
      </c>
    </row>
    <row r="365">
      <c r="A365" s="250">
        <v>46245.0</v>
      </c>
      <c r="B365" s="153" t="s">
        <v>136</v>
      </c>
      <c r="C365" s="153" t="s">
        <v>5</v>
      </c>
      <c r="D365" s="153" t="s">
        <v>430</v>
      </c>
      <c r="E365" s="153" t="s">
        <v>431</v>
      </c>
      <c r="F365" s="153" t="s">
        <v>429</v>
      </c>
      <c r="G365" s="153">
        <v>3932.0</v>
      </c>
      <c r="H365" s="153">
        <v>1045.0</v>
      </c>
      <c r="I365" s="153">
        <v>26.58</v>
      </c>
      <c r="J365" s="153">
        <v>1134.0</v>
      </c>
      <c r="K365" s="153">
        <v>0.2884</v>
      </c>
      <c r="L365" s="153">
        <v>1.0852</v>
      </c>
      <c r="M365" s="153">
        <v>1134.0</v>
      </c>
    </row>
    <row r="366">
      <c r="A366" s="250">
        <v>46245.0</v>
      </c>
      <c r="B366" s="153" t="s">
        <v>136</v>
      </c>
      <c r="C366" s="153" t="s">
        <v>5</v>
      </c>
      <c r="D366" s="153" t="s">
        <v>430</v>
      </c>
      <c r="E366" s="153" t="s">
        <v>432</v>
      </c>
      <c r="F366" s="153" t="s">
        <v>429</v>
      </c>
      <c r="G366" s="153">
        <v>3932.0</v>
      </c>
      <c r="H366" s="153">
        <v>1767.0</v>
      </c>
      <c r="I366" s="153">
        <v>44.94</v>
      </c>
      <c r="J366" s="153">
        <v>3213.0</v>
      </c>
      <c r="K366" s="153">
        <v>0.8171</v>
      </c>
      <c r="L366" s="153">
        <v>1.8183</v>
      </c>
      <c r="M366" s="153">
        <v>3213.0</v>
      </c>
    </row>
    <row r="367">
      <c r="A367" s="250">
        <v>46245.0</v>
      </c>
      <c r="B367" s="153" t="s">
        <v>136</v>
      </c>
      <c r="C367" s="153" t="s">
        <v>5</v>
      </c>
      <c r="D367" s="153" t="s">
        <v>430</v>
      </c>
      <c r="E367" s="153" t="s">
        <v>433</v>
      </c>
      <c r="F367" s="153" t="s">
        <v>429</v>
      </c>
      <c r="G367" s="153">
        <v>3932.0</v>
      </c>
      <c r="H367" s="153">
        <v>1447.0</v>
      </c>
      <c r="I367" s="153">
        <v>36.8</v>
      </c>
      <c r="J367" s="153">
        <v>1710.0</v>
      </c>
      <c r="K367" s="153">
        <v>0.4349</v>
      </c>
      <c r="L367" s="153">
        <v>1.1818</v>
      </c>
      <c r="M367" s="153">
        <v>1710.0</v>
      </c>
    </row>
    <row r="368">
      <c r="A368" s="250">
        <v>46245.0</v>
      </c>
      <c r="B368" s="153" t="s">
        <v>136</v>
      </c>
      <c r="C368" s="153" t="s">
        <v>5</v>
      </c>
      <c r="D368" s="153" t="s">
        <v>434</v>
      </c>
      <c r="E368" s="153" t="s">
        <v>435</v>
      </c>
      <c r="F368" s="153" t="s">
        <v>429</v>
      </c>
      <c r="G368" s="153">
        <v>3932.0</v>
      </c>
      <c r="H368" s="153">
        <v>1255.0</v>
      </c>
      <c r="I368" s="153">
        <v>31.92</v>
      </c>
      <c r="J368" s="153">
        <v>1690.0</v>
      </c>
      <c r="K368" s="153">
        <v>0.4298</v>
      </c>
      <c r="L368" s="153">
        <v>1.3466</v>
      </c>
      <c r="M368" s="153">
        <v>1690.0</v>
      </c>
    </row>
    <row r="369">
      <c r="A369" s="250">
        <v>46245.0</v>
      </c>
      <c r="B369" s="153" t="s">
        <v>136</v>
      </c>
      <c r="C369" s="153" t="s">
        <v>5</v>
      </c>
      <c r="D369" s="153" t="s">
        <v>434</v>
      </c>
      <c r="E369" s="153" t="s">
        <v>436</v>
      </c>
      <c r="F369" s="153" t="s">
        <v>429</v>
      </c>
      <c r="G369" s="153">
        <v>3932.0</v>
      </c>
      <c r="H369" s="153">
        <v>1000.0</v>
      </c>
      <c r="I369" s="153">
        <v>25.43</v>
      </c>
      <c r="J369" s="153">
        <v>1268.0</v>
      </c>
      <c r="K369" s="153">
        <v>0.3225</v>
      </c>
      <c r="L369" s="153">
        <v>1.268</v>
      </c>
      <c r="M369" s="153">
        <v>1268.0</v>
      </c>
    </row>
    <row r="370">
      <c r="A370" s="250">
        <v>46245.0</v>
      </c>
      <c r="B370" s="153" t="s">
        <v>136</v>
      </c>
      <c r="C370" s="153" t="s">
        <v>5</v>
      </c>
      <c r="D370" s="153" t="s">
        <v>434</v>
      </c>
      <c r="E370" s="153" t="s">
        <v>437</v>
      </c>
      <c r="F370" s="153" t="s">
        <v>429</v>
      </c>
      <c r="G370" s="153">
        <v>3932.0</v>
      </c>
      <c r="H370" s="153">
        <v>1000.0</v>
      </c>
      <c r="I370" s="153">
        <v>25.43</v>
      </c>
      <c r="J370" s="153">
        <v>1226.0</v>
      </c>
      <c r="K370" s="153">
        <v>0.3118</v>
      </c>
      <c r="L370" s="153">
        <v>1.226</v>
      </c>
      <c r="M370" s="153">
        <v>1226.0</v>
      </c>
    </row>
    <row r="371">
      <c r="A371" s="250">
        <v>46245.0</v>
      </c>
      <c r="B371" s="153" t="s">
        <v>136</v>
      </c>
      <c r="C371" s="153" t="s">
        <v>5</v>
      </c>
      <c r="D371" s="153" t="s">
        <v>438</v>
      </c>
      <c r="E371" s="153" t="s">
        <v>439</v>
      </c>
      <c r="F371" s="153" t="s">
        <v>440</v>
      </c>
      <c r="G371" s="153">
        <v>3932.0</v>
      </c>
      <c r="H371" s="153">
        <v>1331.0</v>
      </c>
      <c r="I371" s="153">
        <v>33.85</v>
      </c>
      <c r="J371" s="153">
        <v>21170.0</v>
      </c>
      <c r="K371" s="153">
        <v>5.384</v>
      </c>
      <c r="L371" s="153">
        <v>15.9053</v>
      </c>
      <c r="M371" s="153">
        <v>21170.0</v>
      </c>
    </row>
    <row r="372">
      <c r="A372" s="250">
        <v>46245.0</v>
      </c>
      <c r="B372" s="153" t="s">
        <v>136</v>
      </c>
      <c r="C372" s="153" t="s">
        <v>5</v>
      </c>
      <c r="D372" s="153" t="s">
        <v>441</v>
      </c>
      <c r="E372" s="153" t="s">
        <v>442</v>
      </c>
      <c r="F372" s="153" t="s">
        <v>440</v>
      </c>
      <c r="G372" s="153">
        <v>3932.0</v>
      </c>
      <c r="H372" s="153">
        <v>1041.0</v>
      </c>
      <c r="I372" s="153">
        <v>26.48</v>
      </c>
      <c r="J372" s="153">
        <v>13230.0</v>
      </c>
      <c r="K372" s="153">
        <v>3.3647</v>
      </c>
      <c r="L372" s="153">
        <v>12.7089</v>
      </c>
      <c r="M372" s="153">
        <v>13230.0</v>
      </c>
    </row>
    <row r="373">
      <c r="A373" s="250">
        <v>46245.0</v>
      </c>
      <c r="B373" s="153" t="s">
        <v>136</v>
      </c>
      <c r="C373" s="153" t="s">
        <v>5</v>
      </c>
      <c r="D373" s="153" t="s">
        <v>441</v>
      </c>
      <c r="E373" s="153" t="s">
        <v>443</v>
      </c>
      <c r="F373" s="153" t="s">
        <v>440</v>
      </c>
      <c r="G373" s="153">
        <v>3932.0</v>
      </c>
      <c r="H373" s="153">
        <v>129.0</v>
      </c>
      <c r="I373" s="153">
        <v>3.28</v>
      </c>
      <c r="J373" s="153">
        <v>1560.0</v>
      </c>
      <c r="K373" s="153">
        <v>0.3967</v>
      </c>
      <c r="L373" s="153">
        <v>12.093</v>
      </c>
      <c r="M373" s="153">
        <v>1560.0</v>
      </c>
    </row>
    <row r="374">
      <c r="A374" s="250">
        <v>46245.0</v>
      </c>
      <c r="B374" s="153" t="s">
        <v>136</v>
      </c>
      <c r="C374" s="153" t="s">
        <v>5</v>
      </c>
      <c r="D374" s="153" t="s">
        <v>444</v>
      </c>
      <c r="E374" s="153" t="s">
        <v>445</v>
      </c>
      <c r="F374" s="153" t="s">
        <v>440</v>
      </c>
      <c r="G374" s="153">
        <v>3932.0</v>
      </c>
      <c r="H374" s="153">
        <v>1588.0</v>
      </c>
      <c r="I374" s="153">
        <v>40.39</v>
      </c>
      <c r="J374" s="153">
        <v>50310.0</v>
      </c>
      <c r="K374" s="153">
        <v>12.795</v>
      </c>
      <c r="L374" s="153">
        <v>31.6814</v>
      </c>
      <c r="M374" s="153">
        <v>50310.0</v>
      </c>
    </row>
    <row r="375">
      <c r="A375" s="250">
        <v>46245.0</v>
      </c>
      <c r="B375" s="153" t="s">
        <v>137</v>
      </c>
      <c r="C375" s="153" t="s">
        <v>5</v>
      </c>
      <c r="D375" s="153" t="s">
        <v>424</v>
      </c>
      <c r="E375" s="153" t="s">
        <v>425</v>
      </c>
      <c r="F375" s="153" t="s">
        <v>426</v>
      </c>
      <c r="G375" s="153">
        <v>577.0</v>
      </c>
      <c r="H375" s="153">
        <v>374.0</v>
      </c>
      <c r="I375" s="153">
        <v>64.82</v>
      </c>
      <c r="J375" s="153">
        <v>14871.39</v>
      </c>
      <c r="K375" s="153">
        <v>25.7736</v>
      </c>
      <c r="L375" s="153">
        <v>39.7631</v>
      </c>
      <c r="M375" s="153">
        <v>22410.0</v>
      </c>
    </row>
    <row r="376">
      <c r="A376" s="250">
        <v>46245.0</v>
      </c>
      <c r="B376" s="153" t="s">
        <v>137</v>
      </c>
      <c r="C376" s="153" t="s">
        <v>5</v>
      </c>
      <c r="D376" s="153" t="s">
        <v>427</v>
      </c>
      <c r="E376" s="153" t="s">
        <v>428</v>
      </c>
      <c r="F376" s="153" t="s">
        <v>429</v>
      </c>
      <c r="G376" s="153">
        <v>577.0</v>
      </c>
      <c r="H376" s="153">
        <v>423.0</v>
      </c>
      <c r="I376" s="153">
        <v>73.31</v>
      </c>
      <c r="J376" s="153">
        <v>121790.71</v>
      </c>
      <c r="K376" s="153">
        <v>211.0758</v>
      </c>
      <c r="L376" s="153">
        <v>287.9213</v>
      </c>
      <c r="M376" s="153">
        <v>136120.0</v>
      </c>
    </row>
    <row r="377">
      <c r="A377" s="250">
        <v>46245.0</v>
      </c>
      <c r="B377" s="153" t="s">
        <v>137</v>
      </c>
      <c r="C377" s="153" t="s">
        <v>5</v>
      </c>
      <c r="D377" s="153" t="s">
        <v>430</v>
      </c>
      <c r="E377" s="153" t="s">
        <v>431</v>
      </c>
      <c r="F377" s="153" t="s">
        <v>429</v>
      </c>
      <c r="G377" s="153">
        <v>577.0</v>
      </c>
      <c r="H377" s="153">
        <v>247.0</v>
      </c>
      <c r="I377" s="153">
        <v>42.81</v>
      </c>
      <c r="J377" s="153">
        <v>283.0</v>
      </c>
      <c r="K377" s="153">
        <v>0.4905</v>
      </c>
      <c r="L377" s="153">
        <v>1.1457</v>
      </c>
      <c r="M377" s="153">
        <v>283.0</v>
      </c>
    </row>
    <row r="378">
      <c r="A378" s="250">
        <v>46245.0</v>
      </c>
      <c r="B378" s="153" t="s">
        <v>137</v>
      </c>
      <c r="C378" s="153" t="s">
        <v>5</v>
      </c>
      <c r="D378" s="153" t="s">
        <v>430</v>
      </c>
      <c r="E378" s="153" t="s">
        <v>432</v>
      </c>
      <c r="F378" s="153" t="s">
        <v>429</v>
      </c>
      <c r="G378" s="153">
        <v>577.0</v>
      </c>
      <c r="H378" s="153">
        <v>259.0</v>
      </c>
      <c r="I378" s="153">
        <v>44.89</v>
      </c>
      <c r="J378" s="153">
        <v>560.0</v>
      </c>
      <c r="K378" s="153">
        <v>0.9705</v>
      </c>
      <c r="L378" s="153">
        <v>2.1622</v>
      </c>
      <c r="M378" s="153">
        <v>560.0</v>
      </c>
    </row>
    <row r="379">
      <c r="A379" s="250">
        <v>46245.0</v>
      </c>
      <c r="B379" s="153" t="s">
        <v>137</v>
      </c>
      <c r="C379" s="153" t="s">
        <v>5</v>
      </c>
      <c r="D379" s="153" t="s">
        <v>430</v>
      </c>
      <c r="E379" s="153" t="s">
        <v>433</v>
      </c>
      <c r="F379" s="153" t="s">
        <v>429</v>
      </c>
      <c r="G379" s="153">
        <v>577.0</v>
      </c>
      <c r="H379" s="153">
        <v>366.0</v>
      </c>
      <c r="I379" s="153">
        <v>63.43</v>
      </c>
      <c r="J379" s="153">
        <v>483.0</v>
      </c>
      <c r="K379" s="153">
        <v>0.8371</v>
      </c>
      <c r="L379" s="153">
        <v>1.3197</v>
      </c>
      <c r="M379" s="153">
        <v>483.0</v>
      </c>
    </row>
    <row r="380">
      <c r="A380" s="250">
        <v>46245.0</v>
      </c>
      <c r="B380" s="153" t="s">
        <v>137</v>
      </c>
      <c r="C380" s="153" t="s">
        <v>5</v>
      </c>
      <c r="D380" s="153" t="s">
        <v>434</v>
      </c>
      <c r="E380" s="153" t="s">
        <v>435</v>
      </c>
      <c r="F380" s="153" t="s">
        <v>429</v>
      </c>
      <c r="G380" s="153">
        <v>577.0</v>
      </c>
      <c r="H380" s="153">
        <v>324.0</v>
      </c>
      <c r="I380" s="153">
        <v>56.15</v>
      </c>
      <c r="J380" s="153">
        <v>608.0</v>
      </c>
      <c r="K380" s="153">
        <v>1.0537</v>
      </c>
      <c r="L380" s="153">
        <v>1.8765</v>
      </c>
      <c r="M380" s="153">
        <v>608.0</v>
      </c>
    </row>
    <row r="381">
      <c r="A381" s="250">
        <v>46245.0</v>
      </c>
      <c r="B381" s="153" t="s">
        <v>137</v>
      </c>
      <c r="C381" s="153" t="s">
        <v>5</v>
      </c>
      <c r="D381" s="153" t="s">
        <v>434</v>
      </c>
      <c r="E381" s="153" t="s">
        <v>436</v>
      </c>
      <c r="F381" s="153" t="s">
        <v>429</v>
      </c>
      <c r="G381" s="153">
        <v>577.0</v>
      </c>
      <c r="H381" s="153">
        <v>245.0</v>
      </c>
      <c r="I381" s="153">
        <v>42.46</v>
      </c>
      <c r="J381" s="153">
        <v>405.0</v>
      </c>
      <c r="K381" s="153">
        <v>0.7019</v>
      </c>
      <c r="L381" s="153">
        <v>1.6531</v>
      </c>
      <c r="M381" s="153">
        <v>405.0</v>
      </c>
    </row>
    <row r="382">
      <c r="A382" s="250">
        <v>46245.0</v>
      </c>
      <c r="B382" s="153" t="s">
        <v>137</v>
      </c>
      <c r="C382" s="153" t="s">
        <v>5</v>
      </c>
      <c r="D382" s="153" t="s">
        <v>434</v>
      </c>
      <c r="E382" s="153" t="s">
        <v>437</v>
      </c>
      <c r="F382" s="153" t="s">
        <v>429</v>
      </c>
      <c r="G382" s="153">
        <v>577.0</v>
      </c>
      <c r="H382" s="153">
        <v>215.0</v>
      </c>
      <c r="I382" s="153">
        <v>37.26</v>
      </c>
      <c r="J382" s="153">
        <v>375.0</v>
      </c>
      <c r="K382" s="153">
        <v>0.6499</v>
      </c>
      <c r="L382" s="153">
        <v>1.7442</v>
      </c>
      <c r="M382" s="153">
        <v>375.0</v>
      </c>
    </row>
    <row r="383">
      <c r="A383" s="250">
        <v>46245.0</v>
      </c>
      <c r="B383" s="153" t="s">
        <v>137</v>
      </c>
      <c r="C383" s="153" t="s">
        <v>5</v>
      </c>
      <c r="D383" s="153" t="s">
        <v>438</v>
      </c>
      <c r="E383" s="153" t="s">
        <v>439</v>
      </c>
      <c r="F383" s="153" t="s">
        <v>440</v>
      </c>
      <c r="G383" s="153">
        <v>577.0</v>
      </c>
      <c r="H383" s="153">
        <v>317.0</v>
      </c>
      <c r="I383" s="153">
        <v>54.94</v>
      </c>
      <c r="J383" s="153">
        <v>6780.0</v>
      </c>
      <c r="K383" s="153">
        <v>11.7504</v>
      </c>
      <c r="L383" s="153">
        <v>21.388</v>
      </c>
      <c r="M383" s="153">
        <v>6780.0</v>
      </c>
    </row>
    <row r="384">
      <c r="A384" s="250">
        <v>46245.0</v>
      </c>
      <c r="B384" s="153" t="s">
        <v>137</v>
      </c>
      <c r="C384" s="153" t="s">
        <v>5</v>
      </c>
      <c r="D384" s="153" t="s">
        <v>441</v>
      </c>
      <c r="E384" s="153" t="s">
        <v>442</v>
      </c>
      <c r="F384" s="153" t="s">
        <v>440</v>
      </c>
      <c r="G384" s="153">
        <v>577.0</v>
      </c>
      <c r="H384" s="153">
        <v>180.0</v>
      </c>
      <c r="I384" s="153">
        <v>31.2</v>
      </c>
      <c r="J384" s="153">
        <v>2380.0</v>
      </c>
      <c r="K384" s="153">
        <v>4.1248</v>
      </c>
      <c r="L384" s="153">
        <v>13.2222</v>
      </c>
      <c r="M384" s="153">
        <v>2380.0</v>
      </c>
    </row>
    <row r="385">
      <c r="A385" s="250">
        <v>46245.0</v>
      </c>
      <c r="B385" s="153" t="s">
        <v>137</v>
      </c>
      <c r="C385" s="153" t="s">
        <v>5</v>
      </c>
      <c r="D385" s="153" t="s">
        <v>441</v>
      </c>
      <c r="E385" s="153" t="s">
        <v>443</v>
      </c>
      <c r="F385" s="153" t="s">
        <v>440</v>
      </c>
      <c r="G385" s="153">
        <v>577.0</v>
      </c>
      <c r="H385" s="153">
        <v>138.0</v>
      </c>
      <c r="I385" s="153">
        <v>23.92</v>
      </c>
      <c r="J385" s="153">
        <v>1680.0</v>
      </c>
      <c r="K385" s="153">
        <v>2.9116</v>
      </c>
      <c r="L385" s="153">
        <v>12.1739</v>
      </c>
      <c r="M385" s="153">
        <v>1680.0</v>
      </c>
    </row>
    <row r="386">
      <c r="A386" s="250">
        <v>46245.0</v>
      </c>
      <c r="B386" s="153" t="s">
        <v>137</v>
      </c>
      <c r="C386" s="153" t="s">
        <v>5</v>
      </c>
      <c r="D386" s="153" t="s">
        <v>444</v>
      </c>
      <c r="E386" s="153" t="s">
        <v>445</v>
      </c>
      <c r="F386" s="153" t="s">
        <v>440</v>
      </c>
      <c r="G386" s="153">
        <v>577.0</v>
      </c>
      <c r="H386" s="153">
        <v>255.0</v>
      </c>
      <c r="I386" s="153">
        <v>44.19</v>
      </c>
      <c r="J386" s="153">
        <v>13520.0</v>
      </c>
      <c r="K386" s="153">
        <v>23.4315</v>
      </c>
      <c r="L386" s="153">
        <v>53.0196</v>
      </c>
      <c r="M386" s="153">
        <v>13520.0</v>
      </c>
    </row>
    <row r="387">
      <c r="A387" s="250">
        <v>46246.0</v>
      </c>
      <c r="B387" s="153" t="s">
        <v>423</v>
      </c>
      <c r="C387" s="153" t="s">
        <v>5</v>
      </c>
      <c r="D387" s="153" t="s">
        <v>424</v>
      </c>
      <c r="E387" s="153" t="s">
        <v>425</v>
      </c>
      <c r="F387" s="153" t="s">
        <v>426</v>
      </c>
      <c r="G387" s="153">
        <v>7742.0</v>
      </c>
      <c r="H387" s="153">
        <v>283.0</v>
      </c>
      <c r="I387" s="153">
        <v>3.66</v>
      </c>
      <c r="J387" s="153">
        <v>13014.65</v>
      </c>
      <c r="K387" s="153">
        <v>1.681</v>
      </c>
      <c r="L387" s="153">
        <v>45.9882</v>
      </c>
      <c r="M387" s="153">
        <v>157770.0</v>
      </c>
    </row>
    <row r="388">
      <c r="A388" s="250">
        <v>46246.0</v>
      </c>
      <c r="B388" s="153" t="s">
        <v>423</v>
      </c>
      <c r="C388" s="153" t="s">
        <v>5</v>
      </c>
      <c r="D388" s="153" t="s">
        <v>427</v>
      </c>
      <c r="E388" s="153" t="s">
        <v>428</v>
      </c>
      <c r="F388" s="153" t="s">
        <v>429</v>
      </c>
      <c r="G388" s="153">
        <v>7742.0</v>
      </c>
      <c r="H388" s="153">
        <v>412.0</v>
      </c>
      <c r="I388" s="153">
        <v>5.32</v>
      </c>
      <c r="J388" s="153">
        <v>80669.27</v>
      </c>
      <c r="K388" s="153">
        <v>10.4197</v>
      </c>
      <c r="L388" s="153">
        <v>195.7992</v>
      </c>
      <c r="M388" s="153">
        <v>90750.0</v>
      </c>
    </row>
    <row r="389">
      <c r="A389" s="250">
        <v>46246.0</v>
      </c>
      <c r="B389" s="153" t="s">
        <v>423</v>
      </c>
      <c r="C389" s="153" t="s">
        <v>5</v>
      </c>
      <c r="D389" s="153" t="s">
        <v>430</v>
      </c>
      <c r="E389" s="153" t="s">
        <v>431</v>
      </c>
      <c r="F389" s="153" t="s">
        <v>429</v>
      </c>
      <c r="G389" s="153">
        <v>7742.0</v>
      </c>
      <c r="H389" s="153">
        <v>86.0</v>
      </c>
      <c r="I389" s="153">
        <v>1.11</v>
      </c>
      <c r="J389" s="153">
        <v>958.0</v>
      </c>
      <c r="K389" s="153">
        <v>0.1237</v>
      </c>
      <c r="L389" s="153">
        <v>11.1395</v>
      </c>
      <c r="M389" s="153">
        <v>958.0</v>
      </c>
    </row>
    <row r="390">
      <c r="A390" s="250">
        <v>46246.0</v>
      </c>
      <c r="B390" s="153" t="s">
        <v>423</v>
      </c>
      <c r="C390" s="153" t="s">
        <v>5</v>
      </c>
      <c r="D390" s="153" t="s">
        <v>430</v>
      </c>
      <c r="E390" s="153" t="s">
        <v>432</v>
      </c>
      <c r="F390" s="153" t="s">
        <v>429</v>
      </c>
      <c r="G390" s="153">
        <v>7742.0</v>
      </c>
      <c r="H390" s="153">
        <v>153.0</v>
      </c>
      <c r="I390" s="153">
        <v>1.98</v>
      </c>
      <c r="J390" s="153">
        <v>1073.0</v>
      </c>
      <c r="K390" s="153">
        <v>0.1386</v>
      </c>
      <c r="L390" s="153">
        <v>7.0131</v>
      </c>
      <c r="M390" s="153">
        <v>1073.0</v>
      </c>
    </row>
    <row r="391">
      <c r="A391" s="250">
        <v>46246.0</v>
      </c>
      <c r="B391" s="153" t="s">
        <v>423</v>
      </c>
      <c r="C391" s="153" t="s">
        <v>5</v>
      </c>
      <c r="D391" s="153" t="s">
        <v>430</v>
      </c>
      <c r="E391" s="153" t="s">
        <v>433</v>
      </c>
      <c r="F391" s="153" t="s">
        <v>429</v>
      </c>
      <c r="G391" s="153">
        <v>7742.0</v>
      </c>
      <c r="H391" s="153">
        <v>200.0</v>
      </c>
      <c r="I391" s="153">
        <v>2.58</v>
      </c>
      <c r="J391" s="153">
        <v>1089.0</v>
      </c>
      <c r="K391" s="153">
        <v>0.1407</v>
      </c>
      <c r="L391" s="153">
        <v>5.445</v>
      </c>
      <c r="M391" s="153">
        <v>1089.0</v>
      </c>
    </row>
    <row r="392">
      <c r="A392" s="250">
        <v>46246.0</v>
      </c>
      <c r="B392" s="153" t="s">
        <v>423</v>
      </c>
      <c r="C392" s="153" t="s">
        <v>5</v>
      </c>
      <c r="D392" s="153" t="s">
        <v>434</v>
      </c>
      <c r="E392" s="153" t="s">
        <v>435</v>
      </c>
      <c r="F392" s="153" t="s">
        <v>429</v>
      </c>
      <c r="G392" s="153">
        <v>7742.0</v>
      </c>
      <c r="H392" s="153">
        <v>162.0</v>
      </c>
      <c r="I392" s="153">
        <v>2.09</v>
      </c>
      <c r="J392" s="153">
        <v>306.0</v>
      </c>
      <c r="K392" s="153">
        <v>0.0395</v>
      </c>
      <c r="L392" s="153">
        <v>1.8889</v>
      </c>
      <c r="M392" s="153">
        <v>306.0</v>
      </c>
    </row>
    <row r="393">
      <c r="A393" s="250">
        <v>46246.0</v>
      </c>
      <c r="B393" s="153" t="s">
        <v>423</v>
      </c>
      <c r="C393" s="153" t="s">
        <v>5</v>
      </c>
      <c r="D393" s="153" t="s">
        <v>434</v>
      </c>
      <c r="E393" s="153" t="s">
        <v>436</v>
      </c>
      <c r="F393" s="153" t="s">
        <v>429</v>
      </c>
      <c r="G393" s="153">
        <v>7742.0</v>
      </c>
      <c r="H393" s="153">
        <v>147.0</v>
      </c>
      <c r="I393" s="153">
        <v>1.9</v>
      </c>
      <c r="J393" s="153">
        <v>265.0</v>
      </c>
      <c r="K393" s="153">
        <v>0.0342</v>
      </c>
      <c r="L393" s="153">
        <v>1.8027</v>
      </c>
      <c r="M393" s="153">
        <v>265.0</v>
      </c>
    </row>
    <row r="394">
      <c r="A394" s="250">
        <v>46246.0</v>
      </c>
      <c r="B394" s="153" t="s">
        <v>423</v>
      </c>
      <c r="C394" s="153" t="s">
        <v>5</v>
      </c>
      <c r="D394" s="153" t="s">
        <v>434</v>
      </c>
      <c r="E394" s="153" t="s">
        <v>437</v>
      </c>
      <c r="F394" s="153" t="s">
        <v>429</v>
      </c>
      <c r="G394" s="153">
        <v>7742.0</v>
      </c>
      <c r="H394" s="153">
        <v>139.0</v>
      </c>
      <c r="I394" s="153">
        <v>1.8</v>
      </c>
      <c r="J394" s="153">
        <v>261.0</v>
      </c>
      <c r="K394" s="153">
        <v>0.0337</v>
      </c>
      <c r="L394" s="153">
        <v>1.8777</v>
      </c>
      <c r="M394" s="153">
        <v>261.0</v>
      </c>
    </row>
    <row r="395">
      <c r="A395" s="250">
        <v>46246.0</v>
      </c>
      <c r="B395" s="153" t="s">
        <v>423</v>
      </c>
      <c r="C395" s="153" t="s">
        <v>5</v>
      </c>
      <c r="D395" s="153" t="s">
        <v>438</v>
      </c>
      <c r="E395" s="153" t="s">
        <v>439</v>
      </c>
      <c r="F395" s="153" t="s">
        <v>440</v>
      </c>
      <c r="G395" s="153">
        <v>7742.0</v>
      </c>
      <c r="H395" s="153">
        <v>150.0</v>
      </c>
      <c r="I395" s="153">
        <v>1.94</v>
      </c>
      <c r="J395" s="153">
        <v>3160.0</v>
      </c>
      <c r="K395" s="153">
        <v>0.4082</v>
      </c>
      <c r="L395" s="153">
        <v>21.0667</v>
      </c>
      <c r="M395" s="153">
        <v>3160.0</v>
      </c>
    </row>
    <row r="396">
      <c r="A396" s="250">
        <v>46246.0</v>
      </c>
      <c r="B396" s="153" t="s">
        <v>423</v>
      </c>
      <c r="C396" s="153" t="s">
        <v>5</v>
      </c>
      <c r="D396" s="153" t="s">
        <v>441</v>
      </c>
      <c r="E396" s="153" t="s">
        <v>442</v>
      </c>
      <c r="F396" s="153" t="s">
        <v>440</v>
      </c>
      <c r="G396" s="153">
        <v>7742.0</v>
      </c>
      <c r="H396" s="153">
        <v>16.0</v>
      </c>
      <c r="I396" s="153">
        <v>0.21</v>
      </c>
      <c r="J396" s="153">
        <v>210.0</v>
      </c>
      <c r="K396" s="153">
        <v>0.0271</v>
      </c>
      <c r="L396" s="153">
        <v>13.125</v>
      </c>
      <c r="M396" s="153">
        <v>210.0</v>
      </c>
    </row>
    <row r="397">
      <c r="A397" s="250">
        <v>46246.0</v>
      </c>
      <c r="B397" s="153" t="s">
        <v>423</v>
      </c>
      <c r="C397" s="153" t="s">
        <v>5</v>
      </c>
      <c r="D397" s="153" t="s">
        <v>441</v>
      </c>
      <c r="E397" s="153" t="s">
        <v>443</v>
      </c>
      <c r="F397" s="153" t="s">
        <v>440</v>
      </c>
      <c r="G397" s="153">
        <v>7742.0</v>
      </c>
      <c r="H397" s="153">
        <v>107.0</v>
      </c>
      <c r="I397" s="153">
        <v>1.38</v>
      </c>
      <c r="J397" s="153">
        <v>1270.0</v>
      </c>
      <c r="K397" s="153">
        <v>0.164</v>
      </c>
      <c r="L397" s="153">
        <v>11.8692</v>
      </c>
      <c r="M397" s="153">
        <v>1270.0</v>
      </c>
    </row>
    <row r="398">
      <c r="A398" s="250">
        <v>46246.0</v>
      </c>
      <c r="B398" s="153" t="s">
        <v>423</v>
      </c>
      <c r="C398" s="153" t="s">
        <v>5</v>
      </c>
      <c r="D398" s="153" t="s">
        <v>444</v>
      </c>
      <c r="E398" s="153" t="s">
        <v>445</v>
      </c>
      <c r="F398" s="153" t="s">
        <v>440</v>
      </c>
      <c r="G398" s="153">
        <v>7742.0</v>
      </c>
      <c r="H398" s="153">
        <v>156.0</v>
      </c>
      <c r="I398" s="153">
        <v>2.01</v>
      </c>
      <c r="J398" s="153">
        <v>6890.0</v>
      </c>
      <c r="K398" s="153">
        <v>0.89</v>
      </c>
      <c r="L398" s="153">
        <v>44.1667</v>
      </c>
      <c r="M398" s="153">
        <v>6890.0</v>
      </c>
    </row>
    <row r="399">
      <c r="A399" s="250">
        <v>46246.0</v>
      </c>
      <c r="B399" s="153" t="s">
        <v>133</v>
      </c>
      <c r="C399" s="153" t="s">
        <v>5</v>
      </c>
      <c r="D399" s="153" t="s">
        <v>424</v>
      </c>
      <c r="E399" s="153" t="s">
        <v>425</v>
      </c>
      <c r="F399" s="153" t="s">
        <v>426</v>
      </c>
      <c r="G399" s="153">
        <v>10976.0</v>
      </c>
      <c r="H399" s="153">
        <v>2112.0</v>
      </c>
      <c r="I399" s="153">
        <v>19.24</v>
      </c>
      <c r="J399" s="153">
        <v>27864.58</v>
      </c>
      <c r="K399" s="153">
        <v>2.5387</v>
      </c>
      <c r="L399" s="153">
        <v>13.1935</v>
      </c>
      <c r="M399" s="153">
        <v>34000.0</v>
      </c>
    </row>
    <row r="400">
      <c r="A400" s="250">
        <v>46246.0</v>
      </c>
      <c r="B400" s="153" t="s">
        <v>133</v>
      </c>
      <c r="C400" s="153" t="s">
        <v>5</v>
      </c>
      <c r="D400" s="153" t="s">
        <v>427</v>
      </c>
      <c r="E400" s="153" t="s">
        <v>428</v>
      </c>
      <c r="F400" s="153" t="s">
        <v>429</v>
      </c>
      <c r="G400" s="153">
        <v>10976.0</v>
      </c>
      <c r="H400" s="153">
        <v>2443.0</v>
      </c>
      <c r="I400" s="153">
        <v>22.26</v>
      </c>
      <c r="J400" s="153">
        <v>91956.99</v>
      </c>
      <c r="K400" s="153">
        <v>8.378</v>
      </c>
      <c r="L400" s="153">
        <v>37.641</v>
      </c>
      <c r="M400" s="153">
        <v>103460.0</v>
      </c>
    </row>
    <row r="401">
      <c r="A401" s="250">
        <v>46246.0</v>
      </c>
      <c r="B401" s="153" t="s">
        <v>133</v>
      </c>
      <c r="C401" s="153" t="s">
        <v>5</v>
      </c>
      <c r="D401" s="153" t="s">
        <v>430</v>
      </c>
      <c r="E401" s="153" t="s">
        <v>431</v>
      </c>
      <c r="F401" s="153" t="s">
        <v>429</v>
      </c>
      <c r="G401" s="153">
        <v>10976.0</v>
      </c>
      <c r="H401" s="153">
        <v>199.0</v>
      </c>
      <c r="I401" s="153">
        <v>1.81</v>
      </c>
      <c r="J401" s="153">
        <v>212.0</v>
      </c>
      <c r="K401" s="153">
        <v>0.0193</v>
      </c>
      <c r="L401" s="153">
        <v>1.0653</v>
      </c>
      <c r="M401" s="153">
        <v>212.0</v>
      </c>
    </row>
    <row r="402">
      <c r="A402" s="250">
        <v>46246.0</v>
      </c>
      <c r="B402" s="153" t="s">
        <v>133</v>
      </c>
      <c r="C402" s="153" t="s">
        <v>5</v>
      </c>
      <c r="D402" s="153" t="s">
        <v>430</v>
      </c>
      <c r="E402" s="153" t="s">
        <v>432</v>
      </c>
      <c r="F402" s="153" t="s">
        <v>429</v>
      </c>
      <c r="G402" s="153">
        <v>10976.0</v>
      </c>
      <c r="H402" s="153">
        <v>1454.0</v>
      </c>
      <c r="I402" s="153">
        <v>13.25</v>
      </c>
      <c r="J402" s="153">
        <v>2308.0</v>
      </c>
      <c r="K402" s="153">
        <v>0.2103</v>
      </c>
      <c r="L402" s="153">
        <v>1.5873</v>
      </c>
      <c r="M402" s="153">
        <v>2308.0</v>
      </c>
    </row>
    <row r="403">
      <c r="A403" s="250">
        <v>46246.0</v>
      </c>
      <c r="B403" s="153" t="s">
        <v>133</v>
      </c>
      <c r="C403" s="153" t="s">
        <v>5</v>
      </c>
      <c r="D403" s="153" t="s">
        <v>430</v>
      </c>
      <c r="E403" s="153" t="s">
        <v>433</v>
      </c>
      <c r="F403" s="153" t="s">
        <v>429</v>
      </c>
      <c r="G403" s="153">
        <v>10976.0</v>
      </c>
      <c r="H403" s="153">
        <v>522.0</v>
      </c>
      <c r="I403" s="153">
        <v>4.76</v>
      </c>
      <c r="J403" s="153">
        <v>573.0</v>
      </c>
      <c r="K403" s="153">
        <v>0.0522</v>
      </c>
      <c r="L403" s="153">
        <v>1.0977</v>
      </c>
      <c r="M403" s="153">
        <v>573.0</v>
      </c>
    </row>
    <row r="404">
      <c r="A404" s="250">
        <v>46246.0</v>
      </c>
      <c r="B404" s="153" t="s">
        <v>133</v>
      </c>
      <c r="C404" s="153" t="s">
        <v>5</v>
      </c>
      <c r="D404" s="153" t="s">
        <v>434</v>
      </c>
      <c r="E404" s="153" t="s">
        <v>435</v>
      </c>
      <c r="F404" s="153" t="s">
        <v>429</v>
      </c>
      <c r="G404" s="153">
        <v>10976.0</v>
      </c>
      <c r="H404" s="153">
        <v>1449.0</v>
      </c>
      <c r="I404" s="153">
        <v>13.2</v>
      </c>
      <c r="J404" s="153">
        <v>1495.0</v>
      </c>
      <c r="K404" s="153">
        <v>0.1362</v>
      </c>
      <c r="L404" s="153">
        <v>1.0317</v>
      </c>
      <c r="M404" s="153">
        <v>1495.0</v>
      </c>
    </row>
    <row r="405">
      <c r="A405" s="250">
        <v>46246.0</v>
      </c>
      <c r="B405" s="153" t="s">
        <v>133</v>
      </c>
      <c r="C405" s="153" t="s">
        <v>5</v>
      </c>
      <c r="D405" s="153" t="s">
        <v>434</v>
      </c>
      <c r="E405" s="153" t="s">
        <v>436</v>
      </c>
      <c r="F405" s="153" t="s">
        <v>429</v>
      </c>
      <c r="G405" s="153">
        <v>10976.0</v>
      </c>
      <c r="H405" s="153">
        <v>1247.0</v>
      </c>
      <c r="I405" s="153">
        <v>11.36</v>
      </c>
      <c r="J405" s="153">
        <v>1463.0</v>
      </c>
      <c r="K405" s="153">
        <v>0.1333</v>
      </c>
      <c r="L405" s="153">
        <v>1.1732</v>
      </c>
      <c r="M405" s="153">
        <v>1463.0</v>
      </c>
    </row>
    <row r="406">
      <c r="A406" s="250">
        <v>46246.0</v>
      </c>
      <c r="B406" s="153" t="s">
        <v>133</v>
      </c>
      <c r="C406" s="153" t="s">
        <v>5</v>
      </c>
      <c r="D406" s="153" t="s">
        <v>434</v>
      </c>
      <c r="E406" s="153" t="s">
        <v>437</v>
      </c>
      <c r="F406" s="153" t="s">
        <v>429</v>
      </c>
      <c r="G406" s="153">
        <v>10976.0</v>
      </c>
      <c r="H406" s="153">
        <v>5.0</v>
      </c>
      <c r="I406" s="153">
        <v>0.05</v>
      </c>
      <c r="J406" s="153">
        <v>9.0</v>
      </c>
      <c r="K406" s="153">
        <v>8.0E-4</v>
      </c>
      <c r="L406" s="153">
        <v>1.8</v>
      </c>
      <c r="M406" s="153">
        <v>9.0</v>
      </c>
    </row>
    <row r="407">
      <c r="A407" s="250">
        <v>46246.0</v>
      </c>
      <c r="B407" s="153" t="s">
        <v>133</v>
      </c>
      <c r="C407" s="153" t="s">
        <v>5</v>
      </c>
      <c r="D407" s="153" t="s">
        <v>438</v>
      </c>
      <c r="E407" s="153" t="s">
        <v>439</v>
      </c>
      <c r="F407" s="153" t="s">
        <v>440</v>
      </c>
      <c r="G407" s="153">
        <v>10976.0</v>
      </c>
      <c r="H407" s="153">
        <v>1107.0</v>
      </c>
      <c r="I407" s="153">
        <v>10.09</v>
      </c>
      <c r="J407" s="153">
        <v>11815.0</v>
      </c>
      <c r="K407" s="153">
        <v>1.0764</v>
      </c>
      <c r="L407" s="153">
        <v>10.673</v>
      </c>
      <c r="M407" s="153">
        <v>11815.0</v>
      </c>
    </row>
    <row r="408">
      <c r="A408" s="250">
        <v>46246.0</v>
      </c>
      <c r="B408" s="153" t="s">
        <v>133</v>
      </c>
      <c r="C408" s="153" t="s">
        <v>5</v>
      </c>
      <c r="D408" s="153" t="s">
        <v>441</v>
      </c>
      <c r="E408" s="153" t="s">
        <v>442</v>
      </c>
      <c r="F408" s="153" t="s">
        <v>440</v>
      </c>
      <c r="G408" s="153">
        <v>10976.0</v>
      </c>
      <c r="H408" s="153">
        <v>143.0</v>
      </c>
      <c r="I408" s="153">
        <v>1.3</v>
      </c>
      <c r="J408" s="153">
        <v>1610.0</v>
      </c>
      <c r="K408" s="153">
        <v>0.1467</v>
      </c>
      <c r="L408" s="153">
        <v>11.2587</v>
      </c>
      <c r="M408" s="153">
        <v>1610.0</v>
      </c>
    </row>
    <row r="409">
      <c r="A409" s="250">
        <v>46246.0</v>
      </c>
      <c r="B409" s="153" t="s">
        <v>133</v>
      </c>
      <c r="C409" s="153" t="s">
        <v>5</v>
      </c>
      <c r="D409" s="153" t="s">
        <v>444</v>
      </c>
      <c r="E409" s="153" t="s">
        <v>445</v>
      </c>
      <c r="F409" s="153" t="s">
        <v>440</v>
      </c>
      <c r="G409" s="153">
        <v>10976.0</v>
      </c>
      <c r="H409" s="153">
        <v>1614.0</v>
      </c>
      <c r="I409" s="153">
        <v>14.7</v>
      </c>
      <c r="J409" s="153">
        <v>26015.0</v>
      </c>
      <c r="K409" s="153">
        <v>2.3702</v>
      </c>
      <c r="L409" s="153">
        <v>16.1183</v>
      </c>
      <c r="M409" s="153">
        <v>26015.0</v>
      </c>
    </row>
    <row r="410">
      <c r="A410" s="250">
        <v>46246.0</v>
      </c>
      <c r="B410" s="153" t="s">
        <v>134</v>
      </c>
      <c r="C410" s="153" t="s">
        <v>5</v>
      </c>
      <c r="D410" s="153" t="s">
        <v>424</v>
      </c>
      <c r="E410" s="153" t="s">
        <v>425</v>
      </c>
      <c r="F410" s="153" t="s">
        <v>426</v>
      </c>
      <c r="G410" s="153">
        <v>8689.0</v>
      </c>
      <c r="H410" s="153">
        <v>2008.0</v>
      </c>
      <c r="I410" s="153">
        <v>23.11</v>
      </c>
      <c r="J410" s="153">
        <v>33612.23</v>
      </c>
      <c r="K410" s="153">
        <v>3.8684</v>
      </c>
      <c r="L410" s="153">
        <v>16.7392</v>
      </c>
      <c r="M410" s="153">
        <v>42850.0</v>
      </c>
    </row>
    <row r="411">
      <c r="A411" s="250">
        <v>46246.0</v>
      </c>
      <c r="B411" s="153" t="s">
        <v>134</v>
      </c>
      <c r="C411" s="153" t="s">
        <v>5</v>
      </c>
      <c r="D411" s="153" t="s">
        <v>427</v>
      </c>
      <c r="E411" s="153" t="s">
        <v>428</v>
      </c>
      <c r="F411" s="153" t="s">
        <v>429</v>
      </c>
      <c r="G411" s="153">
        <v>8689.0</v>
      </c>
      <c r="H411" s="153">
        <v>2822.0</v>
      </c>
      <c r="I411" s="153">
        <v>32.48</v>
      </c>
      <c r="J411" s="153">
        <v>184477.29</v>
      </c>
      <c r="K411" s="153">
        <v>21.2311</v>
      </c>
      <c r="L411" s="153">
        <v>65.3711</v>
      </c>
      <c r="M411" s="153">
        <v>212245.0</v>
      </c>
    </row>
    <row r="412">
      <c r="A412" s="250">
        <v>46246.0</v>
      </c>
      <c r="B412" s="153" t="s">
        <v>134</v>
      </c>
      <c r="C412" s="153" t="s">
        <v>5</v>
      </c>
      <c r="D412" s="153" t="s">
        <v>430</v>
      </c>
      <c r="E412" s="153" t="s">
        <v>431</v>
      </c>
      <c r="F412" s="153" t="s">
        <v>429</v>
      </c>
      <c r="G412" s="153">
        <v>8689.0</v>
      </c>
      <c r="H412" s="153">
        <v>1071.0</v>
      </c>
      <c r="I412" s="153">
        <v>12.33</v>
      </c>
      <c r="J412" s="153">
        <v>1180.0</v>
      </c>
      <c r="K412" s="153">
        <v>0.1358</v>
      </c>
      <c r="L412" s="153">
        <v>1.1018</v>
      </c>
      <c r="M412" s="153">
        <v>1180.0</v>
      </c>
    </row>
    <row r="413">
      <c r="A413" s="250">
        <v>46246.0</v>
      </c>
      <c r="B413" s="153" t="s">
        <v>134</v>
      </c>
      <c r="C413" s="153" t="s">
        <v>5</v>
      </c>
      <c r="D413" s="153" t="s">
        <v>430</v>
      </c>
      <c r="E413" s="153" t="s">
        <v>432</v>
      </c>
      <c r="F413" s="153" t="s">
        <v>429</v>
      </c>
      <c r="G413" s="153">
        <v>8689.0</v>
      </c>
      <c r="H413" s="153">
        <v>1575.0</v>
      </c>
      <c r="I413" s="153">
        <v>18.13</v>
      </c>
      <c r="J413" s="153">
        <v>2746.0</v>
      </c>
      <c r="K413" s="153">
        <v>0.316</v>
      </c>
      <c r="L413" s="153">
        <v>1.7435</v>
      </c>
      <c r="M413" s="153">
        <v>2746.0</v>
      </c>
    </row>
    <row r="414">
      <c r="A414" s="250">
        <v>46246.0</v>
      </c>
      <c r="B414" s="153" t="s">
        <v>134</v>
      </c>
      <c r="C414" s="153" t="s">
        <v>5</v>
      </c>
      <c r="D414" s="153" t="s">
        <v>430</v>
      </c>
      <c r="E414" s="153" t="s">
        <v>433</v>
      </c>
      <c r="F414" s="153" t="s">
        <v>429</v>
      </c>
      <c r="G414" s="153">
        <v>8689.0</v>
      </c>
      <c r="H414" s="153">
        <v>1226.0</v>
      </c>
      <c r="I414" s="153">
        <v>14.11</v>
      </c>
      <c r="J414" s="153">
        <v>1371.0</v>
      </c>
      <c r="K414" s="153">
        <v>0.1578</v>
      </c>
      <c r="L414" s="153">
        <v>1.1183</v>
      </c>
      <c r="M414" s="153">
        <v>1371.0</v>
      </c>
    </row>
    <row r="415">
      <c r="A415" s="250">
        <v>46246.0</v>
      </c>
      <c r="B415" s="153" t="s">
        <v>134</v>
      </c>
      <c r="C415" s="153" t="s">
        <v>5</v>
      </c>
      <c r="D415" s="153" t="s">
        <v>434</v>
      </c>
      <c r="E415" s="153" t="s">
        <v>435</v>
      </c>
      <c r="F415" s="153" t="s">
        <v>429</v>
      </c>
      <c r="G415" s="153">
        <v>8689.0</v>
      </c>
      <c r="H415" s="153">
        <v>1013.0</v>
      </c>
      <c r="I415" s="153">
        <v>11.66</v>
      </c>
      <c r="J415" s="153">
        <v>1052.0</v>
      </c>
      <c r="K415" s="153">
        <v>0.1211</v>
      </c>
      <c r="L415" s="153">
        <v>1.0385</v>
      </c>
      <c r="M415" s="153">
        <v>1052.0</v>
      </c>
    </row>
    <row r="416">
      <c r="A416" s="250">
        <v>46246.0</v>
      </c>
      <c r="B416" s="153" t="s">
        <v>134</v>
      </c>
      <c r="C416" s="153" t="s">
        <v>5</v>
      </c>
      <c r="D416" s="153" t="s">
        <v>434</v>
      </c>
      <c r="E416" s="153" t="s">
        <v>436</v>
      </c>
      <c r="F416" s="153" t="s">
        <v>429</v>
      </c>
      <c r="G416" s="153">
        <v>8689.0</v>
      </c>
      <c r="H416" s="153">
        <v>1116.0</v>
      </c>
      <c r="I416" s="153">
        <v>12.84</v>
      </c>
      <c r="J416" s="153">
        <v>1330.0</v>
      </c>
      <c r="K416" s="153">
        <v>0.1531</v>
      </c>
      <c r="L416" s="153">
        <v>1.1918</v>
      </c>
      <c r="M416" s="153">
        <v>1330.0</v>
      </c>
    </row>
    <row r="417">
      <c r="A417" s="250">
        <v>46246.0</v>
      </c>
      <c r="B417" s="153" t="s">
        <v>134</v>
      </c>
      <c r="C417" s="153" t="s">
        <v>5</v>
      </c>
      <c r="D417" s="153" t="s">
        <v>434</v>
      </c>
      <c r="E417" s="153" t="s">
        <v>437</v>
      </c>
      <c r="F417" s="153" t="s">
        <v>429</v>
      </c>
      <c r="G417" s="153">
        <v>8689.0</v>
      </c>
      <c r="H417" s="153">
        <v>288.0</v>
      </c>
      <c r="I417" s="153">
        <v>3.31</v>
      </c>
      <c r="J417" s="153">
        <v>327.0</v>
      </c>
      <c r="K417" s="153">
        <v>0.0376</v>
      </c>
      <c r="L417" s="153">
        <v>1.1354</v>
      </c>
      <c r="M417" s="153">
        <v>327.0</v>
      </c>
    </row>
    <row r="418">
      <c r="A418" s="250">
        <v>46246.0</v>
      </c>
      <c r="B418" s="153" t="s">
        <v>134</v>
      </c>
      <c r="C418" s="153" t="s">
        <v>5</v>
      </c>
      <c r="D418" s="153" t="s">
        <v>438</v>
      </c>
      <c r="E418" s="153" t="s">
        <v>439</v>
      </c>
      <c r="F418" s="153" t="s">
        <v>440</v>
      </c>
      <c r="G418" s="153">
        <v>8689.0</v>
      </c>
      <c r="H418" s="153">
        <v>1129.0</v>
      </c>
      <c r="I418" s="153">
        <v>12.99</v>
      </c>
      <c r="J418" s="153">
        <v>12350.0</v>
      </c>
      <c r="K418" s="153">
        <v>1.4213</v>
      </c>
      <c r="L418" s="153">
        <v>10.9389</v>
      </c>
      <c r="M418" s="153">
        <v>12350.0</v>
      </c>
    </row>
    <row r="419">
      <c r="A419" s="250">
        <v>46246.0</v>
      </c>
      <c r="B419" s="153" t="s">
        <v>134</v>
      </c>
      <c r="C419" s="153" t="s">
        <v>5</v>
      </c>
      <c r="D419" s="153" t="s">
        <v>441</v>
      </c>
      <c r="E419" s="153" t="s">
        <v>442</v>
      </c>
      <c r="F419" s="153" t="s">
        <v>440</v>
      </c>
      <c r="G419" s="153">
        <v>8689.0</v>
      </c>
      <c r="H419" s="153">
        <v>1004.0</v>
      </c>
      <c r="I419" s="153">
        <v>11.55</v>
      </c>
      <c r="J419" s="153">
        <v>12230.0</v>
      </c>
      <c r="K419" s="153">
        <v>1.4075</v>
      </c>
      <c r="L419" s="153">
        <v>12.1813</v>
      </c>
      <c r="M419" s="153">
        <v>12230.0</v>
      </c>
    </row>
    <row r="420">
      <c r="A420" s="250">
        <v>46246.0</v>
      </c>
      <c r="B420" s="153" t="s">
        <v>134</v>
      </c>
      <c r="C420" s="153" t="s">
        <v>5</v>
      </c>
      <c r="D420" s="153" t="s">
        <v>441</v>
      </c>
      <c r="E420" s="153" t="s">
        <v>443</v>
      </c>
      <c r="F420" s="153" t="s">
        <v>440</v>
      </c>
      <c r="G420" s="153">
        <v>8689.0</v>
      </c>
      <c r="H420" s="153">
        <v>3.0</v>
      </c>
      <c r="I420" s="153">
        <v>0.03</v>
      </c>
      <c r="J420" s="153">
        <v>30.0</v>
      </c>
      <c r="K420" s="153">
        <v>0.0035</v>
      </c>
      <c r="L420" s="153">
        <v>10.0</v>
      </c>
      <c r="M420" s="153">
        <v>30.0</v>
      </c>
    </row>
    <row r="421">
      <c r="A421" s="250">
        <v>46246.0</v>
      </c>
      <c r="B421" s="153" t="s">
        <v>134</v>
      </c>
      <c r="C421" s="153" t="s">
        <v>5</v>
      </c>
      <c r="D421" s="153" t="s">
        <v>444</v>
      </c>
      <c r="E421" s="153" t="s">
        <v>445</v>
      </c>
      <c r="F421" s="153" t="s">
        <v>440</v>
      </c>
      <c r="G421" s="153">
        <v>8689.0</v>
      </c>
      <c r="H421" s="153">
        <v>2147.0</v>
      </c>
      <c r="I421" s="153">
        <v>24.71</v>
      </c>
      <c r="J421" s="153">
        <v>53820.0</v>
      </c>
      <c r="K421" s="153">
        <v>6.194</v>
      </c>
      <c r="L421" s="153">
        <v>25.0675</v>
      </c>
      <c r="M421" s="153">
        <v>53820.0</v>
      </c>
    </row>
    <row r="422">
      <c r="A422" s="250">
        <v>46246.0</v>
      </c>
      <c r="B422" s="153" t="s">
        <v>135</v>
      </c>
      <c r="C422" s="153" t="s">
        <v>4</v>
      </c>
      <c r="D422" s="153" t="s">
        <v>427</v>
      </c>
      <c r="E422" s="153" t="s">
        <v>428</v>
      </c>
      <c r="F422" s="153" t="s">
        <v>429</v>
      </c>
      <c r="G422" s="153">
        <v>6677.0</v>
      </c>
      <c r="H422" s="153">
        <v>1.0</v>
      </c>
      <c r="I422" s="153">
        <v>0.01</v>
      </c>
      <c r="J422" s="153">
        <v>143.08</v>
      </c>
      <c r="K422" s="153">
        <v>0.0214</v>
      </c>
      <c r="L422" s="153">
        <v>143.0769</v>
      </c>
      <c r="M422" s="153">
        <v>150.0</v>
      </c>
    </row>
    <row r="423">
      <c r="A423" s="250">
        <v>46246.0</v>
      </c>
      <c r="B423" s="153" t="s">
        <v>135</v>
      </c>
      <c r="C423" s="153" t="s">
        <v>4</v>
      </c>
      <c r="D423" s="153" t="s">
        <v>430</v>
      </c>
      <c r="E423" s="153" t="s">
        <v>431</v>
      </c>
      <c r="F423" s="153" t="s">
        <v>429</v>
      </c>
      <c r="G423" s="153">
        <v>6677.0</v>
      </c>
      <c r="H423" s="153">
        <v>1.0</v>
      </c>
      <c r="I423" s="153">
        <v>0.01</v>
      </c>
      <c r="J423" s="153">
        <v>2.0</v>
      </c>
      <c r="K423" s="153">
        <v>3.0E-4</v>
      </c>
      <c r="L423" s="153">
        <v>2.0</v>
      </c>
      <c r="M423" s="153">
        <v>2.0</v>
      </c>
    </row>
    <row r="424">
      <c r="A424" s="250">
        <v>46246.0</v>
      </c>
      <c r="B424" s="153" t="s">
        <v>135</v>
      </c>
      <c r="C424" s="153" t="s">
        <v>4</v>
      </c>
      <c r="D424" s="153" t="s">
        <v>441</v>
      </c>
      <c r="E424" s="153" t="s">
        <v>442</v>
      </c>
      <c r="F424" s="153" t="s">
        <v>440</v>
      </c>
      <c r="G424" s="153">
        <v>6677.0</v>
      </c>
      <c r="H424" s="153">
        <v>1.0</v>
      </c>
      <c r="I424" s="153">
        <v>0.01</v>
      </c>
      <c r="J424" s="153">
        <v>10.0</v>
      </c>
      <c r="K424" s="153">
        <v>0.0015</v>
      </c>
      <c r="L424" s="153">
        <v>10.0</v>
      </c>
      <c r="M424" s="153">
        <v>10.0</v>
      </c>
    </row>
    <row r="425">
      <c r="A425" s="250">
        <v>46246.0</v>
      </c>
      <c r="B425" s="153" t="s">
        <v>135</v>
      </c>
      <c r="C425" s="153" t="s">
        <v>4</v>
      </c>
      <c r="D425" s="153" t="s">
        <v>444</v>
      </c>
      <c r="E425" s="153" t="s">
        <v>445</v>
      </c>
      <c r="F425" s="153" t="s">
        <v>440</v>
      </c>
      <c r="G425" s="153">
        <v>6677.0</v>
      </c>
      <c r="H425" s="153">
        <v>1.0</v>
      </c>
      <c r="I425" s="153">
        <v>0.01</v>
      </c>
      <c r="J425" s="153">
        <v>60.0</v>
      </c>
      <c r="K425" s="153">
        <v>0.009</v>
      </c>
      <c r="L425" s="153">
        <v>60.0</v>
      </c>
      <c r="M425" s="153">
        <v>60.0</v>
      </c>
    </row>
    <row r="426">
      <c r="A426" s="250">
        <v>46246.0</v>
      </c>
      <c r="B426" s="153" t="s">
        <v>135</v>
      </c>
      <c r="C426" s="153" t="s">
        <v>5</v>
      </c>
      <c r="D426" s="153" t="s">
        <v>424</v>
      </c>
      <c r="E426" s="153" t="s">
        <v>425</v>
      </c>
      <c r="F426" s="153" t="s">
        <v>426</v>
      </c>
      <c r="G426" s="153">
        <v>6638.0</v>
      </c>
      <c r="H426" s="153">
        <v>1754.0</v>
      </c>
      <c r="I426" s="153">
        <v>26.42</v>
      </c>
      <c r="J426" s="153">
        <v>35727.57</v>
      </c>
      <c r="K426" s="153">
        <v>5.3823</v>
      </c>
      <c r="L426" s="153">
        <v>20.3692</v>
      </c>
      <c r="M426" s="153">
        <v>45000.0</v>
      </c>
    </row>
    <row r="427">
      <c r="A427" s="250">
        <v>46246.0</v>
      </c>
      <c r="B427" s="153" t="s">
        <v>135</v>
      </c>
      <c r="C427" s="153" t="s">
        <v>5</v>
      </c>
      <c r="D427" s="153" t="s">
        <v>427</v>
      </c>
      <c r="E427" s="153" t="s">
        <v>428</v>
      </c>
      <c r="F427" s="153" t="s">
        <v>429</v>
      </c>
      <c r="G427" s="153">
        <v>6638.0</v>
      </c>
      <c r="H427" s="153">
        <v>2849.0</v>
      </c>
      <c r="I427" s="153">
        <v>42.92</v>
      </c>
      <c r="J427" s="153">
        <v>257999.47</v>
      </c>
      <c r="K427" s="153">
        <v>38.867</v>
      </c>
      <c r="L427" s="153">
        <v>90.5579</v>
      </c>
      <c r="M427" s="153">
        <v>298505.0</v>
      </c>
    </row>
    <row r="428">
      <c r="A428" s="250">
        <v>46246.0</v>
      </c>
      <c r="B428" s="153" t="s">
        <v>135</v>
      </c>
      <c r="C428" s="153" t="s">
        <v>5</v>
      </c>
      <c r="D428" s="153" t="s">
        <v>430</v>
      </c>
      <c r="E428" s="153" t="s">
        <v>431</v>
      </c>
      <c r="F428" s="153" t="s">
        <v>429</v>
      </c>
      <c r="G428" s="153">
        <v>6638.0</v>
      </c>
      <c r="H428" s="153">
        <v>1113.0</v>
      </c>
      <c r="I428" s="153">
        <v>16.77</v>
      </c>
      <c r="J428" s="153">
        <v>1206.0</v>
      </c>
      <c r="K428" s="153">
        <v>0.1817</v>
      </c>
      <c r="L428" s="153">
        <v>1.0836</v>
      </c>
      <c r="M428" s="153">
        <v>1206.0</v>
      </c>
    </row>
    <row r="429">
      <c r="A429" s="250">
        <v>46246.0</v>
      </c>
      <c r="B429" s="153" t="s">
        <v>135</v>
      </c>
      <c r="C429" s="153" t="s">
        <v>5</v>
      </c>
      <c r="D429" s="153" t="s">
        <v>430</v>
      </c>
      <c r="E429" s="153" t="s">
        <v>432</v>
      </c>
      <c r="F429" s="153" t="s">
        <v>429</v>
      </c>
      <c r="G429" s="153">
        <v>6638.0</v>
      </c>
      <c r="H429" s="153">
        <v>1801.0</v>
      </c>
      <c r="I429" s="153">
        <v>27.13</v>
      </c>
      <c r="J429" s="153">
        <v>3043.0</v>
      </c>
      <c r="K429" s="153">
        <v>0.4584</v>
      </c>
      <c r="L429" s="153">
        <v>1.6896</v>
      </c>
      <c r="M429" s="153">
        <v>3043.0</v>
      </c>
    </row>
    <row r="430">
      <c r="A430" s="250">
        <v>46246.0</v>
      </c>
      <c r="B430" s="153" t="s">
        <v>135</v>
      </c>
      <c r="C430" s="153" t="s">
        <v>5</v>
      </c>
      <c r="D430" s="153" t="s">
        <v>430</v>
      </c>
      <c r="E430" s="153" t="s">
        <v>433</v>
      </c>
      <c r="F430" s="153" t="s">
        <v>429</v>
      </c>
      <c r="G430" s="153">
        <v>6638.0</v>
      </c>
      <c r="H430" s="153">
        <v>1255.0</v>
      </c>
      <c r="I430" s="153">
        <v>18.91</v>
      </c>
      <c r="J430" s="153">
        <v>1454.0</v>
      </c>
      <c r="K430" s="153">
        <v>0.219</v>
      </c>
      <c r="L430" s="153">
        <v>1.1586</v>
      </c>
      <c r="M430" s="153">
        <v>1454.0</v>
      </c>
    </row>
    <row r="431">
      <c r="A431" s="250">
        <v>46246.0</v>
      </c>
      <c r="B431" s="153" t="s">
        <v>135</v>
      </c>
      <c r="C431" s="153" t="s">
        <v>5</v>
      </c>
      <c r="D431" s="153" t="s">
        <v>434</v>
      </c>
      <c r="E431" s="153" t="s">
        <v>435</v>
      </c>
      <c r="F431" s="153" t="s">
        <v>429</v>
      </c>
      <c r="G431" s="153">
        <v>6638.0</v>
      </c>
      <c r="H431" s="153">
        <v>938.0</v>
      </c>
      <c r="I431" s="153">
        <v>14.13</v>
      </c>
      <c r="J431" s="153">
        <v>1085.0</v>
      </c>
      <c r="K431" s="153">
        <v>0.1635</v>
      </c>
      <c r="L431" s="153">
        <v>1.1567</v>
      </c>
      <c r="M431" s="153">
        <v>1085.0</v>
      </c>
    </row>
    <row r="432">
      <c r="A432" s="250">
        <v>46246.0</v>
      </c>
      <c r="B432" s="153" t="s">
        <v>135</v>
      </c>
      <c r="C432" s="153" t="s">
        <v>5</v>
      </c>
      <c r="D432" s="153" t="s">
        <v>434</v>
      </c>
      <c r="E432" s="153" t="s">
        <v>436</v>
      </c>
      <c r="F432" s="153" t="s">
        <v>429</v>
      </c>
      <c r="G432" s="153">
        <v>6638.0</v>
      </c>
      <c r="H432" s="153">
        <v>918.0</v>
      </c>
      <c r="I432" s="153">
        <v>13.83</v>
      </c>
      <c r="J432" s="153">
        <v>1165.0</v>
      </c>
      <c r="K432" s="153">
        <v>0.1755</v>
      </c>
      <c r="L432" s="153">
        <v>1.2691</v>
      </c>
      <c r="M432" s="153">
        <v>1165.0</v>
      </c>
    </row>
    <row r="433">
      <c r="A433" s="250">
        <v>46246.0</v>
      </c>
      <c r="B433" s="153" t="s">
        <v>135</v>
      </c>
      <c r="C433" s="153" t="s">
        <v>5</v>
      </c>
      <c r="D433" s="153" t="s">
        <v>434</v>
      </c>
      <c r="E433" s="153" t="s">
        <v>437</v>
      </c>
      <c r="F433" s="153" t="s">
        <v>429</v>
      </c>
      <c r="G433" s="153">
        <v>6638.0</v>
      </c>
      <c r="H433" s="153">
        <v>878.0</v>
      </c>
      <c r="I433" s="153">
        <v>13.23</v>
      </c>
      <c r="J433" s="153">
        <v>1027.0</v>
      </c>
      <c r="K433" s="153">
        <v>0.1547</v>
      </c>
      <c r="L433" s="153">
        <v>1.1697</v>
      </c>
      <c r="M433" s="153">
        <v>1027.0</v>
      </c>
    </row>
    <row r="434">
      <c r="A434" s="250">
        <v>46246.0</v>
      </c>
      <c r="B434" s="153" t="s">
        <v>135</v>
      </c>
      <c r="C434" s="153" t="s">
        <v>5</v>
      </c>
      <c r="D434" s="153" t="s">
        <v>438</v>
      </c>
      <c r="E434" s="153" t="s">
        <v>439</v>
      </c>
      <c r="F434" s="153" t="s">
        <v>440</v>
      </c>
      <c r="G434" s="153">
        <v>6638.0</v>
      </c>
      <c r="H434" s="153">
        <v>1076.0</v>
      </c>
      <c r="I434" s="153">
        <v>16.21</v>
      </c>
      <c r="J434" s="153">
        <v>13810.0</v>
      </c>
      <c r="K434" s="153">
        <v>2.0804</v>
      </c>
      <c r="L434" s="153">
        <v>12.8346</v>
      </c>
      <c r="M434" s="153">
        <v>13810.0</v>
      </c>
    </row>
    <row r="435">
      <c r="A435" s="250">
        <v>46246.0</v>
      </c>
      <c r="B435" s="153" t="s">
        <v>135</v>
      </c>
      <c r="C435" s="153" t="s">
        <v>5</v>
      </c>
      <c r="D435" s="153" t="s">
        <v>441</v>
      </c>
      <c r="E435" s="153" t="s">
        <v>442</v>
      </c>
      <c r="F435" s="153" t="s">
        <v>440</v>
      </c>
      <c r="G435" s="153">
        <v>6638.0</v>
      </c>
      <c r="H435" s="153">
        <v>1157.0</v>
      </c>
      <c r="I435" s="153">
        <v>17.43</v>
      </c>
      <c r="J435" s="153">
        <v>14630.0</v>
      </c>
      <c r="K435" s="153">
        <v>2.204</v>
      </c>
      <c r="L435" s="153">
        <v>12.6448</v>
      </c>
      <c r="M435" s="153">
        <v>14630.0</v>
      </c>
    </row>
    <row r="436">
      <c r="A436" s="250">
        <v>46246.0</v>
      </c>
      <c r="B436" s="153" t="s">
        <v>135</v>
      </c>
      <c r="C436" s="153" t="s">
        <v>5</v>
      </c>
      <c r="D436" s="153" t="s">
        <v>441</v>
      </c>
      <c r="E436" s="153" t="s">
        <v>443</v>
      </c>
      <c r="F436" s="153" t="s">
        <v>440</v>
      </c>
      <c r="G436" s="153">
        <v>6638.0</v>
      </c>
      <c r="H436" s="153">
        <v>18.0</v>
      </c>
      <c r="I436" s="153">
        <v>0.27</v>
      </c>
      <c r="J436" s="153">
        <v>190.0</v>
      </c>
      <c r="K436" s="153">
        <v>0.0286</v>
      </c>
      <c r="L436" s="153">
        <v>10.5556</v>
      </c>
      <c r="M436" s="153">
        <v>190.0</v>
      </c>
    </row>
    <row r="437">
      <c r="A437" s="250">
        <v>46246.0</v>
      </c>
      <c r="B437" s="153" t="s">
        <v>135</v>
      </c>
      <c r="C437" s="153" t="s">
        <v>5</v>
      </c>
      <c r="D437" s="153" t="s">
        <v>444</v>
      </c>
      <c r="E437" s="153" t="s">
        <v>445</v>
      </c>
      <c r="F437" s="153" t="s">
        <v>440</v>
      </c>
      <c r="G437" s="153">
        <v>6638.0</v>
      </c>
      <c r="H437" s="153">
        <v>1854.0</v>
      </c>
      <c r="I437" s="153">
        <v>27.93</v>
      </c>
      <c r="J437" s="153">
        <v>52575.0</v>
      </c>
      <c r="K437" s="153">
        <v>7.9203</v>
      </c>
      <c r="L437" s="153">
        <v>28.3576</v>
      </c>
      <c r="M437" s="153">
        <v>52575.0</v>
      </c>
    </row>
    <row r="438">
      <c r="A438" s="250">
        <v>46246.0</v>
      </c>
      <c r="B438" s="153" t="s">
        <v>136</v>
      </c>
      <c r="C438" s="153" t="s">
        <v>5</v>
      </c>
      <c r="D438" s="153" t="s">
        <v>424</v>
      </c>
      <c r="E438" s="153" t="s">
        <v>425</v>
      </c>
      <c r="F438" s="153" t="s">
        <v>426</v>
      </c>
      <c r="G438" s="153">
        <v>3955.0</v>
      </c>
      <c r="H438" s="153">
        <v>1548.0</v>
      </c>
      <c r="I438" s="153">
        <v>39.14</v>
      </c>
      <c r="J438" s="153">
        <v>44056.55</v>
      </c>
      <c r="K438" s="153">
        <v>11.1395</v>
      </c>
      <c r="L438" s="153">
        <v>28.4603</v>
      </c>
      <c r="M438" s="153">
        <v>54700.0</v>
      </c>
    </row>
    <row r="439">
      <c r="A439" s="250">
        <v>46246.0</v>
      </c>
      <c r="B439" s="153" t="s">
        <v>136</v>
      </c>
      <c r="C439" s="153" t="s">
        <v>5</v>
      </c>
      <c r="D439" s="153" t="s">
        <v>427</v>
      </c>
      <c r="E439" s="153" t="s">
        <v>428</v>
      </c>
      <c r="F439" s="153" t="s">
        <v>429</v>
      </c>
      <c r="G439" s="153">
        <v>3955.0</v>
      </c>
      <c r="H439" s="153">
        <v>2007.0</v>
      </c>
      <c r="I439" s="153">
        <v>50.75</v>
      </c>
      <c r="J439" s="153">
        <v>299384.77</v>
      </c>
      <c r="K439" s="153">
        <v>75.6978</v>
      </c>
      <c r="L439" s="153">
        <v>149.1703</v>
      </c>
      <c r="M439" s="153">
        <v>335545.0</v>
      </c>
    </row>
    <row r="440">
      <c r="A440" s="250">
        <v>46246.0</v>
      </c>
      <c r="B440" s="153" t="s">
        <v>136</v>
      </c>
      <c r="C440" s="153" t="s">
        <v>5</v>
      </c>
      <c r="D440" s="153" t="s">
        <v>430</v>
      </c>
      <c r="E440" s="153" t="s">
        <v>431</v>
      </c>
      <c r="F440" s="153" t="s">
        <v>429</v>
      </c>
      <c r="G440" s="153">
        <v>3955.0</v>
      </c>
      <c r="H440" s="153">
        <v>662.0</v>
      </c>
      <c r="I440" s="153">
        <v>16.74</v>
      </c>
      <c r="J440" s="153">
        <v>703.0</v>
      </c>
      <c r="K440" s="153">
        <v>0.1777</v>
      </c>
      <c r="L440" s="153">
        <v>1.0619</v>
      </c>
      <c r="M440" s="153">
        <v>703.0</v>
      </c>
    </row>
    <row r="441">
      <c r="A441" s="250">
        <v>46246.0</v>
      </c>
      <c r="B441" s="153" t="s">
        <v>136</v>
      </c>
      <c r="C441" s="153" t="s">
        <v>5</v>
      </c>
      <c r="D441" s="153" t="s">
        <v>430</v>
      </c>
      <c r="E441" s="153" t="s">
        <v>432</v>
      </c>
      <c r="F441" s="153" t="s">
        <v>429</v>
      </c>
      <c r="G441" s="153">
        <v>3955.0</v>
      </c>
      <c r="H441" s="153">
        <v>1235.0</v>
      </c>
      <c r="I441" s="153">
        <v>31.23</v>
      </c>
      <c r="J441" s="153">
        <v>2191.0</v>
      </c>
      <c r="K441" s="153">
        <v>0.554</v>
      </c>
      <c r="L441" s="153">
        <v>1.7741</v>
      </c>
      <c r="M441" s="153">
        <v>2191.0</v>
      </c>
    </row>
    <row r="442">
      <c r="A442" s="250">
        <v>46246.0</v>
      </c>
      <c r="B442" s="153" t="s">
        <v>136</v>
      </c>
      <c r="C442" s="153" t="s">
        <v>5</v>
      </c>
      <c r="D442" s="153" t="s">
        <v>430</v>
      </c>
      <c r="E442" s="153" t="s">
        <v>433</v>
      </c>
      <c r="F442" s="153" t="s">
        <v>429</v>
      </c>
      <c r="G442" s="153">
        <v>3955.0</v>
      </c>
      <c r="H442" s="153">
        <v>1220.0</v>
      </c>
      <c r="I442" s="153">
        <v>30.85</v>
      </c>
      <c r="J442" s="153">
        <v>1423.0</v>
      </c>
      <c r="K442" s="153">
        <v>0.3598</v>
      </c>
      <c r="L442" s="153">
        <v>1.1664</v>
      </c>
      <c r="M442" s="153">
        <v>1423.0</v>
      </c>
    </row>
    <row r="443">
      <c r="A443" s="250">
        <v>46246.0</v>
      </c>
      <c r="B443" s="153" t="s">
        <v>136</v>
      </c>
      <c r="C443" s="153" t="s">
        <v>5</v>
      </c>
      <c r="D443" s="153" t="s">
        <v>434</v>
      </c>
      <c r="E443" s="153" t="s">
        <v>435</v>
      </c>
      <c r="F443" s="153" t="s">
        <v>429</v>
      </c>
      <c r="G443" s="153">
        <v>3955.0</v>
      </c>
      <c r="H443" s="153">
        <v>1174.0</v>
      </c>
      <c r="I443" s="153">
        <v>29.68</v>
      </c>
      <c r="J443" s="153">
        <v>1814.0</v>
      </c>
      <c r="K443" s="153">
        <v>0.4587</v>
      </c>
      <c r="L443" s="153">
        <v>1.5451</v>
      </c>
      <c r="M443" s="153">
        <v>1814.0</v>
      </c>
    </row>
    <row r="444">
      <c r="A444" s="250">
        <v>46246.0</v>
      </c>
      <c r="B444" s="153" t="s">
        <v>136</v>
      </c>
      <c r="C444" s="153" t="s">
        <v>5</v>
      </c>
      <c r="D444" s="153" t="s">
        <v>434</v>
      </c>
      <c r="E444" s="153" t="s">
        <v>436</v>
      </c>
      <c r="F444" s="153" t="s">
        <v>429</v>
      </c>
      <c r="G444" s="153">
        <v>3955.0</v>
      </c>
      <c r="H444" s="153">
        <v>859.0</v>
      </c>
      <c r="I444" s="153">
        <v>21.72</v>
      </c>
      <c r="J444" s="153">
        <v>1284.0</v>
      </c>
      <c r="K444" s="153">
        <v>0.3247</v>
      </c>
      <c r="L444" s="153">
        <v>1.4948</v>
      </c>
      <c r="M444" s="153">
        <v>1284.0</v>
      </c>
    </row>
    <row r="445">
      <c r="A445" s="250">
        <v>46246.0</v>
      </c>
      <c r="B445" s="153" t="s">
        <v>136</v>
      </c>
      <c r="C445" s="153" t="s">
        <v>5</v>
      </c>
      <c r="D445" s="153" t="s">
        <v>434</v>
      </c>
      <c r="E445" s="153" t="s">
        <v>437</v>
      </c>
      <c r="F445" s="153" t="s">
        <v>429</v>
      </c>
      <c r="G445" s="153">
        <v>3955.0</v>
      </c>
      <c r="H445" s="153">
        <v>717.0</v>
      </c>
      <c r="I445" s="153">
        <v>18.13</v>
      </c>
      <c r="J445" s="153">
        <v>961.0</v>
      </c>
      <c r="K445" s="153">
        <v>0.243</v>
      </c>
      <c r="L445" s="153">
        <v>1.3403</v>
      </c>
      <c r="M445" s="153">
        <v>961.0</v>
      </c>
    </row>
    <row r="446">
      <c r="A446" s="250">
        <v>46246.0</v>
      </c>
      <c r="B446" s="153" t="s">
        <v>136</v>
      </c>
      <c r="C446" s="153" t="s">
        <v>5</v>
      </c>
      <c r="D446" s="153" t="s">
        <v>438</v>
      </c>
      <c r="E446" s="153" t="s">
        <v>439</v>
      </c>
      <c r="F446" s="153" t="s">
        <v>440</v>
      </c>
      <c r="G446" s="153">
        <v>3955.0</v>
      </c>
      <c r="H446" s="153">
        <v>1141.0</v>
      </c>
      <c r="I446" s="153">
        <v>28.85</v>
      </c>
      <c r="J446" s="153">
        <v>21730.0</v>
      </c>
      <c r="K446" s="153">
        <v>5.4943</v>
      </c>
      <c r="L446" s="153">
        <v>19.0447</v>
      </c>
      <c r="M446" s="153">
        <v>21730.0</v>
      </c>
    </row>
    <row r="447">
      <c r="A447" s="250">
        <v>46246.0</v>
      </c>
      <c r="B447" s="153" t="s">
        <v>136</v>
      </c>
      <c r="C447" s="153" t="s">
        <v>5</v>
      </c>
      <c r="D447" s="153" t="s">
        <v>441</v>
      </c>
      <c r="E447" s="153" t="s">
        <v>442</v>
      </c>
      <c r="F447" s="153" t="s">
        <v>440</v>
      </c>
      <c r="G447" s="153">
        <v>3955.0</v>
      </c>
      <c r="H447" s="153">
        <v>570.0</v>
      </c>
      <c r="I447" s="153">
        <v>14.41</v>
      </c>
      <c r="J447" s="153">
        <v>7510.0</v>
      </c>
      <c r="K447" s="153">
        <v>1.8989</v>
      </c>
      <c r="L447" s="153">
        <v>13.1754</v>
      </c>
      <c r="M447" s="153">
        <v>7510.0</v>
      </c>
    </row>
    <row r="448">
      <c r="A448" s="250">
        <v>46246.0</v>
      </c>
      <c r="B448" s="153" t="s">
        <v>136</v>
      </c>
      <c r="C448" s="153" t="s">
        <v>5</v>
      </c>
      <c r="D448" s="153" t="s">
        <v>441</v>
      </c>
      <c r="E448" s="153" t="s">
        <v>443</v>
      </c>
      <c r="F448" s="153" t="s">
        <v>440</v>
      </c>
      <c r="G448" s="153">
        <v>3955.0</v>
      </c>
      <c r="H448" s="153">
        <v>286.0</v>
      </c>
      <c r="I448" s="153">
        <v>7.23</v>
      </c>
      <c r="J448" s="153">
        <v>3530.0</v>
      </c>
      <c r="K448" s="153">
        <v>0.8925</v>
      </c>
      <c r="L448" s="153">
        <v>12.3427</v>
      </c>
      <c r="M448" s="153">
        <v>3530.0</v>
      </c>
    </row>
    <row r="449">
      <c r="A449" s="250">
        <v>46246.0</v>
      </c>
      <c r="B449" s="153" t="s">
        <v>136</v>
      </c>
      <c r="C449" s="153" t="s">
        <v>5</v>
      </c>
      <c r="D449" s="153" t="s">
        <v>444</v>
      </c>
      <c r="E449" s="153" t="s">
        <v>445</v>
      </c>
      <c r="F449" s="153" t="s">
        <v>440</v>
      </c>
      <c r="G449" s="153">
        <v>3955.0</v>
      </c>
      <c r="H449" s="153">
        <v>1090.0</v>
      </c>
      <c r="I449" s="153">
        <v>27.56</v>
      </c>
      <c r="J449" s="153">
        <v>37670.0</v>
      </c>
      <c r="K449" s="153">
        <v>9.5247</v>
      </c>
      <c r="L449" s="153">
        <v>34.5596</v>
      </c>
      <c r="M449" s="153">
        <v>37670.0</v>
      </c>
    </row>
    <row r="450">
      <c r="A450" s="250">
        <v>46246.0</v>
      </c>
      <c r="B450" s="153" t="s">
        <v>137</v>
      </c>
      <c r="C450" s="153" t="s">
        <v>5</v>
      </c>
      <c r="D450" s="153" t="s">
        <v>424</v>
      </c>
      <c r="E450" s="153" t="s">
        <v>425</v>
      </c>
      <c r="F450" s="153" t="s">
        <v>426</v>
      </c>
      <c r="G450" s="153">
        <v>573.0</v>
      </c>
      <c r="H450" s="153">
        <v>303.0</v>
      </c>
      <c r="I450" s="153">
        <v>52.88</v>
      </c>
      <c r="J450" s="153">
        <v>17717.44</v>
      </c>
      <c r="K450" s="153">
        <v>30.9205</v>
      </c>
      <c r="L450" s="153">
        <v>58.4734</v>
      </c>
      <c r="M450" s="153">
        <v>122070.0</v>
      </c>
    </row>
    <row r="451">
      <c r="A451" s="250">
        <v>46246.0</v>
      </c>
      <c r="B451" s="153" t="s">
        <v>137</v>
      </c>
      <c r="C451" s="153" t="s">
        <v>5</v>
      </c>
      <c r="D451" s="153" t="s">
        <v>427</v>
      </c>
      <c r="E451" s="153" t="s">
        <v>428</v>
      </c>
      <c r="F451" s="153" t="s">
        <v>429</v>
      </c>
      <c r="G451" s="153">
        <v>573.0</v>
      </c>
      <c r="H451" s="153">
        <v>358.0</v>
      </c>
      <c r="I451" s="153">
        <v>62.48</v>
      </c>
      <c r="J451" s="153">
        <v>121841.76</v>
      </c>
      <c r="K451" s="153">
        <v>212.6383</v>
      </c>
      <c r="L451" s="153">
        <v>340.3401</v>
      </c>
      <c r="M451" s="153">
        <v>136395.0</v>
      </c>
    </row>
    <row r="452">
      <c r="A452" s="250">
        <v>46246.0</v>
      </c>
      <c r="B452" s="153" t="s">
        <v>137</v>
      </c>
      <c r="C452" s="153" t="s">
        <v>5</v>
      </c>
      <c r="D452" s="153" t="s">
        <v>430</v>
      </c>
      <c r="E452" s="153" t="s">
        <v>431</v>
      </c>
      <c r="F452" s="153" t="s">
        <v>429</v>
      </c>
      <c r="G452" s="153">
        <v>573.0</v>
      </c>
      <c r="H452" s="153">
        <v>222.0</v>
      </c>
      <c r="I452" s="153">
        <v>38.74</v>
      </c>
      <c r="J452" s="153">
        <v>861.0</v>
      </c>
      <c r="K452" s="153">
        <v>1.5026</v>
      </c>
      <c r="L452" s="153">
        <v>3.8784</v>
      </c>
      <c r="M452" s="153">
        <v>861.0</v>
      </c>
    </row>
    <row r="453">
      <c r="A453" s="250">
        <v>46246.0</v>
      </c>
      <c r="B453" s="153" t="s">
        <v>137</v>
      </c>
      <c r="C453" s="153" t="s">
        <v>5</v>
      </c>
      <c r="D453" s="153" t="s">
        <v>430</v>
      </c>
      <c r="E453" s="153" t="s">
        <v>432</v>
      </c>
      <c r="F453" s="153" t="s">
        <v>429</v>
      </c>
      <c r="G453" s="153">
        <v>573.0</v>
      </c>
      <c r="H453" s="153">
        <v>183.0</v>
      </c>
      <c r="I453" s="153">
        <v>31.94</v>
      </c>
      <c r="J453" s="153">
        <v>1048.0</v>
      </c>
      <c r="K453" s="153">
        <v>1.829</v>
      </c>
      <c r="L453" s="153">
        <v>5.7268</v>
      </c>
      <c r="M453" s="153">
        <v>1048.0</v>
      </c>
    </row>
    <row r="454">
      <c r="A454" s="250">
        <v>46246.0</v>
      </c>
      <c r="B454" s="153" t="s">
        <v>137</v>
      </c>
      <c r="C454" s="153" t="s">
        <v>5</v>
      </c>
      <c r="D454" s="153" t="s">
        <v>430</v>
      </c>
      <c r="E454" s="153" t="s">
        <v>433</v>
      </c>
      <c r="F454" s="153" t="s">
        <v>429</v>
      </c>
      <c r="G454" s="153">
        <v>573.0</v>
      </c>
      <c r="H454" s="153">
        <v>292.0</v>
      </c>
      <c r="I454" s="153">
        <v>50.96</v>
      </c>
      <c r="J454" s="153">
        <v>988.0</v>
      </c>
      <c r="K454" s="153">
        <v>1.7243</v>
      </c>
      <c r="L454" s="153">
        <v>3.3836</v>
      </c>
      <c r="M454" s="153">
        <v>988.0</v>
      </c>
    </row>
    <row r="455">
      <c r="A455" s="250">
        <v>46246.0</v>
      </c>
      <c r="B455" s="153" t="s">
        <v>137</v>
      </c>
      <c r="C455" s="153" t="s">
        <v>5</v>
      </c>
      <c r="D455" s="153" t="s">
        <v>434</v>
      </c>
      <c r="E455" s="153" t="s">
        <v>435</v>
      </c>
      <c r="F455" s="153" t="s">
        <v>429</v>
      </c>
      <c r="G455" s="153">
        <v>573.0</v>
      </c>
      <c r="H455" s="153">
        <v>219.0</v>
      </c>
      <c r="I455" s="153">
        <v>38.22</v>
      </c>
      <c r="J455" s="153">
        <v>370.0</v>
      </c>
      <c r="K455" s="153">
        <v>0.6457</v>
      </c>
      <c r="L455" s="153">
        <v>1.6895</v>
      </c>
      <c r="M455" s="153">
        <v>370.0</v>
      </c>
    </row>
    <row r="456">
      <c r="A456" s="250">
        <v>46246.0</v>
      </c>
      <c r="B456" s="153" t="s">
        <v>137</v>
      </c>
      <c r="C456" s="153" t="s">
        <v>5</v>
      </c>
      <c r="D456" s="153" t="s">
        <v>434</v>
      </c>
      <c r="E456" s="153" t="s">
        <v>436</v>
      </c>
      <c r="F456" s="153" t="s">
        <v>429</v>
      </c>
      <c r="G456" s="153">
        <v>573.0</v>
      </c>
      <c r="H456" s="153">
        <v>213.0</v>
      </c>
      <c r="I456" s="153">
        <v>37.17</v>
      </c>
      <c r="J456" s="153">
        <v>344.0</v>
      </c>
      <c r="K456" s="153">
        <v>0.6003</v>
      </c>
      <c r="L456" s="153">
        <v>1.615</v>
      </c>
      <c r="M456" s="153">
        <v>344.0</v>
      </c>
    </row>
    <row r="457">
      <c r="A457" s="250">
        <v>46246.0</v>
      </c>
      <c r="B457" s="153" t="s">
        <v>137</v>
      </c>
      <c r="C457" s="153" t="s">
        <v>5</v>
      </c>
      <c r="D457" s="153" t="s">
        <v>434</v>
      </c>
      <c r="E457" s="153" t="s">
        <v>437</v>
      </c>
      <c r="F457" s="153" t="s">
        <v>429</v>
      </c>
      <c r="G457" s="153">
        <v>573.0</v>
      </c>
      <c r="H457" s="153">
        <v>214.0</v>
      </c>
      <c r="I457" s="153">
        <v>37.35</v>
      </c>
      <c r="J457" s="153">
        <v>424.0</v>
      </c>
      <c r="K457" s="153">
        <v>0.74</v>
      </c>
      <c r="L457" s="153">
        <v>1.9813</v>
      </c>
      <c r="M457" s="153">
        <v>424.0</v>
      </c>
    </row>
    <row r="458">
      <c r="A458" s="250">
        <v>46246.0</v>
      </c>
      <c r="B458" s="153" t="s">
        <v>137</v>
      </c>
      <c r="C458" s="153" t="s">
        <v>5</v>
      </c>
      <c r="D458" s="153" t="s">
        <v>438</v>
      </c>
      <c r="E458" s="153" t="s">
        <v>439</v>
      </c>
      <c r="F458" s="153" t="s">
        <v>440</v>
      </c>
      <c r="G458" s="153">
        <v>573.0</v>
      </c>
      <c r="H458" s="153">
        <v>217.0</v>
      </c>
      <c r="I458" s="153">
        <v>37.87</v>
      </c>
      <c r="J458" s="153">
        <v>4430.0</v>
      </c>
      <c r="K458" s="153">
        <v>7.7312</v>
      </c>
      <c r="L458" s="153">
        <v>20.4147</v>
      </c>
      <c r="M458" s="153">
        <v>4430.0</v>
      </c>
    </row>
    <row r="459">
      <c r="A459" s="250">
        <v>46246.0</v>
      </c>
      <c r="B459" s="153" t="s">
        <v>137</v>
      </c>
      <c r="C459" s="153" t="s">
        <v>5</v>
      </c>
      <c r="D459" s="153" t="s">
        <v>441</v>
      </c>
      <c r="E459" s="153" t="s">
        <v>442</v>
      </c>
      <c r="F459" s="153" t="s">
        <v>440</v>
      </c>
      <c r="G459" s="153">
        <v>573.0</v>
      </c>
      <c r="H459" s="153">
        <v>135.0</v>
      </c>
      <c r="I459" s="153">
        <v>23.56</v>
      </c>
      <c r="J459" s="153">
        <v>1940.0</v>
      </c>
      <c r="K459" s="153">
        <v>3.3857</v>
      </c>
      <c r="L459" s="153">
        <v>14.3704</v>
      </c>
      <c r="M459" s="153">
        <v>1940.0</v>
      </c>
    </row>
    <row r="460">
      <c r="A460" s="250">
        <v>46246.0</v>
      </c>
      <c r="B460" s="153" t="s">
        <v>137</v>
      </c>
      <c r="C460" s="153" t="s">
        <v>5</v>
      </c>
      <c r="D460" s="153" t="s">
        <v>441</v>
      </c>
      <c r="E460" s="153" t="s">
        <v>443</v>
      </c>
      <c r="F460" s="153" t="s">
        <v>440</v>
      </c>
      <c r="G460" s="153">
        <v>573.0</v>
      </c>
      <c r="H460" s="153">
        <v>105.0</v>
      </c>
      <c r="I460" s="153">
        <v>18.32</v>
      </c>
      <c r="J460" s="153">
        <v>1400.0</v>
      </c>
      <c r="K460" s="153">
        <v>2.4433</v>
      </c>
      <c r="L460" s="153">
        <v>13.3333</v>
      </c>
      <c r="M460" s="153">
        <v>1400.0</v>
      </c>
    </row>
    <row r="461">
      <c r="A461" s="250">
        <v>46246.0</v>
      </c>
      <c r="B461" s="153" t="s">
        <v>137</v>
      </c>
      <c r="C461" s="153" t="s">
        <v>5</v>
      </c>
      <c r="D461" s="153" t="s">
        <v>444</v>
      </c>
      <c r="E461" s="153" t="s">
        <v>445</v>
      </c>
      <c r="F461" s="153" t="s">
        <v>440</v>
      </c>
      <c r="G461" s="153">
        <v>573.0</v>
      </c>
      <c r="H461" s="153">
        <v>253.0</v>
      </c>
      <c r="I461" s="153">
        <v>44.15</v>
      </c>
      <c r="J461" s="153">
        <v>16200.0</v>
      </c>
      <c r="K461" s="153">
        <v>28.2723</v>
      </c>
      <c r="L461" s="153">
        <v>64.0316</v>
      </c>
      <c r="M461" s="153">
        <v>16200.0</v>
      </c>
    </row>
    <row r="462">
      <c r="A462" s="250">
        <v>46247.0</v>
      </c>
      <c r="B462" s="153" t="s">
        <v>423</v>
      </c>
      <c r="C462" s="153" t="s">
        <v>5</v>
      </c>
      <c r="D462" s="153" t="s">
        <v>424</v>
      </c>
      <c r="E462" s="153" t="s">
        <v>425</v>
      </c>
      <c r="F462" s="153" t="s">
        <v>426</v>
      </c>
      <c r="G462" s="153">
        <v>8265.0</v>
      </c>
      <c r="H462" s="153">
        <v>316.0</v>
      </c>
      <c r="I462" s="153">
        <v>3.82</v>
      </c>
      <c r="J462" s="153">
        <v>19702.7</v>
      </c>
      <c r="K462" s="153">
        <v>2.3839</v>
      </c>
      <c r="L462" s="153">
        <v>62.3503</v>
      </c>
      <c r="M462" s="153">
        <v>520220.0</v>
      </c>
    </row>
    <row r="463">
      <c r="A463" s="250">
        <v>46247.0</v>
      </c>
      <c r="B463" s="153" t="s">
        <v>423</v>
      </c>
      <c r="C463" s="153" t="s">
        <v>5</v>
      </c>
      <c r="D463" s="153" t="s">
        <v>427</v>
      </c>
      <c r="E463" s="153" t="s">
        <v>428</v>
      </c>
      <c r="F463" s="153" t="s">
        <v>429</v>
      </c>
      <c r="G463" s="153">
        <v>8265.0</v>
      </c>
      <c r="H463" s="153">
        <v>395.0</v>
      </c>
      <c r="I463" s="153">
        <v>4.78</v>
      </c>
      <c r="J463" s="153">
        <v>77903.74</v>
      </c>
      <c r="K463" s="153">
        <v>9.4257</v>
      </c>
      <c r="L463" s="153">
        <v>197.2247</v>
      </c>
      <c r="M463" s="153">
        <v>87030.0</v>
      </c>
    </row>
    <row r="464">
      <c r="A464" s="250">
        <v>46247.0</v>
      </c>
      <c r="B464" s="153" t="s">
        <v>423</v>
      </c>
      <c r="C464" s="153" t="s">
        <v>5</v>
      </c>
      <c r="D464" s="153" t="s">
        <v>430</v>
      </c>
      <c r="E464" s="153" t="s">
        <v>431</v>
      </c>
      <c r="F464" s="153" t="s">
        <v>429</v>
      </c>
      <c r="G464" s="153">
        <v>8265.0</v>
      </c>
      <c r="H464" s="153">
        <v>91.0</v>
      </c>
      <c r="I464" s="153">
        <v>1.1</v>
      </c>
      <c r="J464" s="153">
        <v>3124.0</v>
      </c>
      <c r="K464" s="153">
        <v>0.378</v>
      </c>
      <c r="L464" s="153">
        <v>34.3297</v>
      </c>
      <c r="M464" s="153">
        <v>3124.0</v>
      </c>
    </row>
    <row r="465">
      <c r="A465" s="250">
        <v>46247.0</v>
      </c>
      <c r="B465" s="153" t="s">
        <v>423</v>
      </c>
      <c r="C465" s="153" t="s">
        <v>5</v>
      </c>
      <c r="D465" s="153" t="s">
        <v>430</v>
      </c>
      <c r="E465" s="153" t="s">
        <v>432</v>
      </c>
      <c r="F465" s="153" t="s">
        <v>429</v>
      </c>
      <c r="G465" s="153">
        <v>8265.0</v>
      </c>
      <c r="H465" s="153">
        <v>150.0</v>
      </c>
      <c r="I465" s="153">
        <v>1.81</v>
      </c>
      <c r="J465" s="153">
        <v>3226.0</v>
      </c>
      <c r="K465" s="153">
        <v>0.3903</v>
      </c>
      <c r="L465" s="153">
        <v>21.5067</v>
      </c>
      <c r="M465" s="153">
        <v>3226.0</v>
      </c>
    </row>
    <row r="466">
      <c r="A466" s="250">
        <v>46247.0</v>
      </c>
      <c r="B466" s="153" t="s">
        <v>423</v>
      </c>
      <c r="C466" s="153" t="s">
        <v>5</v>
      </c>
      <c r="D466" s="153" t="s">
        <v>430</v>
      </c>
      <c r="E466" s="153" t="s">
        <v>433</v>
      </c>
      <c r="F466" s="153" t="s">
        <v>429</v>
      </c>
      <c r="G466" s="153">
        <v>8265.0</v>
      </c>
      <c r="H466" s="153">
        <v>242.0</v>
      </c>
      <c r="I466" s="153">
        <v>2.93</v>
      </c>
      <c r="J466" s="153">
        <v>3290.0</v>
      </c>
      <c r="K466" s="153">
        <v>0.3981</v>
      </c>
      <c r="L466" s="153">
        <v>13.595</v>
      </c>
      <c r="M466" s="153">
        <v>3290.0</v>
      </c>
    </row>
    <row r="467">
      <c r="A467" s="250">
        <v>46247.0</v>
      </c>
      <c r="B467" s="153" t="s">
        <v>423</v>
      </c>
      <c r="C467" s="153" t="s">
        <v>5</v>
      </c>
      <c r="D467" s="153" t="s">
        <v>434</v>
      </c>
      <c r="E467" s="153" t="s">
        <v>435</v>
      </c>
      <c r="F467" s="153" t="s">
        <v>429</v>
      </c>
      <c r="G467" s="153">
        <v>8265.0</v>
      </c>
      <c r="H467" s="153">
        <v>175.0</v>
      </c>
      <c r="I467" s="153">
        <v>2.12</v>
      </c>
      <c r="J467" s="153">
        <v>340.0</v>
      </c>
      <c r="K467" s="153">
        <v>0.0411</v>
      </c>
      <c r="L467" s="153">
        <v>1.9429</v>
      </c>
      <c r="M467" s="153">
        <v>340.0</v>
      </c>
    </row>
    <row r="468">
      <c r="A468" s="250">
        <v>46247.0</v>
      </c>
      <c r="B468" s="153" t="s">
        <v>423</v>
      </c>
      <c r="C468" s="153" t="s">
        <v>5</v>
      </c>
      <c r="D468" s="153" t="s">
        <v>434</v>
      </c>
      <c r="E468" s="153" t="s">
        <v>436</v>
      </c>
      <c r="F468" s="153" t="s">
        <v>429</v>
      </c>
      <c r="G468" s="153">
        <v>8265.0</v>
      </c>
      <c r="H468" s="153">
        <v>155.0</v>
      </c>
      <c r="I468" s="153">
        <v>1.88</v>
      </c>
      <c r="J468" s="153">
        <v>272.0</v>
      </c>
      <c r="K468" s="153">
        <v>0.0329</v>
      </c>
      <c r="L468" s="153">
        <v>1.7548</v>
      </c>
      <c r="M468" s="153">
        <v>272.0</v>
      </c>
    </row>
    <row r="469">
      <c r="A469" s="250">
        <v>46247.0</v>
      </c>
      <c r="B469" s="153" t="s">
        <v>423</v>
      </c>
      <c r="C469" s="153" t="s">
        <v>5</v>
      </c>
      <c r="D469" s="153" t="s">
        <v>434</v>
      </c>
      <c r="E469" s="153" t="s">
        <v>437</v>
      </c>
      <c r="F469" s="153" t="s">
        <v>429</v>
      </c>
      <c r="G469" s="153">
        <v>8265.0</v>
      </c>
      <c r="H469" s="153">
        <v>145.0</v>
      </c>
      <c r="I469" s="153">
        <v>1.75</v>
      </c>
      <c r="J469" s="153">
        <v>278.0</v>
      </c>
      <c r="K469" s="153">
        <v>0.0336</v>
      </c>
      <c r="L469" s="153">
        <v>1.9172</v>
      </c>
      <c r="M469" s="153">
        <v>278.0</v>
      </c>
    </row>
    <row r="470">
      <c r="A470" s="250">
        <v>46247.0</v>
      </c>
      <c r="B470" s="153" t="s">
        <v>423</v>
      </c>
      <c r="C470" s="153" t="s">
        <v>5</v>
      </c>
      <c r="D470" s="153" t="s">
        <v>438</v>
      </c>
      <c r="E470" s="153" t="s">
        <v>439</v>
      </c>
      <c r="F470" s="153" t="s">
        <v>440</v>
      </c>
      <c r="G470" s="153">
        <v>8265.0</v>
      </c>
      <c r="H470" s="153">
        <v>191.0</v>
      </c>
      <c r="I470" s="153">
        <v>2.31</v>
      </c>
      <c r="J470" s="153">
        <v>4180.0</v>
      </c>
      <c r="K470" s="153">
        <v>0.5057</v>
      </c>
      <c r="L470" s="153">
        <v>21.8848</v>
      </c>
      <c r="M470" s="153">
        <v>4180.0</v>
      </c>
    </row>
    <row r="471">
      <c r="A471" s="250">
        <v>46247.0</v>
      </c>
      <c r="B471" s="153" t="s">
        <v>423</v>
      </c>
      <c r="C471" s="153" t="s">
        <v>5</v>
      </c>
      <c r="D471" s="153" t="s">
        <v>441</v>
      </c>
      <c r="E471" s="153" t="s">
        <v>442</v>
      </c>
      <c r="F471" s="153" t="s">
        <v>440</v>
      </c>
      <c r="G471" s="153">
        <v>8265.0</v>
      </c>
      <c r="H471" s="153">
        <v>18.0</v>
      </c>
      <c r="I471" s="153">
        <v>0.22</v>
      </c>
      <c r="J471" s="153">
        <v>200.0</v>
      </c>
      <c r="K471" s="153">
        <v>0.0242</v>
      </c>
      <c r="L471" s="153">
        <v>11.1111</v>
      </c>
      <c r="M471" s="153">
        <v>200.0</v>
      </c>
    </row>
    <row r="472">
      <c r="A472" s="250">
        <v>46247.0</v>
      </c>
      <c r="B472" s="153" t="s">
        <v>423</v>
      </c>
      <c r="C472" s="153" t="s">
        <v>5</v>
      </c>
      <c r="D472" s="153" t="s">
        <v>441</v>
      </c>
      <c r="E472" s="153" t="s">
        <v>443</v>
      </c>
      <c r="F472" s="153" t="s">
        <v>440</v>
      </c>
      <c r="G472" s="153">
        <v>8265.0</v>
      </c>
      <c r="H472" s="153">
        <v>95.0</v>
      </c>
      <c r="I472" s="153">
        <v>1.15</v>
      </c>
      <c r="J472" s="153">
        <v>1150.0</v>
      </c>
      <c r="K472" s="153">
        <v>0.1391</v>
      </c>
      <c r="L472" s="153">
        <v>12.1053</v>
      </c>
      <c r="M472" s="153">
        <v>1150.0</v>
      </c>
    </row>
    <row r="473">
      <c r="A473" s="250">
        <v>46247.0</v>
      </c>
      <c r="B473" s="153" t="s">
        <v>423</v>
      </c>
      <c r="C473" s="153" t="s">
        <v>5</v>
      </c>
      <c r="D473" s="153" t="s">
        <v>444</v>
      </c>
      <c r="E473" s="153" t="s">
        <v>445</v>
      </c>
      <c r="F473" s="153" t="s">
        <v>440</v>
      </c>
      <c r="G473" s="153">
        <v>8265.0</v>
      </c>
      <c r="H473" s="153">
        <v>161.0</v>
      </c>
      <c r="I473" s="153">
        <v>1.95</v>
      </c>
      <c r="J473" s="153">
        <v>7550.0</v>
      </c>
      <c r="K473" s="153">
        <v>0.9135</v>
      </c>
      <c r="L473" s="153">
        <v>46.8944</v>
      </c>
      <c r="M473" s="153">
        <v>7550.0</v>
      </c>
    </row>
    <row r="474">
      <c r="A474" s="250">
        <v>46247.0</v>
      </c>
      <c r="B474" s="153" t="s">
        <v>133</v>
      </c>
      <c r="C474" s="153" t="s">
        <v>5</v>
      </c>
      <c r="D474" s="153" t="s">
        <v>424</v>
      </c>
      <c r="E474" s="153" t="s">
        <v>425</v>
      </c>
      <c r="F474" s="153" t="s">
        <v>426</v>
      </c>
      <c r="G474" s="153">
        <v>11015.0</v>
      </c>
      <c r="H474" s="153">
        <v>1801.0</v>
      </c>
      <c r="I474" s="153">
        <v>16.35</v>
      </c>
      <c r="J474" s="153">
        <v>25236.75</v>
      </c>
      <c r="K474" s="153">
        <v>2.2911</v>
      </c>
      <c r="L474" s="153">
        <v>14.0126</v>
      </c>
      <c r="M474" s="153">
        <v>30520.0</v>
      </c>
    </row>
    <row r="475">
      <c r="A475" s="250">
        <v>46247.0</v>
      </c>
      <c r="B475" s="153" t="s">
        <v>133</v>
      </c>
      <c r="C475" s="153" t="s">
        <v>5</v>
      </c>
      <c r="D475" s="153" t="s">
        <v>427</v>
      </c>
      <c r="E475" s="153" t="s">
        <v>428</v>
      </c>
      <c r="F475" s="153" t="s">
        <v>429</v>
      </c>
      <c r="G475" s="153">
        <v>11015.0</v>
      </c>
      <c r="H475" s="153">
        <v>2190.0</v>
      </c>
      <c r="I475" s="153">
        <v>19.88</v>
      </c>
      <c r="J475" s="153">
        <v>87252.72</v>
      </c>
      <c r="K475" s="153">
        <v>7.9213</v>
      </c>
      <c r="L475" s="153">
        <v>39.8414</v>
      </c>
      <c r="M475" s="153">
        <v>99460.0</v>
      </c>
    </row>
    <row r="476">
      <c r="A476" s="250">
        <v>46247.0</v>
      </c>
      <c r="B476" s="153" t="s">
        <v>133</v>
      </c>
      <c r="C476" s="153" t="s">
        <v>5</v>
      </c>
      <c r="D476" s="153" t="s">
        <v>430</v>
      </c>
      <c r="E476" s="153" t="s">
        <v>431</v>
      </c>
      <c r="F476" s="153" t="s">
        <v>429</v>
      </c>
      <c r="G476" s="153">
        <v>11015.0</v>
      </c>
      <c r="H476" s="153">
        <v>309.0</v>
      </c>
      <c r="I476" s="153">
        <v>2.81</v>
      </c>
      <c r="J476" s="153">
        <v>330.0</v>
      </c>
      <c r="K476" s="153">
        <v>0.03</v>
      </c>
      <c r="L476" s="153">
        <v>1.068</v>
      </c>
      <c r="M476" s="153">
        <v>330.0</v>
      </c>
    </row>
    <row r="477">
      <c r="A477" s="250">
        <v>46247.0</v>
      </c>
      <c r="B477" s="153" t="s">
        <v>133</v>
      </c>
      <c r="C477" s="153" t="s">
        <v>5</v>
      </c>
      <c r="D477" s="153" t="s">
        <v>430</v>
      </c>
      <c r="E477" s="153" t="s">
        <v>432</v>
      </c>
      <c r="F477" s="153" t="s">
        <v>429</v>
      </c>
      <c r="G477" s="153">
        <v>11015.0</v>
      </c>
      <c r="H477" s="153">
        <v>1216.0</v>
      </c>
      <c r="I477" s="153">
        <v>11.04</v>
      </c>
      <c r="J477" s="153">
        <v>1884.0</v>
      </c>
      <c r="K477" s="153">
        <v>0.171</v>
      </c>
      <c r="L477" s="153">
        <v>1.5493</v>
      </c>
      <c r="M477" s="153">
        <v>1884.0</v>
      </c>
    </row>
    <row r="478">
      <c r="A478" s="250">
        <v>46247.0</v>
      </c>
      <c r="B478" s="153" t="s">
        <v>133</v>
      </c>
      <c r="C478" s="153" t="s">
        <v>5</v>
      </c>
      <c r="D478" s="153" t="s">
        <v>430</v>
      </c>
      <c r="E478" s="153" t="s">
        <v>433</v>
      </c>
      <c r="F478" s="153" t="s">
        <v>429</v>
      </c>
      <c r="G478" s="153">
        <v>11015.0</v>
      </c>
      <c r="H478" s="153">
        <v>608.0</v>
      </c>
      <c r="I478" s="153">
        <v>5.52</v>
      </c>
      <c r="J478" s="153">
        <v>657.0</v>
      </c>
      <c r="K478" s="153">
        <v>0.0596</v>
      </c>
      <c r="L478" s="153">
        <v>1.0806</v>
      </c>
      <c r="M478" s="153">
        <v>657.0</v>
      </c>
    </row>
    <row r="479">
      <c r="A479" s="250">
        <v>46247.0</v>
      </c>
      <c r="B479" s="153" t="s">
        <v>133</v>
      </c>
      <c r="C479" s="153" t="s">
        <v>5</v>
      </c>
      <c r="D479" s="153" t="s">
        <v>434</v>
      </c>
      <c r="E479" s="153" t="s">
        <v>435</v>
      </c>
      <c r="F479" s="153" t="s">
        <v>429</v>
      </c>
      <c r="G479" s="153">
        <v>11015.0</v>
      </c>
      <c r="H479" s="153">
        <v>1049.0</v>
      </c>
      <c r="I479" s="153">
        <v>9.52</v>
      </c>
      <c r="J479" s="153">
        <v>1085.0</v>
      </c>
      <c r="K479" s="153">
        <v>0.0985</v>
      </c>
      <c r="L479" s="153">
        <v>1.0343</v>
      </c>
      <c r="M479" s="153">
        <v>1085.0</v>
      </c>
    </row>
    <row r="480">
      <c r="A480" s="250">
        <v>46247.0</v>
      </c>
      <c r="B480" s="153" t="s">
        <v>133</v>
      </c>
      <c r="C480" s="153" t="s">
        <v>5</v>
      </c>
      <c r="D480" s="153" t="s">
        <v>434</v>
      </c>
      <c r="E480" s="153" t="s">
        <v>436</v>
      </c>
      <c r="F480" s="153" t="s">
        <v>429</v>
      </c>
      <c r="G480" s="153">
        <v>11015.0</v>
      </c>
      <c r="H480" s="153">
        <v>996.0</v>
      </c>
      <c r="I480" s="153">
        <v>9.04</v>
      </c>
      <c r="J480" s="153">
        <v>1176.0</v>
      </c>
      <c r="K480" s="153">
        <v>0.1068</v>
      </c>
      <c r="L480" s="153">
        <v>1.1807</v>
      </c>
      <c r="M480" s="153">
        <v>1176.0</v>
      </c>
    </row>
    <row r="481">
      <c r="A481" s="250">
        <v>46247.0</v>
      </c>
      <c r="B481" s="153" t="s">
        <v>133</v>
      </c>
      <c r="C481" s="153" t="s">
        <v>5</v>
      </c>
      <c r="D481" s="153" t="s">
        <v>434</v>
      </c>
      <c r="E481" s="153" t="s">
        <v>437</v>
      </c>
      <c r="F481" s="153" t="s">
        <v>429</v>
      </c>
      <c r="G481" s="153">
        <v>11015.0</v>
      </c>
      <c r="H481" s="153">
        <v>13.0</v>
      </c>
      <c r="I481" s="153">
        <v>0.12</v>
      </c>
      <c r="J481" s="153">
        <v>15.0</v>
      </c>
      <c r="K481" s="153">
        <v>0.0014</v>
      </c>
      <c r="L481" s="153">
        <v>1.1538</v>
      </c>
      <c r="M481" s="153">
        <v>15.0</v>
      </c>
    </row>
    <row r="482">
      <c r="A482" s="250">
        <v>46247.0</v>
      </c>
      <c r="B482" s="153" t="s">
        <v>133</v>
      </c>
      <c r="C482" s="153" t="s">
        <v>5</v>
      </c>
      <c r="D482" s="153" t="s">
        <v>438</v>
      </c>
      <c r="E482" s="153" t="s">
        <v>439</v>
      </c>
      <c r="F482" s="153" t="s">
        <v>440</v>
      </c>
      <c r="G482" s="153">
        <v>11015.0</v>
      </c>
      <c r="H482" s="153">
        <v>857.0</v>
      </c>
      <c r="I482" s="153">
        <v>7.78</v>
      </c>
      <c r="J482" s="153">
        <v>9180.0</v>
      </c>
      <c r="K482" s="153">
        <v>0.8334</v>
      </c>
      <c r="L482" s="153">
        <v>10.7118</v>
      </c>
      <c r="M482" s="153">
        <v>9180.0</v>
      </c>
    </row>
    <row r="483">
      <c r="A483" s="250">
        <v>46247.0</v>
      </c>
      <c r="B483" s="153" t="s">
        <v>133</v>
      </c>
      <c r="C483" s="153" t="s">
        <v>5</v>
      </c>
      <c r="D483" s="153" t="s">
        <v>446</v>
      </c>
      <c r="E483" s="153" t="s">
        <v>447</v>
      </c>
      <c r="F483" s="153" t="s">
        <v>429</v>
      </c>
      <c r="G483" s="153">
        <v>11015.0</v>
      </c>
      <c r="H483" s="153">
        <v>1.0</v>
      </c>
      <c r="I483" s="153">
        <v>0.01</v>
      </c>
      <c r="J483" s="153">
        <v>10.0</v>
      </c>
      <c r="K483" s="153">
        <v>9.0E-4</v>
      </c>
      <c r="L483" s="153">
        <v>10.0</v>
      </c>
      <c r="M483" s="153">
        <v>10.0</v>
      </c>
    </row>
    <row r="484">
      <c r="A484" s="250">
        <v>46247.0</v>
      </c>
      <c r="B484" s="153" t="s">
        <v>133</v>
      </c>
      <c r="C484" s="153" t="s">
        <v>5</v>
      </c>
      <c r="D484" s="153" t="s">
        <v>441</v>
      </c>
      <c r="E484" s="153" t="s">
        <v>442</v>
      </c>
      <c r="F484" s="153" t="s">
        <v>440</v>
      </c>
      <c r="G484" s="153">
        <v>11015.0</v>
      </c>
      <c r="H484" s="153">
        <v>258.0</v>
      </c>
      <c r="I484" s="153">
        <v>2.34</v>
      </c>
      <c r="J484" s="153">
        <v>3080.0</v>
      </c>
      <c r="K484" s="153">
        <v>0.2796</v>
      </c>
      <c r="L484" s="153">
        <v>11.938</v>
      </c>
      <c r="M484" s="153">
        <v>3080.0</v>
      </c>
    </row>
    <row r="485">
      <c r="A485" s="250">
        <v>46247.0</v>
      </c>
      <c r="B485" s="153" t="s">
        <v>133</v>
      </c>
      <c r="C485" s="153" t="s">
        <v>5</v>
      </c>
      <c r="D485" s="153" t="s">
        <v>444</v>
      </c>
      <c r="E485" s="153" t="s">
        <v>445</v>
      </c>
      <c r="F485" s="153" t="s">
        <v>440</v>
      </c>
      <c r="G485" s="153">
        <v>11015.0</v>
      </c>
      <c r="H485" s="153">
        <v>1392.0</v>
      </c>
      <c r="I485" s="153">
        <v>12.64</v>
      </c>
      <c r="J485" s="153">
        <v>24145.0</v>
      </c>
      <c r="K485" s="153">
        <v>2.192</v>
      </c>
      <c r="L485" s="153">
        <v>17.3455</v>
      </c>
      <c r="M485" s="153">
        <v>24145.0</v>
      </c>
    </row>
    <row r="486">
      <c r="A486" s="250">
        <v>46247.0</v>
      </c>
      <c r="B486" s="153" t="s">
        <v>134</v>
      </c>
      <c r="C486" s="153" t="s">
        <v>4</v>
      </c>
      <c r="D486" s="153" t="s">
        <v>424</v>
      </c>
      <c r="E486" s="153" t="s">
        <v>425</v>
      </c>
      <c r="F486" s="153" t="s">
        <v>426</v>
      </c>
      <c r="G486" s="153">
        <v>8366.0</v>
      </c>
      <c r="H486" s="153">
        <v>1.0</v>
      </c>
      <c r="I486" s="153">
        <v>0.01</v>
      </c>
      <c r="J486" s="153">
        <v>20.0</v>
      </c>
      <c r="K486" s="153">
        <v>0.0024</v>
      </c>
      <c r="L486" s="153">
        <v>20.0</v>
      </c>
      <c r="M486" s="153">
        <v>20.0</v>
      </c>
    </row>
    <row r="487">
      <c r="A487" s="250">
        <v>46247.0</v>
      </c>
      <c r="B487" s="153" t="s">
        <v>134</v>
      </c>
      <c r="C487" s="153" t="s">
        <v>4</v>
      </c>
      <c r="D487" s="153" t="s">
        <v>427</v>
      </c>
      <c r="E487" s="153" t="s">
        <v>428</v>
      </c>
      <c r="F487" s="153" t="s">
        <v>429</v>
      </c>
      <c r="G487" s="153">
        <v>8366.0</v>
      </c>
      <c r="H487" s="153">
        <v>1.0</v>
      </c>
      <c r="I487" s="153">
        <v>0.01</v>
      </c>
      <c r="J487" s="153">
        <v>50.0</v>
      </c>
      <c r="K487" s="153">
        <v>0.006</v>
      </c>
      <c r="L487" s="153">
        <v>50.0</v>
      </c>
      <c r="M487" s="153">
        <v>50.0</v>
      </c>
    </row>
    <row r="488">
      <c r="A488" s="250">
        <v>46247.0</v>
      </c>
      <c r="B488" s="153" t="s">
        <v>134</v>
      </c>
      <c r="C488" s="153" t="s">
        <v>4</v>
      </c>
      <c r="D488" s="153" t="s">
        <v>430</v>
      </c>
      <c r="E488" s="153" t="s">
        <v>433</v>
      </c>
      <c r="F488" s="153" t="s">
        <v>429</v>
      </c>
      <c r="G488" s="153">
        <v>8366.0</v>
      </c>
      <c r="H488" s="153">
        <v>1.0</v>
      </c>
      <c r="I488" s="153">
        <v>0.01</v>
      </c>
      <c r="J488" s="153">
        <v>1.0</v>
      </c>
      <c r="K488" s="153">
        <v>1.0E-4</v>
      </c>
      <c r="L488" s="153">
        <v>1.0</v>
      </c>
      <c r="M488" s="153">
        <v>1.0</v>
      </c>
    </row>
    <row r="489">
      <c r="A489" s="250">
        <v>46247.0</v>
      </c>
      <c r="B489" s="153" t="s">
        <v>134</v>
      </c>
      <c r="C489" s="153" t="s">
        <v>5</v>
      </c>
      <c r="D489" s="153" t="s">
        <v>424</v>
      </c>
      <c r="E489" s="153" t="s">
        <v>425</v>
      </c>
      <c r="F489" s="153" t="s">
        <v>426</v>
      </c>
      <c r="G489" s="153">
        <v>8342.0</v>
      </c>
      <c r="H489" s="153">
        <v>1439.0</v>
      </c>
      <c r="I489" s="153">
        <v>17.25</v>
      </c>
      <c r="J489" s="153">
        <v>23572.07</v>
      </c>
      <c r="K489" s="153">
        <v>2.8257</v>
      </c>
      <c r="L489" s="153">
        <v>16.3809</v>
      </c>
      <c r="M489" s="153">
        <v>29730.0</v>
      </c>
    </row>
    <row r="490">
      <c r="A490" s="250">
        <v>46247.0</v>
      </c>
      <c r="B490" s="153" t="s">
        <v>134</v>
      </c>
      <c r="C490" s="153" t="s">
        <v>5</v>
      </c>
      <c r="D490" s="153" t="s">
        <v>427</v>
      </c>
      <c r="E490" s="153" t="s">
        <v>428</v>
      </c>
      <c r="F490" s="153" t="s">
        <v>429</v>
      </c>
      <c r="G490" s="153">
        <v>8342.0</v>
      </c>
      <c r="H490" s="153">
        <v>2406.0</v>
      </c>
      <c r="I490" s="153">
        <v>28.84</v>
      </c>
      <c r="J490" s="153">
        <v>158979.8</v>
      </c>
      <c r="K490" s="153">
        <v>19.0578</v>
      </c>
      <c r="L490" s="153">
        <v>66.0764</v>
      </c>
      <c r="M490" s="153">
        <v>185580.0</v>
      </c>
    </row>
    <row r="491">
      <c r="A491" s="250">
        <v>46247.0</v>
      </c>
      <c r="B491" s="153" t="s">
        <v>134</v>
      </c>
      <c r="C491" s="153" t="s">
        <v>5</v>
      </c>
      <c r="D491" s="153" t="s">
        <v>430</v>
      </c>
      <c r="E491" s="153" t="s">
        <v>431</v>
      </c>
      <c r="F491" s="153" t="s">
        <v>429</v>
      </c>
      <c r="G491" s="153">
        <v>8342.0</v>
      </c>
      <c r="H491" s="153">
        <v>925.0</v>
      </c>
      <c r="I491" s="153">
        <v>11.09</v>
      </c>
      <c r="J491" s="153">
        <v>1009.0</v>
      </c>
      <c r="K491" s="153">
        <v>0.121</v>
      </c>
      <c r="L491" s="153">
        <v>1.0908</v>
      </c>
      <c r="M491" s="153">
        <v>1009.0</v>
      </c>
    </row>
    <row r="492">
      <c r="A492" s="250">
        <v>46247.0</v>
      </c>
      <c r="B492" s="153" t="s">
        <v>134</v>
      </c>
      <c r="C492" s="153" t="s">
        <v>5</v>
      </c>
      <c r="D492" s="153" t="s">
        <v>430</v>
      </c>
      <c r="E492" s="153" t="s">
        <v>432</v>
      </c>
      <c r="F492" s="153" t="s">
        <v>429</v>
      </c>
      <c r="G492" s="153">
        <v>8342.0</v>
      </c>
      <c r="H492" s="153">
        <v>1251.0</v>
      </c>
      <c r="I492" s="153">
        <v>15.0</v>
      </c>
      <c r="J492" s="153">
        <v>2106.0</v>
      </c>
      <c r="K492" s="153">
        <v>0.2525</v>
      </c>
      <c r="L492" s="153">
        <v>1.6835</v>
      </c>
      <c r="M492" s="153">
        <v>2106.0</v>
      </c>
    </row>
    <row r="493">
      <c r="A493" s="250">
        <v>46247.0</v>
      </c>
      <c r="B493" s="153" t="s">
        <v>134</v>
      </c>
      <c r="C493" s="153" t="s">
        <v>5</v>
      </c>
      <c r="D493" s="153" t="s">
        <v>430</v>
      </c>
      <c r="E493" s="153" t="s">
        <v>433</v>
      </c>
      <c r="F493" s="153" t="s">
        <v>429</v>
      </c>
      <c r="G493" s="153">
        <v>8342.0</v>
      </c>
      <c r="H493" s="153">
        <v>859.0</v>
      </c>
      <c r="I493" s="153">
        <v>10.3</v>
      </c>
      <c r="J493" s="153">
        <v>970.0</v>
      </c>
      <c r="K493" s="153">
        <v>0.1163</v>
      </c>
      <c r="L493" s="153">
        <v>1.1292</v>
      </c>
      <c r="M493" s="153">
        <v>970.0</v>
      </c>
    </row>
    <row r="494">
      <c r="A494" s="250">
        <v>46247.0</v>
      </c>
      <c r="B494" s="153" t="s">
        <v>134</v>
      </c>
      <c r="C494" s="153" t="s">
        <v>5</v>
      </c>
      <c r="D494" s="153" t="s">
        <v>434</v>
      </c>
      <c r="E494" s="153" t="s">
        <v>435</v>
      </c>
      <c r="F494" s="153" t="s">
        <v>429</v>
      </c>
      <c r="G494" s="153">
        <v>8342.0</v>
      </c>
      <c r="H494" s="153">
        <v>751.0</v>
      </c>
      <c r="I494" s="153">
        <v>9.0</v>
      </c>
      <c r="J494" s="153">
        <v>785.0</v>
      </c>
      <c r="K494" s="153">
        <v>0.0941</v>
      </c>
      <c r="L494" s="153">
        <v>1.0453</v>
      </c>
      <c r="M494" s="153">
        <v>785.0</v>
      </c>
    </row>
    <row r="495">
      <c r="A495" s="250">
        <v>46247.0</v>
      </c>
      <c r="B495" s="153" t="s">
        <v>134</v>
      </c>
      <c r="C495" s="153" t="s">
        <v>5</v>
      </c>
      <c r="D495" s="153" t="s">
        <v>434</v>
      </c>
      <c r="E495" s="153" t="s">
        <v>436</v>
      </c>
      <c r="F495" s="153" t="s">
        <v>429</v>
      </c>
      <c r="G495" s="153">
        <v>8342.0</v>
      </c>
      <c r="H495" s="153">
        <v>803.0</v>
      </c>
      <c r="I495" s="153">
        <v>9.63</v>
      </c>
      <c r="J495" s="153">
        <v>998.0</v>
      </c>
      <c r="K495" s="153">
        <v>0.1196</v>
      </c>
      <c r="L495" s="153">
        <v>1.2428</v>
      </c>
      <c r="M495" s="153">
        <v>998.0</v>
      </c>
    </row>
    <row r="496">
      <c r="A496" s="250">
        <v>46247.0</v>
      </c>
      <c r="B496" s="153" t="s">
        <v>134</v>
      </c>
      <c r="C496" s="153" t="s">
        <v>5</v>
      </c>
      <c r="D496" s="153" t="s">
        <v>434</v>
      </c>
      <c r="E496" s="153" t="s">
        <v>437</v>
      </c>
      <c r="F496" s="153" t="s">
        <v>429</v>
      </c>
      <c r="G496" s="153">
        <v>8342.0</v>
      </c>
      <c r="H496" s="153">
        <v>415.0</v>
      </c>
      <c r="I496" s="153">
        <v>4.97</v>
      </c>
      <c r="J496" s="153">
        <v>473.0</v>
      </c>
      <c r="K496" s="153">
        <v>0.0567</v>
      </c>
      <c r="L496" s="153">
        <v>1.1398</v>
      </c>
      <c r="M496" s="153">
        <v>473.0</v>
      </c>
    </row>
    <row r="497">
      <c r="A497" s="250">
        <v>46247.0</v>
      </c>
      <c r="B497" s="153" t="s">
        <v>134</v>
      </c>
      <c r="C497" s="153" t="s">
        <v>5</v>
      </c>
      <c r="D497" s="153" t="s">
        <v>438</v>
      </c>
      <c r="E497" s="153" t="s">
        <v>439</v>
      </c>
      <c r="F497" s="153" t="s">
        <v>440</v>
      </c>
      <c r="G497" s="153">
        <v>8342.0</v>
      </c>
      <c r="H497" s="153">
        <v>767.0</v>
      </c>
      <c r="I497" s="153">
        <v>9.19</v>
      </c>
      <c r="J497" s="153">
        <v>8510.0</v>
      </c>
      <c r="K497" s="153">
        <v>1.0201</v>
      </c>
      <c r="L497" s="153">
        <v>11.0952</v>
      </c>
      <c r="M497" s="153">
        <v>8510.0</v>
      </c>
    </row>
    <row r="498">
      <c r="A498" s="250">
        <v>46247.0</v>
      </c>
      <c r="B498" s="153" t="s">
        <v>134</v>
      </c>
      <c r="C498" s="153" t="s">
        <v>5</v>
      </c>
      <c r="D498" s="153" t="s">
        <v>446</v>
      </c>
      <c r="E498" s="153" t="s">
        <v>447</v>
      </c>
      <c r="F498" s="153" t="s">
        <v>429</v>
      </c>
      <c r="G498" s="153">
        <v>8342.0</v>
      </c>
      <c r="H498" s="153">
        <v>1.0</v>
      </c>
      <c r="I498" s="153">
        <v>0.01</v>
      </c>
      <c r="J498" s="153">
        <v>10.0</v>
      </c>
      <c r="K498" s="153">
        <v>0.0012</v>
      </c>
      <c r="L498" s="153">
        <v>10.0</v>
      </c>
      <c r="M498" s="153">
        <v>10.0</v>
      </c>
    </row>
    <row r="499">
      <c r="A499" s="250">
        <v>46247.0</v>
      </c>
      <c r="B499" s="153" t="s">
        <v>134</v>
      </c>
      <c r="C499" s="153" t="s">
        <v>5</v>
      </c>
      <c r="D499" s="153" t="s">
        <v>441</v>
      </c>
      <c r="E499" s="153" t="s">
        <v>442</v>
      </c>
      <c r="F499" s="153" t="s">
        <v>440</v>
      </c>
      <c r="G499" s="153">
        <v>8342.0</v>
      </c>
      <c r="H499" s="153">
        <v>932.0</v>
      </c>
      <c r="I499" s="153">
        <v>11.17</v>
      </c>
      <c r="J499" s="153">
        <v>11490.0</v>
      </c>
      <c r="K499" s="153">
        <v>1.3774</v>
      </c>
      <c r="L499" s="153">
        <v>12.3283</v>
      </c>
      <c r="M499" s="153">
        <v>11490.0</v>
      </c>
    </row>
    <row r="500">
      <c r="A500" s="250">
        <v>46247.0</v>
      </c>
      <c r="B500" s="153" t="s">
        <v>134</v>
      </c>
      <c r="C500" s="153" t="s">
        <v>5</v>
      </c>
      <c r="D500" s="153" t="s">
        <v>441</v>
      </c>
      <c r="E500" s="153" t="s">
        <v>443</v>
      </c>
      <c r="F500" s="153" t="s">
        <v>440</v>
      </c>
      <c r="G500" s="153">
        <v>8342.0</v>
      </c>
      <c r="H500" s="153">
        <v>2.0</v>
      </c>
      <c r="I500" s="153">
        <v>0.02</v>
      </c>
      <c r="J500" s="153">
        <v>60.0</v>
      </c>
      <c r="K500" s="153">
        <v>0.0072</v>
      </c>
      <c r="L500" s="153">
        <v>30.0</v>
      </c>
      <c r="M500" s="153">
        <v>60.0</v>
      </c>
    </row>
    <row r="501">
      <c r="A501" s="250">
        <v>46247.0</v>
      </c>
      <c r="B501" s="153" t="s">
        <v>134</v>
      </c>
      <c r="C501" s="153" t="s">
        <v>5</v>
      </c>
      <c r="D501" s="153" t="s">
        <v>444</v>
      </c>
      <c r="E501" s="153" t="s">
        <v>445</v>
      </c>
      <c r="F501" s="153" t="s">
        <v>440</v>
      </c>
      <c r="G501" s="153">
        <v>8342.0</v>
      </c>
      <c r="H501" s="153">
        <v>1701.0</v>
      </c>
      <c r="I501" s="153">
        <v>20.39</v>
      </c>
      <c r="J501" s="153">
        <v>43545.0</v>
      </c>
      <c r="K501" s="153">
        <v>5.22</v>
      </c>
      <c r="L501" s="153">
        <v>25.5996</v>
      </c>
      <c r="M501" s="153">
        <v>43545.0</v>
      </c>
    </row>
    <row r="502">
      <c r="A502" s="250">
        <v>46247.0</v>
      </c>
      <c r="B502" s="153" t="s">
        <v>135</v>
      </c>
      <c r="C502" s="153" t="s">
        <v>5</v>
      </c>
      <c r="D502" s="153" t="s">
        <v>424</v>
      </c>
      <c r="E502" s="153" t="s">
        <v>425</v>
      </c>
      <c r="F502" s="153" t="s">
        <v>426</v>
      </c>
      <c r="G502" s="153">
        <v>6654.0</v>
      </c>
      <c r="H502" s="153">
        <v>1499.0</v>
      </c>
      <c r="I502" s="153">
        <v>22.53</v>
      </c>
      <c r="J502" s="153">
        <v>32302.33</v>
      </c>
      <c r="K502" s="153">
        <v>4.8546</v>
      </c>
      <c r="L502" s="153">
        <v>21.5493</v>
      </c>
      <c r="M502" s="153">
        <v>39360.0</v>
      </c>
    </row>
    <row r="503">
      <c r="A503" s="250">
        <v>46247.0</v>
      </c>
      <c r="B503" s="153" t="s">
        <v>135</v>
      </c>
      <c r="C503" s="153" t="s">
        <v>5</v>
      </c>
      <c r="D503" s="153" t="s">
        <v>427</v>
      </c>
      <c r="E503" s="153" t="s">
        <v>428</v>
      </c>
      <c r="F503" s="153" t="s">
        <v>429</v>
      </c>
      <c r="G503" s="153">
        <v>6654.0</v>
      </c>
      <c r="H503" s="153">
        <v>2458.0</v>
      </c>
      <c r="I503" s="153">
        <v>36.94</v>
      </c>
      <c r="J503" s="153">
        <v>236176.97</v>
      </c>
      <c r="K503" s="153">
        <v>35.494</v>
      </c>
      <c r="L503" s="153">
        <v>96.085</v>
      </c>
      <c r="M503" s="153">
        <v>276940.0</v>
      </c>
    </row>
    <row r="504">
      <c r="A504" s="250">
        <v>46247.0</v>
      </c>
      <c r="B504" s="153" t="s">
        <v>135</v>
      </c>
      <c r="C504" s="153" t="s">
        <v>5</v>
      </c>
      <c r="D504" s="153" t="s">
        <v>430</v>
      </c>
      <c r="E504" s="153" t="s">
        <v>431</v>
      </c>
      <c r="F504" s="153" t="s">
        <v>429</v>
      </c>
      <c r="G504" s="153">
        <v>6654.0</v>
      </c>
      <c r="H504" s="153">
        <v>731.0</v>
      </c>
      <c r="I504" s="153">
        <v>10.99</v>
      </c>
      <c r="J504" s="153">
        <v>802.0</v>
      </c>
      <c r="K504" s="153">
        <v>0.1205</v>
      </c>
      <c r="L504" s="153">
        <v>1.0971</v>
      </c>
      <c r="M504" s="153">
        <v>802.0</v>
      </c>
    </row>
    <row r="505">
      <c r="A505" s="250">
        <v>46247.0</v>
      </c>
      <c r="B505" s="153" t="s">
        <v>135</v>
      </c>
      <c r="C505" s="153" t="s">
        <v>5</v>
      </c>
      <c r="D505" s="153" t="s">
        <v>430</v>
      </c>
      <c r="E505" s="153" t="s">
        <v>432</v>
      </c>
      <c r="F505" s="153" t="s">
        <v>429</v>
      </c>
      <c r="G505" s="153">
        <v>6654.0</v>
      </c>
      <c r="H505" s="153">
        <v>1673.0</v>
      </c>
      <c r="I505" s="153">
        <v>25.14</v>
      </c>
      <c r="J505" s="153">
        <v>2697.0</v>
      </c>
      <c r="K505" s="153">
        <v>0.4053</v>
      </c>
      <c r="L505" s="153">
        <v>1.6121</v>
      </c>
      <c r="M505" s="153">
        <v>2697.0</v>
      </c>
    </row>
    <row r="506">
      <c r="A506" s="250">
        <v>46247.0</v>
      </c>
      <c r="B506" s="153" t="s">
        <v>135</v>
      </c>
      <c r="C506" s="153" t="s">
        <v>5</v>
      </c>
      <c r="D506" s="153" t="s">
        <v>430</v>
      </c>
      <c r="E506" s="153" t="s">
        <v>433</v>
      </c>
      <c r="F506" s="153" t="s">
        <v>429</v>
      </c>
      <c r="G506" s="153">
        <v>6654.0</v>
      </c>
      <c r="H506" s="153">
        <v>1062.0</v>
      </c>
      <c r="I506" s="153">
        <v>15.96</v>
      </c>
      <c r="J506" s="153">
        <v>1206.0</v>
      </c>
      <c r="K506" s="153">
        <v>0.1812</v>
      </c>
      <c r="L506" s="153">
        <v>1.1356</v>
      </c>
      <c r="M506" s="153">
        <v>1206.0</v>
      </c>
    </row>
    <row r="507">
      <c r="A507" s="250">
        <v>46247.0</v>
      </c>
      <c r="B507" s="153" t="s">
        <v>135</v>
      </c>
      <c r="C507" s="153" t="s">
        <v>5</v>
      </c>
      <c r="D507" s="153" t="s">
        <v>434</v>
      </c>
      <c r="E507" s="153" t="s">
        <v>435</v>
      </c>
      <c r="F507" s="153" t="s">
        <v>429</v>
      </c>
      <c r="G507" s="153">
        <v>6654.0</v>
      </c>
      <c r="H507" s="153">
        <v>891.0</v>
      </c>
      <c r="I507" s="153">
        <v>13.39</v>
      </c>
      <c r="J507" s="153">
        <v>1147.0</v>
      </c>
      <c r="K507" s="153">
        <v>0.1724</v>
      </c>
      <c r="L507" s="153">
        <v>1.2873</v>
      </c>
      <c r="M507" s="153">
        <v>1147.0</v>
      </c>
    </row>
    <row r="508">
      <c r="A508" s="250">
        <v>46247.0</v>
      </c>
      <c r="B508" s="153" t="s">
        <v>135</v>
      </c>
      <c r="C508" s="153" t="s">
        <v>5</v>
      </c>
      <c r="D508" s="153" t="s">
        <v>434</v>
      </c>
      <c r="E508" s="153" t="s">
        <v>436</v>
      </c>
      <c r="F508" s="153" t="s">
        <v>429</v>
      </c>
      <c r="G508" s="153">
        <v>6654.0</v>
      </c>
      <c r="H508" s="153">
        <v>747.0</v>
      </c>
      <c r="I508" s="153">
        <v>11.23</v>
      </c>
      <c r="J508" s="153">
        <v>939.0</v>
      </c>
      <c r="K508" s="153">
        <v>0.1411</v>
      </c>
      <c r="L508" s="153">
        <v>1.257</v>
      </c>
      <c r="M508" s="153">
        <v>939.0</v>
      </c>
    </row>
    <row r="509">
      <c r="A509" s="250">
        <v>46247.0</v>
      </c>
      <c r="B509" s="153" t="s">
        <v>135</v>
      </c>
      <c r="C509" s="153" t="s">
        <v>5</v>
      </c>
      <c r="D509" s="153" t="s">
        <v>434</v>
      </c>
      <c r="E509" s="153" t="s">
        <v>437</v>
      </c>
      <c r="F509" s="153" t="s">
        <v>429</v>
      </c>
      <c r="G509" s="153">
        <v>6654.0</v>
      </c>
      <c r="H509" s="153">
        <v>877.0</v>
      </c>
      <c r="I509" s="153">
        <v>13.18</v>
      </c>
      <c r="J509" s="153">
        <v>1051.0</v>
      </c>
      <c r="K509" s="153">
        <v>0.158</v>
      </c>
      <c r="L509" s="153">
        <v>1.1984</v>
      </c>
      <c r="M509" s="153">
        <v>1051.0</v>
      </c>
    </row>
    <row r="510">
      <c r="A510" s="250">
        <v>46247.0</v>
      </c>
      <c r="B510" s="153" t="s">
        <v>135</v>
      </c>
      <c r="C510" s="153" t="s">
        <v>5</v>
      </c>
      <c r="D510" s="153" t="s">
        <v>438</v>
      </c>
      <c r="E510" s="153" t="s">
        <v>439</v>
      </c>
      <c r="F510" s="153" t="s">
        <v>440</v>
      </c>
      <c r="G510" s="153">
        <v>6654.0</v>
      </c>
      <c r="H510" s="153">
        <v>1026.0</v>
      </c>
      <c r="I510" s="153">
        <v>15.42</v>
      </c>
      <c r="J510" s="153">
        <v>15530.0</v>
      </c>
      <c r="K510" s="153">
        <v>2.3339</v>
      </c>
      <c r="L510" s="153">
        <v>15.1365</v>
      </c>
      <c r="M510" s="153">
        <v>15530.0</v>
      </c>
    </row>
    <row r="511">
      <c r="A511" s="250">
        <v>46247.0</v>
      </c>
      <c r="B511" s="153" t="s">
        <v>135</v>
      </c>
      <c r="C511" s="153" t="s">
        <v>5</v>
      </c>
      <c r="D511" s="153" t="s">
        <v>441</v>
      </c>
      <c r="E511" s="153" t="s">
        <v>442</v>
      </c>
      <c r="F511" s="153" t="s">
        <v>440</v>
      </c>
      <c r="G511" s="153">
        <v>6654.0</v>
      </c>
      <c r="H511" s="153">
        <v>779.0</v>
      </c>
      <c r="I511" s="153">
        <v>11.71</v>
      </c>
      <c r="J511" s="153">
        <v>10020.0</v>
      </c>
      <c r="K511" s="153">
        <v>1.5059</v>
      </c>
      <c r="L511" s="153">
        <v>12.8626</v>
      </c>
      <c r="M511" s="153">
        <v>10020.0</v>
      </c>
    </row>
    <row r="512">
      <c r="A512" s="250">
        <v>46247.0</v>
      </c>
      <c r="B512" s="153" t="s">
        <v>135</v>
      </c>
      <c r="C512" s="153" t="s">
        <v>5</v>
      </c>
      <c r="D512" s="153" t="s">
        <v>441</v>
      </c>
      <c r="E512" s="153" t="s">
        <v>443</v>
      </c>
      <c r="F512" s="153" t="s">
        <v>440</v>
      </c>
      <c r="G512" s="153">
        <v>6654.0</v>
      </c>
      <c r="H512" s="153">
        <v>45.0</v>
      </c>
      <c r="I512" s="153">
        <v>0.68</v>
      </c>
      <c r="J512" s="153">
        <v>570.0</v>
      </c>
      <c r="K512" s="153">
        <v>0.0857</v>
      </c>
      <c r="L512" s="153">
        <v>12.6667</v>
      </c>
      <c r="M512" s="153">
        <v>570.0</v>
      </c>
    </row>
    <row r="513">
      <c r="A513" s="250">
        <v>46247.0</v>
      </c>
      <c r="B513" s="153" t="s">
        <v>135</v>
      </c>
      <c r="C513" s="153" t="s">
        <v>5</v>
      </c>
      <c r="D513" s="153" t="s">
        <v>444</v>
      </c>
      <c r="E513" s="153" t="s">
        <v>445</v>
      </c>
      <c r="F513" s="153" t="s">
        <v>440</v>
      </c>
      <c r="G513" s="153">
        <v>6654.0</v>
      </c>
      <c r="H513" s="153">
        <v>1351.0</v>
      </c>
      <c r="I513" s="153">
        <v>20.3</v>
      </c>
      <c r="J513" s="153">
        <v>37905.0</v>
      </c>
      <c r="K513" s="153">
        <v>5.6966</v>
      </c>
      <c r="L513" s="153">
        <v>28.057</v>
      </c>
      <c r="M513" s="153">
        <v>37905.0</v>
      </c>
    </row>
    <row r="514">
      <c r="A514" s="250">
        <v>46247.0</v>
      </c>
      <c r="B514" s="153" t="s">
        <v>136</v>
      </c>
      <c r="C514" s="153" t="s">
        <v>4</v>
      </c>
      <c r="D514" s="153" t="s">
        <v>424</v>
      </c>
      <c r="E514" s="153" t="s">
        <v>425</v>
      </c>
      <c r="F514" s="153" t="s">
        <v>426</v>
      </c>
      <c r="G514" s="153">
        <v>4159.0</v>
      </c>
      <c r="H514" s="153">
        <v>1.0</v>
      </c>
      <c r="I514" s="153">
        <v>0.02</v>
      </c>
      <c r="J514" s="153">
        <v>22.5</v>
      </c>
      <c r="K514" s="153">
        <v>0.0054</v>
      </c>
      <c r="L514" s="153">
        <v>22.5</v>
      </c>
      <c r="M514" s="153">
        <v>30.0</v>
      </c>
    </row>
    <row r="515">
      <c r="A515" s="250">
        <v>46247.0</v>
      </c>
      <c r="B515" s="153" t="s">
        <v>136</v>
      </c>
      <c r="C515" s="153" t="s">
        <v>4</v>
      </c>
      <c r="D515" s="153" t="s">
        <v>427</v>
      </c>
      <c r="E515" s="153" t="s">
        <v>428</v>
      </c>
      <c r="F515" s="153" t="s">
        <v>429</v>
      </c>
      <c r="G515" s="153">
        <v>4159.0</v>
      </c>
      <c r="H515" s="153">
        <v>1.0</v>
      </c>
      <c r="I515" s="153">
        <v>0.02</v>
      </c>
      <c r="J515" s="153">
        <v>119.23</v>
      </c>
      <c r="K515" s="153">
        <v>0.0287</v>
      </c>
      <c r="L515" s="153">
        <v>119.2308</v>
      </c>
      <c r="M515" s="153">
        <v>125.0</v>
      </c>
    </row>
    <row r="516">
      <c r="A516" s="250">
        <v>46247.0</v>
      </c>
      <c r="B516" s="153" t="s">
        <v>136</v>
      </c>
      <c r="C516" s="153" t="s">
        <v>4</v>
      </c>
      <c r="D516" s="153" t="s">
        <v>430</v>
      </c>
      <c r="E516" s="153" t="s">
        <v>432</v>
      </c>
      <c r="F516" s="153" t="s">
        <v>429</v>
      </c>
      <c r="G516" s="153">
        <v>4159.0</v>
      </c>
      <c r="H516" s="153">
        <v>1.0</v>
      </c>
      <c r="I516" s="153">
        <v>0.02</v>
      </c>
      <c r="J516" s="153">
        <v>1.0</v>
      </c>
      <c r="K516" s="153">
        <v>2.0E-4</v>
      </c>
      <c r="L516" s="153">
        <v>1.0</v>
      </c>
      <c r="M516" s="153">
        <v>1.0</v>
      </c>
    </row>
    <row r="517">
      <c r="A517" s="250">
        <v>46247.0</v>
      </c>
      <c r="B517" s="153" t="s">
        <v>136</v>
      </c>
      <c r="C517" s="153" t="s">
        <v>4</v>
      </c>
      <c r="D517" s="153" t="s">
        <v>430</v>
      </c>
      <c r="E517" s="153" t="s">
        <v>433</v>
      </c>
      <c r="F517" s="153" t="s">
        <v>429</v>
      </c>
      <c r="G517" s="153">
        <v>4159.0</v>
      </c>
      <c r="H517" s="153">
        <v>1.0</v>
      </c>
      <c r="I517" s="153">
        <v>0.02</v>
      </c>
      <c r="J517" s="153">
        <v>1.0</v>
      </c>
      <c r="K517" s="153">
        <v>2.0E-4</v>
      </c>
      <c r="L517" s="153">
        <v>1.0</v>
      </c>
      <c r="M517" s="153">
        <v>1.0</v>
      </c>
    </row>
    <row r="518">
      <c r="A518" s="250">
        <v>46247.0</v>
      </c>
      <c r="B518" s="153" t="s">
        <v>136</v>
      </c>
      <c r="C518" s="153" t="s">
        <v>4</v>
      </c>
      <c r="D518" s="153" t="s">
        <v>434</v>
      </c>
      <c r="E518" s="153" t="s">
        <v>437</v>
      </c>
      <c r="F518" s="153" t="s">
        <v>429</v>
      </c>
      <c r="G518" s="153">
        <v>4159.0</v>
      </c>
      <c r="H518" s="153">
        <v>1.0</v>
      </c>
      <c r="I518" s="153">
        <v>0.02</v>
      </c>
      <c r="J518" s="153">
        <v>1.0</v>
      </c>
      <c r="K518" s="153">
        <v>2.0E-4</v>
      </c>
      <c r="L518" s="153">
        <v>1.0</v>
      </c>
      <c r="M518" s="153">
        <v>1.0</v>
      </c>
    </row>
    <row r="519">
      <c r="A519" s="250">
        <v>46247.0</v>
      </c>
      <c r="B519" s="153" t="s">
        <v>136</v>
      </c>
      <c r="C519" s="153" t="s">
        <v>5</v>
      </c>
      <c r="D519" s="153" t="s">
        <v>424</v>
      </c>
      <c r="E519" s="153" t="s">
        <v>425</v>
      </c>
      <c r="F519" s="153" t="s">
        <v>426</v>
      </c>
      <c r="G519" s="153">
        <v>4010.0</v>
      </c>
      <c r="H519" s="153">
        <v>1405.0</v>
      </c>
      <c r="I519" s="153">
        <v>35.04</v>
      </c>
      <c r="J519" s="153">
        <v>51092.07</v>
      </c>
      <c r="K519" s="153">
        <v>12.7412</v>
      </c>
      <c r="L519" s="153">
        <v>36.3645</v>
      </c>
      <c r="M519" s="153">
        <v>66370.0</v>
      </c>
    </row>
    <row r="520">
      <c r="A520" s="250">
        <v>46247.0</v>
      </c>
      <c r="B520" s="153" t="s">
        <v>136</v>
      </c>
      <c r="C520" s="153" t="s">
        <v>5</v>
      </c>
      <c r="D520" s="153" t="s">
        <v>427</v>
      </c>
      <c r="E520" s="153" t="s">
        <v>428</v>
      </c>
      <c r="F520" s="153" t="s">
        <v>429</v>
      </c>
      <c r="G520" s="153">
        <v>4010.0</v>
      </c>
      <c r="H520" s="153">
        <v>1825.0</v>
      </c>
      <c r="I520" s="153">
        <v>45.51</v>
      </c>
      <c r="J520" s="153">
        <v>322436.66</v>
      </c>
      <c r="K520" s="153">
        <v>80.4081</v>
      </c>
      <c r="L520" s="153">
        <v>176.6776</v>
      </c>
      <c r="M520" s="153">
        <v>364510.0</v>
      </c>
    </row>
    <row r="521">
      <c r="A521" s="250">
        <v>46247.0</v>
      </c>
      <c r="B521" s="153" t="s">
        <v>136</v>
      </c>
      <c r="C521" s="153" t="s">
        <v>5</v>
      </c>
      <c r="D521" s="153" t="s">
        <v>430</v>
      </c>
      <c r="E521" s="153" t="s">
        <v>431</v>
      </c>
      <c r="F521" s="153" t="s">
        <v>429</v>
      </c>
      <c r="G521" s="153">
        <v>4010.0</v>
      </c>
      <c r="H521" s="153">
        <v>636.0</v>
      </c>
      <c r="I521" s="153">
        <v>15.86</v>
      </c>
      <c r="J521" s="153">
        <v>734.0</v>
      </c>
      <c r="K521" s="153">
        <v>0.183</v>
      </c>
      <c r="L521" s="153">
        <v>1.1541</v>
      </c>
      <c r="M521" s="153">
        <v>734.0</v>
      </c>
    </row>
    <row r="522">
      <c r="A522" s="250">
        <v>46247.0</v>
      </c>
      <c r="B522" s="153" t="s">
        <v>136</v>
      </c>
      <c r="C522" s="153" t="s">
        <v>5</v>
      </c>
      <c r="D522" s="153" t="s">
        <v>430</v>
      </c>
      <c r="E522" s="153" t="s">
        <v>432</v>
      </c>
      <c r="F522" s="153" t="s">
        <v>429</v>
      </c>
      <c r="G522" s="153">
        <v>4010.0</v>
      </c>
      <c r="H522" s="153">
        <v>918.0</v>
      </c>
      <c r="I522" s="153">
        <v>22.89</v>
      </c>
      <c r="J522" s="153">
        <v>1755.0</v>
      </c>
      <c r="K522" s="153">
        <v>0.4377</v>
      </c>
      <c r="L522" s="153">
        <v>1.9118</v>
      </c>
      <c r="M522" s="153">
        <v>1755.0</v>
      </c>
    </row>
    <row r="523">
      <c r="A523" s="250">
        <v>46247.0</v>
      </c>
      <c r="B523" s="153" t="s">
        <v>136</v>
      </c>
      <c r="C523" s="153" t="s">
        <v>5</v>
      </c>
      <c r="D523" s="153" t="s">
        <v>430</v>
      </c>
      <c r="E523" s="153" t="s">
        <v>433</v>
      </c>
      <c r="F523" s="153" t="s">
        <v>429</v>
      </c>
      <c r="G523" s="153">
        <v>4010.0</v>
      </c>
      <c r="H523" s="153">
        <v>1150.0</v>
      </c>
      <c r="I523" s="153">
        <v>28.68</v>
      </c>
      <c r="J523" s="153">
        <v>1353.0</v>
      </c>
      <c r="K523" s="153">
        <v>0.3374</v>
      </c>
      <c r="L523" s="153">
        <v>1.1765</v>
      </c>
      <c r="M523" s="153">
        <v>1353.0</v>
      </c>
    </row>
    <row r="524">
      <c r="A524" s="250">
        <v>46247.0</v>
      </c>
      <c r="B524" s="153" t="s">
        <v>136</v>
      </c>
      <c r="C524" s="153" t="s">
        <v>5</v>
      </c>
      <c r="D524" s="153" t="s">
        <v>434</v>
      </c>
      <c r="E524" s="153" t="s">
        <v>435</v>
      </c>
      <c r="F524" s="153" t="s">
        <v>429</v>
      </c>
      <c r="G524" s="153">
        <v>4010.0</v>
      </c>
      <c r="H524" s="153">
        <v>1090.0</v>
      </c>
      <c r="I524" s="153">
        <v>27.18</v>
      </c>
      <c r="J524" s="153">
        <v>1783.0</v>
      </c>
      <c r="K524" s="153">
        <v>0.4446</v>
      </c>
      <c r="L524" s="153">
        <v>1.6358</v>
      </c>
      <c r="M524" s="153">
        <v>1783.0</v>
      </c>
    </row>
    <row r="525">
      <c r="A525" s="250">
        <v>46247.0</v>
      </c>
      <c r="B525" s="153" t="s">
        <v>136</v>
      </c>
      <c r="C525" s="153" t="s">
        <v>5</v>
      </c>
      <c r="D525" s="153" t="s">
        <v>434</v>
      </c>
      <c r="E525" s="153" t="s">
        <v>436</v>
      </c>
      <c r="F525" s="153" t="s">
        <v>429</v>
      </c>
      <c r="G525" s="153">
        <v>4010.0</v>
      </c>
      <c r="H525" s="153">
        <v>831.0</v>
      </c>
      <c r="I525" s="153">
        <v>20.72</v>
      </c>
      <c r="J525" s="153">
        <v>1325.0</v>
      </c>
      <c r="K525" s="153">
        <v>0.3304</v>
      </c>
      <c r="L525" s="153">
        <v>1.5945</v>
      </c>
      <c r="M525" s="153">
        <v>1325.0</v>
      </c>
    </row>
    <row r="526">
      <c r="A526" s="250">
        <v>46247.0</v>
      </c>
      <c r="B526" s="153" t="s">
        <v>136</v>
      </c>
      <c r="C526" s="153" t="s">
        <v>5</v>
      </c>
      <c r="D526" s="153" t="s">
        <v>434</v>
      </c>
      <c r="E526" s="153" t="s">
        <v>437</v>
      </c>
      <c r="F526" s="153" t="s">
        <v>429</v>
      </c>
      <c r="G526" s="153">
        <v>4010.0</v>
      </c>
      <c r="H526" s="153">
        <v>579.0</v>
      </c>
      <c r="I526" s="153">
        <v>14.44</v>
      </c>
      <c r="J526" s="153">
        <v>875.0</v>
      </c>
      <c r="K526" s="153">
        <v>0.2182</v>
      </c>
      <c r="L526" s="153">
        <v>1.5112</v>
      </c>
      <c r="M526" s="153">
        <v>875.0</v>
      </c>
    </row>
    <row r="527">
      <c r="A527" s="250">
        <v>46247.0</v>
      </c>
      <c r="B527" s="153" t="s">
        <v>136</v>
      </c>
      <c r="C527" s="153" t="s">
        <v>5</v>
      </c>
      <c r="D527" s="153" t="s">
        <v>438</v>
      </c>
      <c r="E527" s="153" t="s">
        <v>439</v>
      </c>
      <c r="F527" s="153" t="s">
        <v>440</v>
      </c>
      <c r="G527" s="153">
        <v>4010.0</v>
      </c>
      <c r="H527" s="153">
        <v>1039.0</v>
      </c>
      <c r="I527" s="153">
        <v>25.91</v>
      </c>
      <c r="J527" s="153">
        <v>19700.0</v>
      </c>
      <c r="K527" s="153">
        <v>4.9127</v>
      </c>
      <c r="L527" s="153">
        <v>18.9605</v>
      </c>
      <c r="M527" s="153">
        <v>19700.0</v>
      </c>
    </row>
    <row r="528">
      <c r="A528" s="250">
        <v>46247.0</v>
      </c>
      <c r="B528" s="153" t="s">
        <v>136</v>
      </c>
      <c r="C528" s="153" t="s">
        <v>5</v>
      </c>
      <c r="D528" s="153" t="s">
        <v>441</v>
      </c>
      <c r="E528" s="153" t="s">
        <v>442</v>
      </c>
      <c r="F528" s="153" t="s">
        <v>440</v>
      </c>
      <c r="G528" s="153">
        <v>4010.0</v>
      </c>
      <c r="H528" s="153">
        <v>439.0</v>
      </c>
      <c r="I528" s="153">
        <v>10.95</v>
      </c>
      <c r="J528" s="153">
        <v>5630.0</v>
      </c>
      <c r="K528" s="153">
        <v>1.404</v>
      </c>
      <c r="L528" s="153">
        <v>12.8246</v>
      </c>
      <c r="M528" s="153">
        <v>5630.0</v>
      </c>
    </row>
    <row r="529">
      <c r="A529" s="250">
        <v>46247.0</v>
      </c>
      <c r="B529" s="153" t="s">
        <v>136</v>
      </c>
      <c r="C529" s="153" t="s">
        <v>5</v>
      </c>
      <c r="D529" s="153" t="s">
        <v>441</v>
      </c>
      <c r="E529" s="153" t="s">
        <v>443</v>
      </c>
      <c r="F529" s="153" t="s">
        <v>440</v>
      </c>
      <c r="G529" s="153">
        <v>4010.0</v>
      </c>
      <c r="H529" s="153">
        <v>366.0</v>
      </c>
      <c r="I529" s="153">
        <v>9.13</v>
      </c>
      <c r="J529" s="153">
        <v>4400.0</v>
      </c>
      <c r="K529" s="153">
        <v>1.0973</v>
      </c>
      <c r="L529" s="153">
        <v>12.0219</v>
      </c>
      <c r="M529" s="153">
        <v>4400.0</v>
      </c>
    </row>
    <row r="530">
      <c r="A530" s="250">
        <v>46247.0</v>
      </c>
      <c r="B530" s="153" t="s">
        <v>136</v>
      </c>
      <c r="C530" s="153" t="s">
        <v>5</v>
      </c>
      <c r="D530" s="153" t="s">
        <v>444</v>
      </c>
      <c r="E530" s="153" t="s">
        <v>445</v>
      </c>
      <c r="F530" s="153" t="s">
        <v>440</v>
      </c>
      <c r="G530" s="153">
        <v>4010.0</v>
      </c>
      <c r="H530" s="153">
        <v>966.0</v>
      </c>
      <c r="I530" s="153">
        <v>24.09</v>
      </c>
      <c r="J530" s="153">
        <v>38355.0</v>
      </c>
      <c r="K530" s="153">
        <v>9.5648</v>
      </c>
      <c r="L530" s="153">
        <v>39.705</v>
      </c>
      <c r="M530" s="153">
        <v>38355.0</v>
      </c>
    </row>
    <row r="531">
      <c r="A531" s="250">
        <v>46247.0</v>
      </c>
      <c r="B531" s="153" t="s">
        <v>137</v>
      </c>
      <c r="C531" s="153" t="s">
        <v>5</v>
      </c>
      <c r="D531" s="153" t="s">
        <v>424</v>
      </c>
      <c r="E531" s="153" t="s">
        <v>425</v>
      </c>
      <c r="F531" s="153" t="s">
        <v>426</v>
      </c>
      <c r="G531" s="153">
        <v>566.0</v>
      </c>
      <c r="H531" s="153">
        <v>293.0</v>
      </c>
      <c r="I531" s="153">
        <v>51.77</v>
      </c>
      <c r="J531" s="153">
        <v>29927.77</v>
      </c>
      <c r="K531" s="153">
        <v>52.8759</v>
      </c>
      <c r="L531" s="153">
        <v>102.1426</v>
      </c>
      <c r="M531" s="153">
        <v>617710.0</v>
      </c>
    </row>
    <row r="532">
      <c r="A532" s="250">
        <v>46247.0</v>
      </c>
      <c r="B532" s="153" t="s">
        <v>137</v>
      </c>
      <c r="C532" s="153" t="s">
        <v>5</v>
      </c>
      <c r="D532" s="153" t="s">
        <v>427</v>
      </c>
      <c r="E532" s="153" t="s">
        <v>428</v>
      </c>
      <c r="F532" s="153" t="s">
        <v>429</v>
      </c>
      <c r="G532" s="153">
        <v>566.0</v>
      </c>
      <c r="H532" s="153">
        <v>305.0</v>
      </c>
      <c r="I532" s="153">
        <v>53.89</v>
      </c>
      <c r="J532" s="153">
        <v>97725.02</v>
      </c>
      <c r="K532" s="153">
        <v>172.6591</v>
      </c>
      <c r="L532" s="153">
        <v>320.4099</v>
      </c>
      <c r="M532" s="153">
        <v>109905.0</v>
      </c>
    </row>
    <row r="533">
      <c r="A533" s="250">
        <v>46247.0</v>
      </c>
      <c r="B533" s="153" t="s">
        <v>137</v>
      </c>
      <c r="C533" s="153" t="s">
        <v>5</v>
      </c>
      <c r="D533" s="153" t="s">
        <v>430</v>
      </c>
      <c r="E533" s="153" t="s">
        <v>431</v>
      </c>
      <c r="F533" s="153" t="s">
        <v>429</v>
      </c>
      <c r="G533" s="153">
        <v>566.0</v>
      </c>
      <c r="H533" s="153">
        <v>224.0</v>
      </c>
      <c r="I533" s="153">
        <v>39.58</v>
      </c>
      <c r="J533" s="153">
        <v>3822.0</v>
      </c>
      <c r="K533" s="153">
        <v>6.7527</v>
      </c>
      <c r="L533" s="153">
        <v>17.0625</v>
      </c>
      <c r="M533" s="153">
        <v>3822.0</v>
      </c>
    </row>
    <row r="534">
      <c r="A534" s="250">
        <v>46247.0</v>
      </c>
      <c r="B534" s="153" t="s">
        <v>137</v>
      </c>
      <c r="C534" s="153" t="s">
        <v>5</v>
      </c>
      <c r="D534" s="153" t="s">
        <v>430</v>
      </c>
      <c r="E534" s="153" t="s">
        <v>432</v>
      </c>
      <c r="F534" s="153" t="s">
        <v>429</v>
      </c>
      <c r="G534" s="153">
        <v>566.0</v>
      </c>
      <c r="H534" s="153">
        <v>199.0</v>
      </c>
      <c r="I534" s="153">
        <v>35.16</v>
      </c>
      <c r="J534" s="153">
        <v>4024.0</v>
      </c>
      <c r="K534" s="153">
        <v>7.1095</v>
      </c>
      <c r="L534" s="153">
        <v>20.2211</v>
      </c>
      <c r="M534" s="153">
        <v>4024.0</v>
      </c>
    </row>
    <row r="535">
      <c r="A535" s="250">
        <v>46247.0</v>
      </c>
      <c r="B535" s="153" t="s">
        <v>137</v>
      </c>
      <c r="C535" s="153" t="s">
        <v>5</v>
      </c>
      <c r="D535" s="153" t="s">
        <v>430</v>
      </c>
      <c r="E535" s="153" t="s">
        <v>433</v>
      </c>
      <c r="F535" s="153" t="s">
        <v>429</v>
      </c>
      <c r="G535" s="153">
        <v>566.0</v>
      </c>
      <c r="H535" s="153">
        <v>285.0</v>
      </c>
      <c r="I535" s="153">
        <v>50.35</v>
      </c>
      <c r="J535" s="153">
        <v>3944.0</v>
      </c>
      <c r="K535" s="153">
        <v>6.9682</v>
      </c>
      <c r="L535" s="153">
        <v>13.8386</v>
      </c>
      <c r="M535" s="153">
        <v>3944.0</v>
      </c>
    </row>
    <row r="536">
      <c r="A536" s="250">
        <v>46247.0</v>
      </c>
      <c r="B536" s="153" t="s">
        <v>137</v>
      </c>
      <c r="C536" s="153" t="s">
        <v>5</v>
      </c>
      <c r="D536" s="153" t="s">
        <v>434</v>
      </c>
      <c r="E536" s="153" t="s">
        <v>435</v>
      </c>
      <c r="F536" s="153" t="s">
        <v>429</v>
      </c>
      <c r="G536" s="153">
        <v>566.0</v>
      </c>
      <c r="H536" s="153">
        <v>190.0</v>
      </c>
      <c r="I536" s="153">
        <v>33.57</v>
      </c>
      <c r="J536" s="153">
        <v>312.0</v>
      </c>
      <c r="K536" s="153">
        <v>0.5512</v>
      </c>
      <c r="L536" s="153">
        <v>1.6421</v>
      </c>
      <c r="M536" s="153">
        <v>312.0</v>
      </c>
    </row>
    <row r="537">
      <c r="A537" s="250">
        <v>46247.0</v>
      </c>
      <c r="B537" s="153" t="s">
        <v>137</v>
      </c>
      <c r="C537" s="153" t="s">
        <v>5</v>
      </c>
      <c r="D537" s="153" t="s">
        <v>434</v>
      </c>
      <c r="E537" s="153" t="s">
        <v>436</v>
      </c>
      <c r="F537" s="153" t="s">
        <v>429</v>
      </c>
      <c r="G537" s="153">
        <v>566.0</v>
      </c>
      <c r="H537" s="153">
        <v>166.0</v>
      </c>
      <c r="I537" s="153">
        <v>29.33</v>
      </c>
      <c r="J537" s="153">
        <v>256.0</v>
      </c>
      <c r="K537" s="153">
        <v>0.4523</v>
      </c>
      <c r="L537" s="153">
        <v>1.5422</v>
      </c>
      <c r="M537" s="153">
        <v>256.0</v>
      </c>
    </row>
    <row r="538">
      <c r="A538" s="250">
        <v>46247.0</v>
      </c>
      <c r="B538" s="153" t="s">
        <v>137</v>
      </c>
      <c r="C538" s="153" t="s">
        <v>5</v>
      </c>
      <c r="D538" s="153" t="s">
        <v>434</v>
      </c>
      <c r="E538" s="153" t="s">
        <v>437</v>
      </c>
      <c r="F538" s="153" t="s">
        <v>429</v>
      </c>
      <c r="G538" s="153">
        <v>566.0</v>
      </c>
      <c r="H538" s="153">
        <v>202.0</v>
      </c>
      <c r="I538" s="153">
        <v>35.69</v>
      </c>
      <c r="J538" s="153">
        <v>411.0</v>
      </c>
      <c r="K538" s="153">
        <v>0.7261</v>
      </c>
      <c r="L538" s="153">
        <v>2.0347</v>
      </c>
      <c r="M538" s="153">
        <v>411.0</v>
      </c>
    </row>
    <row r="539">
      <c r="A539" s="250">
        <v>46247.0</v>
      </c>
      <c r="B539" s="153" t="s">
        <v>137</v>
      </c>
      <c r="C539" s="153" t="s">
        <v>5</v>
      </c>
      <c r="D539" s="153" t="s">
        <v>438</v>
      </c>
      <c r="E539" s="153" t="s">
        <v>439</v>
      </c>
      <c r="F539" s="153" t="s">
        <v>440</v>
      </c>
      <c r="G539" s="153">
        <v>566.0</v>
      </c>
      <c r="H539" s="153">
        <v>187.0</v>
      </c>
      <c r="I539" s="153">
        <v>33.04</v>
      </c>
      <c r="J539" s="153">
        <v>3680.0</v>
      </c>
      <c r="K539" s="153">
        <v>6.5018</v>
      </c>
      <c r="L539" s="153">
        <v>19.6791</v>
      </c>
      <c r="M539" s="153">
        <v>3680.0</v>
      </c>
    </row>
    <row r="540">
      <c r="A540" s="250">
        <v>46247.0</v>
      </c>
      <c r="B540" s="153" t="s">
        <v>137</v>
      </c>
      <c r="C540" s="153" t="s">
        <v>5</v>
      </c>
      <c r="D540" s="153" t="s">
        <v>441</v>
      </c>
      <c r="E540" s="153" t="s">
        <v>442</v>
      </c>
      <c r="F540" s="153" t="s">
        <v>440</v>
      </c>
      <c r="G540" s="153">
        <v>566.0</v>
      </c>
      <c r="H540" s="153">
        <v>135.0</v>
      </c>
      <c r="I540" s="153">
        <v>23.85</v>
      </c>
      <c r="J540" s="153">
        <v>1640.0</v>
      </c>
      <c r="K540" s="153">
        <v>2.8975</v>
      </c>
      <c r="L540" s="153">
        <v>12.1481</v>
      </c>
      <c r="M540" s="153">
        <v>1640.0</v>
      </c>
    </row>
    <row r="541">
      <c r="A541" s="250">
        <v>46247.0</v>
      </c>
      <c r="B541" s="153" t="s">
        <v>137</v>
      </c>
      <c r="C541" s="153" t="s">
        <v>5</v>
      </c>
      <c r="D541" s="153" t="s">
        <v>441</v>
      </c>
      <c r="E541" s="153" t="s">
        <v>443</v>
      </c>
      <c r="F541" s="153" t="s">
        <v>440</v>
      </c>
      <c r="G541" s="153">
        <v>566.0</v>
      </c>
      <c r="H541" s="153">
        <v>60.0</v>
      </c>
      <c r="I541" s="153">
        <v>10.6</v>
      </c>
      <c r="J541" s="153">
        <v>780.0</v>
      </c>
      <c r="K541" s="153">
        <v>1.3781</v>
      </c>
      <c r="L541" s="153">
        <v>13.0</v>
      </c>
      <c r="M541" s="153">
        <v>780.0</v>
      </c>
    </row>
    <row r="542">
      <c r="A542" s="250">
        <v>46247.0</v>
      </c>
      <c r="B542" s="153" t="s">
        <v>137</v>
      </c>
      <c r="C542" s="153" t="s">
        <v>5</v>
      </c>
      <c r="D542" s="153" t="s">
        <v>444</v>
      </c>
      <c r="E542" s="153" t="s">
        <v>445</v>
      </c>
      <c r="F542" s="153" t="s">
        <v>440</v>
      </c>
      <c r="G542" s="153">
        <v>566.0</v>
      </c>
      <c r="H542" s="153">
        <v>247.0</v>
      </c>
      <c r="I542" s="153">
        <v>43.64</v>
      </c>
      <c r="J542" s="153">
        <v>14010.0</v>
      </c>
      <c r="K542" s="153">
        <v>24.7527</v>
      </c>
      <c r="L542" s="153">
        <v>56.7206</v>
      </c>
      <c r="M542" s="153">
        <v>14010.0</v>
      </c>
    </row>
    <row r="543">
      <c r="A543" s="250">
        <v>46248.0</v>
      </c>
      <c r="B543" s="153" t="s">
        <v>423</v>
      </c>
      <c r="C543" s="153" t="s">
        <v>5</v>
      </c>
      <c r="D543" s="153" t="s">
        <v>424</v>
      </c>
      <c r="E543" s="153" t="s">
        <v>425</v>
      </c>
      <c r="F543" s="153" t="s">
        <v>426</v>
      </c>
      <c r="G543" s="153">
        <v>8068.0</v>
      </c>
      <c r="H543" s="153">
        <v>34.0</v>
      </c>
      <c r="I543" s="153">
        <v>0.42</v>
      </c>
      <c r="J543" s="153">
        <v>1375.3</v>
      </c>
      <c r="K543" s="153">
        <v>0.1705</v>
      </c>
      <c r="L543" s="153">
        <v>40.45</v>
      </c>
      <c r="M543" s="153">
        <v>21190.0</v>
      </c>
    </row>
    <row r="544">
      <c r="A544" s="250">
        <v>46248.0</v>
      </c>
      <c r="B544" s="153" t="s">
        <v>423</v>
      </c>
      <c r="C544" s="153" t="s">
        <v>5</v>
      </c>
      <c r="D544" s="153" t="s">
        <v>427</v>
      </c>
      <c r="E544" s="153" t="s">
        <v>428</v>
      </c>
      <c r="F544" s="153" t="s">
        <v>429</v>
      </c>
      <c r="G544" s="153">
        <v>8068.0</v>
      </c>
      <c r="H544" s="153">
        <v>33.0</v>
      </c>
      <c r="I544" s="153">
        <v>0.41</v>
      </c>
      <c r="J544" s="153">
        <v>3637.02</v>
      </c>
      <c r="K544" s="153">
        <v>0.4508</v>
      </c>
      <c r="L544" s="153">
        <v>110.2126</v>
      </c>
      <c r="M544" s="153">
        <v>4335.0</v>
      </c>
    </row>
    <row r="545">
      <c r="A545" s="250">
        <v>46248.0</v>
      </c>
      <c r="B545" s="153" t="s">
        <v>423</v>
      </c>
      <c r="C545" s="153" t="s">
        <v>5</v>
      </c>
      <c r="D545" s="153" t="s">
        <v>430</v>
      </c>
      <c r="E545" s="153" t="s">
        <v>431</v>
      </c>
      <c r="F545" s="153" t="s">
        <v>429</v>
      </c>
      <c r="G545" s="153">
        <v>8068.0</v>
      </c>
      <c r="H545" s="153">
        <v>12.0</v>
      </c>
      <c r="I545" s="153">
        <v>0.15</v>
      </c>
      <c r="J545" s="153">
        <v>128.0</v>
      </c>
      <c r="K545" s="153">
        <v>0.0159</v>
      </c>
      <c r="L545" s="153">
        <v>10.6667</v>
      </c>
      <c r="M545" s="153">
        <v>128.0</v>
      </c>
    </row>
    <row r="546">
      <c r="A546" s="250">
        <v>46248.0</v>
      </c>
      <c r="B546" s="153" t="s">
        <v>423</v>
      </c>
      <c r="C546" s="153" t="s">
        <v>5</v>
      </c>
      <c r="D546" s="153" t="s">
        <v>430</v>
      </c>
      <c r="E546" s="153" t="s">
        <v>432</v>
      </c>
      <c r="F546" s="153" t="s">
        <v>429</v>
      </c>
      <c r="G546" s="153">
        <v>8068.0</v>
      </c>
      <c r="H546" s="153">
        <v>29.0</v>
      </c>
      <c r="I546" s="153">
        <v>0.36</v>
      </c>
      <c r="J546" s="153">
        <v>147.0</v>
      </c>
      <c r="K546" s="153">
        <v>0.0182</v>
      </c>
      <c r="L546" s="153">
        <v>5.069</v>
      </c>
      <c r="M546" s="153">
        <v>147.0</v>
      </c>
    </row>
    <row r="547">
      <c r="A547" s="250">
        <v>46248.0</v>
      </c>
      <c r="B547" s="153" t="s">
        <v>423</v>
      </c>
      <c r="C547" s="153" t="s">
        <v>5</v>
      </c>
      <c r="D547" s="153" t="s">
        <v>430</v>
      </c>
      <c r="E547" s="153" t="s">
        <v>433</v>
      </c>
      <c r="F547" s="153" t="s">
        <v>429</v>
      </c>
      <c r="G547" s="153">
        <v>8068.0</v>
      </c>
      <c r="H547" s="153">
        <v>16.0</v>
      </c>
      <c r="I547" s="153">
        <v>0.2</v>
      </c>
      <c r="J547" s="153">
        <v>132.0</v>
      </c>
      <c r="K547" s="153">
        <v>0.0164</v>
      </c>
      <c r="L547" s="153">
        <v>8.25</v>
      </c>
      <c r="M547" s="153">
        <v>132.0</v>
      </c>
    </row>
    <row r="548">
      <c r="A548" s="250">
        <v>46248.0</v>
      </c>
      <c r="B548" s="153" t="s">
        <v>423</v>
      </c>
      <c r="C548" s="153" t="s">
        <v>5</v>
      </c>
      <c r="D548" s="153" t="s">
        <v>434</v>
      </c>
      <c r="E548" s="153" t="s">
        <v>435</v>
      </c>
      <c r="F548" s="153" t="s">
        <v>429</v>
      </c>
      <c r="G548" s="153">
        <v>8068.0</v>
      </c>
      <c r="H548" s="153">
        <v>21.0</v>
      </c>
      <c r="I548" s="153">
        <v>0.26</v>
      </c>
      <c r="J548" s="153">
        <v>32.0</v>
      </c>
      <c r="K548" s="153">
        <v>0.004</v>
      </c>
      <c r="L548" s="153">
        <v>1.5238</v>
      </c>
      <c r="M548" s="153">
        <v>32.0</v>
      </c>
    </row>
    <row r="549">
      <c r="A549" s="250">
        <v>46248.0</v>
      </c>
      <c r="B549" s="153" t="s">
        <v>423</v>
      </c>
      <c r="C549" s="153" t="s">
        <v>5</v>
      </c>
      <c r="D549" s="153" t="s">
        <v>434</v>
      </c>
      <c r="E549" s="153" t="s">
        <v>436</v>
      </c>
      <c r="F549" s="153" t="s">
        <v>429</v>
      </c>
      <c r="G549" s="153">
        <v>8068.0</v>
      </c>
      <c r="H549" s="153">
        <v>16.0</v>
      </c>
      <c r="I549" s="153">
        <v>0.2</v>
      </c>
      <c r="J549" s="153">
        <v>29.0</v>
      </c>
      <c r="K549" s="153">
        <v>0.0036</v>
      </c>
      <c r="L549" s="153">
        <v>1.8125</v>
      </c>
      <c r="M549" s="153">
        <v>29.0</v>
      </c>
    </row>
    <row r="550">
      <c r="A550" s="250">
        <v>46248.0</v>
      </c>
      <c r="B550" s="153" t="s">
        <v>423</v>
      </c>
      <c r="C550" s="153" t="s">
        <v>5</v>
      </c>
      <c r="D550" s="153" t="s">
        <v>434</v>
      </c>
      <c r="E550" s="153" t="s">
        <v>437</v>
      </c>
      <c r="F550" s="153" t="s">
        <v>429</v>
      </c>
      <c r="G550" s="153">
        <v>8068.0</v>
      </c>
      <c r="H550" s="153">
        <v>7.0</v>
      </c>
      <c r="I550" s="153">
        <v>0.09</v>
      </c>
      <c r="J550" s="153">
        <v>8.0</v>
      </c>
      <c r="K550" s="153">
        <v>0.001</v>
      </c>
      <c r="L550" s="153">
        <v>1.1429</v>
      </c>
      <c r="M550" s="153">
        <v>8.0</v>
      </c>
    </row>
    <row r="551">
      <c r="A551" s="250">
        <v>46248.0</v>
      </c>
      <c r="B551" s="153" t="s">
        <v>423</v>
      </c>
      <c r="C551" s="153" t="s">
        <v>5</v>
      </c>
      <c r="D551" s="153" t="s">
        <v>438</v>
      </c>
      <c r="E551" s="153" t="s">
        <v>439</v>
      </c>
      <c r="F551" s="153" t="s">
        <v>440</v>
      </c>
      <c r="G551" s="153">
        <v>8068.0</v>
      </c>
      <c r="H551" s="153">
        <v>14.0</v>
      </c>
      <c r="I551" s="153">
        <v>0.17</v>
      </c>
      <c r="J551" s="153">
        <v>220.0</v>
      </c>
      <c r="K551" s="153">
        <v>0.0273</v>
      </c>
      <c r="L551" s="153">
        <v>15.7143</v>
      </c>
      <c r="M551" s="153">
        <v>220.0</v>
      </c>
    </row>
    <row r="552">
      <c r="A552" s="250">
        <v>46248.0</v>
      </c>
      <c r="B552" s="153" t="s">
        <v>423</v>
      </c>
      <c r="C552" s="153" t="s">
        <v>5</v>
      </c>
      <c r="D552" s="153" t="s">
        <v>441</v>
      </c>
      <c r="E552" s="153" t="s">
        <v>442</v>
      </c>
      <c r="F552" s="153" t="s">
        <v>440</v>
      </c>
      <c r="G552" s="153">
        <v>8068.0</v>
      </c>
      <c r="H552" s="153">
        <v>2.0</v>
      </c>
      <c r="I552" s="153">
        <v>0.02</v>
      </c>
      <c r="J552" s="153">
        <v>20.0</v>
      </c>
      <c r="K552" s="153">
        <v>0.0025</v>
      </c>
      <c r="L552" s="153">
        <v>10.0</v>
      </c>
      <c r="M552" s="153">
        <v>20.0</v>
      </c>
    </row>
    <row r="553">
      <c r="A553" s="250">
        <v>46248.0</v>
      </c>
      <c r="B553" s="153" t="s">
        <v>423</v>
      </c>
      <c r="C553" s="153" t="s">
        <v>5</v>
      </c>
      <c r="D553" s="153" t="s">
        <v>441</v>
      </c>
      <c r="E553" s="153" t="s">
        <v>443</v>
      </c>
      <c r="F553" s="153" t="s">
        <v>440</v>
      </c>
      <c r="G553" s="153">
        <v>8068.0</v>
      </c>
      <c r="H553" s="153">
        <v>5.0</v>
      </c>
      <c r="I553" s="153">
        <v>0.06</v>
      </c>
      <c r="J553" s="153">
        <v>60.0</v>
      </c>
      <c r="K553" s="153">
        <v>0.0074</v>
      </c>
      <c r="L553" s="153">
        <v>12.0</v>
      </c>
      <c r="M553" s="153">
        <v>60.0</v>
      </c>
    </row>
    <row r="554">
      <c r="A554" s="250">
        <v>46248.0</v>
      </c>
      <c r="B554" s="153" t="s">
        <v>423</v>
      </c>
      <c r="C554" s="153" t="s">
        <v>5</v>
      </c>
      <c r="D554" s="153" t="s">
        <v>444</v>
      </c>
      <c r="E554" s="153" t="s">
        <v>445</v>
      </c>
      <c r="F554" s="153" t="s">
        <v>440</v>
      </c>
      <c r="G554" s="153">
        <v>8068.0</v>
      </c>
      <c r="H554" s="153">
        <v>14.0</v>
      </c>
      <c r="I554" s="153">
        <v>0.17</v>
      </c>
      <c r="J554" s="153">
        <v>330.0</v>
      </c>
      <c r="K554" s="153">
        <v>0.0409</v>
      </c>
      <c r="L554" s="153">
        <v>23.5714</v>
      </c>
      <c r="M554" s="153">
        <v>330.0</v>
      </c>
    </row>
    <row r="555">
      <c r="A555" s="250">
        <v>46248.0</v>
      </c>
      <c r="B555" s="153" t="s">
        <v>133</v>
      </c>
      <c r="C555" s="153" t="s">
        <v>5</v>
      </c>
      <c r="D555" s="153" t="s">
        <v>424</v>
      </c>
      <c r="E555" s="153" t="s">
        <v>425</v>
      </c>
      <c r="F555" s="153" t="s">
        <v>426</v>
      </c>
      <c r="G555" s="153">
        <v>10596.0</v>
      </c>
      <c r="H555" s="153">
        <v>179.0</v>
      </c>
      <c r="I555" s="153">
        <v>1.69</v>
      </c>
      <c r="J555" s="153">
        <v>2185.69</v>
      </c>
      <c r="K555" s="153">
        <v>0.2063</v>
      </c>
      <c r="L555" s="153">
        <v>12.2106</v>
      </c>
      <c r="M555" s="153">
        <v>2790.0</v>
      </c>
    </row>
    <row r="556">
      <c r="A556" s="250">
        <v>46248.0</v>
      </c>
      <c r="B556" s="153" t="s">
        <v>133</v>
      </c>
      <c r="C556" s="153" t="s">
        <v>5</v>
      </c>
      <c r="D556" s="153" t="s">
        <v>427</v>
      </c>
      <c r="E556" s="153" t="s">
        <v>428</v>
      </c>
      <c r="F556" s="153" t="s">
        <v>429</v>
      </c>
      <c r="G556" s="153">
        <v>10596.0</v>
      </c>
      <c r="H556" s="153">
        <v>216.0</v>
      </c>
      <c r="I556" s="153">
        <v>2.04</v>
      </c>
      <c r="J556" s="153">
        <v>7281.54</v>
      </c>
      <c r="K556" s="153">
        <v>0.6872</v>
      </c>
      <c r="L556" s="153">
        <v>33.7108</v>
      </c>
      <c r="M556" s="153">
        <v>8510.0</v>
      </c>
    </row>
    <row r="557">
      <c r="A557" s="250">
        <v>46248.0</v>
      </c>
      <c r="B557" s="153" t="s">
        <v>133</v>
      </c>
      <c r="C557" s="153" t="s">
        <v>5</v>
      </c>
      <c r="D557" s="153" t="s">
        <v>430</v>
      </c>
      <c r="E557" s="153" t="s">
        <v>431</v>
      </c>
      <c r="F557" s="153" t="s">
        <v>429</v>
      </c>
      <c r="G557" s="153">
        <v>10596.0</v>
      </c>
      <c r="H557" s="153">
        <v>35.0</v>
      </c>
      <c r="I557" s="153">
        <v>0.33</v>
      </c>
      <c r="J557" s="153">
        <v>38.0</v>
      </c>
      <c r="K557" s="153">
        <v>0.0036</v>
      </c>
      <c r="L557" s="153">
        <v>1.0857</v>
      </c>
      <c r="M557" s="153">
        <v>38.0</v>
      </c>
    </row>
    <row r="558">
      <c r="A558" s="250">
        <v>46248.0</v>
      </c>
      <c r="B558" s="153" t="s">
        <v>133</v>
      </c>
      <c r="C558" s="153" t="s">
        <v>5</v>
      </c>
      <c r="D558" s="153" t="s">
        <v>430</v>
      </c>
      <c r="E558" s="153" t="s">
        <v>432</v>
      </c>
      <c r="F558" s="153" t="s">
        <v>429</v>
      </c>
      <c r="G558" s="153">
        <v>10596.0</v>
      </c>
      <c r="H558" s="153">
        <v>119.0</v>
      </c>
      <c r="I558" s="153">
        <v>1.12</v>
      </c>
      <c r="J558" s="153">
        <v>165.0</v>
      </c>
      <c r="K558" s="153">
        <v>0.0156</v>
      </c>
      <c r="L558" s="153">
        <v>1.3866</v>
      </c>
      <c r="M558" s="153">
        <v>165.0</v>
      </c>
    </row>
    <row r="559">
      <c r="A559" s="250">
        <v>46248.0</v>
      </c>
      <c r="B559" s="153" t="s">
        <v>133</v>
      </c>
      <c r="C559" s="153" t="s">
        <v>5</v>
      </c>
      <c r="D559" s="153" t="s">
        <v>430</v>
      </c>
      <c r="E559" s="153" t="s">
        <v>433</v>
      </c>
      <c r="F559" s="153" t="s">
        <v>429</v>
      </c>
      <c r="G559" s="153">
        <v>10596.0</v>
      </c>
      <c r="H559" s="153">
        <v>61.0</v>
      </c>
      <c r="I559" s="153">
        <v>0.58</v>
      </c>
      <c r="J559" s="153">
        <v>68.0</v>
      </c>
      <c r="K559" s="153">
        <v>0.0064</v>
      </c>
      <c r="L559" s="153">
        <v>1.1148</v>
      </c>
      <c r="M559" s="153">
        <v>68.0</v>
      </c>
    </row>
    <row r="560">
      <c r="A560" s="250">
        <v>46248.0</v>
      </c>
      <c r="B560" s="153" t="s">
        <v>133</v>
      </c>
      <c r="C560" s="153" t="s">
        <v>5</v>
      </c>
      <c r="D560" s="153" t="s">
        <v>434</v>
      </c>
      <c r="E560" s="153" t="s">
        <v>435</v>
      </c>
      <c r="F560" s="153" t="s">
        <v>429</v>
      </c>
      <c r="G560" s="153">
        <v>10596.0</v>
      </c>
      <c r="H560" s="153">
        <v>96.0</v>
      </c>
      <c r="I560" s="153">
        <v>0.91</v>
      </c>
      <c r="J560" s="153">
        <v>96.0</v>
      </c>
      <c r="K560" s="153">
        <v>0.0091</v>
      </c>
      <c r="L560" s="153">
        <v>1.0</v>
      </c>
      <c r="M560" s="153">
        <v>96.0</v>
      </c>
    </row>
    <row r="561">
      <c r="A561" s="250">
        <v>46248.0</v>
      </c>
      <c r="B561" s="153" t="s">
        <v>133</v>
      </c>
      <c r="C561" s="153" t="s">
        <v>5</v>
      </c>
      <c r="D561" s="153" t="s">
        <v>434</v>
      </c>
      <c r="E561" s="153" t="s">
        <v>436</v>
      </c>
      <c r="F561" s="153" t="s">
        <v>429</v>
      </c>
      <c r="G561" s="153">
        <v>10596.0</v>
      </c>
      <c r="H561" s="153">
        <v>95.0</v>
      </c>
      <c r="I561" s="153">
        <v>0.9</v>
      </c>
      <c r="J561" s="153">
        <v>105.0</v>
      </c>
      <c r="K561" s="153">
        <v>0.0099</v>
      </c>
      <c r="L561" s="153">
        <v>1.1053</v>
      </c>
      <c r="M561" s="153">
        <v>105.0</v>
      </c>
    </row>
    <row r="562">
      <c r="A562" s="250">
        <v>46248.0</v>
      </c>
      <c r="B562" s="153" t="s">
        <v>133</v>
      </c>
      <c r="C562" s="153" t="s">
        <v>5</v>
      </c>
      <c r="D562" s="153" t="s">
        <v>434</v>
      </c>
      <c r="E562" s="153" t="s">
        <v>437</v>
      </c>
      <c r="F562" s="153" t="s">
        <v>429</v>
      </c>
      <c r="G562" s="153">
        <v>10596.0</v>
      </c>
      <c r="H562" s="153">
        <v>2.0</v>
      </c>
      <c r="I562" s="153">
        <v>0.02</v>
      </c>
      <c r="J562" s="153">
        <v>2.0</v>
      </c>
      <c r="K562" s="153">
        <v>2.0E-4</v>
      </c>
      <c r="L562" s="153">
        <v>1.0</v>
      </c>
      <c r="M562" s="153">
        <v>2.0</v>
      </c>
    </row>
    <row r="563">
      <c r="A563" s="250">
        <v>46248.0</v>
      </c>
      <c r="B563" s="153" t="s">
        <v>133</v>
      </c>
      <c r="C563" s="153" t="s">
        <v>5</v>
      </c>
      <c r="D563" s="153" t="s">
        <v>438</v>
      </c>
      <c r="E563" s="153" t="s">
        <v>439</v>
      </c>
      <c r="F563" s="153" t="s">
        <v>440</v>
      </c>
      <c r="G563" s="153">
        <v>10596.0</v>
      </c>
      <c r="H563" s="153">
        <v>73.0</v>
      </c>
      <c r="I563" s="153">
        <v>0.69</v>
      </c>
      <c r="J563" s="153">
        <v>760.0</v>
      </c>
      <c r="K563" s="153">
        <v>0.0717</v>
      </c>
      <c r="L563" s="153">
        <v>10.411</v>
      </c>
      <c r="M563" s="153">
        <v>760.0</v>
      </c>
    </row>
    <row r="564">
      <c r="A564" s="250">
        <v>46248.0</v>
      </c>
      <c r="B564" s="153" t="s">
        <v>133</v>
      </c>
      <c r="C564" s="153" t="s">
        <v>5</v>
      </c>
      <c r="D564" s="153" t="s">
        <v>441</v>
      </c>
      <c r="E564" s="153" t="s">
        <v>442</v>
      </c>
      <c r="F564" s="153" t="s">
        <v>440</v>
      </c>
      <c r="G564" s="153">
        <v>10596.0</v>
      </c>
      <c r="H564" s="153">
        <v>23.0</v>
      </c>
      <c r="I564" s="153">
        <v>0.22</v>
      </c>
      <c r="J564" s="153">
        <v>250.0</v>
      </c>
      <c r="K564" s="153">
        <v>0.0236</v>
      </c>
      <c r="L564" s="153">
        <v>10.8696</v>
      </c>
      <c r="M564" s="153">
        <v>250.0</v>
      </c>
    </row>
    <row r="565">
      <c r="A565" s="250">
        <v>46248.0</v>
      </c>
      <c r="B565" s="153" t="s">
        <v>133</v>
      </c>
      <c r="C565" s="153" t="s">
        <v>5</v>
      </c>
      <c r="D565" s="153" t="s">
        <v>444</v>
      </c>
      <c r="E565" s="153" t="s">
        <v>445</v>
      </c>
      <c r="F565" s="153" t="s">
        <v>440</v>
      </c>
      <c r="G565" s="153">
        <v>10596.0</v>
      </c>
      <c r="H565" s="153">
        <v>137.0</v>
      </c>
      <c r="I565" s="153">
        <v>1.29</v>
      </c>
      <c r="J565" s="153">
        <v>2425.0</v>
      </c>
      <c r="K565" s="153">
        <v>0.2289</v>
      </c>
      <c r="L565" s="153">
        <v>17.7007</v>
      </c>
      <c r="M565" s="153">
        <v>2425.0</v>
      </c>
    </row>
    <row r="566">
      <c r="A566" s="250">
        <v>46248.0</v>
      </c>
      <c r="B566" s="153" t="s">
        <v>134</v>
      </c>
      <c r="C566" s="153" t="s">
        <v>5</v>
      </c>
      <c r="D566" s="153" t="s">
        <v>424</v>
      </c>
      <c r="E566" s="153" t="s">
        <v>425</v>
      </c>
      <c r="F566" s="153" t="s">
        <v>426</v>
      </c>
      <c r="G566" s="153">
        <v>7908.0</v>
      </c>
      <c r="H566" s="153">
        <v>136.0</v>
      </c>
      <c r="I566" s="153">
        <v>1.72</v>
      </c>
      <c r="J566" s="153">
        <v>2001.77</v>
      </c>
      <c r="K566" s="153">
        <v>0.2531</v>
      </c>
      <c r="L566" s="153">
        <v>14.7189</v>
      </c>
      <c r="M566" s="153">
        <v>2700.0</v>
      </c>
    </row>
    <row r="567">
      <c r="A567" s="250">
        <v>46248.0</v>
      </c>
      <c r="B567" s="153" t="s">
        <v>134</v>
      </c>
      <c r="C567" s="153" t="s">
        <v>5</v>
      </c>
      <c r="D567" s="153" t="s">
        <v>427</v>
      </c>
      <c r="E567" s="153" t="s">
        <v>428</v>
      </c>
      <c r="F567" s="153" t="s">
        <v>429</v>
      </c>
      <c r="G567" s="153">
        <v>7908.0</v>
      </c>
      <c r="H567" s="153">
        <v>226.0</v>
      </c>
      <c r="I567" s="153">
        <v>2.86</v>
      </c>
      <c r="J567" s="153">
        <v>12565.01</v>
      </c>
      <c r="K567" s="153">
        <v>1.5889</v>
      </c>
      <c r="L567" s="153">
        <v>55.5974</v>
      </c>
      <c r="M567" s="153">
        <v>14960.0</v>
      </c>
    </row>
    <row r="568">
      <c r="A568" s="250">
        <v>46248.0</v>
      </c>
      <c r="B568" s="153" t="s">
        <v>134</v>
      </c>
      <c r="C568" s="153" t="s">
        <v>5</v>
      </c>
      <c r="D568" s="153" t="s">
        <v>430</v>
      </c>
      <c r="E568" s="153" t="s">
        <v>431</v>
      </c>
      <c r="F568" s="153" t="s">
        <v>429</v>
      </c>
      <c r="G568" s="153">
        <v>7908.0</v>
      </c>
      <c r="H568" s="153">
        <v>82.0</v>
      </c>
      <c r="I568" s="153">
        <v>1.04</v>
      </c>
      <c r="J568" s="153">
        <v>90.0</v>
      </c>
      <c r="K568" s="153">
        <v>0.0114</v>
      </c>
      <c r="L568" s="153">
        <v>1.0976</v>
      </c>
      <c r="M568" s="153">
        <v>90.0</v>
      </c>
    </row>
    <row r="569">
      <c r="A569" s="250">
        <v>46248.0</v>
      </c>
      <c r="B569" s="153" t="s">
        <v>134</v>
      </c>
      <c r="C569" s="153" t="s">
        <v>5</v>
      </c>
      <c r="D569" s="153" t="s">
        <v>430</v>
      </c>
      <c r="E569" s="153" t="s">
        <v>432</v>
      </c>
      <c r="F569" s="153" t="s">
        <v>429</v>
      </c>
      <c r="G569" s="153">
        <v>7908.0</v>
      </c>
      <c r="H569" s="153">
        <v>101.0</v>
      </c>
      <c r="I569" s="153">
        <v>1.28</v>
      </c>
      <c r="J569" s="153">
        <v>146.0</v>
      </c>
      <c r="K569" s="153">
        <v>0.0185</v>
      </c>
      <c r="L569" s="153">
        <v>1.4455</v>
      </c>
      <c r="M569" s="153">
        <v>146.0</v>
      </c>
    </row>
    <row r="570">
      <c r="A570" s="250">
        <v>46248.0</v>
      </c>
      <c r="B570" s="153" t="s">
        <v>134</v>
      </c>
      <c r="C570" s="153" t="s">
        <v>5</v>
      </c>
      <c r="D570" s="153" t="s">
        <v>430</v>
      </c>
      <c r="E570" s="153" t="s">
        <v>433</v>
      </c>
      <c r="F570" s="153" t="s">
        <v>429</v>
      </c>
      <c r="G570" s="153">
        <v>7908.0</v>
      </c>
      <c r="H570" s="153">
        <v>66.0</v>
      </c>
      <c r="I570" s="153">
        <v>0.83</v>
      </c>
      <c r="J570" s="153">
        <v>70.0</v>
      </c>
      <c r="K570" s="153">
        <v>0.0089</v>
      </c>
      <c r="L570" s="153">
        <v>1.0606</v>
      </c>
      <c r="M570" s="153">
        <v>70.0</v>
      </c>
    </row>
    <row r="571">
      <c r="A571" s="250">
        <v>46248.0</v>
      </c>
      <c r="B571" s="153" t="s">
        <v>134</v>
      </c>
      <c r="C571" s="153" t="s">
        <v>5</v>
      </c>
      <c r="D571" s="153" t="s">
        <v>434</v>
      </c>
      <c r="E571" s="153" t="s">
        <v>435</v>
      </c>
      <c r="F571" s="153" t="s">
        <v>429</v>
      </c>
      <c r="G571" s="153">
        <v>7908.0</v>
      </c>
      <c r="H571" s="153">
        <v>56.0</v>
      </c>
      <c r="I571" s="153">
        <v>0.71</v>
      </c>
      <c r="J571" s="153">
        <v>57.0</v>
      </c>
      <c r="K571" s="153">
        <v>0.0072</v>
      </c>
      <c r="L571" s="153">
        <v>1.0179</v>
      </c>
      <c r="M571" s="153">
        <v>57.0</v>
      </c>
    </row>
    <row r="572">
      <c r="A572" s="250">
        <v>46248.0</v>
      </c>
      <c r="B572" s="153" t="s">
        <v>134</v>
      </c>
      <c r="C572" s="153" t="s">
        <v>5</v>
      </c>
      <c r="D572" s="153" t="s">
        <v>434</v>
      </c>
      <c r="E572" s="153" t="s">
        <v>436</v>
      </c>
      <c r="F572" s="153" t="s">
        <v>429</v>
      </c>
      <c r="G572" s="153">
        <v>7908.0</v>
      </c>
      <c r="H572" s="153">
        <v>61.0</v>
      </c>
      <c r="I572" s="153">
        <v>0.77</v>
      </c>
      <c r="J572" s="153">
        <v>79.0</v>
      </c>
      <c r="K572" s="153">
        <v>0.01</v>
      </c>
      <c r="L572" s="153">
        <v>1.2951</v>
      </c>
      <c r="M572" s="153">
        <v>79.0</v>
      </c>
    </row>
    <row r="573">
      <c r="A573" s="250">
        <v>46248.0</v>
      </c>
      <c r="B573" s="153" t="s">
        <v>134</v>
      </c>
      <c r="C573" s="153" t="s">
        <v>5</v>
      </c>
      <c r="D573" s="153" t="s">
        <v>434</v>
      </c>
      <c r="E573" s="153" t="s">
        <v>437</v>
      </c>
      <c r="F573" s="153" t="s">
        <v>429</v>
      </c>
      <c r="G573" s="153">
        <v>7908.0</v>
      </c>
      <c r="H573" s="153">
        <v>28.0</v>
      </c>
      <c r="I573" s="153">
        <v>0.35</v>
      </c>
      <c r="J573" s="153">
        <v>30.0</v>
      </c>
      <c r="K573" s="153">
        <v>0.0038</v>
      </c>
      <c r="L573" s="153">
        <v>1.0714</v>
      </c>
      <c r="M573" s="153">
        <v>30.0</v>
      </c>
    </row>
    <row r="574">
      <c r="A574" s="250">
        <v>46248.0</v>
      </c>
      <c r="B574" s="153" t="s">
        <v>134</v>
      </c>
      <c r="C574" s="153" t="s">
        <v>5</v>
      </c>
      <c r="D574" s="153" t="s">
        <v>438</v>
      </c>
      <c r="E574" s="153" t="s">
        <v>439</v>
      </c>
      <c r="F574" s="153" t="s">
        <v>440</v>
      </c>
      <c r="G574" s="153">
        <v>7908.0</v>
      </c>
      <c r="H574" s="153">
        <v>51.0</v>
      </c>
      <c r="I574" s="153">
        <v>0.64</v>
      </c>
      <c r="J574" s="153">
        <v>570.0</v>
      </c>
      <c r="K574" s="153">
        <v>0.0721</v>
      </c>
      <c r="L574" s="153">
        <v>11.1765</v>
      </c>
      <c r="M574" s="153">
        <v>570.0</v>
      </c>
    </row>
    <row r="575">
      <c r="A575" s="250">
        <v>46248.0</v>
      </c>
      <c r="B575" s="153" t="s">
        <v>134</v>
      </c>
      <c r="C575" s="153" t="s">
        <v>5</v>
      </c>
      <c r="D575" s="153" t="s">
        <v>441</v>
      </c>
      <c r="E575" s="153" t="s">
        <v>442</v>
      </c>
      <c r="F575" s="153" t="s">
        <v>440</v>
      </c>
      <c r="G575" s="153">
        <v>7908.0</v>
      </c>
      <c r="H575" s="153">
        <v>70.0</v>
      </c>
      <c r="I575" s="153">
        <v>0.89</v>
      </c>
      <c r="J575" s="153">
        <v>780.0</v>
      </c>
      <c r="K575" s="153">
        <v>0.0986</v>
      </c>
      <c r="L575" s="153">
        <v>11.1429</v>
      </c>
      <c r="M575" s="153">
        <v>780.0</v>
      </c>
    </row>
    <row r="576">
      <c r="A576" s="250">
        <v>46248.0</v>
      </c>
      <c r="B576" s="153" t="s">
        <v>134</v>
      </c>
      <c r="C576" s="153" t="s">
        <v>5</v>
      </c>
      <c r="D576" s="153" t="s">
        <v>444</v>
      </c>
      <c r="E576" s="153" t="s">
        <v>445</v>
      </c>
      <c r="F576" s="153" t="s">
        <v>440</v>
      </c>
      <c r="G576" s="153">
        <v>7908.0</v>
      </c>
      <c r="H576" s="153">
        <v>136.0</v>
      </c>
      <c r="I576" s="153">
        <v>1.72</v>
      </c>
      <c r="J576" s="153">
        <v>3665.0</v>
      </c>
      <c r="K576" s="153">
        <v>0.4635</v>
      </c>
      <c r="L576" s="153">
        <v>26.9485</v>
      </c>
      <c r="M576" s="153">
        <v>3665.0</v>
      </c>
    </row>
    <row r="577">
      <c r="A577" s="250">
        <v>46248.0</v>
      </c>
      <c r="B577" s="153" t="s">
        <v>135</v>
      </c>
      <c r="C577" s="153" t="s">
        <v>5</v>
      </c>
      <c r="D577" s="153" t="s">
        <v>424</v>
      </c>
      <c r="E577" s="153" t="s">
        <v>425</v>
      </c>
      <c r="F577" s="153" t="s">
        <v>426</v>
      </c>
      <c r="G577" s="153">
        <v>6240.0</v>
      </c>
      <c r="H577" s="153">
        <v>119.0</v>
      </c>
      <c r="I577" s="153">
        <v>1.91</v>
      </c>
      <c r="J577" s="153">
        <v>2048.69</v>
      </c>
      <c r="K577" s="153">
        <v>0.3283</v>
      </c>
      <c r="L577" s="153">
        <v>17.2159</v>
      </c>
      <c r="M577" s="153">
        <v>2410.0</v>
      </c>
    </row>
    <row r="578">
      <c r="A578" s="250">
        <v>46248.0</v>
      </c>
      <c r="B578" s="153" t="s">
        <v>135</v>
      </c>
      <c r="C578" s="153" t="s">
        <v>5</v>
      </c>
      <c r="D578" s="153" t="s">
        <v>427</v>
      </c>
      <c r="E578" s="153" t="s">
        <v>428</v>
      </c>
      <c r="F578" s="153" t="s">
        <v>429</v>
      </c>
      <c r="G578" s="153">
        <v>6240.0</v>
      </c>
      <c r="H578" s="153">
        <v>206.0</v>
      </c>
      <c r="I578" s="153">
        <v>3.3</v>
      </c>
      <c r="J578" s="153">
        <v>15949.25</v>
      </c>
      <c r="K578" s="153">
        <v>2.556</v>
      </c>
      <c r="L578" s="153">
        <v>77.4235</v>
      </c>
      <c r="M578" s="153">
        <v>19165.0</v>
      </c>
    </row>
    <row r="579">
      <c r="A579" s="250">
        <v>46248.0</v>
      </c>
      <c r="B579" s="153" t="s">
        <v>135</v>
      </c>
      <c r="C579" s="153" t="s">
        <v>5</v>
      </c>
      <c r="D579" s="153" t="s">
        <v>430</v>
      </c>
      <c r="E579" s="153" t="s">
        <v>431</v>
      </c>
      <c r="F579" s="153" t="s">
        <v>429</v>
      </c>
      <c r="G579" s="153">
        <v>6240.0</v>
      </c>
      <c r="H579" s="153">
        <v>36.0</v>
      </c>
      <c r="I579" s="153">
        <v>0.58</v>
      </c>
      <c r="J579" s="153">
        <v>38.0</v>
      </c>
      <c r="K579" s="153">
        <v>0.0061</v>
      </c>
      <c r="L579" s="153">
        <v>1.0556</v>
      </c>
      <c r="M579" s="153">
        <v>38.0</v>
      </c>
    </row>
    <row r="580">
      <c r="A580" s="250">
        <v>46248.0</v>
      </c>
      <c r="B580" s="153" t="s">
        <v>135</v>
      </c>
      <c r="C580" s="153" t="s">
        <v>5</v>
      </c>
      <c r="D580" s="153" t="s">
        <v>430</v>
      </c>
      <c r="E580" s="153" t="s">
        <v>432</v>
      </c>
      <c r="F580" s="153" t="s">
        <v>429</v>
      </c>
      <c r="G580" s="153">
        <v>6240.0</v>
      </c>
      <c r="H580" s="153">
        <v>124.0</v>
      </c>
      <c r="I580" s="153">
        <v>1.99</v>
      </c>
      <c r="J580" s="153">
        <v>177.0</v>
      </c>
      <c r="K580" s="153">
        <v>0.0284</v>
      </c>
      <c r="L580" s="153">
        <v>1.4274</v>
      </c>
      <c r="M580" s="153">
        <v>177.0</v>
      </c>
    </row>
    <row r="581">
      <c r="A581" s="250">
        <v>46248.0</v>
      </c>
      <c r="B581" s="153" t="s">
        <v>135</v>
      </c>
      <c r="C581" s="153" t="s">
        <v>5</v>
      </c>
      <c r="D581" s="153" t="s">
        <v>430</v>
      </c>
      <c r="E581" s="153" t="s">
        <v>433</v>
      </c>
      <c r="F581" s="153" t="s">
        <v>429</v>
      </c>
      <c r="G581" s="153">
        <v>6240.0</v>
      </c>
      <c r="H581" s="153">
        <v>58.0</v>
      </c>
      <c r="I581" s="153">
        <v>0.93</v>
      </c>
      <c r="J581" s="153">
        <v>62.0</v>
      </c>
      <c r="K581" s="153">
        <v>0.0099</v>
      </c>
      <c r="L581" s="153">
        <v>1.069</v>
      </c>
      <c r="M581" s="153">
        <v>62.0</v>
      </c>
    </row>
    <row r="582">
      <c r="A582" s="250">
        <v>46248.0</v>
      </c>
      <c r="B582" s="153" t="s">
        <v>135</v>
      </c>
      <c r="C582" s="153" t="s">
        <v>5</v>
      </c>
      <c r="D582" s="153" t="s">
        <v>434</v>
      </c>
      <c r="E582" s="153" t="s">
        <v>435</v>
      </c>
      <c r="F582" s="153" t="s">
        <v>429</v>
      </c>
      <c r="G582" s="153">
        <v>6240.0</v>
      </c>
      <c r="H582" s="153">
        <v>64.0</v>
      </c>
      <c r="I582" s="153">
        <v>1.03</v>
      </c>
      <c r="J582" s="153">
        <v>85.0</v>
      </c>
      <c r="K582" s="153">
        <v>0.0136</v>
      </c>
      <c r="L582" s="153">
        <v>1.3281</v>
      </c>
      <c r="M582" s="153">
        <v>85.0</v>
      </c>
    </row>
    <row r="583">
      <c r="A583" s="250">
        <v>46248.0</v>
      </c>
      <c r="B583" s="153" t="s">
        <v>135</v>
      </c>
      <c r="C583" s="153" t="s">
        <v>5</v>
      </c>
      <c r="D583" s="153" t="s">
        <v>434</v>
      </c>
      <c r="E583" s="153" t="s">
        <v>436</v>
      </c>
      <c r="F583" s="153" t="s">
        <v>429</v>
      </c>
      <c r="G583" s="153">
        <v>6240.0</v>
      </c>
      <c r="H583" s="153">
        <v>63.0</v>
      </c>
      <c r="I583" s="153">
        <v>1.01</v>
      </c>
      <c r="J583" s="153">
        <v>81.0</v>
      </c>
      <c r="K583" s="153">
        <v>0.013</v>
      </c>
      <c r="L583" s="153">
        <v>1.2857</v>
      </c>
      <c r="M583" s="153">
        <v>81.0</v>
      </c>
    </row>
    <row r="584">
      <c r="A584" s="250">
        <v>46248.0</v>
      </c>
      <c r="B584" s="153" t="s">
        <v>135</v>
      </c>
      <c r="C584" s="153" t="s">
        <v>5</v>
      </c>
      <c r="D584" s="153" t="s">
        <v>434</v>
      </c>
      <c r="E584" s="153" t="s">
        <v>437</v>
      </c>
      <c r="F584" s="153" t="s">
        <v>429</v>
      </c>
      <c r="G584" s="153">
        <v>6240.0</v>
      </c>
      <c r="H584" s="153">
        <v>46.0</v>
      </c>
      <c r="I584" s="153">
        <v>0.74</v>
      </c>
      <c r="J584" s="153">
        <v>53.0</v>
      </c>
      <c r="K584" s="153">
        <v>0.0085</v>
      </c>
      <c r="L584" s="153">
        <v>1.1522</v>
      </c>
      <c r="M584" s="153">
        <v>53.0</v>
      </c>
    </row>
    <row r="585">
      <c r="A585" s="250">
        <v>46248.0</v>
      </c>
      <c r="B585" s="153" t="s">
        <v>135</v>
      </c>
      <c r="C585" s="153" t="s">
        <v>5</v>
      </c>
      <c r="D585" s="153" t="s">
        <v>438</v>
      </c>
      <c r="E585" s="153" t="s">
        <v>439</v>
      </c>
      <c r="F585" s="153" t="s">
        <v>440</v>
      </c>
      <c r="G585" s="153">
        <v>6240.0</v>
      </c>
      <c r="H585" s="153">
        <v>59.0</v>
      </c>
      <c r="I585" s="153">
        <v>0.95</v>
      </c>
      <c r="J585" s="153">
        <v>780.0</v>
      </c>
      <c r="K585" s="153">
        <v>0.125</v>
      </c>
      <c r="L585" s="153">
        <v>13.2203</v>
      </c>
      <c r="M585" s="153">
        <v>780.0</v>
      </c>
    </row>
    <row r="586">
      <c r="A586" s="250">
        <v>46248.0</v>
      </c>
      <c r="B586" s="153" t="s">
        <v>135</v>
      </c>
      <c r="C586" s="153" t="s">
        <v>5</v>
      </c>
      <c r="D586" s="153" t="s">
        <v>441</v>
      </c>
      <c r="E586" s="153" t="s">
        <v>442</v>
      </c>
      <c r="F586" s="153" t="s">
        <v>440</v>
      </c>
      <c r="G586" s="153">
        <v>6240.0</v>
      </c>
      <c r="H586" s="153">
        <v>45.0</v>
      </c>
      <c r="I586" s="153">
        <v>0.72</v>
      </c>
      <c r="J586" s="153">
        <v>570.0</v>
      </c>
      <c r="K586" s="153">
        <v>0.0913</v>
      </c>
      <c r="L586" s="153">
        <v>12.6667</v>
      </c>
      <c r="M586" s="153">
        <v>570.0</v>
      </c>
    </row>
    <row r="587">
      <c r="A587" s="250">
        <v>46248.0</v>
      </c>
      <c r="B587" s="153" t="s">
        <v>135</v>
      </c>
      <c r="C587" s="153" t="s">
        <v>5</v>
      </c>
      <c r="D587" s="153" t="s">
        <v>441</v>
      </c>
      <c r="E587" s="153" t="s">
        <v>443</v>
      </c>
      <c r="F587" s="153" t="s">
        <v>440</v>
      </c>
      <c r="G587" s="153">
        <v>6240.0</v>
      </c>
      <c r="H587" s="153">
        <v>2.0</v>
      </c>
      <c r="I587" s="153">
        <v>0.03</v>
      </c>
      <c r="J587" s="153">
        <v>20.0</v>
      </c>
      <c r="K587" s="153">
        <v>0.0032</v>
      </c>
      <c r="L587" s="153">
        <v>10.0</v>
      </c>
      <c r="M587" s="153">
        <v>20.0</v>
      </c>
    </row>
    <row r="588">
      <c r="A588" s="250">
        <v>46248.0</v>
      </c>
      <c r="B588" s="153" t="s">
        <v>135</v>
      </c>
      <c r="C588" s="153" t="s">
        <v>5</v>
      </c>
      <c r="D588" s="153" t="s">
        <v>444</v>
      </c>
      <c r="E588" s="153" t="s">
        <v>445</v>
      </c>
      <c r="F588" s="153" t="s">
        <v>440</v>
      </c>
      <c r="G588" s="153">
        <v>6240.0</v>
      </c>
      <c r="H588" s="153">
        <v>89.0</v>
      </c>
      <c r="I588" s="153">
        <v>1.43</v>
      </c>
      <c r="J588" s="153">
        <v>2125.0</v>
      </c>
      <c r="K588" s="153">
        <v>0.3405</v>
      </c>
      <c r="L588" s="153">
        <v>23.8764</v>
      </c>
      <c r="M588" s="153">
        <v>2125.0</v>
      </c>
    </row>
    <row r="589">
      <c r="A589" s="250">
        <v>46248.0</v>
      </c>
      <c r="B589" s="153" t="s">
        <v>136</v>
      </c>
      <c r="C589" s="153" t="s">
        <v>4</v>
      </c>
      <c r="D589" s="153" t="s">
        <v>424</v>
      </c>
      <c r="E589" s="153" t="s">
        <v>425</v>
      </c>
      <c r="F589" s="153" t="s">
        <v>426</v>
      </c>
      <c r="G589" s="153">
        <v>3914.0</v>
      </c>
      <c r="H589" s="153">
        <v>1.0</v>
      </c>
      <c r="I589" s="153">
        <v>0.03</v>
      </c>
      <c r="J589" s="153">
        <v>22.5</v>
      </c>
      <c r="K589" s="153">
        <v>0.0057</v>
      </c>
      <c r="L589" s="153">
        <v>22.5</v>
      </c>
      <c r="M589" s="153">
        <v>30.0</v>
      </c>
    </row>
    <row r="590">
      <c r="A590" s="250">
        <v>46248.0</v>
      </c>
      <c r="B590" s="153" t="s">
        <v>136</v>
      </c>
      <c r="C590" s="153" t="s">
        <v>4</v>
      </c>
      <c r="D590" s="153" t="s">
        <v>430</v>
      </c>
      <c r="E590" s="153" t="s">
        <v>433</v>
      </c>
      <c r="F590" s="153" t="s">
        <v>429</v>
      </c>
      <c r="G590" s="153">
        <v>3914.0</v>
      </c>
      <c r="H590" s="153">
        <v>1.0</v>
      </c>
      <c r="I590" s="153">
        <v>0.03</v>
      </c>
      <c r="J590" s="153">
        <v>1.0</v>
      </c>
      <c r="K590" s="153">
        <v>3.0E-4</v>
      </c>
      <c r="L590" s="153">
        <v>1.0</v>
      </c>
      <c r="M590" s="153">
        <v>1.0</v>
      </c>
    </row>
    <row r="591">
      <c r="A591" s="250">
        <v>46248.0</v>
      </c>
      <c r="B591" s="153" t="s">
        <v>136</v>
      </c>
      <c r="C591" s="153" t="s">
        <v>5</v>
      </c>
      <c r="D591" s="153" t="s">
        <v>424</v>
      </c>
      <c r="E591" s="153" t="s">
        <v>425</v>
      </c>
      <c r="F591" s="153" t="s">
        <v>426</v>
      </c>
      <c r="G591" s="153">
        <v>3780.0</v>
      </c>
      <c r="H591" s="153">
        <v>69.0</v>
      </c>
      <c r="I591" s="153">
        <v>1.83</v>
      </c>
      <c r="J591" s="153">
        <v>1970.84</v>
      </c>
      <c r="K591" s="153">
        <v>0.5214</v>
      </c>
      <c r="L591" s="153">
        <v>28.5628</v>
      </c>
      <c r="M591" s="153">
        <v>3960.0</v>
      </c>
    </row>
    <row r="592">
      <c r="A592" s="250">
        <v>46248.0</v>
      </c>
      <c r="B592" s="153" t="s">
        <v>136</v>
      </c>
      <c r="C592" s="153" t="s">
        <v>5</v>
      </c>
      <c r="D592" s="153" t="s">
        <v>427</v>
      </c>
      <c r="E592" s="153" t="s">
        <v>428</v>
      </c>
      <c r="F592" s="153" t="s">
        <v>429</v>
      </c>
      <c r="G592" s="153">
        <v>3780.0</v>
      </c>
      <c r="H592" s="153">
        <v>122.0</v>
      </c>
      <c r="I592" s="153">
        <v>3.23</v>
      </c>
      <c r="J592" s="153">
        <v>15719.86</v>
      </c>
      <c r="K592" s="153">
        <v>4.1587</v>
      </c>
      <c r="L592" s="153">
        <v>128.8513</v>
      </c>
      <c r="M592" s="153">
        <v>18925.0</v>
      </c>
    </row>
    <row r="593">
      <c r="A593" s="250">
        <v>46248.0</v>
      </c>
      <c r="B593" s="153" t="s">
        <v>136</v>
      </c>
      <c r="C593" s="153" t="s">
        <v>5</v>
      </c>
      <c r="D593" s="153" t="s">
        <v>430</v>
      </c>
      <c r="E593" s="153" t="s">
        <v>431</v>
      </c>
      <c r="F593" s="153" t="s">
        <v>429</v>
      </c>
      <c r="G593" s="153">
        <v>3780.0</v>
      </c>
      <c r="H593" s="153">
        <v>31.0</v>
      </c>
      <c r="I593" s="153">
        <v>0.82</v>
      </c>
      <c r="J593" s="153">
        <v>42.0</v>
      </c>
      <c r="K593" s="153">
        <v>0.0111</v>
      </c>
      <c r="L593" s="153">
        <v>1.3548</v>
      </c>
      <c r="M593" s="153">
        <v>42.0</v>
      </c>
    </row>
    <row r="594">
      <c r="A594" s="250">
        <v>46248.0</v>
      </c>
      <c r="B594" s="153" t="s">
        <v>136</v>
      </c>
      <c r="C594" s="153" t="s">
        <v>5</v>
      </c>
      <c r="D594" s="153" t="s">
        <v>430</v>
      </c>
      <c r="E594" s="153" t="s">
        <v>432</v>
      </c>
      <c r="F594" s="153" t="s">
        <v>429</v>
      </c>
      <c r="G594" s="153">
        <v>3780.0</v>
      </c>
      <c r="H594" s="153">
        <v>51.0</v>
      </c>
      <c r="I594" s="153">
        <v>1.35</v>
      </c>
      <c r="J594" s="153">
        <v>90.0</v>
      </c>
      <c r="K594" s="153">
        <v>0.0238</v>
      </c>
      <c r="L594" s="153">
        <v>1.7647</v>
      </c>
      <c r="M594" s="153">
        <v>90.0</v>
      </c>
    </row>
    <row r="595">
      <c r="A595" s="250">
        <v>46248.0</v>
      </c>
      <c r="B595" s="153" t="s">
        <v>136</v>
      </c>
      <c r="C595" s="153" t="s">
        <v>5</v>
      </c>
      <c r="D595" s="153" t="s">
        <v>430</v>
      </c>
      <c r="E595" s="153" t="s">
        <v>433</v>
      </c>
      <c r="F595" s="153" t="s">
        <v>429</v>
      </c>
      <c r="G595" s="153">
        <v>3780.0</v>
      </c>
      <c r="H595" s="153">
        <v>56.0</v>
      </c>
      <c r="I595" s="153">
        <v>1.48</v>
      </c>
      <c r="J595" s="153">
        <v>69.0</v>
      </c>
      <c r="K595" s="153">
        <v>0.0183</v>
      </c>
      <c r="L595" s="153">
        <v>1.2321</v>
      </c>
      <c r="M595" s="153">
        <v>69.0</v>
      </c>
    </row>
    <row r="596">
      <c r="A596" s="250">
        <v>46248.0</v>
      </c>
      <c r="B596" s="153" t="s">
        <v>136</v>
      </c>
      <c r="C596" s="153" t="s">
        <v>5</v>
      </c>
      <c r="D596" s="153" t="s">
        <v>434</v>
      </c>
      <c r="E596" s="153" t="s">
        <v>435</v>
      </c>
      <c r="F596" s="153" t="s">
        <v>429</v>
      </c>
      <c r="G596" s="153">
        <v>3780.0</v>
      </c>
      <c r="H596" s="153">
        <v>46.0</v>
      </c>
      <c r="I596" s="153">
        <v>1.22</v>
      </c>
      <c r="J596" s="153">
        <v>73.0</v>
      </c>
      <c r="K596" s="153">
        <v>0.0193</v>
      </c>
      <c r="L596" s="153">
        <v>1.587</v>
      </c>
      <c r="M596" s="153">
        <v>73.0</v>
      </c>
    </row>
    <row r="597">
      <c r="A597" s="250">
        <v>46248.0</v>
      </c>
      <c r="B597" s="153" t="s">
        <v>136</v>
      </c>
      <c r="C597" s="153" t="s">
        <v>5</v>
      </c>
      <c r="D597" s="153" t="s">
        <v>434</v>
      </c>
      <c r="E597" s="153" t="s">
        <v>436</v>
      </c>
      <c r="F597" s="153" t="s">
        <v>429</v>
      </c>
      <c r="G597" s="153">
        <v>3780.0</v>
      </c>
      <c r="H597" s="153">
        <v>35.0</v>
      </c>
      <c r="I597" s="153">
        <v>0.93</v>
      </c>
      <c r="J597" s="153">
        <v>61.0</v>
      </c>
      <c r="K597" s="153">
        <v>0.0161</v>
      </c>
      <c r="L597" s="153">
        <v>1.7429</v>
      </c>
      <c r="M597" s="153">
        <v>61.0</v>
      </c>
    </row>
    <row r="598">
      <c r="A598" s="250">
        <v>46248.0</v>
      </c>
      <c r="B598" s="153" t="s">
        <v>136</v>
      </c>
      <c r="C598" s="153" t="s">
        <v>5</v>
      </c>
      <c r="D598" s="153" t="s">
        <v>434</v>
      </c>
      <c r="E598" s="153" t="s">
        <v>437</v>
      </c>
      <c r="F598" s="153" t="s">
        <v>429</v>
      </c>
      <c r="G598" s="153">
        <v>3780.0</v>
      </c>
      <c r="H598" s="153">
        <v>32.0</v>
      </c>
      <c r="I598" s="153">
        <v>0.85</v>
      </c>
      <c r="J598" s="153">
        <v>47.0</v>
      </c>
      <c r="K598" s="153">
        <v>0.0124</v>
      </c>
      <c r="L598" s="153">
        <v>1.4688</v>
      </c>
      <c r="M598" s="153">
        <v>47.0</v>
      </c>
    </row>
    <row r="599">
      <c r="A599" s="250">
        <v>46248.0</v>
      </c>
      <c r="B599" s="153" t="s">
        <v>136</v>
      </c>
      <c r="C599" s="153" t="s">
        <v>5</v>
      </c>
      <c r="D599" s="153" t="s">
        <v>438</v>
      </c>
      <c r="E599" s="153" t="s">
        <v>439</v>
      </c>
      <c r="F599" s="153" t="s">
        <v>440</v>
      </c>
      <c r="G599" s="153">
        <v>3780.0</v>
      </c>
      <c r="H599" s="153">
        <v>43.0</v>
      </c>
      <c r="I599" s="153">
        <v>1.14</v>
      </c>
      <c r="J599" s="153">
        <v>750.0</v>
      </c>
      <c r="K599" s="153">
        <v>0.1984</v>
      </c>
      <c r="L599" s="153">
        <v>17.4419</v>
      </c>
      <c r="M599" s="153">
        <v>750.0</v>
      </c>
    </row>
    <row r="600">
      <c r="A600" s="250">
        <v>46248.0</v>
      </c>
      <c r="B600" s="153" t="s">
        <v>136</v>
      </c>
      <c r="C600" s="153" t="s">
        <v>5</v>
      </c>
      <c r="D600" s="153" t="s">
        <v>441</v>
      </c>
      <c r="E600" s="153" t="s">
        <v>442</v>
      </c>
      <c r="F600" s="153" t="s">
        <v>440</v>
      </c>
      <c r="G600" s="153">
        <v>3780.0</v>
      </c>
      <c r="H600" s="153">
        <v>15.0</v>
      </c>
      <c r="I600" s="153">
        <v>0.4</v>
      </c>
      <c r="J600" s="153">
        <v>200.0</v>
      </c>
      <c r="K600" s="153">
        <v>0.0529</v>
      </c>
      <c r="L600" s="153">
        <v>13.3333</v>
      </c>
      <c r="M600" s="153">
        <v>200.0</v>
      </c>
    </row>
    <row r="601">
      <c r="A601" s="250">
        <v>46248.0</v>
      </c>
      <c r="B601" s="153" t="s">
        <v>136</v>
      </c>
      <c r="C601" s="153" t="s">
        <v>5</v>
      </c>
      <c r="D601" s="153" t="s">
        <v>441</v>
      </c>
      <c r="E601" s="153" t="s">
        <v>443</v>
      </c>
      <c r="F601" s="153" t="s">
        <v>440</v>
      </c>
      <c r="G601" s="153">
        <v>3780.0</v>
      </c>
      <c r="H601" s="153">
        <v>19.0</v>
      </c>
      <c r="I601" s="153">
        <v>0.5</v>
      </c>
      <c r="J601" s="153">
        <v>220.0</v>
      </c>
      <c r="K601" s="153">
        <v>0.0582</v>
      </c>
      <c r="L601" s="153">
        <v>11.5789</v>
      </c>
      <c r="M601" s="153">
        <v>220.0</v>
      </c>
    </row>
    <row r="602">
      <c r="A602" s="250">
        <v>46248.0</v>
      </c>
      <c r="B602" s="153" t="s">
        <v>136</v>
      </c>
      <c r="C602" s="153" t="s">
        <v>5</v>
      </c>
      <c r="D602" s="153" t="s">
        <v>444</v>
      </c>
      <c r="E602" s="153" t="s">
        <v>445</v>
      </c>
      <c r="F602" s="153" t="s">
        <v>440</v>
      </c>
      <c r="G602" s="153">
        <v>3780.0</v>
      </c>
      <c r="H602" s="153">
        <v>58.0</v>
      </c>
      <c r="I602" s="153">
        <v>1.53</v>
      </c>
      <c r="J602" s="153">
        <v>2190.0</v>
      </c>
      <c r="K602" s="153">
        <v>0.5794</v>
      </c>
      <c r="L602" s="153">
        <v>37.7586</v>
      </c>
      <c r="M602" s="153">
        <v>2190.0</v>
      </c>
    </row>
    <row r="603">
      <c r="A603" s="250">
        <v>46248.0</v>
      </c>
      <c r="B603" s="153" t="s">
        <v>137</v>
      </c>
      <c r="C603" s="153" t="s">
        <v>5</v>
      </c>
      <c r="D603" s="153" t="s">
        <v>424</v>
      </c>
      <c r="E603" s="153" t="s">
        <v>425</v>
      </c>
      <c r="F603" s="153" t="s">
        <v>426</v>
      </c>
      <c r="G603" s="153">
        <v>520.0</v>
      </c>
      <c r="H603" s="153">
        <v>22.0</v>
      </c>
      <c r="I603" s="153">
        <v>4.23</v>
      </c>
      <c r="J603" s="153">
        <v>2155.94</v>
      </c>
      <c r="K603" s="153">
        <v>4.146</v>
      </c>
      <c r="L603" s="153">
        <v>97.9972</v>
      </c>
      <c r="M603" s="153">
        <v>37720.0</v>
      </c>
    </row>
    <row r="604">
      <c r="A604" s="250">
        <v>46248.0</v>
      </c>
      <c r="B604" s="153" t="s">
        <v>137</v>
      </c>
      <c r="C604" s="153" t="s">
        <v>5</v>
      </c>
      <c r="D604" s="153" t="s">
        <v>427</v>
      </c>
      <c r="E604" s="153" t="s">
        <v>428</v>
      </c>
      <c r="F604" s="153" t="s">
        <v>429</v>
      </c>
      <c r="G604" s="153">
        <v>520.0</v>
      </c>
      <c r="H604" s="153">
        <v>19.0</v>
      </c>
      <c r="I604" s="153">
        <v>3.65</v>
      </c>
      <c r="J604" s="153">
        <v>4086.13</v>
      </c>
      <c r="K604" s="153">
        <v>7.8579</v>
      </c>
      <c r="L604" s="153">
        <v>215.0595</v>
      </c>
      <c r="M604" s="153">
        <v>4995.0</v>
      </c>
    </row>
    <row r="605">
      <c r="A605" s="250">
        <v>46248.0</v>
      </c>
      <c r="B605" s="153" t="s">
        <v>137</v>
      </c>
      <c r="C605" s="153" t="s">
        <v>5</v>
      </c>
      <c r="D605" s="153" t="s">
        <v>430</v>
      </c>
      <c r="E605" s="153" t="s">
        <v>431</v>
      </c>
      <c r="F605" s="153" t="s">
        <v>429</v>
      </c>
      <c r="G605" s="153">
        <v>520.0</v>
      </c>
      <c r="H605" s="153">
        <v>15.0</v>
      </c>
      <c r="I605" s="153">
        <v>2.88</v>
      </c>
      <c r="J605" s="153">
        <v>225.0</v>
      </c>
      <c r="K605" s="153">
        <v>0.4327</v>
      </c>
      <c r="L605" s="153">
        <v>15.0</v>
      </c>
      <c r="M605" s="153">
        <v>225.0</v>
      </c>
    </row>
    <row r="606">
      <c r="A606" s="250">
        <v>46248.0</v>
      </c>
      <c r="B606" s="153" t="s">
        <v>137</v>
      </c>
      <c r="C606" s="153" t="s">
        <v>5</v>
      </c>
      <c r="D606" s="153" t="s">
        <v>430</v>
      </c>
      <c r="E606" s="153" t="s">
        <v>432</v>
      </c>
      <c r="F606" s="153" t="s">
        <v>429</v>
      </c>
      <c r="G606" s="153">
        <v>520.0</v>
      </c>
      <c r="H606" s="153">
        <v>21.0</v>
      </c>
      <c r="I606" s="153">
        <v>4.04</v>
      </c>
      <c r="J606" s="153">
        <v>234.0</v>
      </c>
      <c r="K606" s="153">
        <v>0.45</v>
      </c>
      <c r="L606" s="153">
        <v>11.1429</v>
      </c>
      <c r="M606" s="153">
        <v>234.0</v>
      </c>
    </row>
    <row r="607">
      <c r="A607" s="250">
        <v>46248.0</v>
      </c>
      <c r="B607" s="153" t="s">
        <v>137</v>
      </c>
      <c r="C607" s="153" t="s">
        <v>5</v>
      </c>
      <c r="D607" s="153" t="s">
        <v>430</v>
      </c>
      <c r="E607" s="153" t="s">
        <v>433</v>
      </c>
      <c r="F607" s="153" t="s">
        <v>429</v>
      </c>
      <c r="G607" s="153">
        <v>520.0</v>
      </c>
      <c r="H607" s="153">
        <v>20.0</v>
      </c>
      <c r="I607" s="153">
        <v>3.85</v>
      </c>
      <c r="J607" s="153">
        <v>231.0</v>
      </c>
      <c r="K607" s="153">
        <v>0.4442</v>
      </c>
      <c r="L607" s="153">
        <v>11.55</v>
      </c>
      <c r="M607" s="153">
        <v>231.0</v>
      </c>
    </row>
    <row r="608">
      <c r="A608" s="250">
        <v>46248.0</v>
      </c>
      <c r="B608" s="153" t="s">
        <v>137</v>
      </c>
      <c r="C608" s="153" t="s">
        <v>5</v>
      </c>
      <c r="D608" s="153" t="s">
        <v>434</v>
      </c>
      <c r="E608" s="153" t="s">
        <v>435</v>
      </c>
      <c r="F608" s="153" t="s">
        <v>429</v>
      </c>
      <c r="G608" s="153">
        <v>520.0</v>
      </c>
      <c r="H608" s="153">
        <v>6.0</v>
      </c>
      <c r="I608" s="153">
        <v>1.15</v>
      </c>
      <c r="J608" s="153">
        <v>8.0</v>
      </c>
      <c r="K608" s="153">
        <v>0.0154</v>
      </c>
      <c r="L608" s="153">
        <v>1.3333</v>
      </c>
      <c r="M608" s="153">
        <v>8.0</v>
      </c>
    </row>
    <row r="609">
      <c r="A609" s="250">
        <v>46248.0</v>
      </c>
      <c r="B609" s="153" t="s">
        <v>137</v>
      </c>
      <c r="C609" s="153" t="s">
        <v>5</v>
      </c>
      <c r="D609" s="153" t="s">
        <v>434</v>
      </c>
      <c r="E609" s="153" t="s">
        <v>436</v>
      </c>
      <c r="F609" s="153" t="s">
        <v>429</v>
      </c>
      <c r="G609" s="153">
        <v>520.0</v>
      </c>
      <c r="H609" s="153">
        <v>4.0</v>
      </c>
      <c r="I609" s="153">
        <v>0.77</v>
      </c>
      <c r="J609" s="153">
        <v>6.0</v>
      </c>
      <c r="K609" s="153">
        <v>0.0115</v>
      </c>
      <c r="L609" s="153">
        <v>1.5</v>
      </c>
      <c r="M609" s="153">
        <v>6.0</v>
      </c>
    </row>
    <row r="610">
      <c r="A610" s="250">
        <v>46248.0</v>
      </c>
      <c r="B610" s="153" t="s">
        <v>137</v>
      </c>
      <c r="C610" s="153" t="s">
        <v>5</v>
      </c>
      <c r="D610" s="153" t="s">
        <v>434</v>
      </c>
      <c r="E610" s="153" t="s">
        <v>437</v>
      </c>
      <c r="F610" s="153" t="s">
        <v>429</v>
      </c>
      <c r="G610" s="153">
        <v>520.0</v>
      </c>
      <c r="H610" s="153">
        <v>5.0</v>
      </c>
      <c r="I610" s="153">
        <v>0.96</v>
      </c>
      <c r="J610" s="153">
        <v>11.0</v>
      </c>
      <c r="K610" s="153">
        <v>0.0212</v>
      </c>
      <c r="L610" s="153">
        <v>2.2</v>
      </c>
      <c r="M610" s="153">
        <v>11.0</v>
      </c>
    </row>
    <row r="611">
      <c r="A611" s="250">
        <v>46248.0</v>
      </c>
      <c r="B611" s="153" t="s">
        <v>137</v>
      </c>
      <c r="C611" s="153" t="s">
        <v>5</v>
      </c>
      <c r="D611" s="153" t="s">
        <v>438</v>
      </c>
      <c r="E611" s="153" t="s">
        <v>439</v>
      </c>
      <c r="F611" s="153" t="s">
        <v>440</v>
      </c>
      <c r="G611" s="153">
        <v>520.0</v>
      </c>
      <c r="H611" s="153">
        <v>6.0</v>
      </c>
      <c r="I611" s="153">
        <v>1.15</v>
      </c>
      <c r="J611" s="153">
        <v>90.0</v>
      </c>
      <c r="K611" s="153">
        <v>0.1731</v>
      </c>
      <c r="L611" s="153">
        <v>15.0</v>
      </c>
      <c r="M611" s="153">
        <v>90.0</v>
      </c>
    </row>
    <row r="612">
      <c r="A612" s="250">
        <v>46248.0</v>
      </c>
      <c r="B612" s="153" t="s">
        <v>137</v>
      </c>
      <c r="C612" s="153" t="s">
        <v>5</v>
      </c>
      <c r="D612" s="153" t="s">
        <v>441</v>
      </c>
      <c r="E612" s="153" t="s">
        <v>442</v>
      </c>
      <c r="F612" s="153" t="s">
        <v>440</v>
      </c>
      <c r="G612" s="153">
        <v>520.0</v>
      </c>
      <c r="H612" s="153">
        <v>1.0</v>
      </c>
      <c r="I612" s="153">
        <v>0.19</v>
      </c>
      <c r="J612" s="153">
        <v>10.0</v>
      </c>
      <c r="K612" s="153">
        <v>0.0192</v>
      </c>
      <c r="L612" s="153">
        <v>10.0</v>
      </c>
      <c r="M612" s="153">
        <v>10.0</v>
      </c>
    </row>
    <row r="613">
      <c r="A613" s="250">
        <v>46248.0</v>
      </c>
      <c r="B613" s="153" t="s">
        <v>137</v>
      </c>
      <c r="C613" s="153" t="s">
        <v>5</v>
      </c>
      <c r="D613" s="153" t="s">
        <v>441</v>
      </c>
      <c r="E613" s="153" t="s">
        <v>443</v>
      </c>
      <c r="F613" s="153" t="s">
        <v>440</v>
      </c>
      <c r="G613" s="153">
        <v>520.0</v>
      </c>
      <c r="H613" s="153">
        <v>5.0</v>
      </c>
      <c r="I613" s="153">
        <v>0.96</v>
      </c>
      <c r="J613" s="153">
        <v>80.0</v>
      </c>
      <c r="K613" s="153">
        <v>0.1538</v>
      </c>
      <c r="L613" s="153">
        <v>16.0</v>
      </c>
      <c r="M613" s="153">
        <v>80.0</v>
      </c>
    </row>
    <row r="614">
      <c r="A614" s="250">
        <v>46248.0</v>
      </c>
      <c r="B614" s="153" t="s">
        <v>137</v>
      </c>
      <c r="C614" s="153" t="s">
        <v>5</v>
      </c>
      <c r="D614" s="153" t="s">
        <v>444</v>
      </c>
      <c r="E614" s="153" t="s">
        <v>445</v>
      </c>
      <c r="F614" s="153" t="s">
        <v>440</v>
      </c>
      <c r="G614" s="153">
        <v>520.0</v>
      </c>
      <c r="H614" s="153">
        <v>4.0</v>
      </c>
      <c r="I614" s="153">
        <v>0.77</v>
      </c>
      <c r="J614" s="153">
        <v>90.0</v>
      </c>
      <c r="K614" s="153">
        <v>0.1731</v>
      </c>
      <c r="L614" s="153">
        <v>22.5</v>
      </c>
      <c r="M614" s="153">
        <v>90.0</v>
      </c>
    </row>
    <row r="615">
      <c r="A615" s="250">
        <v>46249.0</v>
      </c>
      <c r="B615" s="153" t="s">
        <v>423</v>
      </c>
      <c r="C615" s="153" t="s">
        <v>5</v>
      </c>
      <c r="D615" s="153" t="s">
        <v>424</v>
      </c>
      <c r="E615" s="153" t="s">
        <v>425</v>
      </c>
      <c r="F615" s="153" t="s">
        <v>426</v>
      </c>
      <c r="G615" s="153">
        <v>8423.0</v>
      </c>
      <c r="H615" s="153">
        <v>7.0</v>
      </c>
      <c r="I615" s="153">
        <v>0.08</v>
      </c>
      <c r="J615" s="153">
        <v>60.83</v>
      </c>
      <c r="K615" s="153">
        <v>0.0072</v>
      </c>
      <c r="L615" s="153">
        <v>8.6905</v>
      </c>
      <c r="M615" s="153">
        <v>110.0</v>
      </c>
    </row>
    <row r="616">
      <c r="A616" s="250">
        <v>46249.0</v>
      </c>
      <c r="B616" s="153" t="s">
        <v>423</v>
      </c>
      <c r="C616" s="153" t="s">
        <v>5</v>
      </c>
      <c r="D616" s="153" t="s">
        <v>427</v>
      </c>
      <c r="E616" s="153" t="s">
        <v>428</v>
      </c>
      <c r="F616" s="153" t="s">
        <v>429</v>
      </c>
      <c r="G616" s="153">
        <v>8423.0</v>
      </c>
      <c r="H616" s="153">
        <v>1.0</v>
      </c>
      <c r="I616" s="153">
        <v>0.01</v>
      </c>
      <c r="J616" s="153">
        <v>22.2</v>
      </c>
      <c r="K616" s="153">
        <v>0.0026</v>
      </c>
      <c r="L616" s="153">
        <v>22.2</v>
      </c>
      <c r="M616" s="153">
        <v>30.0</v>
      </c>
    </row>
    <row r="617">
      <c r="A617" s="250">
        <v>46249.0</v>
      </c>
      <c r="B617" s="153" t="s">
        <v>423</v>
      </c>
      <c r="C617" s="153" t="s">
        <v>5</v>
      </c>
      <c r="D617" s="153" t="s">
        <v>430</v>
      </c>
      <c r="E617" s="153" t="s">
        <v>432</v>
      </c>
      <c r="F617" s="153" t="s">
        <v>429</v>
      </c>
      <c r="G617" s="153">
        <v>8423.0</v>
      </c>
      <c r="H617" s="153">
        <v>2.0</v>
      </c>
      <c r="I617" s="153">
        <v>0.02</v>
      </c>
      <c r="J617" s="153">
        <v>2.0</v>
      </c>
      <c r="K617" s="153">
        <v>2.0E-4</v>
      </c>
      <c r="L617" s="153">
        <v>1.0</v>
      </c>
      <c r="M617" s="153">
        <v>2.0</v>
      </c>
    </row>
    <row r="618">
      <c r="A618" s="250">
        <v>46249.0</v>
      </c>
      <c r="B618" s="153" t="s">
        <v>423</v>
      </c>
      <c r="C618" s="153" t="s">
        <v>5</v>
      </c>
      <c r="D618" s="153" t="s">
        <v>430</v>
      </c>
      <c r="E618" s="153" t="s">
        <v>433</v>
      </c>
      <c r="F618" s="153" t="s">
        <v>429</v>
      </c>
      <c r="G618" s="153">
        <v>8423.0</v>
      </c>
      <c r="H618" s="153">
        <v>1.0</v>
      </c>
      <c r="I618" s="153">
        <v>0.01</v>
      </c>
      <c r="J618" s="153">
        <v>1.0</v>
      </c>
      <c r="K618" s="153">
        <v>1.0E-4</v>
      </c>
      <c r="L618" s="153">
        <v>1.0</v>
      </c>
      <c r="M618" s="153">
        <v>1.0</v>
      </c>
    </row>
    <row r="619">
      <c r="A619" s="250">
        <v>46249.0</v>
      </c>
      <c r="B619" s="153" t="s">
        <v>423</v>
      </c>
      <c r="C619" s="153" t="s">
        <v>5</v>
      </c>
      <c r="D619" s="153" t="s">
        <v>434</v>
      </c>
      <c r="E619" s="153" t="s">
        <v>435</v>
      </c>
      <c r="F619" s="153" t="s">
        <v>429</v>
      </c>
      <c r="G619" s="153">
        <v>8423.0</v>
      </c>
      <c r="H619" s="153">
        <v>8.0</v>
      </c>
      <c r="I619" s="153">
        <v>0.09</v>
      </c>
      <c r="J619" s="153">
        <v>9.0</v>
      </c>
      <c r="K619" s="153">
        <v>0.0011</v>
      </c>
      <c r="L619" s="153">
        <v>1.125</v>
      </c>
      <c r="M619" s="153">
        <v>9.0</v>
      </c>
    </row>
    <row r="620">
      <c r="A620" s="250">
        <v>46249.0</v>
      </c>
      <c r="B620" s="153" t="s">
        <v>423</v>
      </c>
      <c r="C620" s="153" t="s">
        <v>5</v>
      </c>
      <c r="D620" s="153" t="s">
        <v>434</v>
      </c>
      <c r="E620" s="153" t="s">
        <v>436</v>
      </c>
      <c r="F620" s="153" t="s">
        <v>429</v>
      </c>
      <c r="G620" s="153">
        <v>8423.0</v>
      </c>
      <c r="H620" s="153">
        <v>2.0</v>
      </c>
      <c r="I620" s="153">
        <v>0.02</v>
      </c>
      <c r="J620" s="153">
        <v>2.0</v>
      </c>
      <c r="K620" s="153">
        <v>2.0E-4</v>
      </c>
      <c r="L620" s="153">
        <v>1.0</v>
      </c>
      <c r="M620" s="153">
        <v>2.0</v>
      </c>
    </row>
    <row r="621">
      <c r="A621" s="250">
        <v>46249.0</v>
      </c>
      <c r="B621" s="153" t="s">
        <v>423</v>
      </c>
      <c r="C621" s="153" t="s">
        <v>5</v>
      </c>
      <c r="D621" s="153" t="s">
        <v>438</v>
      </c>
      <c r="E621" s="153" t="s">
        <v>439</v>
      </c>
      <c r="F621" s="153" t="s">
        <v>440</v>
      </c>
      <c r="G621" s="153">
        <v>8423.0</v>
      </c>
      <c r="H621" s="153">
        <v>1.0</v>
      </c>
      <c r="I621" s="153">
        <v>0.01</v>
      </c>
      <c r="J621" s="153">
        <v>10.0</v>
      </c>
      <c r="K621" s="153">
        <v>0.0012</v>
      </c>
      <c r="L621" s="153">
        <v>10.0</v>
      </c>
      <c r="M621" s="153">
        <v>10.0</v>
      </c>
    </row>
    <row r="622">
      <c r="A622" s="250">
        <v>46249.0</v>
      </c>
      <c r="B622" s="153" t="s">
        <v>423</v>
      </c>
      <c r="C622" s="153" t="s">
        <v>5</v>
      </c>
      <c r="D622" s="153" t="s">
        <v>444</v>
      </c>
      <c r="E622" s="153" t="s">
        <v>445</v>
      </c>
      <c r="F622" s="153" t="s">
        <v>440</v>
      </c>
      <c r="G622" s="153">
        <v>8423.0</v>
      </c>
      <c r="H622" s="153">
        <v>4.0</v>
      </c>
      <c r="I622" s="153">
        <v>0.05</v>
      </c>
      <c r="J622" s="153">
        <v>40.0</v>
      </c>
      <c r="K622" s="153">
        <v>0.0047</v>
      </c>
      <c r="L622" s="153">
        <v>10.0</v>
      </c>
      <c r="M622" s="153">
        <v>40.0</v>
      </c>
    </row>
    <row r="623">
      <c r="A623" s="250">
        <v>46249.0</v>
      </c>
      <c r="B623" s="153" t="s">
        <v>133</v>
      </c>
      <c r="C623" s="153" t="s">
        <v>5</v>
      </c>
      <c r="D623" s="153" t="s">
        <v>424</v>
      </c>
      <c r="E623" s="153" t="s">
        <v>425</v>
      </c>
      <c r="F623" s="153" t="s">
        <v>426</v>
      </c>
      <c r="G623" s="153">
        <v>10562.0</v>
      </c>
      <c r="H623" s="153">
        <v>38.0</v>
      </c>
      <c r="I623" s="153">
        <v>0.36</v>
      </c>
      <c r="J623" s="153">
        <v>370.24</v>
      </c>
      <c r="K623" s="153">
        <v>0.0351</v>
      </c>
      <c r="L623" s="153">
        <v>9.7431</v>
      </c>
      <c r="M623" s="153">
        <v>570.0</v>
      </c>
    </row>
    <row r="624">
      <c r="A624" s="250">
        <v>46249.0</v>
      </c>
      <c r="B624" s="153" t="s">
        <v>133</v>
      </c>
      <c r="C624" s="153" t="s">
        <v>5</v>
      </c>
      <c r="D624" s="153" t="s">
        <v>427</v>
      </c>
      <c r="E624" s="153" t="s">
        <v>428</v>
      </c>
      <c r="F624" s="153" t="s">
        <v>429</v>
      </c>
      <c r="G624" s="153">
        <v>10562.0</v>
      </c>
      <c r="H624" s="153">
        <v>39.0</v>
      </c>
      <c r="I624" s="153">
        <v>0.37</v>
      </c>
      <c r="J624" s="153">
        <v>790.66</v>
      </c>
      <c r="K624" s="153">
        <v>0.0749</v>
      </c>
      <c r="L624" s="153">
        <v>20.2733</v>
      </c>
      <c r="M624" s="153">
        <v>1035.0</v>
      </c>
    </row>
    <row r="625">
      <c r="A625" s="250">
        <v>46249.0</v>
      </c>
      <c r="B625" s="153" t="s">
        <v>133</v>
      </c>
      <c r="C625" s="153" t="s">
        <v>5</v>
      </c>
      <c r="D625" s="153" t="s">
        <v>430</v>
      </c>
      <c r="E625" s="153" t="s">
        <v>431</v>
      </c>
      <c r="F625" s="153" t="s">
        <v>429</v>
      </c>
      <c r="G625" s="153">
        <v>10562.0</v>
      </c>
      <c r="H625" s="153">
        <v>1.0</v>
      </c>
      <c r="I625" s="153">
        <v>0.01</v>
      </c>
      <c r="J625" s="153">
        <v>1.0</v>
      </c>
      <c r="K625" s="153">
        <v>1.0E-4</v>
      </c>
      <c r="L625" s="153">
        <v>1.0</v>
      </c>
      <c r="M625" s="153">
        <v>1.0</v>
      </c>
    </row>
    <row r="626">
      <c r="A626" s="250">
        <v>46249.0</v>
      </c>
      <c r="B626" s="153" t="s">
        <v>133</v>
      </c>
      <c r="C626" s="153" t="s">
        <v>5</v>
      </c>
      <c r="D626" s="153" t="s">
        <v>430</v>
      </c>
      <c r="E626" s="153" t="s">
        <v>432</v>
      </c>
      <c r="F626" s="153" t="s">
        <v>429</v>
      </c>
      <c r="G626" s="153">
        <v>10562.0</v>
      </c>
      <c r="H626" s="153">
        <v>23.0</v>
      </c>
      <c r="I626" s="153">
        <v>0.22</v>
      </c>
      <c r="J626" s="153">
        <v>27.0</v>
      </c>
      <c r="K626" s="153">
        <v>0.0026</v>
      </c>
      <c r="L626" s="153">
        <v>1.1739</v>
      </c>
      <c r="M626" s="153">
        <v>27.0</v>
      </c>
    </row>
    <row r="627">
      <c r="A627" s="250">
        <v>46249.0</v>
      </c>
      <c r="B627" s="153" t="s">
        <v>133</v>
      </c>
      <c r="C627" s="153" t="s">
        <v>5</v>
      </c>
      <c r="D627" s="153" t="s">
        <v>430</v>
      </c>
      <c r="E627" s="153" t="s">
        <v>433</v>
      </c>
      <c r="F627" s="153" t="s">
        <v>429</v>
      </c>
      <c r="G627" s="153">
        <v>10562.0</v>
      </c>
      <c r="H627" s="153">
        <v>4.0</v>
      </c>
      <c r="I627" s="153">
        <v>0.04</v>
      </c>
      <c r="J627" s="153">
        <v>4.0</v>
      </c>
      <c r="K627" s="153">
        <v>4.0E-4</v>
      </c>
      <c r="L627" s="153">
        <v>1.0</v>
      </c>
      <c r="M627" s="153">
        <v>4.0</v>
      </c>
    </row>
    <row r="628">
      <c r="A628" s="250">
        <v>46249.0</v>
      </c>
      <c r="B628" s="153" t="s">
        <v>133</v>
      </c>
      <c r="C628" s="153" t="s">
        <v>5</v>
      </c>
      <c r="D628" s="153" t="s">
        <v>434</v>
      </c>
      <c r="E628" s="153" t="s">
        <v>435</v>
      </c>
      <c r="F628" s="153" t="s">
        <v>429</v>
      </c>
      <c r="G628" s="153">
        <v>10562.0</v>
      </c>
      <c r="H628" s="153">
        <v>42.0</v>
      </c>
      <c r="I628" s="153">
        <v>0.4</v>
      </c>
      <c r="J628" s="153">
        <v>43.0</v>
      </c>
      <c r="K628" s="153">
        <v>0.0041</v>
      </c>
      <c r="L628" s="153">
        <v>1.0238</v>
      </c>
      <c r="M628" s="153">
        <v>43.0</v>
      </c>
    </row>
    <row r="629">
      <c r="A629" s="250">
        <v>46249.0</v>
      </c>
      <c r="B629" s="153" t="s">
        <v>133</v>
      </c>
      <c r="C629" s="153" t="s">
        <v>5</v>
      </c>
      <c r="D629" s="153" t="s">
        <v>434</v>
      </c>
      <c r="E629" s="153" t="s">
        <v>436</v>
      </c>
      <c r="F629" s="153" t="s">
        <v>429</v>
      </c>
      <c r="G629" s="153">
        <v>10562.0</v>
      </c>
      <c r="H629" s="153">
        <v>17.0</v>
      </c>
      <c r="I629" s="153">
        <v>0.16</v>
      </c>
      <c r="J629" s="153">
        <v>17.0</v>
      </c>
      <c r="K629" s="153">
        <v>0.0016</v>
      </c>
      <c r="L629" s="153">
        <v>1.0</v>
      </c>
      <c r="M629" s="153">
        <v>17.0</v>
      </c>
    </row>
    <row r="630">
      <c r="A630" s="250">
        <v>46249.0</v>
      </c>
      <c r="B630" s="153" t="s">
        <v>133</v>
      </c>
      <c r="C630" s="153" t="s">
        <v>5</v>
      </c>
      <c r="D630" s="153" t="s">
        <v>438</v>
      </c>
      <c r="E630" s="153" t="s">
        <v>439</v>
      </c>
      <c r="F630" s="153" t="s">
        <v>440</v>
      </c>
      <c r="G630" s="153">
        <v>10562.0</v>
      </c>
      <c r="H630" s="153">
        <v>15.0</v>
      </c>
      <c r="I630" s="153">
        <v>0.14</v>
      </c>
      <c r="J630" s="153">
        <v>150.0</v>
      </c>
      <c r="K630" s="153">
        <v>0.0142</v>
      </c>
      <c r="L630" s="153">
        <v>10.0</v>
      </c>
      <c r="M630" s="153">
        <v>150.0</v>
      </c>
    </row>
    <row r="631">
      <c r="A631" s="250">
        <v>46249.0</v>
      </c>
      <c r="B631" s="153" t="s">
        <v>133</v>
      </c>
      <c r="C631" s="153" t="s">
        <v>5</v>
      </c>
      <c r="D631" s="153" t="s">
        <v>444</v>
      </c>
      <c r="E631" s="153" t="s">
        <v>445</v>
      </c>
      <c r="F631" s="153" t="s">
        <v>440</v>
      </c>
      <c r="G631" s="153">
        <v>10562.0</v>
      </c>
      <c r="H631" s="153">
        <v>24.0</v>
      </c>
      <c r="I631" s="153">
        <v>0.23</v>
      </c>
      <c r="J631" s="153">
        <v>290.0</v>
      </c>
      <c r="K631" s="153">
        <v>0.0275</v>
      </c>
      <c r="L631" s="153">
        <v>12.0833</v>
      </c>
      <c r="M631" s="153">
        <v>290.0</v>
      </c>
    </row>
    <row r="632">
      <c r="A632" s="250">
        <v>46249.0</v>
      </c>
      <c r="B632" s="153" t="s">
        <v>134</v>
      </c>
      <c r="C632" s="153" t="s">
        <v>5</v>
      </c>
      <c r="D632" s="153" t="s">
        <v>424</v>
      </c>
      <c r="E632" s="153" t="s">
        <v>425</v>
      </c>
      <c r="F632" s="153" t="s">
        <v>426</v>
      </c>
      <c r="G632" s="153">
        <v>7654.0</v>
      </c>
      <c r="H632" s="153">
        <v>31.0</v>
      </c>
      <c r="I632" s="153">
        <v>0.41</v>
      </c>
      <c r="J632" s="153">
        <v>461.83</v>
      </c>
      <c r="K632" s="153">
        <v>0.0603</v>
      </c>
      <c r="L632" s="153">
        <v>14.8978</v>
      </c>
      <c r="M632" s="153">
        <v>740.0</v>
      </c>
    </row>
    <row r="633">
      <c r="A633" s="250">
        <v>46249.0</v>
      </c>
      <c r="B633" s="153" t="s">
        <v>134</v>
      </c>
      <c r="C633" s="153" t="s">
        <v>5</v>
      </c>
      <c r="D633" s="153" t="s">
        <v>427</v>
      </c>
      <c r="E633" s="153" t="s">
        <v>428</v>
      </c>
      <c r="F633" s="153" t="s">
        <v>429</v>
      </c>
      <c r="G633" s="153">
        <v>7654.0</v>
      </c>
      <c r="H633" s="153">
        <v>37.0</v>
      </c>
      <c r="I633" s="153">
        <v>0.48</v>
      </c>
      <c r="J633" s="153">
        <v>1375.15</v>
      </c>
      <c r="K633" s="153">
        <v>0.1797</v>
      </c>
      <c r="L633" s="153">
        <v>37.1661</v>
      </c>
      <c r="M633" s="153">
        <v>1620.0</v>
      </c>
    </row>
    <row r="634">
      <c r="A634" s="250">
        <v>46249.0</v>
      </c>
      <c r="B634" s="153" t="s">
        <v>134</v>
      </c>
      <c r="C634" s="153" t="s">
        <v>5</v>
      </c>
      <c r="D634" s="153" t="s">
        <v>430</v>
      </c>
      <c r="E634" s="153" t="s">
        <v>431</v>
      </c>
      <c r="F634" s="153" t="s">
        <v>429</v>
      </c>
      <c r="G634" s="153">
        <v>7654.0</v>
      </c>
      <c r="H634" s="153">
        <v>8.0</v>
      </c>
      <c r="I634" s="153">
        <v>0.1</v>
      </c>
      <c r="J634" s="153">
        <v>8.0</v>
      </c>
      <c r="K634" s="153">
        <v>0.001</v>
      </c>
      <c r="L634" s="153">
        <v>1.0</v>
      </c>
      <c r="M634" s="153">
        <v>8.0</v>
      </c>
    </row>
    <row r="635">
      <c r="A635" s="250">
        <v>46249.0</v>
      </c>
      <c r="B635" s="153" t="s">
        <v>134</v>
      </c>
      <c r="C635" s="153" t="s">
        <v>5</v>
      </c>
      <c r="D635" s="153" t="s">
        <v>430</v>
      </c>
      <c r="E635" s="153" t="s">
        <v>432</v>
      </c>
      <c r="F635" s="153" t="s">
        <v>429</v>
      </c>
      <c r="G635" s="153">
        <v>7654.0</v>
      </c>
      <c r="H635" s="153">
        <v>20.0</v>
      </c>
      <c r="I635" s="153">
        <v>0.26</v>
      </c>
      <c r="J635" s="153">
        <v>29.0</v>
      </c>
      <c r="K635" s="153">
        <v>0.0038</v>
      </c>
      <c r="L635" s="153">
        <v>1.45</v>
      </c>
      <c r="M635" s="153">
        <v>29.0</v>
      </c>
    </row>
    <row r="636">
      <c r="A636" s="250">
        <v>46249.0</v>
      </c>
      <c r="B636" s="153" t="s">
        <v>134</v>
      </c>
      <c r="C636" s="153" t="s">
        <v>5</v>
      </c>
      <c r="D636" s="153" t="s">
        <v>430</v>
      </c>
      <c r="E636" s="153" t="s">
        <v>433</v>
      </c>
      <c r="F636" s="153" t="s">
        <v>429</v>
      </c>
      <c r="G636" s="153">
        <v>7654.0</v>
      </c>
      <c r="H636" s="153">
        <v>7.0</v>
      </c>
      <c r="I636" s="153">
        <v>0.09</v>
      </c>
      <c r="J636" s="153">
        <v>10.0</v>
      </c>
      <c r="K636" s="153">
        <v>0.0013</v>
      </c>
      <c r="L636" s="153">
        <v>1.4286</v>
      </c>
      <c r="M636" s="153">
        <v>10.0</v>
      </c>
    </row>
    <row r="637">
      <c r="A637" s="250">
        <v>46249.0</v>
      </c>
      <c r="B637" s="153" t="s">
        <v>134</v>
      </c>
      <c r="C637" s="153" t="s">
        <v>5</v>
      </c>
      <c r="D637" s="153" t="s">
        <v>434</v>
      </c>
      <c r="E637" s="153" t="s">
        <v>435</v>
      </c>
      <c r="F637" s="153" t="s">
        <v>429</v>
      </c>
      <c r="G637" s="153">
        <v>7654.0</v>
      </c>
      <c r="H637" s="153">
        <v>13.0</v>
      </c>
      <c r="I637" s="153">
        <v>0.17</v>
      </c>
      <c r="J637" s="153">
        <v>13.0</v>
      </c>
      <c r="K637" s="153">
        <v>0.0017</v>
      </c>
      <c r="L637" s="153">
        <v>1.0</v>
      </c>
      <c r="M637" s="153">
        <v>13.0</v>
      </c>
    </row>
    <row r="638">
      <c r="A638" s="250">
        <v>46249.0</v>
      </c>
      <c r="B638" s="153" t="s">
        <v>134</v>
      </c>
      <c r="C638" s="153" t="s">
        <v>5</v>
      </c>
      <c r="D638" s="153" t="s">
        <v>434</v>
      </c>
      <c r="E638" s="153" t="s">
        <v>436</v>
      </c>
      <c r="F638" s="153" t="s">
        <v>429</v>
      </c>
      <c r="G638" s="153">
        <v>7654.0</v>
      </c>
      <c r="H638" s="153">
        <v>13.0</v>
      </c>
      <c r="I638" s="153">
        <v>0.17</v>
      </c>
      <c r="J638" s="153">
        <v>17.0</v>
      </c>
      <c r="K638" s="153">
        <v>0.0022</v>
      </c>
      <c r="L638" s="153">
        <v>1.3077</v>
      </c>
      <c r="M638" s="153">
        <v>17.0</v>
      </c>
    </row>
    <row r="639">
      <c r="A639" s="250">
        <v>46249.0</v>
      </c>
      <c r="B639" s="153" t="s">
        <v>134</v>
      </c>
      <c r="C639" s="153" t="s">
        <v>5</v>
      </c>
      <c r="D639" s="153" t="s">
        <v>438</v>
      </c>
      <c r="E639" s="153" t="s">
        <v>439</v>
      </c>
      <c r="F639" s="153" t="s">
        <v>440</v>
      </c>
      <c r="G639" s="153">
        <v>7654.0</v>
      </c>
      <c r="H639" s="153">
        <v>15.0</v>
      </c>
      <c r="I639" s="153">
        <v>0.2</v>
      </c>
      <c r="J639" s="153">
        <v>160.0</v>
      </c>
      <c r="K639" s="153">
        <v>0.0209</v>
      </c>
      <c r="L639" s="153">
        <v>10.6667</v>
      </c>
      <c r="M639" s="153">
        <v>160.0</v>
      </c>
    </row>
    <row r="640">
      <c r="A640" s="250">
        <v>46249.0</v>
      </c>
      <c r="B640" s="153" t="s">
        <v>134</v>
      </c>
      <c r="C640" s="153" t="s">
        <v>5</v>
      </c>
      <c r="D640" s="153" t="s">
        <v>441</v>
      </c>
      <c r="E640" s="153" t="s">
        <v>442</v>
      </c>
      <c r="F640" s="153" t="s">
        <v>440</v>
      </c>
      <c r="G640" s="153">
        <v>7654.0</v>
      </c>
      <c r="H640" s="153">
        <v>7.0</v>
      </c>
      <c r="I640" s="153">
        <v>0.09</v>
      </c>
      <c r="J640" s="153">
        <v>90.0</v>
      </c>
      <c r="K640" s="153">
        <v>0.0118</v>
      </c>
      <c r="L640" s="153">
        <v>12.8571</v>
      </c>
      <c r="M640" s="153">
        <v>90.0</v>
      </c>
    </row>
    <row r="641">
      <c r="A641" s="250">
        <v>46249.0</v>
      </c>
      <c r="B641" s="153" t="s">
        <v>134</v>
      </c>
      <c r="C641" s="153" t="s">
        <v>5</v>
      </c>
      <c r="D641" s="153" t="s">
        <v>444</v>
      </c>
      <c r="E641" s="153" t="s">
        <v>445</v>
      </c>
      <c r="F641" s="153" t="s">
        <v>440</v>
      </c>
      <c r="G641" s="153">
        <v>7654.0</v>
      </c>
      <c r="H641" s="153">
        <v>23.0</v>
      </c>
      <c r="I641" s="153">
        <v>0.3</v>
      </c>
      <c r="J641" s="153">
        <v>575.0</v>
      </c>
      <c r="K641" s="153">
        <v>0.0751</v>
      </c>
      <c r="L641" s="153">
        <v>25.0</v>
      </c>
      <c r="M641" s="153">
        <v>575.0</v>
      </c>
    </row>
    <row r="642">
      <c r="A642" s="250">
        <v>46249.0</v>
      </c>
      <c r="B642" s="153" t="s">
        <v>135</v>
      </c>
      <c r="C642" s="153" t="s">
        <v>5</v>
      </c>
      <c r="D642" s="153" t="s">
        <v>424</v>
      </c>
      <c r="E642" s="153" t="s">
        <v>425</v>
      </c>
      <c r="F642" s="153" t="s">
        <v>426</v>
      </c>
      <c r="G642" s="153">
        <v>6100.0</v>
      </c>
      <c r="H642" s="153">
        <v>13.0</v>
      </c>
      <c r="I642" s="153">
        <v>0.21</v>
      </c>
      <c r="J642" s="153">
        <v>149.0</v>
      </c>
      <c r="K642" s="153">
        <v>0.0244</v>
      </c>
      <c r="L642" s="153">
        <v>11.4615</v>
      </c>
      <c r="M642" s="153">
        <v>200.0</v>
      </c>
    </row>
    <row r="643">
      <c r="A643" s="250">
        <v>46249.0</v>
      </c>
      <c r="B643" s="153" t="s">
        <v>135</v>
      </c>
      <c r="C643" s="153" t="s">
        <v>5</v>
      </c>
      <c r="D643" s="153" t="s">
        <v>427</v>
      </c>
      <c r="E643" s="153" t="s">
        <v>428</v>
      </c>
      <c r="F643" s="153" t="s">
        <v>429</v>
      </c>
      <c r="G643" s="153">
        <v>6100.0</v>
      </c>
      <c r="H643" s="153">
        <v>15.0</v>
      </c>
      <c r="I643" s="153">
        <v>0.25</v>
      </c>
      <c r="J643" s="153">
        <v>955.18</v>
      </c>
      <c r="K643" s="153">
        <v>0.1566</v>
      </c>
      <c r="L643" s="153">
        <v>63.6787</v>
      </c>
      <c r="M643" s="153">
        <v>1895.0</v>
      </c>
    </row>
    <row r="644">
      <c r="A644" s="250">
        <v>46249.0</v>
      </c>
      <c r="B644" s="153" t="s">
        <v>135</v>
      </c>
      <c r="C644" s="153" t="s">
        <v>5</v>
      </c>
      <c r="D644" s="153" t="s">
        <v>430</v>
      </c>
      <c r="E644" s="153" t="s">
        <v>431</v>
      </c>
      <c r="F644" s="153" t="s">
        <v>429</v>
      </c>
      <c r="G644" s="153">
        <v>6100.0</v>
      </c>
      <c r="H644" s="153">
        <v>6.0</v>
      </c>
      <c r="I644" s="153">
        <v>0.1</v>
      </c>
      <c r="J644" s="153">
        <v>6.0</v>
      </c>
      <c r="K644" s="153">
        <v>0.001</v>
      </c>
      <c r="L644" s="153">
        <v>1.0</v>
      </c>
      <c r="M644" s="153">
        <v>6.0</v>
      </c>
    </row>
    <row r="645">
      <c r="A645" s="250">
        <v>46249.0</v>
      </c>
      <c r="B645" s="153" t="s">
        <v>135</v>
      </c>
      <c r="C645" s="153" t="s">
        <v>5</v>
      </c>
      <c r="D645" s="153" t="s">
        <v>430</v>
      </c>
      <c r="E645" s="153" t="s">
        <v>432</v>
      </c>
      <c r="F645" s="153" t="s">
        <v>429</v>
      </c>
      <c r="G645" s="153">
        <v>6100.0</v>
      </c>
      <c r="H645" s="153">
        <v>5.0</v>
      </c>
      <c r="I645" s="153">
        <v>0.08</v>
      </c>
      <c r="J645" s="153">
        <v>8.0</v>
      </c>
      <c r="K645" s="153">
        <v>0.0013</v>
      </c>
      <c r="L645" s="153">
        <v>1.6</v>
      </c>
      <c r="M645" s="153">
        <v>8.0</v>
      </c>
    </row>
    <row r="646">
      <c r="A646" s="250">
        <v>46249.0</v>
      </c>
      <c r="B646" s="153" t="s">
        <v>135</v>
      </c>
      <c r="C646" s="153" t="s">
        <v>5</v>
      </c>
      <c r="D646" s="153" t="s">
        <v>430</v>
      </c>
      <c r="E646" s="153" t="s">
        <v>433</v>
      </c>
      <c r="F646" s="153" t="s">
        <v>429</v>
      </c>
      <c r="G646" s="153">
        <v>6100.0</v>
      </c>
      <c r="H646" s="153">
        <v>5.0</v>
      </c>
      <c r="I646" s="153">
        <v>0.08</v>
      </c>
      <c r="J646" s="153">
        <v>9.0</v>
      </c>
      <c r="K646" s="153">
        <v>0.0015</v>
      </c>
      <c r="L646" s="153">
        <v>1.8</v>
      </c>
      <c r="M646" s="153">
        <v>9.0</v>
      </c>
    </row>
    <row r="647">
      <c r="A647" s="250">
        <v>46249.0</v>
      </c>
      <c r="B647" s="153" t="s">
        <v>135</v>
      </c>
      <c r="C647" s="153" t="s">
        <v>5</v>
      </c>
      <c r="D647" s="153" t="s">
        <v>434</v>
      </c>
      <c r="E647" s="153" t="s">
        <v>435</v>
      </c>
      <c r="F647" s="153" t="s">
        <v>429</v>
      </c>
      <c r="G647" s="153">
        <v>6100.0</v>
      </c>
      <c r="H647" s="153">
        <v>10.0</v>
      </c>
      <c r="I647" s="153">
        <v>0.16</v>
      </c>
      <c r="J647" s="153">
        <v>14.0</v>
      </c>
      <c r="K647" s="153">
        <v>0.0023</v>
      </c>
      <c r="L647" s="153">
        <v>1.4</v>
      </c>
      <c r="M647" s="153">
        <v>14.0</v>
      </c>
    </row>
    <row r="648">
      <c r="A648" s="250">
        <v>46249.0</v>
      </c>
      <c r="B648" s="153" t="s">
        <v>135</v>
      </c>
      <c r="C648" s="153" t="s">
        <v>5</v>
      </c>
      <c r="D648" s="153" t="s">
        <v>434</v>
      </c>
      <c r="E648" s="153" t="s">
        <v>436</v>
      </c>
      <c r="F648" s="153" t="s">
        <v>429</v>
      </c>
      <c r="G648" s="153">
        <v>6100.0</v>
      </c>
      <c r="H648" s="153">
        <v>5.0</v>
      </c>
      <c r="I648" s="153">
        <v>0.08</v>
      </c>
      <c r="J648" s="153">
        <v>6.0</v>
      </c>
      <c r="K648" s="153">
        <v>0.001</v>
      </c>
      <c r="L648" s="153">
        <v>1.2</v>
      </c>
      <c r="M648" s="153">
        <v>6.0</v>
      </c>
    </row>
    <row r="649">
      <c r="A649" s="250">
        <v>46249.0</v>
      </c>
      <c r="B649" s="153" t="s">
        <v>135</v>
      </c>
      <c r="C649" s="153" t="s">
        <v>5</v>
      </c>
      <c r="D649" s="153" t="s">
        <v>434</v>
      </c>
      <c r="E649" s="153" t="s">
        <v>437</v>
      </c>
      <c r="F649" s="153" t="s">
        <v>429</v>
      </c>
      <c r="G649" s="153">
        <v>6100.0</v>
      </c>
      <c r="H649" s="153">
        <v>3.0</v>
      </c>
      <c r="I649" s="153">
        <v>0.05</v>
      </c>
      <c r="J649" s="153">
        <v>3.0</v>
      </c>
      <c r="K649" s="153">
        <v>5.0E-4</v>
      </c>
      <c r="L649" s="153">
        <v>1.0</v>
      </c>
      <c r="M649" s="153">
        <v>3.0</v>
      </c>
    </row>
    <row r="650">
      <c r="A650" s="250">
        <v>46249.0</v>
      </c>
      <c r="B650" s="153" t="s">
        <v>135</v>
      </c>
      <c r="C650" s="153" t="s">
        <v>5</v>
      </c>
      <c r="D650" s="153" t="s">
        <v>438</v>
      </c>
      <c r="E650" s="153" t="s">
        <v>439</v>
      </c>
      <c r="F650" s="153" t="s">
        <v>440</v>
      </c>
      <c r="G650" s="153">
        <v>6100.0</v>
      </c>
      <c r="H650" s="153">
        <v>3.0</v>
      </c>
      <c r="I650" s="153">
        <v>0.05</v>
      </c>
      <c r="J650" s="153">
        <v>40.0</v>
      </c>
      <c r="K650" s="153">
        <v>0.0066</v>
      </c>
      <c r="L650" s="153">
        <v>13.3333</v>
      </c>
      <c r="M650" s="153">
        <v>40.0</v>
      </c>
    </row>
    <row r="651">
      <c r="A651" s="250">
        <v>46249.0</v>
      </c>
      <c r="B651" s="153" t="s">
        <v>135</v>
      </c>
      <c r="C651" s="153" t="s">
        <v>5</v>
      </c>
      <c r="D651" s="153" t="s">
        <v>441</v>
      </c>
      <c r="E651" s="153" t="s">
        <v>442</v>
      </c>
      <c r="F651" s="153" t="s">
        <v>440</v>
      </c>
      <c r="G651" s="153">
        <v>6100.0</v>
      </c>
      <c r="H651" s="153">
        <v>5.0</v>
      </c>
      <c r="I651" s="153">
        <v>0.08</v>
      </c>
      <c r="J651" s="153">
        <v>60.0</v>
      </c>
      <c r="K651" s="153">
        <v>0.0098</v>
      </c>
      <c r="L651" s="153">
        <v>12.0</v>
      </c>
      <c r="M651" s="153">
        <v>60.0</v>
      </c>
    </row>
    <row r="652">
      <c r="A652" s="250">
        <v>46249.0</v>
      </c>
      <c r="B652" s="153" t="s">
        <v>135</v>
      </c>
      <c r="C652" s="153" t="s">
        <v>5</v>
      </c>
      <c r="D652" s="153" t="s">
        <v>441</v>
      </c>
      <c r="E652" s="153" t="s">
        <v>443</v>
      </c>
      <c r="F652" s="153" t="s">
        <v>440</v>
      </c>
      <c r="G652" s="153">
        <v>6100.0</v>
      </c>
      <c r="H652" s="153">
        <v>1.0</v>
      </c>
      <c r="I652" s="153">
        <v>0.02</v>
      </c>
      <c r="J652" s="153">
        <v>10.0</v>
      </c>
      <c r="K652" s="153">
        <v>0.0016</v>
      </c>
      <c r="L652" s="153">
        <v>10.0</v>
      </c>
      <c r="M652" s="153">
        <v>10.0</v>
      </c>
    </row>
    <row r="653">
      <c r="A653" s="250">
        <v>46249.0</v>
      </c>
      <c r="B653" s="153" t="s">
        <v>135</v>
      </c>
      <c r="C653" s="153" t="s">
        <v>5</v>
      </c>
      <c r="D653" s="153" t="s">
        <v>444</v>
      </c>
      <c r="E653" s="153" t="s">
        <v>445</v>
      </c>
      <c r="F653" s="153" t="s">
        <v>440</v>
      </c>
      <c r="G653" s="153">
        <v>6100.0</v>
      </c>
      <c r="H653" s="153">
        <v>12.0</v>
      </c>
      <c r="I653" s="153">
        <v>0.2</v>
      </c>
      <c r="J653" s="153">
        <v>250.0</v>
      </c>
      <c r="K653" s="153">
        <v>0.041</v>
      </c>
      <c r="L653" s="153">
        <v>20.8333</v>
      </c>
      <c r="M653" s="153">
        <v>250.0</v>
      </c>
    </row>
    <row r="654">
      <c r="A654" s="250">
        <v>46249.0</v>
      </c>
      <c r="B654" s="153" t="s">
        <v>136</v>
      </c>
      <c r="C654" s="153" t="s">
        <v>5</v>
      </c>
      <c r="D654" s="153" t="s">
        <v>424</v>
      </c>
      <c r="E654" s="153" t="s">
        <v>425</v>
      </c>
      <c r="F654" s="153" t="s">
        <v>426</v>
      </c>
      <c r="G654" s="153">
        <v>3474.0</v>
      </c>
      <c r="H654" s="153">
        <v>3.0</v>
      </c>
      <c r="I654" s="153">
        <v>0.09</v>
      </c>
      <c r="J654" s="153">
        <v>32.0</v>
      </c>
      <c r="K654" s="153">
        <v>0.0092</v>
      </c>
      <c r="L654" s="153">
        <v>10.6667</v>
      </c>
      <c r="M654" s="153">
        <v>50.0</v>
      </c>
    </row>
    <row r="655">
      <c r="A655" s="250">
        <v>46249.0</v>
      </c>
      <c r="B655" s="153" t="s">
        <v>136</v>
      </c>
      <c r="C655" s="153" t="s">
        <v>5</v>
      </c>
      <c r="D655" s="153" t="s">
        <v>427</v>
      </c>
      <c r="E655" s="153" t="s">
        <v>428</v>
      </c>
      <c r="F655" s="153" t="s">
        <v>429</v>
      </c>
      <c r="G655" s="153">
        <v>3474.0</v>
      </c>
      <c r="H655" s="153">
        <v>3.0</v>
      </c>
      <c r="I655" s="153">
        <v>0.09</v>
      </c>
      <c r="J655" s="153">
        <v>183.37</v>
      </c>
      <c r="K655" s="153">
        <v>0.0528</v>
      </c>
      <c r="L655" s="153">
        <v>61.1245</v>
      </c>
      <c r="M655" s="153">
        <v>215.0</v>
      </c>
    </row>
    <row r="656">
      <c r="A656" s="250">
        <v>46249.0</v>
      </c>
      <c r="B656" s="153" t="s">
        <v>136</v>
      </c>
      <c r="C656" s="153" t="s">
        <v>5</v>
      </c>
      <c r="D656" s="153" t="s">
        <v>430</v>
      </c>
      <c r="E656" s="153" t="s">
        <v>431</v>
      </c>
      <c r="F656" s="153" t="s">
        <v>429</v>
      </c>
      <c r="G656" s="153">
        <v>3474.0</v>
      </c>
      <c r="H656" s="153">
        <v>2.0</v>
      </c>
      <c r="I656" s="153">
        <v>0.06</v>
      </c>
      <c r="J656" s="153">
        <v>2.0</v>
      </c>
      <c r="K656" s="153">
        <v>6.0E-4</v>
      </c>
      <c r="L656" s="153">
        <v>1.0</v>
      </c>
      <c r="M656" s="153">
        <v>2.0</v>
      </c>
    </row>
    <row r="657">
      <c r="A657" s="250">
        <v>46249.0</v>
      </c>
      <c r="B657" s="153" t="s">
        <v>136</v>
      </c>
      <c r="C657" s="153" t="s">
        <v>5</v>
      </c>
      <c r="D657" s="153" t="s">
        <v>430</v>
      </c>
      <c r="E657" s="153" t="s">
        <v>432</v>
      </c>
      <c r="F657" s="153" t="s">
        <v>429</v>
      </c>
      <c r="G657" s="153">
        <v>3474.0</v>
      </c>
      <c r="H657" s="153">
        <v>1.0</v>
      </c>
      <c r="I657" s="153">
        <v>0.03</v>
      </c>
      <c r="J657" s="153">
        <v>1.0</v>
      </c>
      <c r="K657" s="153">
        <v>3.0E-4</v>
      </c>
      <c r="L657" s="153">
        <v>1.0</v>
      </c>
      <c r="M657" s="153">
        <v>1.0</v>
      </c>
    </row>
    <row r="658">
      <c r="A658" s="250">
        <v>46249.0</v>
      </c>
      <c r="B658" s="153" t="s">
        <v>136</v>
      </c>
      <c r="C658" s="153" t="s">
        <v>5</v>
      </c>
      <c r="D658" s="153" t="s">
        <v>430</v>
      </c>
      <c r="E658" s="153" t="s">
        <v>433</v>
      </c>
      <c r="F658" s="153" t="s">
        <v>429</v>
      </c>
      <c r="G658" s="153">
        <v>3474.0</v>
      </c>
      <c r="H658" s="153">
        <v>2.0</v>
      </c>
      <c r="I658" s="153">
        <v>0.06</v>
      </c>
      <c r="J658" s="153">
        <v>2.0</v>
      </c>
      <c r="K658" s="153">
        <v>6.0E-4</v>
      </c>
      <c r="L658" s="153">
        <v>1.0</v>
      </c>
      <c r="M658" s="153">
        <v>2.0</v>
      </c>
    </row>
    <row r="659">
      <c r="A659" s="250">
        <v>46249.0</v>
      </c>
      <c r="B659" s="153" t="s">
        <v>136</v>
      </c>
      <c r="C659" s="153" t="s">
        <v>5</v>
      </c>
      <c r="D659" s="153" t="s">
        <v>434</v>
      </c>
      <c r="E659" s="153" t="s">
        <v>435</v>
      </c>
      <c r="F659" s="153" t="s">
        <v>429</v>
      </c>
      <c r="G659" s="153">
        <v>3474.0</v>
      </c>
      <c r="H659" s="153">
        <v>2.0</v>
      </c>
      <c r="I659" s="153">
        <v>0.06</v>
      </c>
      <c r="J659" s="153">
        <v>2.0</v>
      </c>
      <c r="K659" s="153">
        <v>6.0E-4</v>
      </c>
      <c r="L659" s="153">
        <v>1.0</v>
      </c>
      <c r="M659" s="153">
        <v>2.0</v>
      </c>
    </row>
    <row r="660">
      <c r="A660" s="250">
        <v>46249.0</v>
      </c>
      <c r="B660" s="153" t="s">
        <v>136</v>
      </c>
      <c r="C660" s="153" t="s">
        <v>5</v>
      </c>
      <c r="D660" s="153" t="s">
        <v>434</v>
      </c>
      <c r="E660" s="153" t="s">
        <v>436</v>
      </c>
      <c r="F660" s="153" t="s">
        <v>429</v>
      </c>
      <c r="G660" s="153">
        <v>3474.0</v>
      </c>
      <c r="H660" s="153">
        <v>1.0</v>
      </c>
      <c r="I660" s="153">
        <v>0.03</v>
      </c>
      <c r="J660" s="153">
        <v>2.0</v>
      </c>
      <c r="K660" s="153">
        <v>6.0E-4</v>
      </c>
      <c r="L660" s="153">
        <v>2.0</v>
      </c>
      <c r="M660" s="153">
        <v>2.0</v>
      </c>
    </row>
    <row r="661">
      <c r="A661" s="250">
        <v>46249.0</v>
      </c>
      <c r="B661" s="153" t="s">
        <v>136</v>
      </c>
      <c r="C661" s="153" t="s">
        <v>5</v>
      </c>
      <c r="D661" s="153" t="s">
        <v>434</v>
      </c>
      <c r="E661" s="153" t="s">
        <v>437</v>
      </c>
      <c r="F661" s="153" t="s">
        <v>429</v>
      </c>
      <c r="G661" s="153">
        <v>3474.0</v>
      </c>
      <c r="H661" s="153">
        <v>1.0</v>
      </c>
      <c r="I661" s="153">
        <v>0.03</v>
      </c>
      <c r="J661" s="153">
        <v>1.0</v>
      </c>
      <c r="K661" s="153">
        <v>3.0E-4</v>
      </c>
      <c r="L661" s="153">
        <v>1.0</v>
      </c>
      <c r="M661" s="153">
        <v>1.0</v>
      </c>
    </row>
    <row r="662">
      <c r="A662" s="250">
        <v>46249.0</v>
      </c>
      <c r="B662" s="153" t="s">
        <v>136</v>
      </c>
      <c r="C662" s="153" t="s">
        <v>5</v>
      </c>
      <c r="D662" s="153" t="s">
        <v>438</v>
      </c>
      <c r="E662" s="153" t="s">
        <v>439</v>
      </c>
      <c r="F662" s="153" t="s">
        <v>440</v>
      </c>
      <c r="G662" s="153">
        <v>3474.0</v>
      </c>
      <c r="H662" s="153">
        <v>2.0</v>
      </c>
      <c r="I662" s="153">
        <v>0.06</v>
      </c>
      <c r="J662" s="153">
        <v>30.0</v>
      </c>
      <c r="K662" s="153">
        <v>0.0086</v>
      </c>
      <c r="L662" s="153">
        <v>15.0</v>
      </c>
      <c r="M662" s="153">
        <v>30.0</v>
      </c>
    </row>
    <row r="663">
      <c r="A663" s="250">
        <v>46249.0</v>
      </c>
      <c r="B663" s="153" t="s">
        <v>136</v>
      </c>
      <c r="C663" s="153" t="s">
        <v>5</v>
      </c>
      <c r="D663" s="153" t="s">
        <v>441</v>
      </c>
      <c r="E663" s="153" t="s">
        <v>442</v>
      </c>
      <c r="F663" s="153" t="s">
        <v>440</v>
      </c>
      <c r="G663" s="153">
        <v>3474.0</v>
      </c>
      <c r="H663" s="153">
        <v>1.0</v>
      </c>
      <c r="I663" s="153">
        <v>0.03</v>
      </c>
      <c r="J663" s="153">
        <v>10.0</v>
      </c>
      <c r="K663" s="153">
        <v>0.0029</v>
      </c>
      <c r="L663" s="153">
        <v>10.0</v>
      </c>
      <c r="M663" s="153">
        <v>10.0</v>
      </c>
    </row>
    <row r="664">
      <c r="A664" s="250">
        <v>46249.0</v>
      </c>
      <c r="B664" s="153" t="s">
        <v>136</v>
      </c>
      <c r="C664" s="153" t="s">
        <v>5</v>
      </c>
      <c r="D664" s="153" t="s">
        <v>441</v>
      </c>
      <c r="E664" s="153" t="s">
        <v>443</v>
      </c>
      <c r="F664" s="153" t="s">
        <v>440</v>
      </c>
      <c r="G664" s="153">
        <v>3474.0</v>
      </c>
      <c r="H664" s="153">
        <v>1.0</v>
      </c>
      <c r="I664" s="153">
        <v>0.03</v>
      </c>
      <c r="J664" s="153">
        <v>10.0</v>
      </c>
      <c r="K664" s="153">
        <v>0.0029</v>
      </c>
      <c r="L664" s="153">
        <v>10.0</v>
      </c>
      <c r="M664" s="153">
        <v>10.0</v>
      </c>
    </row>
    <row r="665">
      <c r="A665" s="250">
        <v>46249.0</v>
      </c>
      <c r="B665" s="153" t="s">
        <v>136</v>
      </c>
      <c r="C665" s="153" t="s">
        <v>5</v>
      </c>
      <c r="D665" s="153" t="s">
        <v>444</v>
      </c>
      <c r="E665" s="153" t="s">
        <v>445</v>
      </c>
      <c r="F665" s="153" t="s">
        <v>440</v>
      </c>
      <c r="G665" s="153">
        <v>3474.0</v>
      </c>
      <c r="H665" s="153">
        <v>4.0</v>
      </c>
      <c r="I665" s="153">
        <v>0.12</v>
      </c>
      <c r="J665" s="153">
        <v>80.0</v>
      </c>
      <c r="K665" s="153">
        <v>0.023</v>
      </c>
      <c r="L665" s="153">
        <v>20.0</v>
      </c>
      <c r="M665" s="153">
        <v>80.0</v>
      </c>
    </row>
    <row r="666">
      <c r="A666" s="250">
        <v>46249.0</v>
      </c>
      <c r="B666" s="153" t="s">
        <v>137</v>
      </c>
      <c r="C666" s="153" t="s">
        <v>5</v>
      </c>
      <c r="D666" s="153" t="s">
        <v>427</v>
      </c>
      <c r="E666" s="153" t="s">
        <v>428</v>
      </c>
      <c r="F666" s="153" t="s">
        <v>429</v>
      </c>
      <c r="G666" s="153">
        <v>489.0</v>
      </c>
      <c r="H666" s="153">
        <v>1.0</v>
      </c>
      <c r="I666" s="153">
        <v>0.2</v>
      </c>
      <c r="J666" s="153">
        <v>125.0</v>
      </c>
      <c r="K666" s="153">
        <v>0.2556</v>
      </c>
      <c r="L666" s="153">
        <v>125.0</v>
      </c>
      <c r="M666" s="153">
        <v>125.0</v>
      </c>
    </row>
    <row r="667">
      <c r="A667" s="250">
        <v>46250.0</v>
      </c>
      <c r="B667" s="153" t="s">
        <v>423</v>
      </c>
      <c r="C667" s="153" t="s">
        <v>5</v>
      </c>
      <c r="D667" s="153" t="s">
        <v>424</v>
      </c>
      <c r="E667" s="153" t="s">
        <v>425</v>
      </c>
      <c r="F667" s="153" t="s">
        <v>426</v>
      </c>
      <c r="G667" s="153">
        <v>8631.0</v>
      </c>
      <c r="H667" s="153">
        <v>1.0</v>
      </c>
      <c r="I667" s="153">
        <v>0.01</v>
      </c>
      <c r="J667" s="153">
        <v>5.0</v>
      </c>
      <c r="K667" s="153">
        <v>6.0E-4</v>
      </c>
      <c r="L667" s="153">
        <v>5.0</v>
      </c>
      <c r="M667" s="153">
        <v>10.0</v>
      </c>
    </row>
    <row r="668">
      <c r="A668" s="250">
        <v>46250.0</v>
      </c>
      <c r="B668" s="153" t="s">
        <v>423</v>
      </c>
      <c r="C668" s="153" t="s">
        <v>5</v>
      </c>
      <c r="D668" s="153" t="s">
        <v>427</v>
      </c>
      <c r="E668" s="153" t="s">
        <v>428</v>
      </c>
      <c r="F668" s="153" t="s">
        <v>429</v>
      </c>
      <c r="G668" s="153">
        <v>8631.0</v>
      </c>
      <c r="H668" s="153">
        <v>4.0</v>
      </c>
      <c r="I668" s="153">
        <v>0.05</v>
      </c>
      <c r="J668" s="153">
        <v>94.38</v>
      </c>
      <c r="K668" s="153">
        <v>0.0109</v>
      </c>
      <c r="L668" s="153">
        <v>23.5938</v>
      </c>
      <c r="M668" s="153">
        <v>110.0</v>
      </c>
    </row>
    <row r="669">
      <c r="A669" s="250">
        <v>46250.0</v>
      </c>
      <c r="B669" s="153" t="s">
        <v>423</v>
      </c>
      <c r="C669" s="153" t="s">
        <v>5</v>
      </c>
      <c r="D669" s="153" t="s">
        <v>430</v>
      </c>
      <c r="E669" s="153" t="s">
        <v>432</v>
      </c>
      <c r="F669" s="153" t="s">
        <v>429</v>
      </c>
      <c r="G669" s="153">
        <v>8631.0</v>
      </c>
      <c r="H669" s="153">
        <v>1.0</v>
      </c>
      <c r="I669" s="153">
        <v>0.01</v>
      </c>
      <c r="J669" s="153">
        <v>1.0</v>
      </c>
      <c r="K669" s="153">
        <v>1.0E-4</v>
      </c>
      <c r="L669" s="153">
        <v>1.0</v>
      </c>
      <c r="M669" s="153">
        <v>1.0</v>
      </c>
    </row>
    <row r="670">
      <c r="A670" s="250">
        <v>46250.0</v>
      </c>
      <c r="B670" s="153" t="s">
        <v>423</v>
      </c>
      <c r="C670" s="153" t="s">
        <v>5</v>
      </c>
      <c r="D670" s="153" t="s">
        <v>434</v>
      </c>
      <c r="E670" s="153" t="s">
        <v>436</v>
      </c>
      <c r="F670" s="153" t="s">
        <v>429</v>
      </c>
      <c r="G670" s="153">
        <v>8631.0</v>
      </c>
      <c r="H670" s="153">
        <v>2.0</v>
      </c>
      <c r="I670" s="153">
        <v>0.02</v>
      </c>
      <c r="J670" s="153">
        <v>2.0</v>
      </c>
      <c r="K670" s="153">
        <v>2.0E-4</v>
      </c>
      <c r="L670" s="153">
        <v>1.0</v>
      </c>
      <c r="M670" s="153">
        <v>2.0</v>
      </c>
    </row>
    <row r="671">
      <c r="A671" s="250">
        <v>46250.0</v>
      </c>
      <c r="B671" s="153" t="s">
        <v>423</v>
      </c>
      <c r="C671" s="153" t="s">
        <v>5</v>
      </c>
      <c r="D671" s="153" t="s">
        <v>438</v>
      </c>
      <c r="E671" s="153" t="s">
        <v>439</v>
      </c>
      <c r="F671" s="153" t="s">
        <v>440</v>
      </c>
      <c r="G671" s="153">
        <v>8631.0</v>
      </c>
      <c r="H671" s="153">
        <v>1.0</v>
      </c>
      <c r="I671" s="153">
        <v>0.01</v>
      </c>
      <c r="J671" s="153">
        <v>10.0</v>
      </c>
      <c r="K671" s="153">
        <v>0.0012</v>
      </c>
      <c r="L671" s="153">
        <v>10.0</v>
      </c>
      <c r="M671" s="153">
        <v>10.0</v>
      </c>
    </row>
    <row r="672">
      <c r="A672" s="250">
        <v>46250.0</v>
      </c>
      <c r="B672" s="153" t="s">
        <v>423</v>
      </c>
      <c r="C672" s="153" t="s">
        <v>5</v>
      </c>
      <c r="D672" s="153" t="s">
        <v>441</v>
      </c>
      <c r="E672" s="153" t="s">
        <v>442</v>
      </c>
      <c r="F672" s="153" t="s">
        <v>440</v>
      </c>
      <c r="G672" s="153">
        <v>8631.0</v>
      </c>
      <c r="H672" s="153">
        <v>1.0</v>
      </c>
      <c r="I672" s="153">
        <v>0.01</v>
      </c>
      <c r="J672" s="153">
        <v>10.0</v>
      </c>
      <c r="K672" s="153">
        <v>0.0012</v>
      </c>
      <c r="L672" s="153">
        <v>10.0</v>
      </c>
      <c r="M672" s="153">
        <v>10.0</v>
      </c>
    </row>
    <row r="673">
      <c r="A673" s="250">
        <v>46250.0</v>
      </c>
      <c r="B673" s="153" t="s">
        <v>423</v>
      </c>
      <c r="C673" s="153" t="s">
        <v>5</v>
      </c>
      <c r="D673" s="153" t="s">
        <v>444</v>
      </c>
      <c r="E673" s="153" t="s">
        <v>445</v>
      </c>
      <c r="F673" s="153" t="s">
        <v>440</v>
      </c>
      <c r="G673" s="153">
        <v>8631.0</v>
      </c>
      <c r="H673" s="153">
        <v>2.0</v>
      </c>
      <c r="I673" s="153">
        <v>0.02</v>
      </c>
      <c r="J673" s="153">
        <v>20.0</v>
      </c>
      <c r="K673" s="153">
        <v>0.0023</v>
      </c>
      <c r="L673" s="153">
        <v>10.0</v>
      </c>
      <c r="M673" s="153">
        <v>20.0</v>
      </c>
    </row>
    <row r="674">
      <c r="A674" s="250">
        <v>46250.0</v>
      </c>
      <c r="B674" s="153" t="s">
        <v>133</v>
      </c>
      <c r="C674" s="153" t="s">
        <v>5</v>
      </c>
      <c r="D674" s="153" t="s">
        <v>424</v>
      </c>
      <c r="E674" s="153" t="s">
        <v>425</v>
      </c>
      <c r="F674" s="153" t="s">
        <v>426</v>
      </c>
      <c r="G674" s="153">
        <v>10687.0</v>
      </c>
      <c r="H674" s="153">
        <v>22.0</v>
      </c>
      <c r="I674" s="153">
        <v>0.21</v>
      </c>
      <c r="J674" s="153">
        <v>195.57</v>
      </c>
      <c r="K674" s="153">
        <v>0.0183</v>
      </c>
      <c r="L674" s="153">
        <v>8.8896</v>
      </c>
      <c r="M674" s="153">
        <v>260.0</v>
      </c>
    </row>
    <row r="675">
      <c r="A675" s="250">
        <v>46250.0</v>
      </c>
      <c r="B675" s="153" t="s">
        <v>133</v>
      </c>
      <c r="C675" s="153" t="s">
        <v>5</v>
      </c>
      <c r="D675" s="153" t="s">
        <v>427</v>
      </c>
      <c r="E675" s="153" t="s">
        <v>428</v>
      </c>
      <c r="F675" s="153" t="s">
        <v>429</v>
      </c>
      <c r="G675" s="153">
        <v>10687.0</v>
      </c>
      <c r="H675" s="153">
        <v>17.0</v>
      </c>
      <c r="I675" s="153">
        <v>0.16</v>
      </c>
      <c r="J675" s="153">
        <v>328.72</v>
      </c>
      <c r="K675" s="153">
        <v>0.0308</v>
      </c>
      <c r="L675" s="153">
        <v>19.3363</v>
      </c>
      <c r="M675" s="153">
        <v>390.0</v>
      </c>
    </row>
    <row r="676">
      <c r="A676" s="250">
        <v>46250.0</v>
      </c>
      <c r="B676" s="153" t="s">
        <v>133</v>
      </c>
      <c r="C676" s="153" t="s">
        <v>5</v>
      </c>
      <c r="D676" s="153" t="s">
        <v>430</v>
      </c>
      <c r="E676" s="153" t="s">
        <v>432</v>
      </c>
      <c r="F676" s="153" t="s">
        <v>429</v>
      </c>
      <c r="G676" s="153">
        <v>10687.0</v>
      </c>
      <c r="H676" s="153">
        <v>9.0</v>
      </c>
      <c r="I676" s="153">
        <v>0.08</v>
      </c>
      <c r="J676" s="153">
        <v>12.0</v>
      </c>
      <c r="K676" s="153">
        <v>0.0011</v>
      </c>
      <c r="L676" s="153">
        <v>1.3333</v>
      </c>
      <c r="M676" s="153">
        <v>12.0</v>
      </c>
    </row>
    <row r="677">
      <c r="A677" s="250">
        <v>46250.0</v>
      </c>
      <c r="B677" s="153" t="s">
        <v>133</v>
      </c>
      <c r="C677" s="153" t="s">
        <v>5</v>
      </c>
      <c r="D677" s="153" t="s">
        <v>430</v>
      </c>
      <c r="E677" s="153" t="s">
        <v>433</v>
      </c>
      <c r="F677" s="153" t="s">
        <v>429</v>
      </c>
      <c r="G677" s="153">
        <v>10687.0</v>
      </c>
      <c r="H677" s="153">
        <v>1.0</v>
      </c>
      <c r="I677" s="153">
        <v>0.01</v>
      </c>
      <c r="J677" s="153">
        <v>1.0</v>
      </c>
      <c r="K677" s="153">
        <v>1.0E-4</v>
      </c>
      <c r="L677" s="153">
        <v>1.0</v>
      </c>
      <c r="M677" s="153">
        <v>1.0</v>
      </c>
    </row>
    <row r="678">
      <c r="A678" s="250">
        <v>46250.0</v>
      </c>
      <c r="B678" s="153" t="s">
        <v>133</v>
      </c>
      <c r="C678" s="153" t="s">
        <v>5</v>
      </c>
      <c r="D678" s="153" t="s">
        <v>434</v>
      </c>
      <c r="E678" s="153" t="s">
        <v>435</v>
      </c>
      <c r="F678" s="153" t="s">
        <v>429</v>
      </c>
      <c r="G678" s="153">
        <v>10687.0</v>
      </c>
      <c r="H678" s="153">
        <v>22.0</v>
      </c>
      <c r="I678" s="153">
        <v>0.21</v>
      </c>
      <c r="J678" s="153">
        <v>24.0</v>
      </c>
      <c r="K678" s="153">
        <v>0.0022</v>
      </c>
      <c r="L678" s="153">
        <v>1.0909</v>
      </c>
      <c r="M678" s="153">
        <v>24.0</v>
      </c>
    </row>
    <row r="679">
      <c r="A679" s="250">
        <v>46250.0</v>
      </c>
      <c r="B679" s="153" t="s">
        <v>133</v>
      </c>
      <c r="C679" s="153" t="s">
        <v>5</v>
      </c>
      <c r="D679" s="153" t="s">
        <v>434</v>
      </c>
      <c r="E679" s="153" t="s">
        <v>436</v>
      </c>
      <c r="F679" s="153" t="s">
        <v>429</v>
      </c>
      <c r="G679" s="153">
        <v>10687.0</v>
      </c>
      <c r="H679" s="153">
        <v>14.0</v>
      </c>
      <c r="I679" s="153">
        <v>0.13</v>
      </c>
      <c r="J679" s="153">
        <v>14.0</v>
      </c>
      <c r="K679" s="153">
        <v>0.0013</v>
      </c>
      <c r="L679" s="153">
        <v>1.0</v>
      </c>
      <c r="M679" s="153">
        <v>14.0</v>
      </c>
    </row>
    <row r="680">
      <c r="A680" s="250">
        <v>46250.0</v>
      </c>
      <c r="B680" s="153" t="s">
        <v>133</v>
      </c>
      <c r="C680" s="153" t="s">
        <v>5</v>
      </c>
      <c r="D680" s="153" t="s">
        <v>434</v>
      </c>
      <c r="E680" s="153" t="s">
        <v>437</v>
      </c>
      <c r="F680" s="153" t="s">
        <v>429</v>
      </c>
      <c r="G680" s="153">
        <v>10687.0</v>
      </c>
      <c r="H680" s="153">
        <v>1.0</v>
      </c>
      <c r="I680" s="153">
        <v>0.01</v>
      </c>
      <c r="J680" s="153">
        <v>1.0</v>
      </c>
      <c r="K680" s="153">
        <v>1.0E-4</v>
      </c>
      <c r="L680" s="153">
        <v>1.0</v>
      </c>
      <c r="M680" s="153">
        <v>1.0</v>
      </c>
    </row>
    <row r="681">
      <c r="A681" s="250">
        <v>46250.0</v>
      </c>
      <c r="B681" s="153" t="s">
        <v>133</v>
      </c>
      <c r="C681" s="153" t="s">
        <v>5</v>
      </c>
      <c r="D681" s="153" t="s">
        <v>438</v>
      </c>
      <c r="E681" s="153" t="s">
        <v>439</v>
      </c>
      <c r="F681" s="153" t="s">
        <v>440</v>
      </c>
      <c r="G681" s="153">
        <v>10687.0</v>
      </c>
      <c r="H681" s="153">
        <v>5.0</v>
      </c>
      <c r="I681" s="153">
        <v>0.05</v>
      </c>
      <c r="J681" s="153">
        <v>60.0</v>
      </c>
      <c r="K681" s="153">
        <v>0.0056</v>
      </c>
      <c r="L681" s="153">
        <v>12.0</v>
      </c>
      <c r="M681" s="153">
        <v>60.0</v>
      </c>
    </row>
    <row r="682">
      <c r="A682" s="250">
        <v>46250.0</v>
      </c>
      <c r="B682" s="153" t="s">
        <v>133</v>
      </c>
      <c r="C682" s="153" t="s">
        <v>5</v>
      </c>
      <c r="D682" s="153" t="s">
        <v>444</v>
      </c>
      <c r="E682" s="153" t="s">
        <v>445</v>
      </c>
      <c r="F682" s="153" t="s">
        <v>440</v>
      </c>
      <c r="G682" s="153">
        <v>10687.0</v>
      </c>
      <c r="H682" s="153">
        <v>21.0</v>
      </c>
      <c r="I682" s="153">
        <v>0.2</v>
      </c>
      <c r="J682" s="153">
        <v>265.0</v>
      </c>
      <c r="K682" s="153">
        <v>0.0248</v>
      </c>
      <c r="L682" s="153">
        <v>12.619</v>
      </c>
      <c r="M682" s="153">
        <v>265.0</v>
      </c>
    </row>
    <row r="683">
      <c r="A683" s="250">
        <v>46250.0</v>
      </c>
      <c r="B683" s="153" t="s">
        <v>134</v>
      </c>
      <c r="C683" s="153" t="s">
        <v>5</v>
      </c>
      <c r="D683" s="153" t="s">
        <v>424</v>
      </c>
      <c r="E683" s="153" t="s">
        <v>425</v>
      </c>
      <c r="F683" s="153" t="s">
        <v>426</v>
      </c>
      <c r="G683" s="153">
        <v>7704.0</v>
      </c>
      <c r="H683" s="153">
        <v>18.0</v>
      </c>
      <c r="I683" s="153">
        <v>0.23</v>
      </c>
      <c r="J683" s="153">
        <v>195.48</v>
      </c>
      <c r="K683" s="153">
        <v>0.0254</v>
      </c>
      <c r="L683" s="153">
        <v>10.8598</v>
      </c>
      <c r="M683" s="153">
        <v>290.0</v>
      </c>
    </row>
    <row r="684">
      <c r="A684" s="250">
        <v>46250.0</v>
      </c>
      <c r="B684" s="153" t="s">
        <v>134</v>
      </c>
      <c r="C684" s="153" t="s">
        <v>5</v>
      </c>
      <c r="D684" s="153" t="s">
        <v>427</v>
      </c>
      <c r="E684" s="153" t="s">
        <v>428</v>
      </c>
      <c r="F684" s="153" t="s">
        <v>429</v>
      </c>
      <c r="G684" s="153">
        <v>7704.0</v>
      </c>
      <c r="H684" s="153">
        <v>22.0</v>
      </c>
      <c r="I684" s="153">
        <v>0.29</v>
      </c>
      <c r="J684" s="153">
        <v>620.21</v>
      </c>
      <c r="K684" s="153">
        <v>0.0805</v>
      </c>
      <c r="L684" s="153">
        <v>28.1913</v>
      </c>
      <c r="M684" s="153">
        <v>695.0</v>
      </c>
    </row>
    <row r="685">
      <c r="A685" s="250">
        <v>46250.0</v>
      </c>
      <c r="B685" s="153" t="s">
        <v>134</v>
      </c>
      <c r="C685" s="153" t="s">
        <v>5</v>
      </c>
      <c r="D685" s="153" t="s">
        <v>430</v>
      </c>
      <c r="E685" s="153" t="s">
        <v>431</v>
      </c>
      <c r="F685" s="153" t="s">
        <v>429</v>
      </c>
      <c r="G685" s="153">
        <v>7704.0</v>
      </c>
      <c r="H685" s="153">
        <v>5.0</v>
      </c>
      <c r="I685" s="153">
        <v>0.06</v>
      </c>
      <c r="J685" s="153">
        <v>6.0</v>
      </c>
      <c r="K685" s="153">
        <v>8.0E-4</v>
      </c>
      <c r="L685" s="153">
        <v>1.2</v>
      </c>
      <c r="M685" s="153">
        <v>6.0</v>
      </c>
    </row>
    <row r="686">
      <c r="A686" s="250">
        <v>46250.0</v>
      </c>
      <c r="B686" s="153" t="s">
        <v>134</v>
      </c>
      <c r="C686" s="153" t="s">
        <v>5</v>
      </c>
      <c r="D686" s="153" t="s">
        <v>430</v>
      </c>
      <c r="E686" s="153" t="s">
        <v>432</v>
      </c>
      <c r="F686" s="153" t="s">
        <v>429</v>
      </c>
      <c r="G686" s="153">
        <v>7704.0</v>
      </c>
      <c r="H686" s="153">
        <v>14.0</v>
      </c>
      <c r="I686" s="153">
        <v>0.18</v>
      </c>
      <c r="J686" s="153">
        <v>20.0</v>
      </c>
      <c r="K686" s="153">
        <v>0.0026</v>
      </c>
      <c r="L686" s="153">
        <v>1.4286</v>
      </c>
      <c r="M686" s="153">
        <v>20.0</v>
      </c>
    </row>
    <row r="687">
      <c r="A687" s="250">
        <v>46250.0</v>
      </c>
      <c r="B687" s="153" t="s">
        <v>134</v>
      </c>
      <c r="C687" s="153" t="s">
        <v>5</v>
      </c>
      <c r="D687" s="153" t="s">
        <v>430</v>
      </c>
      <c r="E687" s="153" t="s">
        <v>433</v>
      </c>
      <c r="F687" s="153" t="s">
        <v>429</v>
      </c>
      <c r="G687" s="153">
        <v>7704.0</v>
      </c>
      <c r="H687" s="153">
        <v>9.0</v>
      </c>
      <c r="I687" s="153">
        <v>0.12</v>
      </c>
      <c r="J687" s="153">
        <v>11.0</v>
      </c>
      <c r="K687" s="153">
        <v>0.0014</v>
      </c>
      <c r="L687" s="153">
        <v>1.2222</v>
      </c>
      <c r="M687" s="153">
        <v>11.0</v>
      </c>
    </row>
    <row r="688">
      <c r="A688" s="250">
        <v>46250.0</v>
      </c>
      <c r="B688" s="153" t="s">
        <v>134</v>
      </c>
      <c r="C688" s="153" t="s">
        <v>5</v>
      </c>
      <c r="D688" s="153" t="s">
        <v>434</v>
      </c>
      <c r="E688" s="153" t="s">
        <v>435</v>
      </c>
      <c r="F688" s="153" t="s">
        <v>429</v>
      </c>
      <c r="G688" s="153">
        <v>7704.0</v>
      </c>
      <c r="H688" s="153">
        <v>13.0</v>
      </c>
      <c r="I688" s="153">
        <v>0.17</v>
      </c>
      <c r="J688" s="153">
        <v>13.0</v>
      </c>
      <c r="K688" s="153">
        <v>0.0017</v>
      </c>
      <c r="L688" s="153">
        <v>1.0</v>
      </c>
      <c r="M688" s="153">
        <v>13.0</v>
      </c>
    </row>
    <row r="689">
      <c r="A689" s="250">
        <v>46250.0</v>
      </c>
      <c r="B689" s="153" t="s">
        <v>134</v>
      </c>
      <c r="C689" s="153" t="s">
        <v>5</v>
      </c>
      <c r="D689" s="153" t="s">
        <v>434</v>
      </c>
      <c r="E689" s="153" t="s">
        <v>436</v>
      </c>
      <c r="F689" s="153" t="s">
        <v>429</v>
      </c>
      <c r="G689" s="153">
        <v>7704.0</v>
      </c>
      <c r="H689" s="153">
        <v>15.0</v>
      </c>
      <c r="I689" s="153">
        <v>0.19</v>
      </c>
      <c r="J689" s="153">
        <v>18.0</v>
      </c>
      <c r="K689" s="153">
        <v>0.0023</v>
      </c>
      <c r="L689" s="153">
        <v>1.2</v>
      </c>
      <c r="M689" s="153">
        <v>18.0</v>
      </c>
    </row>
    <row r="690">
      <c r="A690" s="250">
        <v>46250.0</v>
      </c>
      <c r="B690" s="153" t="s">
        <v>134</v>
      </c>
      <c r="C690" s="153" t="s">
        <v>5</v>
      </c>
      <c r="D690" s="153" t="s">
        <v>434</v>
      </c>
      <c r="E690" s="153" t="s">
        <v>437</v>
      </c>
      <c r="F690" s="153" t="s">
        <v>429</v>
      </c>
      <c r="G690" s="153">
        <v>7704.0</v>
      </c>
      <c r="H690" s="153">
        <v>1.0</v>
      </c>
      <c r="I690" s="153">
        <v>0.01</v>
      </c>
      <c r="J690" s="153">
        <v>1.0</v>
      </c>
      <c r="K690" s="153">
        <v>1.0E-4</v>
      </c>
      <c r="L690" s="153">
        <v>1.0</v>
      </c>
      <c r="M690" s="153">
        <v>1.0</v>
      </c>
    </row>
    <row r="691">
      <c r="A691" s="250">
        <v>46250.0</v>
      </c>
      <c r="B691" s="153" t="s">
        <v>134</v>
      </c>
      <c r="C691" s="153" t="s">
        <v>5</v>
      </c>
      <c r="D691" s="153" t="s">
        <v>438</v>
      </c>
      <c r="E691" s="153" t="s">
        <v>439</v>
      </c>
      <c r="F691" s="153" t="s">
        <v>440</v>
      </c>
      <c r="G691" s="153">
        <v>7704.0</v>
      </c>
      <c r="H691" s="153">
        <v>10.0</v>
      </c>
      <c r="I691" s="153">
        <v>0.13</v>
      </c>
      <c r="J691" s="153">
        <v>120.0</v>
      </c>
      <c r="K691" s="153">
        <v>0.0156</v>
      </c>
      <c r="L691" s="153">
        <v>12.0</v>
      </c>
      <c r="M691" s="153">
        <v>120.0</v>
      </c>
    </row>
    <row r="692">
      <c r="A692" s="250">
        <v>46250.0</v>
      </c>
      <c r="B692" s="153" t="s">
        <v>134</v>
      </c>
      <c r="C692" s="153" t="s">
        <v>5</v>
      </c>
      <c r="D692" s="153" t="s">
        <v>444</v>
      </c>
      <c r="E692" s="153" t="s">
        <v>445</v>
      </c>
      <c r="F692" s="153" t="s">
        <v>440</v>
      </c>
      <c r="G692" s="153">
        <v>7704.0</v>
      </c>
      <c r="H692" s="153">
        <v>16.0</v>
      </c>
      <c r="I692" s="153">
        <v>0.21</v>
      </c>
      <c r="J692" s="153">
        <v>380.0</v>
      </c>
      <c r="K692" s="153">
        <v>0.0493</v>
      </c>
      <c r="L692" s="153">
        <v>23.75</v>
      </c>
      <c r="M692" s="153">
        <v>380.0</v>
      </c>
    </row>
    <row r="693">
      <c r="A693" s="250">
        <v>46250.0</v>
      </c>
      <c r="B693" s="153" t="s">
        <v>135</v>
      </c>
      <c r="C693" s="153" t="s">
        <v>5</v>
      </c>
      <c r="D693" s="153" t="s">
        <v>424</v>
      </c>
      <c r="E693" s="153" t="s">
        <v>425</v>
      </c>
      <c r="F693" s="153" t="s">
        <v>426</v>
      </c>
      <c r="G693" s="153">
        <v>6023.0</v>
      </c>
      <c r="H693" s="153">
        <v>11.0</v>
      </c>
      <c r="I693" s="153">
        <v>0.18</v>
      </c>
      <c r="J693" s="153">
        <v>144.5</v>
      </c>
      <c r="K693" s="153">
        <v>0.024</v>
      </c>
      <c r="L693" s="153">
        <v>13.1364</v>
      </c>
      <c r="M693" s="153">
        <v>200.0</v>
      </c>
    </row>
    <row r="694">
      <c r="A694" s="250">
        <v>46250.0</v>
      </c>
      <c r="B694" s="153" t="s">
        <v>135</v>
      </c>
      <c r="C694" s="153" t="s">
        <v>5</v>
      </c>
      <c r="D694" s="153" t="s">
        <v>427</v>
      </c>
      <c r="E694" s="153" t="s">
        <v>428</v>
      </c>
      <c r="F694" s="153" t="s">
        <v>429</v>
      </c>
      <c r="G694" s="153">
        <v>6023.0</v>
      </c>
      <c r="H694" s="153">
        <v>15.0</v>
      </c>
      <c r="I694" s="153">
        <v>0.25</v>
      </c>
      <c r="J694" s="153">
        <v>612.71</v>
      </c>
      <c r="K694" s="153">
        <v>0.1017</v>
      </c>
      <c r="L694" s="153">
        <v>40.8471</v>
      </c>
      <c r="M694" s="153">
        <v>750.0</v>
      </c>
    </row>
    <row r="695">
      <c r="A695" s="250">
        <v>46250.0</v>
      </c>
      <c r="B695" s="153" t="s">
        <v>135</v>
      </c>
      <c r="C695" s="153" t="s">
        <v>5</v>
      </c>
      <c r="D695" s="153" t="s">
        <v>430</v>
      </c>
      <c r="E695" s="153" t="s">
        <v>431</v>
      </c>
      <c r="F695" s="153" t="s">
        <v>429</v>
      </c>
      <c r="G695" s="153">
        <v>6023.0</v>
      </c>
      <c r="H695" s="153">
        <v>3.0</v>
      </c>
      <c r="I695" s="153">
        <v>0.05</v>
      </c>
      <c r="J695" s="153">
        <v>3.0</v>
      </c>
      <c r="K695" s="153">
        <v>5.0E-4</v>
      </c>
      <c r="L695" s="153">
        <v>1.0</v>
      </c>
      <c r="M695" s="153">
        <v>3.0</v>
      </c>
    </row>
    <row r="696">
      <c r="A696" s="250">
        <v>46250.0</v>
      </c>
      <c r="B696" s="153" t="s">
        <v>135</v>
      </c>
      <c r="C696" s="153" t="s">
        <v>5</v>
      </c>
      <c r="D696" s="153" t="s">
        <v>430</v>
      </c>
      <c r="E696" s="153" t="s">
        <v>432</v>
      </c>
      <c r="F696" s="153" t="s">
        <v>429</v>
      </c>
      <c r="G696" s="153">
        <v>6023.0</v>
      </c>
      <c r="H696" s="153">
        <v>8.0</v>
      </c>
      <c r="I696" s="153">
        <v>0.13</v>
      </c>
      <c r="J696" s="153">
        <v>13.0</v>
      </c>
      <c r="K696" s="153">
        <v>0.0022</v>
      </c>
      <c r="L696" s="153">
        <v>1.625</v>
      </c>
      <c r="M696" s="153">
        <v>13.0</v>
      </c>
    </row>
    <row r="697">
      <c r="A697" s="250">
        <v>46250.0</v>
      </c>
      <c r="B697" s="153" t="s">
        <v>135</v>
      </c>
      <c r="C697" s="153" t="s">
        <v>5</v>
      </c>
      <c r="D697" s="153" t="s">
        <v>430</v>
      </c>
      <c r="E697" s="153" t="s">
        <v>433</v>
      </c>
      <c r="F697" s="153" t="s">
        <v>429</v>
      </c>
      <c r="G697" s="153">
        <v>6023.0</v>
      </c>
      <c r="H697" s="153">
        <v>3.0</v>
      </c>
      <c r="I697" s="153">
        <v>0.05</v>
      </c>
      <c r="J697" s="153">
        <v>3.0</v>
      </c>
      <c r="K697" s="153">
        <v>5.0E-4</v>
      </c>
      <c r="L697" s="153">
        <v>1.0</v>
      </c>
      <c r="M697" s="153">
        <v>3.0</v>
      </c>
    </row>
    <row r="698">
      <c r="A698" s="250">
        <v>46250.0</v>
      </c>
      <c r="B698" s="153" t="s">
        <v>135</v>
      </c>
      <c r="C698" s="153" t="s">
        <v>5</v>
      </c>
      <c r="D698" s="153" t="s">
        <v>434</v>
      </c>
      <c r="E698" s="153" t="s">
        <v>435</v>
      </c>
      <c r="F698" s="153" t="s">
        <v>429</v>
      </c>
      <c r="G698" s="153">
        <v>6023.0</v>
      </c>
      <c r="H698" s="153">
        <v>6.0</v>
      </c>
      <c r="I698" s="153">
        <v>0.1</v>
      </c>
      <c r="J698" s="153">
        <v>8.0</v>
      </c>
      <c r="K698" s="153">
        <v>0.0013</v>
      </c>
      <c r="L698" s="153">
        <v>1.3333</v>
      </c>
      <c r="M698" s="153">
        <v>8.0</v>
      </c>
    </row>
    <row r="699">
      <c r="A699" s="250">
        <v>46250.0</v>
      </c>
      <c r="B699" s="153" t="s">
        <v>135</v>
      </c>
      <c r="C699" s="153" t="s">
        <v>5</v>
      </c>
      <c r="D699" s="153" t="s">
        <v>434</v>
      </c>
      <c r="E699" s="153" t="s">
        <v>436</v>
      </c>
      <c r="F699" s="153" t="s">
        <v>429</v>
      </c>
      <c r="G699" s="153">
        <v>6023.0</v>
      </c>
      <c r="H699" s="153">
        <v>7.0</v>
      </c>
      <c r="I699" s="153">
        <v>0.12</v>
      </c>
      <c r="J699" s="153">
        <v>8.0</v>
      </c>
      <c r="K699" s="153">
        <v>0.0013</v>
      </c>
      <c r="L699" s="153">
        <v>1.1429</v>
      </c>
      <c r="M699" s="153">
        <v>8.0</v>
      </c>
    </row>
    <row r="700">
      <c r="A700" s="250">
        <v>46250.0</v>
      </c>
      <c r="B700" s="153" t="s">
        <v>135</v>
      </c>
      <c r="C700" s="153" t="s">
        <v>5</v>
      </c>
      <c r="D700" s="153" t="s">
        <v>438</v>
      </c>
      <c r="E700" s="153" t="s">
        <v>439</v>
      </c>
      <c r="F700" s="153" t="s">
        <v>440</v>
      </c>
      <c r="G700" s="153">
        <v>6023.0</v>
      </c>
      <c r="H700" s="153">
        <v>4.0</v>
      </c>
      <c r="I700" s="153">
        <v>0.07</v>
      </c>
      <c r="J700" s="153">
        <v>40.0</v>
      </c>
      <c r="K700" s="153">
        <v>0.0066</v>
      </c>
      <c r="L700" s="153">
        <v>10.0</v>
      </c>
      <c r="M700" s="153">
        <v>40.0</v>
      </c>
    </row>
    <row r="701">
      <c r="A701" s="250">
        <v>46250.0</v>
      </c>
      <c r="B701" s="153" t="s">
        <v>135</v>
      </c>
      <c r="C701" s="153" t="s">
        <v>5</v>
      </c>
      <c r="D701" s="153" t="s">
        <v>441</v>
      </c>
      <c r="E701" s="153" t="s">
        <v>442</v>
      </c>
      <c r="F701" s="153" t="s">
        <v>440</v>
      </c>
      <c r="G701" s="153">
        <v>6023.0</v>
      </c>
      <c r="H701" s="153">
        <v>3.0</v>
      </c>
      <c r="I701" s="153">
        <v>0.05</v>
      </c>
      <c r="J701" s="153">
        <v>60.0</v>
      </c>
      <c r="K701" s="153">
        <v>0.01</v>
      </c>
      <c r="L701" s="153">
        <v>20.0</v>
      </c>
      <c r="M701" s="153">
        <v>60.0</v>
      </c>
    </row>
    <row r="702">
      <c r="A702" s="250">
        <v>46250.0</v>
      </c>
      <c r="B702" s="153" t="s">
        <v>135</v>
      </c>
      <c r="C702" s="153" t="s">
        <v>5</v>
      </c>
      <c r="D702" s="153" t="s">
        <v>444</v>
      </c>
      <c r="E702" s="153" t="s">
        <v>445</v>
      </c>
      <c r="F702" s="153" t="s">
        <v>440</v>
      </c>
      <c r="G702" s="153">
        <v>6023.0</v>
      </c>
      <c r="H702" s="153">
        <v>9.0</v>
      </c>
      <c r="I702" s="153">
        <v>0.15</v>
      </c>
      <c r="J702" s="153">
        <v>190.0</v>
      </c>
      <c r="K702" s="153">
        <v>0.0315</v>
      </c>
      <c r="L702" s="153">
        <v>21.1111</v>
      </c>
      <c r="M702" s="153">
        <v>190.0</v>
      </c>
    </row>
    <row r="703">
      <c r="A703" s="250">
        <v>46250.0</v>
      </c>
      <c r="B703" s="153" t="s">
        <v>136</v>
      </c>
      <c r="C703" s="153" t="s">
        <v>5</v>
      </c>
      <c r="D703" s="153" t="s">
        <v>424</v>
      </c>
      <c r="E703" s="153" t="s">
        <v>425</v>
      </c>
      <c r="F703" s="153" t="s">
        <v>426</v>
      </c>
      <c r="G703" s="153">
        <v>3398.0</v>
      </c>
      <c r="H703" s="153">
        <v>4.0</v>
      </c>
      <c r="I703" s="153">
        <v>0.12</v>
      </c>
      <c r="J703" s="153">
        <v>68.33</v>
      </c>
      <c r="K703" s="153">
        <v>0.0201</v>
      </c>
      <c r="L703" s="153">
        <v>17.0833</v>
      </c>
      <c r="M703" s="153">
        <v>90.0</v>
      </c>
    </row>
    <row r="704">
      <c r="A704" s="250">
        <v>46250.0</v>
      </c>
      <c r="B704" s="153" t="s">
        <v>136</v>
      </c>
      <c r="C704" s="153" t="s">
        <v>5</v>
      </c>
      <c r="D704" s="153" t="s">
        <v>427</v>
      </c>
      <c r="E704" s="153" t="s">
        <v>428</v>
      </c>
      <c r="F704" s="153" t="s">
        <v>429</v>
      </c>
      <c r="G704" s="153">
        <v>3398.0</v>
      </c>
      <c r="H704" s="153">
        <v>4.0</v>
      </c>
      <c r="I704" s="153">
        <v>0.12</v>
      </c>
      <c r="J704" s="153">
        <v>166.53</v>
      </c>
      <c r="K704" s="153">
        <v>0.049</v>
      </c>
      <c r="L704" s="153">
        <v>41.6335</v>
      </c>
      <c r="M704" s="153">
        <v>215.0</v>
      </c>
    </row>
    <row r="705">
      <c r="A705" s="250">
        <v>46250.0</v>
      </c>
      <c r="B705" s="153" t="s">
        <v>136</v>
      </c>
      <c r="C705" s="153" t="s">
        <v>5</v>
      </c>
      <c r="D705" s="153" t="s">
        <v>430</v>
      </c>
      <c r="E705" s="153" t="s">
        <v>431</v>
      </c>
      <c r="F705" s="153" t="s">
        <v>429</v>
      </c>
      <c r="G705" s="153">
        <v>3398.0</v>
      </c>
      <c r="H705" s="153">
        <v>1.0</v>
      </c>
      <c r="I705" s="153">
        <v>0.03</v>
      </c>
      <c r="J705" s="153">
        <v>1.0</v>
      </c>
      <c r="K705" s="153">
        <v>3.0E-4</v>
      </c>
      <c r="L705" s="153">
        <v>1.0</v>
      </c>
      <c r="M705" s="153">
        <v>1.0</v>
      </c>
    </row>
    <row r="706">
      <c r="A706" s="250">
        <v>46250.0</v>
      </c>
      <c r="B706" s="153" t="s">
        <v>136</v>
      </c>
      <c r="C706" s="153" t="s">
        <v>5</v>
      </c>
      <c r="D706" s="153" t="s">
        <v>430</v>
      </c>
      <c r="E706" s="153" t="s">
        <v>432</v>
      </c>
      <c r="F706" s="153" t="s">
        <v>429</v>
      </c>
      <c r="G706" s="153">
        <v>3398.0</v>
      </c>
      <c r="H706" s="153">
        <v>3.0</v>
      </c>
      <c r="I706" s="153">
        <v>0.09</v>
      </c>
      <c r="J706" s="153">
        <v>5.0</v>
      </c>
      <c r="K706" s="153">
        <v>0.0015</v>
      </c>
      <c r="L706" s="153">
        <v>1.6667</v>
      </c>
      <c r="M706" s="153">
        <v>5.0</v>
      </c>
    </row>
    <row r="707">
      <c r="A707" s="250">
        <v>46250.0</v>
      </c>
      <c r="B707" s="153" t="s">
        <v>136</v>
      </c>
      <c r="C707" s="153" t="s">
        <v>5</v>
      </c>
      <c r="D707" s="153" t="s">
        <v>430</v>
      </c>
      <c r="E707" s="153" t="s">
        <v>433</v>
      </c>
      <c r="F707" s="153" t="s">
        <v>429</v>
      </c>
      <c r="G707" s="153">
        <v>3398.0</v>
      </c>
      <c r="H707" s="153">
        <v>2.0</v>
      </c>
      <c r="I707" s="153">
        <v>0.06</v>
      </c>
      <c r="J707" s="153">
        <v>2.0</v>
      </c>
      <c r="K707" s="153">
        <v>6.0E-4</v>
      </c>
      <c r="L707" s="153">
        <v>1.0</v>
      </c>
      <c r="M707" s="153">
        <v>2.0</v>
      </c>
    </row>
    <row r="708">
      <c r="A708" s="250">
        <v>46250.0</v>
      </c>
      <c r="B708" s="153" t="s">
        <v>136</v>
      </c>
      <c r="C708" s="153" t="s">
        <v>5</v>
      </c>
      <c r="D708" s="153" t="s">
        <v>434</v>
      </c>
      <c r="E708" s="153" t="s">
        <v>435</v>
      </c>
      <c r="F708" s="153" t="s">
        <v>429</v>
      </c>
      <c r="G708" s="153">
        <v>3398.0</v>
      </c>
      <c r="H708" s="153">
        <v>1.0</v>
      </c>
      <c r="I708" s="153">
        <v>0.03</v>
      </c>
      <c r="J708" s="153">
        <v>2.0</v>
      </c>
      <c r="K708" s="153">
        <v>6.0E-4</v>
      </c>
      <c r="L708" s="153">
        <v>2.0</v>
      </c>
      <c r="M708" s="153">
        <v>2.0</v>
      </c>
    </row>
    <row r="709">
      <c r="A709" s="250">
        <v>46250.0</v>
      </c>
      <c r="B709" s="153" t="s">
        <v>136</v>
      </c>
      <c r="C709" s="153" t="s">
        <v>5</v>
      </c>
      <c r="D709" s="153" t="s">
        <v>434</v>
      </c>
      <c r="E709" s="153" t="s">
        <v>436</v>
      </c>
      <c r="F709" s="153" t="s">
        <v>429</v>
      </c>
      <c r="G709" s="153">
        <v>3398.0</v>
      </c>
      <c r="H709" s="153">
        <v>3.0</v>
      </c>
      <c r="I709" s="153">
        <v>0.09</v>
      </c>
      <c r="J709" s="153">
        <v>3.0</v>
      </c>
      <c r="K709" s="153">
        <v>9.0E-4</v>
      </c>
      <c r="L709" s="153">
        <v>1.0</v>
      </c>
      <c r="M709" s="153">
        <v>3.0</v>
      </c>
    </row>
    <row r="710">
      <c r="A710" s="250">
        <v>46250.0</v>
      </c>
      <c r="B710" s="153" t="s">
        <v>136</v>
      </c>
      <c r="C710" s="153" t="s">
        <v>5</v>
      </c>
      <c r="D710" s="153" t="s">
        <v>438</v>
      </c>
      <c r="E710" s="153" t="s">
        <v>439</v>
      </c>
      <c r="F710" s="153" t="s">
        <v>440</v>
      </c>
      <c r="G710" s="153">
        <v>3398.0</v>
      </c>
      <c r="H710" s="153">
        <v>4.0</v>
      </c>
      <c r="I710" s="153">
        <v>0.12</v>
      </c>
      <c r="J710" s="153">
        <v>60.0</v>
      </c>
      <c r="K710" s="153">
        <v>0.0177</v>
      </c>
      <c r="L710" s="153">
        <v>15.0</v>
      </c>
      <c r="M710" s="153">
        <v>60.0</v>
      </c>
    </row>
    <row r="711">
      <c r="A711" s="250">
        <v>46250.0</v>
      </c>
      <c r="B711" s="153" t="s">
        <v>136</v>
      </c>
      <c r="C711" s="153" t="s">
        <v>5</v>
      </c>
      <c r="D711" s="153" t="s">
        <v>444</v>
      </c>
      <c r="E711" s="153" t="s">
        <v>445</v>
      </c>
      <c r="F711" s="153" t="s">
        <v>440</v>
      </c>
      <c r="G711" s="153">
        <v>3398.0</v>
      </c>
      <c r="H711" s="153">
        <v>4.0</v>
      </c>
      <c r="I711" s="153">
        <v>0.12</v>
      </c>
      <c r="J711" s="153">
        <v>75.0</v>
      </c>
      <c r="K711" s="153">
        <v>0.0221</v>
      </c>
      <c r="L711" s="153">
        <v>18.75</v>
      </c>
      <c r="M711" s="153">
        <v>75.0</v>
      </c>
    </row>
    <row r="712">
      <c r="A712" s="250">
        <v>46250.0</v>
      </c>
      <c r="B712" s="153" t="s">
        <v>137</v>
      </c>
      <c r="C712" s="153" t="s">
        <v>5</v>
      </c>
      <c r="D712" s="153" t="s">
        <v>430</v>
      </c>
      <c r="E712" s="153" t="s">
        <v>432</v>
      </c>
      <c r="F712" s="153" t="s">
        <v>429</v>
      </c>
      <c r="G712" s="153">
        <v>433.0</v>
      </c>
      <c r="H712" s="153">
        <v>1.0</v>
      </c>
      <c r="I712" s="153">
        <v>0.23</v>
      </c>
      <c r="J712" s="153">
        <v>1.0</v>
      </c>
      <c r="K712" s="153">
        <v>0.0023</v>
      </c>
      <c r="L712" s="153">
        <v>1.0</v>
      </c>
      <c r="M712" s="153">
        <v>1.0</v>
      </c>
    </row>
    <row r="713">
      <c r="A713" s="250">
        <v>46251.0</v>
      </c>
      <c r="B713" s="153" t="s">
        <v>423</v>
      </c>
      <c r="C713" s="153" t="s">
        <v>5</v>
      </c>
      <c r="D713" s="153" t="s">
        <v>424</v>
      </c>
      <c r="E713" s="153" t="s">
        <v>425</v>
      </c>
      <c r="F713" s="153" t="s">
        <v>426</v>
      </c>
      <c r="G713" s="153">
        <v>6509.0</v>
      </c>
      <c r="H713" s="153">
        <v>24.0</v>
      </c>
      <c r="I713" s="153">
        <v>0.37</v>
      </c>
      <c r="J713" s="153">
        <v>423.95</v>
      </c>
      <c r="K713" s="153">
        <v>0.0651</v>
      </c>
      <c r="L713" s="153">
        <v>17.6647</v>
      </c>
      <c r="M713" s="153">
        <v>660.0</v>
      </c>
    </row>
    <row r="714">
      <c r="A714" s="250">
        <v>46251.0</v>
      </c>
      <c r="B714" s="153" t="s">
        <v>423</v>
      </c>
      <c r="C714" s="153" t="s">
        <v>5</v>
      </c>
      <c r="D714" s="153" t="s">
        <v>427</v>
      </c>
      <c r="E714" s="153" t="s">
        <v>428</v>
      </c>
      <c r="F714" s="153" t="s">
        <v>429</v>
      </c>
      <c r="G714" s="153">
        <v>6509.0</v>
      </c>
      <c r="H714" s="153">
        <v>18.0</v>
      </c>
      <c r="I714" s="153">
        <v>0.28</v>
      </c>
      <c r="J714" s="153">
        <v>1521.55</v>
      </c>
      <c r="K714" s="153">
        <v>0.2338</v>
      </c>
      <c r="L714" s="153">
        <v>84.5305</v>
      </c>
      <c r="M714" s="153">
        <v>1710.0</v>
      </c>
    </row>
    <row r="715">
      <c r="A715" s="250">
        <v>46251.0</v>
      </c>
      <c r="B715" s="153" t="s">
        <v>423</v>
      </c>
      <c r="C715" s="153" t="s">
        <v>5</v>
      </c>
      <c r="D715" s="153" t="s">
        <v>430</v>
      </c>
      <c r="E715" s="153" t="s">
        <v>431</v>
      </c>
      <c r="F715" s="153" t="s">
        <v>429</v>
      </c>
      <c r="G715" s="153">
        <v>6509.0</v>
      </c>
      <c r="H715" s="153">
        <v>3.0</v>
      </c>
      <c r="I715" s="153">
        <v>0.05</v>
      </c>
      <c r="J715" s="153">
        <v>3.0</v>
      </c>
      <c r="K715" s="153">
        <v>5.0E-4</v>
      </c>
      <c r="L715" s="153">
        <v>1.0</v>
      </c>
      <c r="M715" s="153">
        <v>3.0</v>
      </c>
    </row>
    <row r="716">
      <c r="A716" s="250">
        <v>46251.0</v>
      </c>
      <c r="B716" s="153" t="s">
        <v>423</v>
      </c>
      <c r="C716" s="153" t="s">
        <v>5</v>
      </c>
      <c r="D716" s="153" t="s">
        <v>430</v>
      </c>
      <c r="E716" s="153" t="s">
        <v>432</v>
      </c>
      <c r="F716" s="153" t="s">
        <v>429</v>
      </c>
      <c r="G716" s="153">
        <v>6509.0</v>
      </c>
      <c r="H716" s="153">
        <v>17.0</v>
      </c>
      <c r="I716" s="153">
        <v>0.26</v>
      </c>
      <c r="J716" s="153">
        <v>47.0</v>
      </c>
      <c r="K716" s="153">
        <v>0.0072</v>
      </c>
      <c r="L716" s="153">
        <v>2.7647</v>
      </c>
      <c r="M716" s="153">
        <v>47.0</v>
      </c>
    </row>
    <row r="717">
      <c r="A717" s="250">
        <v>46251.0</v>
      </c>
      <c r="B717" s="153" t="s">
        <v>423</v>
      </c>
      <c r="C717" s="153" t="s">
        <v>5</v>
      </c>
      <c r="D717" s="153" t="s">
        <v>430</v>
      </c>
      <c r="E717" s="153" t="s">
        <v>433</v>
      </c>
      <c r="F717" s="153" t="s">
        <v>429</v>
      </c>
      <c r="G717" s="153">
        <v>6509.0</v>
      </c>
      <c r="H717" s="153">
        <v>6.0</v>
      </c>
      <c r="I717" s="153">
        <v>0.09</v>
      </c>
      <c r="J717" s="153">
        <v>6.0</v>
      </c>
      <c r="K717" s="153">
        <v>9.0E-4</v>
      </c>
      <c r="L717" s="153">
        <v>1.0</v>
      </c>
      <c r="M717" s="153">
        <v>6.0</v>
      </c>
    </row>
    <row r="718">
      <c r="A718" s="250">
        <v>46251.0</v>
      </c>
      <c r="B718" s="153" t="s">
        <v>423</v>
      </c>
      <c r="C718" s="153" t="s">
        <v>5</v>
      </c>
      <c r="D718" s="153" t="s">
        <v>434</v>
      </c>
      <c r="E718" s="153" t="s">
        <v>435</v>
      </c>
      <c r="F718" s="153" t="s">
        <v>429</v>
      </c>
      <c r="G718" s="153">
        <v>6509.0</v>
      </c>
      <c r="H718" s="153">
        <v>21.0</v>
      </c>
      <c r="I718" s="153">
        <v>0.32</v>
      </c>
      <c r="J718" s="153">
        <v>27.0</v>
      </c>
      <c r="K718" s="153">
        <v>0.0041</v>
      </c>
      <c r="L718" s="153">
        <v>1.2857</v>
      </c>
      <c r="M718" s="153">
        <v>27.0</v>
      </c>
    </row>
    <row r="719">
      <c r="A719" s="250">
        <v>46251.0</v>
      </c>
      <c r="B719" s="153" t="s">
        <v>423</v>
      </c>
      <c r="C719" s="153" t="s">
        <v>5</v>
      </c>
      <c r="D719" s="153" t="s">
        <v>434</v>
      </c>
      <c r="E719" s="153" t="s">
        <v>436</v>
      </c>
      <c r="F719" s="153" t="s">
        <v>429</v>
      </c>
      <c r="G719" s="153">
        <v>6509.0</v>
      </c>
      <c r="H719" s="153">
        <v>16.0</v>
      </c>
      <c r="I719" s="153">
        <v>0.25</v>
      </c>
      <c r="J719" s="153">
        <v>25.0</v>
      </c>
      <c r="K719" s="153">
        <v>0.0038</v>
      </c>
      <c r="L719" s="153">
        <v>1.5625</v>
      </c>
      <c r="M719" s="153">
        <v>25.0</v>
      </c>
    </row>
    <row r="720">
      <c r="A720" s="250">
        <v>46251.0</v>
      </c>
      <c r="B720" s="153" t="s">
        <v>423</v>
      </c>
      <c r="C720" s="153" t="s">
        <v>5</v>
      </c>
      <c r="D720" s="153" t="s">
        <v>438</v>
      </c>
      <c r="E720" s="153" t="s">
        <v>439</v>
      </c>
      <c r="F720" s="153" t="s">
        <v>440</v>
      </c>
      <c r="G720" s="153">
        <v>6509.0</v>
      </c>
      <c r="H720" s="153">
        <v>2.0</v>
      </c>
      <c r="I720" s="153">
        <v>0.03</v>
      </c>
      <c r="J720" s="153">
        <v>20.0</v>
      </c>
      <c r="K720" s="153">
        <v>0.0031</v>
      </c>
      <c r="L720" s="153">
        <v>10.0</v>
      </c>
      <c r="M720" s="153">
        <v>20.0</v>
      </c>
    </row>
    <row r="721">
      <c r="A721" s="250">
        <v>46251.0</v>
      </c>
      <c r="B721" s="153" t="s">
        <v>423</v>
      </c>
      <c r="C721" s="153" t="s">
        <v>5</v>
      </c>
      <c r="D721" s="153" t="s">
        <v>441</v>
      </c>
      <c r="E721" s="153" t="s">
        <v>442</v>
      </c>
      <c r="F721" s="153" t="s">
        <v>440</v>
      </c>
      <c r="G721" s="153">
        <v>6509.0</v>
      </c>
      <c r="H721" s="153">
        <v>2.0</v>
      </c>
      <c r="I721" s="153">
        <v>0.03</v>
      </c>
      <c r="J721" s="153">
        <v>20.0</v>
      </c>
      <c r="K721" s="153">
        <v>0.0031</v>
      </c>
      <c r="L721" s="153">
        <v>10.0</v>
      </c>
      <c r="M721" s="153">
        <v>20.0</v>
      </c>
    </row>
    <row r="722">
      <c r="A722" s="250">
        <v>46251.0</v>
      </c>
      <c r="B722" s="153" t="s">
        <v>423</v>
      </c>
      <c r="C722" s="153" t="s">
        <v>5</v>
      </c>
      <c r="D722" s="153" t="s">
        <v>444</v>
      </c>
      <c r="E722" s="153" t="s">
        <v>445</v>
      </c>
      <c r="F722" s="153" t="s">
        <v>440</v>
      </c>
      <c r="G722" s="153">
        <v>6509.0</v>
      </c>
      <c r="H722" s="153">
        <v>18.0</v>
      </c>
      <c r="I722" s="153">
        <v>0.28</v>
      </c>
      <c r="J722" s="153">
        <v>745.0</v>
      </c>
      <c r="K722" s="153">
        <v>0.1145</v>
      </c>
      <c r="L722" s="153">
        <v>41.3889</v>
      </c>
      <c r="M722" s="153">
        <v>745.0</v>
      </c>
    </row>
    <row r="723">
      <c r="A723" s="250">
        <v>46251.0</v>
      </c>
      <c r="B723" s="153" t="s">
        <v>133</v>
      </c>
      <c r="C723" s="153" t="s">
        <v>5</v>
      </c>
      <c r="D723" s="153" t="s">
        <v>424</v>
      </c>
      <c r="E723" s="153" t="s">
        <v>425</v>
      </c>
      <c r="F723" s="153" t="s">
        <v>426</v>
      </c>
      <c r="G723" s="153">
        <v>11011.0</v>
      </c>
      <c r="H723" s="153">
        <v>3845.0</v>
      </c>
      <c r="I723" s="153">
        <v>34.92</v>
      </c>
      <c r="J723" s="153">
        <v>43119.51</v>
      </c>
      <c r="K723" s="153">
        <v>3.916</v>
      </c>
      <c r="L723" s="153">
        <v>11.2144</v>
      </c>
      <c r="M723" s="153">
        <v>50330.0</v>
      </c>
    </row>
    <row r="724">
      <c r="A724" s="250">
        <v>46251.0</v>
      </c>
      <c r="B724" s="153" t="s">
        <v>133</v>
      </c>
      <c r="C724" s="153" t="s">
        <v>5</v>
      </c>
      <c r="D724" s="153" t="s">
        <v>427</v>
      </c>
      <c r="E724" s="153" t="s">
        <v>428</v>
      </c>
      <c r="F724" s="153" t="s">
        <v>429</v>
      </c>
      <c r="G724" s="153">
        <v>11011.0</v>
      </c>
      <c r="H724" s="153">
        <v>2328.0</v>
      </c>
      <c r="I724" s="153">
        <v>21.14</v>
      </c>
      <c r="J724" s="153">
        <v>67296.04</v>
      </c>
      <c r="K724" s="153">
        <v>6.1117</v>
      </c>
      <c r="L724" s="153">
        <v>28.9072</v>
      </c>
      <c r="M724" s="153">
        <v>74480.0</v>
      </c>
    </row>
    <row r="725">
      <c r="A725" s="250">
        <v>46251.0</v>
      </c>
      <c r="B725" s="153" t="s">
        <v>133</v>
      </c>
      <c r="C725" s="153" t="s">
        <v>5</v>
      </c>
      <c r="D725" s="153" t="s">
        <v>430</v>
      </c>
      <c r="E725" s="153" t="s">
        <v>431</v>
      </c>
      <c r="F725" s="153" t="s">
        <v>429</v>
      </c>
      <c r="G725" s="153">
        <v>11011.0</v>
      </c>
      <c r="H725" s="153">
        <v>34.0</v>
      </c>
      <c r="I725" s="153">
        <v>0.31</v>
      </c>
      <c r="J725" s="153">
        <v>35.0</v>
      </c>
      <c r="K725" s="153">
        <v>0.0032</v>
      </c>
      <c r="L725" s="153">
        <v>1.0294</v>
      </c>
      <c r="M725" s="153">
        <v>35.0</v>
      </c>
    </row>
    <row r="726">
      <c r="A726" s="250">
        <v>46251.0</v>
      </c>
      <c r="B726" s="153" t="s">
        <v>133</v>
      </c>
      <c r="C726" s="153" t="s">
        <v>5</v>
      </c>
      <c r="D726" s="153" t="s">
        <v>430</v>
      </c>
      <c r="E726" s="153" t="s">
        <v>432</v>
      </c>
      <c r="F726" s="153" t="s">
        <v>429</v>
      </c>
      <c r="G726" s="153">
        <v>11011.0</v>
      </c>
      <c r="H726" s="153">
        <v>1158.0</v>
      </c>
      <c r="I726" s="153">
        <v>10.52</v>
      </c>
      <c r="J726" s="153">
        <v>1997.0</v>
      </c>
      <c r="K726" s="153">
        <v>0.1814</v>
      </c>
      <c r="L726" s="153">
        <v>1.7245</v>
      </c>
      <c r="M726" s="153">
        <v>1997.0</v>
      </c>
    </row>
    <row r="727">
      <c r="A727" s="250">
        <v>46251.0</v>
      </c>
      <c r="B727" s="153" t="s">
        <v>133</v>
      </c>
      <c r="C727" s="153" t="s">
        <v>5</v>
      </c>
      <c r="D727" s="153" t="s">
        <v>430</v>
      </c>
      <c r="E727" s="153" t="s">
        <v>433</v>
      </c>
      <c r="F727" s="153" t="s">
        <v>429</v>
      </c>
      <c r="G727" s="153">
        <v>11011.0</v>
      </c>
      <c r="H727" s="153">
        <v>121.0</v>
      </c>
      <c r="I727" s="153">
        <v>1.1</v>
      </c>
      <c r="J727" s="153">
        <v>131.0</v>
      </c>
      <c r="K727" s="153">
        <v>0.0119</v>
      </c>
      <c r="L727" s="153">
        <v>1.0826</v>
      </c>
      <c r="M727" s="153">
        <v>131.0</v>
      </c>
    </row>
    <row r="728">
      <c r="A728" s="250">
        <v>46251.0</v>
      </c>
      <c r="B728" s="153" t="s">
        <v>133</v>
      </c>
      <c r="C728" s="153" t="s">
        <v>5</v>
      </c>
      <c r="D728" s="153" t="s">
        <v>434</v>
      </c>
      <c r="E728" s="153" t="s">
        <v>435</v>
      </c>
      <c r="F728" s="153" t="s">
        <v>429</v>
      </c>
      <c r="G728" s="153">
        <v>11011.0</v>
      </c>
      <c r="H728" s="153">
        <v>4351.0</v>
      </c>
      <c r="I728" s="153">
        <v>39.52</v>
      </c>
      <c r="J728" s="153">
        <v>4495.0</v>
      </c>
      <c r="K728" s="153">
        <v>0.4082</v>
      </c>
      <c r="L728" s="153">
        <v>1.0331</v>
      </c>
      <c r="M728" s="153">
        <v>4495.0</v>
      </c>
    </row>
    <row r="729">
      <c r="A729" s="250">
        <v>46251.0</v>
      </c>
      <c r="B729" s="153" t="s">
        <v>133</v>
      </c>
      <c r="C729" s="153" t="s">
        <v>5</v>
      </c>
      <c r="D729" s="153" t="s">
        <v>434</v>
      </c>
      <c r="E729" s="153" t="s">
        <v>436</v>
      </c>
      <c r="F729" s="153" t="s">
        <v>429</v>
      </c>
      <c r="G729" s="153">
        <v>11011.0</v>
      </c>
      <c r="H729" s="153">
        <v>1932.0</v>
      </c>
      <c r="I729" s="153">
        <v>17.55</v>
      </c>
      <c r="J729" s="153">
        <v>2188.0</v>
      </c>
      <c r="K729" s="153">
        <v>0.1987</v>
      </c>
      <c r="L729" s="153">
        <v>1.1325</v>
      </c>
      <c r="M729" s="153">
        <v>2188.0</v>
      </c>
    </row>
    <row r="730">
      <c r="A730" s="250">
        <v>46251.0</v>
      </c>
      <c r="B730" s="153" t="s">
        <v>133</v>
      </c>
      <c r="C730" s="153" t="s">
        <v>5</v>
      </c>
      <c r="D730" s="153" t="s">
        <v>434</v>
      </c>
      <c r="E730" s="153" t="s">
        <v>437</v>
      </c>
      <c r="F730" s="153" t="s">
        <v>429</v>
      </c>
      <c r="G730" s="153">
        <v>11011.0</v>
      </c>
      <c r="H730" s="153">
        <v>1.0</v>
      </c>
      <c r="I730" s="153">
        <v>0.01</v>
      </c>
      <c r="J730" s="153">
        <v>1.0</v>
      </c>
      <c r="K730" s="153">
        <v>1.0E-4</v>
      </c>
      <c r="L730" s="153">
        <v>1.0</v>
      </c>
      <c r="M730" s="153">
        <v>1.0</v>
      </c>
    </row>
    <row r="731">
      <c r="A731" s="250">
        <v>46251.0</v>
      </c>
      <c r="B731" s="153" t="s">
        <v>133</v>
      </c>
      <c r="C731" s="153" t="s">
        <v>5</v>
      </c>
      <c r="D731" s="153" t="s">
        <v>438</v>
      </c>
      <c r="E731" s="153" t="s">
        <v>439</v>
      </c>
      <c r="F731" s="153" t="s">
        <v>440</v>
      </c>
      <c r="G731" s="153">
        <v>11011.0</v>
      </c>
      <c r="H731" s="153">
        <v>8.0</v>
      </c>
      <c r="I731" s="153">
        <v>0.07</v>
      </c>
      <c r="J731" s="153">
        <v>80.0</v>
      </c>
      <c r="K731" s="153">
        <v>0.0073</v>
      </c>
      <c r="L731" s="153">
        <v>10.0</v>
      </c>
      <c r="M731" s="153">
        <v>80.0</v>
      </c>
    </row>
    <row r="732">
      <c r="A732" s="250">
        <v>46251.0</v>
      </c>
      <c r="B732" s="153" t="s">
        <v>133</v>
      </c>
      <c r="C732" s="153" t="s">
        <v>5</v>
      </c>
      <c r="D732" s="153" t="s">
        <v>441</v>
      </c>
      <c r="E732" s="153" t="s">
        <v>442</v>
      </c>
      <c r="F732" s="153" t="s">
        <v>440</v>
      </c>
      <c r="G732" s="153">
        <v>11011.0</v>
      </c>
      <c r="H732" s="153">
        <v>16.0</v>
      </c>
      <c r="I732" s="153">
        <v>0.15</v>
      </c>
      <c r="J732" s="153">
        <v>180.0</v>
      </c>
      <c r="K732" s="153">
        <v>0.0163</v>
      </c>
      <c r="L732" s="153">
        <v>11.25</v>
      </c>
      <c r="M732" s="153">
        <v>180.0</v>
      </c>
    </row>
    <row r="733">
      <c r="A733" s="250">
        <v>46251.0</v>
      </c>
      <c r="B733" s="153" t="s">
        <v>133</v>
      </c>
      <c r="C733" s="153" t="s">
        <v>5</v>
      </c>
      <c r="D733" s="153" t="s">
        <v>444</v>
      </c>
      <c r="E733" s="153" t="s">
        <v>445</v>
      </c>
      <c r="F733" s="153" t="s">
        <v>440</v>
      </c>
      <c r="G733" s="153">
        <v>11011.0</v>
      </c>
      <c r="H733" s="153">
        <v>2698.0</v>
      </c>
      <c r="I733" s="153">
        <v>24.5</v>
      </c>
      <c r="J733" s="153">
        <v>52855.0</v>
      </c>
      <c r="K733" s="153">
        <v>4.8002</v>
      </c>
      <c r="L733" s="153">
        <v>19.5904</v>
      </c>
      <c r="M733" s="153">
        <v>52855.0</v>
      </c>
    </row>
    <row r="734">
      <c r="A734" s="250">
        <v>46251.0</v>
      </c>
      <c r="B734" s="153" t="s">
        <v>134</v>
      </c>
      <c r="C734" s="153" t="s">
        <v>5</v>
      </c>
      <c r="D734" s="153" t="s">
        <v>424</v>
      </c>
      <c r="E734" s="153" t="s">
        <v>425</v>
      </c>
      <c r="F734" s="153" t="s">
        <v>426</v>
      </c>
      <c r="G734" s="153">
        <v>8422.0</v>
      </c>
      <c r="H734" s="153">
        <v>4260.0</v>
      </c>
      <c r="I734" s="153">
        <v>50.58</v>
      </c>
      <c r="J734" s="153">
        <v>70303.31</v>
      </c>
      <c r="K734" s="153">
        <v>8.3476</v>
      </c>
      <c r="L734" s="153">
        <v>16.5031</v>
      </c>
      <c r="M734" s="153">
        <v>86130.0</v>
      </c>
    </row>
    <row r="735">
      <c r="A735" s="250">
        <v>46251.0</v>
      </c>
      <c r="B735" s="153" t="s">
        <v>134</v>
      </c>
      <c r="C735" s="153" t="s">
        <v>5</v>
      </c>
      <c r="D735" s="153" t="s">
        <v>427</v>
      </c>
      <c r="E735" s="153" t="s">
        <v>428</v>
      </c>
      <c r="F735" s="153" t="s">
        <v>429</v>
      </c>
      <c r="G735" s="153">
        <v>8422.0</v>
      </c>
      <c r="H735" s="153">
        <v>3480.0</v>
      </c>
      <c r="I735" s="153">
        <v>41.32</v>
      </c>
      <c r="J735" s="153">
        <v>198011.13</v>
      </c>
      <c r="K735" s="153">
        <v>23.5112</v>
      </c>
      <c r="L735" s="153">
        <v>56.8997</v>
      </c>
      <c r="M735" s="153">
        <v>222375.0</v>
      </c>
    </row>
    <row r="736">
      <c r="A736" s="250">
        <v>46251.0</v>
      </c>
      <c r="B736" s="153" t="s">
        <v>134</v>
      </c>
      <c r="C736" s="153" t="s">
        <v>5</v>
      </c>
      <c r="D736" s="153" t="s">
        <v>430</v>
      </c>
      <c r="E736" s="153" t="s">
        <v>431</v>
      </c>
      <c r="F736" s="153" t="s">
        <v>429</v>
      </c>
      <c r="G736" s="153">
        <v>8422.0</v>
      </c>
      <c r="H736" s="153">
        <v>292.0</v>
      </c>
      <c r="I736" s="153">
        <v>3.47</v>
      </c>
      <c r="J736" s="153">
        <v>312.0</v>
      </c>
      <c r="K736" s="153">
        <v>0.037</v>
      </c>
      <c r="L736" s="153">
        <v>1.0685</v>
      </c>
      <c r="M736" s="153">
        <v>312.0</v>
      </c>
    </row>
    <row r="737">
      <c r="A737" s="250">
        <v>46251.0</v>
      </c>
      <c r="B737" s="153" t="s">
        <v>134</v>
      </c>
      <c r="C737" s="153" t="s">
        <v>5</v>
      </c>
      <c r="D737" s="153" t="s">
        <v>430</v>
      </c>
      <c r="E737" s="153" t="s">
        <v>432</v>
      </c>
      <c r="F737" s="153" t="s">
        <v>429</v>
      </c>
      <c r="G737" s="153">
        <v>8422.0</v>
      </c>
      <c r="H737" s="153">
        <v>2759.0</v>
      </c>
      <c r="I737" s="153">
        <v>32.76</v>
      </c>
      <c r="J737" s="153">
        <v>5482.0</v>
      </c>
      <c r="K737" s="153">
        <v>0.6509</v>
      </c>
      <c r="L737" s="153">
        <v>1.987</v>
      </c>
      <c r="M737" s="153">
        <v>5482.0</v>
      </c>
    </row>
    <row r="738">
      <c r="A738" s="250">
        <v>46251.0</v>
      </c>
      <c r="B738" s="153" t="s">
        <v>134</v>
      </c>
      <c r="C738" s="153" t="s">
        <v>5</v>
      </c>
      <c r="D738" s="153" t="s">
        <v>430</v>
      </c>
      <c r="E738" s="153" t="s">
        <v>433</v>
      </c>
      <c r="F738" s="153" t="s">
        <v>429</v>
      </c>
      <c r="G738" s="153">
        <v>8422.0</v>
      </c>
      <c r="H738" s="153">
        <v>806.0</v>
      </c>
      <c r="I738" s="153">
        <v>9.57</v>
      </c>
      <c r="J738" s="153">
        <v>879.0</v>
      </c>
      <c r="K738" s="153">
        <v>0.1044</v>
      </c>
      <c r="L738" s="153">
        <v>1.0906</v>
      </c>
      <c r="M738" s="153">
        <v>879.0</v>
      </c>
    </row>
    <row r="739">
      <c r="A739" s="250">
        <v>46251.0</v>
      </c>
      <c r="B739" s="153" t="s">
        <v>134</v>
      </c>
      <c r="C739" s="153" t="s">
        <v>5</v>
      </c>
      <c r="D739" s="153" t="s">
        <v>434</v>
      </c>
      <c r="E739" s="153" t="s">
        <v>435</v>
      </c>
      <c r="F739" s="153" t="s">
        <v>429</v>
      </c>
      <c r="G739" s="153">
        <v>8422.0</v>
      </c>
      <c r="H739" s="153">
        <v>4497.0</v>
      </c>
      <c r="I739" s="153">
        <v>53.4</v>
      </c>
      <c r="J739" s="153">
        <v>4652.0</v>
      </c>
      <c r="K739" s="153">
        <v>0.5524</v>
      </c>
      <c r="L739" s="153">
        <v>1.0345</v>
      </c>
      <c r="M739" s="153">
        <v>4652.0</v>
      </c>
    </row>
    <row r="740">
      <c r="A740" s="250">
        <v>46251.0</v>
      </c>
      <c r="B740" s="153" t="s">
        <v>134</v>
      </c>
      <c r="C740" s="153" t="s">
        <v>5</v>
      </c>
      <c r="D740" s="153" t="s">
        <v>434</v>
      </c>
      <c r="E740" s="153" t="s">
        <v>436</v>
      </c>
      <c r="F740" s="153" t="s">
        <v>429</v>
      </c>
      <c r="G740" s="153">
        <v>8422.0</v>
      </c>
      <c r="H740" s="153">
        <v>3211.0</v>
      </c>
      <c r="I740" s="153">
        <v>38.13</v>
      </c>
      <c r="J740" s="153">
        <v>3907.0</v>
      </c>
      <c r="K740" s="153">
        <v>0.4639</v>
      </c>
      <c r="L740" s="153">
        <v>1.2168</v>
      </c>
      <c r="M740" s="153">
        <v>3907.0</v>
      </c>
    </row>
    <row r="741">
      <c r="A741" s="250">
        <v>46251.0</v>
      </c>
      <c r="B741" s="153" t="s">
        <v>134</v>
      </c>
      <c r="C741" s="153" t="s">
        <v>5</v>
      </c>
      <c r="D741" s="153" t="s">
        <v>434</v>
      </c>
      <c r="E741" s="153" t="s">
        <v>437</v>
      </c>
      <c r="F741" s="153" t="s">
        <v>429</v>
      </c>
      <c r="G741" s="153">
        <v>8422.0</v>
      </c>
      <c r="H741" s="153">
        <v>27.0</v>
      </c>
      <c r="I741" s="153">
        <v>0.32</v>
      </c>
      <c r="J741" s="153">
        <v>31.0</v>
      </c>
      <c r="K741" s="153">
        <v>0.0037</v>
      </c>
      <c r="L741" s="153">
        <v>1.1481</v>
      </c>
      <c r="M741" s="153">
        <v>31.0</v>
      </c>
    </row>
    <row r="742">
      <c r="A742" s="250">
        <v>46251.0</v>
      </c>
      <c r="B742" s="153" t="s">
        <v>134</v>
      </c>
      <c r="C742" s="153" t="s">
        <v>5</v>
      </c>
      <c r="D742" s="153" t="s">
        <v>438</v>
      </c>
      <c r="E742" s="153" t="s">
        <v>439</v>
      </c>
      <c r="F742" s="153" t="s">
        <v>440</v>
      </c>
      <c r="G742" s="153">
        <v>8422.0</v>
      </c>
      <c r="H742" s="153">
        <v>4.0</v>
      </c>
      <c r="I742" s="153">
        <v>0.05</v>
      </c>
      <c r="J742" s="153">
        <v>40.0</v>
      </c>
      <c r="K742" s="153">
        <v>0.0047</v>
      </c>
      <c r="L742" s="153">
        <v>10.0</v>
      </c>
      <c r="M742" s="153">
        <v>40.0</v>
      </c>
    </row>
    <row r="743">
      <c r="A743" s="250">
        <v>46251.0</v>
      </c>
      <c r="B743" s="153" t="s">
        <v>134</v>
      </c>
      <c r="C743" s="153" t="s">
        <v>5</v>
      </c>
      <c r="D743" s="153" t="s">
        <v>441</v>
      </c>
      <c r="E743" s="153" t="s">
        <v>442</v>
      </c>
      <c r="F743" s="153" t="s">
        <v>440</v>
      </c>
      <c r="G743" s="153">
        <v>8422.0</v>
      </c>
      <c r="H743" s="153">
        <v>218.0</v>
      </c>
      <c r="I743" s="153">
        <v>2.59</v>
      </c>
      <c r="J743" s="153">
        <v>2530.0</v>
      </c>
      <c r="K743" s="153">
        <v>0.3004</v>
      </c>
      <c r="L743" s="153">
        <v>11.6055</v>
      </c>
      <c r="M743" s="153">
        <v>2530.0</v>
      </c>
    </row>
    <row r="744">
      <c r="A744" s="250">
        <v>46251.0</v>
      </c>
      <c r="B744" s="153" t="s">
        <v>134</v>
      </c>
      <c r="C744" s="153" t="s">
        <v>5</v>
      </c>
      <c r="D744" s="153" t="s">
        <v>444</v>
      </c>
      <c r="E744" s="153" t="s">
        <v>445</v>
      </c>
      <c r="F744" s="153" t="s">
        <v>440</v>
      </c>
      <c r="G744" s="153">
        <v>8422.0</v>
      </c>
      <c r="H744" s="153">
        <v>3775.0</v>
      </c>
      <c r="I744" s="153">
        <v>44.82</v>
      </c>
      <c r="J744" s="153">
        <v>105270.0</v>
      </c>
      <c r="K744" s="153">
        <v>12.4994</v>
      </c>
      <c r="L744" s="153">
        <v>27.8861</v>
      </c>
      <c r="M744" s="153">
        <v>105270.0</v>
      </c>
    </row>
    <row r="745">
      <c r="A745" s="250">
        <v>46251.0</v>
      </c>
      <c r="B745" s="153" t="s">
        <v>135</v>
      </c>
      <c r="C745" s="153" t="s">
        <v>5</v>
      </c>
      <c r="D745" s="153" t="s">
        <v>424</v>
      </c>
      <c r="E745" s="153" t="s">
        <v>425</v>
      </c>
      <c r="F745" s="153" t="s">
        <v>426</v>
      </c>
      <c r="G745" s="153">
        <v>6509.0</v>
      </c>
      <c r="H745" s="153">
        <v>3953.0</v>
      </c>
      <c r="I745" s="153">
        <v>60.73</v>
      </c>
      <c r="J745" s="153">
        <v>86151.48</v>
      </c>
      <c r="K745" s="153">
        <v>13.2357</v>
      </c>
      <c r="L745" s="153">
        <v>21.7939</v>
      </c>
      <c r="M745" s="153">
        <v>105370.0</v>
      </c>
    </row>
    <row r="746">
      <c r="A746" s="250">
        <v>46251.0</v>
      </c>
      <c r="B746" s="153" t="s">
        <v>135</v>
      </c>
      <c r="C746" s="153" t="s">
        <v>5</v>
      </c>
      <c r="D746" s="153" t="s">
        <v>427</v>
      </c>
      <c r="E746" s="153" t="s">
        <v>428</v>
      </c>
      <c r="F746" s="153" t="s">
        <v>429</v>
      </c>
      <c r="G746" s="153">
        <v>6509.0</v>
      </c>
      <c r="H746" s="153">
        <v>3491.0</v>
      </c>
      <c r="I746" s="153">
        <v>53.63</v>
      </c>
      <c r="J746" s="153">
        <v>310337.21</v>
      </c>
      <c r="K746" s="153">
        <v>47.6782</v>
      </c>
      <c r="L746" s="153">
        <v>88.8964</v>
      </c>
      <c r="M746" s="153">
        <v>350805.0</v>
      </c>
    </row>
    <row r="747">
      <c r="A747" s="250">
        <v>46251.0</v>
      </c>
      <c r="B747" s="153" t="s">
        <v>135</v>
      </c>
      <c r="C747" s="153" t="s">
        <v>5</v>
      </c>
      <c r="D747" s="153" t="s">
        <v>430</v>
      </c>
      <c r="E747" s="153" t="s">
        <v>431</v>
      </c>
      <c r="F747" s="153" t="s">
        <v>429</v>
      </c>
      <c r="G747" s="153">
        <v>6509.0</v>
      </c>
      <c r="H747" s="153">
        <v>1016.0</v>
      </c>
      <c r="I747" s="153">
        <v>15.61</v>
      </c>
      <c r="J747" s="153">
        <v>1087.0</v>
      </c>
      <c r="K747" s="153">
        <v>0.167</v>
      </c>
      <c r="L747" s="153">
        <v>1.0699</v>
      </c>
      <c r="M747" s="153">
        <v>1087.0</v>
      </c>
    </row>
    <row r="748">
      <c r="A748" s="250">
        <v>46251.0</v>
      </c>
      <c r="B748" s="153" t="s">
        <v>135</v>
      </c>
      <c r="C748" s="153" t="s">
        <v>5</v>
      </c>
      <c r="D748" s="153" t="s">
        <v>430</v>
      </c>
      <c r="E748" s="153" t="s">
        <v>432</v>
      </c>
      <c r="F748" s="153" t="s">
        <v>429</v>
      </c>
      <c r="G748" s="153">
        <v>6509.0</v>
      </c>
      <c r="H748" s="153">
        <v>3054.0</v>
      </c>
      <c r="I748" s="153">
        <v>46.92</v>
      </c>
      <c r="J748" s="153">
        <v>6519.0</v>
      </c>
      <c r="K748" s="153">
        <v>1.0015</v>
      </c>
      <c r="L748" s="153">
        <v>2.1346</v>
      </c>
      <c r="M748" s="153">
        <v>6519.0</v>
      </c>
    </row>
    <row r="749">
      <c r="A749" s="250">
        <v>46251.0</v>
      </c>
      <c r="B749" s="153" t="s">
        <v>135</v>
      </c>
      <c r="C749" s="153" t="s">
        <v>5</v>
      </c>
      <c r="D749" s="153" t="s">
        <v>430</v>
      </c>
      <c r="E749" s="153" t="s">
        <v>433</v>
      </c>
      <c r="F749" s="153" t="s">
        <v>429</v>
      </c>
      <c r="G749" s="153">
        <v>6509.0</v>
      </c>
      <c r="H749" s="153">
        <v>1723.0</v>
      </c>
      <c r="I749" s="153">
        <v>26.47</v>
      </c>
      <c r="J749" s="153">
        <v>1944.0</v>
      </c>
      <c r="K749" s="153">
        <v>0.2987</v>
      </c>
      <c r="L749" s="153">
        <v>1.1283</v>
      </c>
      <c r="M749" s="153">
        <v>1944.0</v>
      </c>
    </row>
    <row r="750">
      <c r="A750" s="250">
        <v>46251.0</v>
      </c>
      <c r="B750" s="153" t="s">
        <v>135</v>
      </c>
      <c r="C750" s="153" t="s">
        <v>5</v>
      </c>
      <c r="D750" s="153" t="s">
        <v>434</v>
      </c>
      <c r="E750" s="153" t="s">
        <v>435</v>
      </c>
      <c r="F750" s="153" t="s">
        <v>429</v>
      </c>
      <c r="G750" s="153">
        <v>6509.0</v>
      </c>
      <c r="H750" s="153">
        <v>4092.0</v>
      </c>
      <c r="I750" s="153">
        <v>62.87</v>
      </c>
      <c r="J750" s="153">
        <v>4255.0</v>
      </c>
      <c r="K750" s="153">
        <v>0.6537</v>
      </c>
      <c r="L750" s="153">
        <v>1.0398</v>
      </c>
      <c r="M750" s="153">
        <v>4255.0</v>
      </c>
    </row>
    <row r="751">
      <c r="A751" s="250">
        <v>46251.0</v>
      </c>
      <c r="B751" s="153" t="s">
        <v>135</v>
      </c>
      <c r="C751" s="153" t="s">
        <v>5</v>
      </c>
      <c r="D751" s="153" t="s">
        <v>434</v>
      </c>
      <c r="E751" s="153" t="s">
        <v>436</v>
      </c>
      <c r="F751" s="153" t="s">
        <v>429</v>
      </c>
      <c r="G751" s="153">
        <v>6509.0</v>
      </c>
      <c r="H751" s="153">
        <v>3307.0</v>
      </c>
      <c r="I751" s="153">
        <v>50.81</v>
      </c>
      <c r="J751" s="153">
        <v>4059.0</v>
      </c>
      <c r="K751" s="153">
        <v>0.6236</v>
      </c>
      <c r="L751" s="153">
        <v>1.2274</v>
      </c>
      <c r="M751" s="153">
        <v>4059.0</v>
      </c>
    </row>
    <row r="752">
      <c r="A752" s="250">
        <v>46251.0</v>
      </c>
      <c r="B752" s="153" t="s">
        <v>135</v>
      </c>
      <c r="C752" s="153" t="s">
        <v>5</v>
      </c>
      <c r="D752" s="153" t="s">
        <v>434</v>
      </c>
      <c r="E752" s="153" t="s">
        <v>437</v>
      </c>
      <c r="F752" s="153" t="s">
        <v>429</v>
      </c>
      <c r="G752" s="153">
        <v>6509.0</v>
      </c>
      <c r="H752" s="153">
        <v>178.0</v>
      </c>
      <c r="I752" s="153">
        <v>2.73</v>
      </c>
      <c r="J752" s="153">
        <v>204.0</v>
      </c>
      <c r="K752" s="153">
        <v>0.0313</v>
      </c>
      <c r="L752" s="153">
        <v>1.1461</v>
      </c>
      <c r="M752" s="153">
        <v>204.0</v>
      </c>
    </row>
    <row r="753">
      <c r="A753" s="250">
        <v>46251.0</v>
      </c>
      <c r="B753" s="153" t="s">
        <v>135</v>
      </c>
      <c r="C753" s="153" t="s">
        <v>5</v>
      </c>
      <c r="D753" s="153" t="s">
        <v>438</v>
      </c>
      <c r="E753" s="153" t="s">
        <v>439</v>
      </c>
      <c r="F753" s="153" t="s">
        <v>440</v>
      </c>
      <c r="G753" s="153">
        <v>6509.0</v>
      </c>
      <c r="H753" s="153">
        <v>5.0</v>
      </c>
      <c r="I753" s="153">
        <v>0.08</v>
      </c>
      <c r="J753" s="153">
        <v>50.0</v>
      </c>
      <c r="K753" s="153">
        <v>0.0077</v>
      </c>
      <c r="L753" s="153">
        <v>10.0</v>
      </c>
      <c r="M753" s="153">
        <v>50.0</v>
      </c>
    </row>
    <row r="754">
      <c r="A754" s="250">
        <v>46251.0</v>
      </c>
      <c r="B754" s="153" t="s">
        <v>135</v>
      </c>
      <c r="C754" s="153" t="s">
        <v>5</v>
      </c>
      <c r="D754" s="153" t="s">
        <v>441</v>
      </c>
      <c r="E754" s="153" t="s">
        <v>442</v>
      </c>
      <c r="F754" s="153" t="s">
        <v>440</v>
      </c>
      <c r="G754" s="153">
        <v>6509.0</v>
      </c>
      <c r="H754" s="153">
        <v>833.0</v>
      </c>
      <c r="I754" s="153">
        <v>12.8</v>
      </c>
      <c r="J754" s="153">
        <v>10400.0</v>
      </c>
      <c r="K754" s="153">
        <v>1.5978</v>
      </c>
      <c r="L754" s="153">
        <v>12.485</v>
      </c>
      <c r="M754" s="153">
        <v>10400.0</v>
      </c>
    </row>
    <row r="755">
      <c r="A755" s="250">
        <v>46251.0</v>
      </c>
      <c r="B755" s="153" t="s">
        <v>135</v>
      </c>
      <c r="C755" s="153" t="s">
        <v>5</v>
      </c>
      <c r="D755" s="153" t="s">
        <v>441</v>
      </c>
      <c r="E755" s="153" t="s">
        <v>443</v>
      </c>
      <c r="F755" s="153" t="s">
        <v>440</v>
      </c>
      <c r="G755" s="153">
        <v>6509.0</v>
      </c>
      <c r="H755" s="153">
        <v>4.0</v>
      </c>
      <c r="I755" s="153">
        <v>0.06</v>
      </c>
      <c r="J755" s="153">
        <v>40.0</v>
      </c>
      <c r="K755" s="153">
        <v>0.0061</v>
      </c>
      <c r="L755" s="153">
        <v>10.0</v>
      </c>
      <c r="M755" s="153">
        <v>40.0</v>
      </c>
    </row>
    <row r="756">
      <c r="A756" s="250">
        <v>46251.0</v>
      </c>
      <c r="B756" s="153" t="s">
        <v>135</v>
      </c>
      <c r="C756" s="153" t="s">
        <v>5</v>
      </c>
      <c r="D756" s="153" t="s">
        <v>444</v>
      </c>
      <c r="E756" s="153" t="s">
        <v>445</v>
      </c>
      <c r="F756" s="153" t="s">
        <v>440</v>
      </c>
      <c r="G756" s="153">
        <v>6509.0</v>
      </c>
      <c r="H756" s="153">
        <v>3674.0</v>
      </c>
      <c r="I756" s="153">
        <v>56.44</v>
      </c>
      <c r="J756" s="153">
        <v>135720.0</v>
      </c>
      <c r="K756" s="153">
        <v>20.8511</v>
      </c>
      <c r="L756" s="153">
        <v>36.9407</v>
      </c>
      <c r="M756" s="153">
        <v>135720.0</v>
      </c>
    </row>
    <row r="757">
      <c r="A757" s="250">
        <v>46251.0</v>
      </c>
      <c r="B757" s="153" t="s">
        <v>136</v>
      </c>
      <c r="C757" s="153" t="s">
        <v>5</v>
      </c>
      <c r="D757" s="153" t="s">
        <v>424</v>
      </c>
      <c r="E757" s="153" t="s">
        <v>425</v>
      </c>
      <c r="F757" s="153" t="s">
        <v>426</v>
      </c>
      <c r="G757" s="153">
        <v>3490.0</v>
      </c>
      <c r="H757" s="153">
        <v>2482.0</v>
      </c>
      <c r="I757" s="153">
        <v>71.12</v>
      </c>
      <c r="J757" s="153">
        <v>71053.69</v>
      </c>
      <c r="K757" s="153">
        <v>20.3592</v>
      </c>
      <c r="L757" s="153">
        <v>28.6276</v>
      </c>
      <c r="M757" s="153">
        <v>86540.0</v>
      </c>
    </row>
    <row r="758">
      <c r="A758" s="250">
        <v>46251.0</v>
      </c>
      <c r="B758" s="153" t="s">
        <v>136</v>
      </c>
      <c r="C758" s="153" t="s">
        <v>5</v>
      </c>
      <c r="D758" s="153" t="s">
        <v>427</v>
      </c>
      <c r="E758" s="153" t="s">
        <v>428</v>
      </c>
      <c r="F758" s="153" t="s">
        <v>429</v>
      </c>
      <c r="G758" s="153">
        <v>3490.0</v>
      </c>
      <c r="H758" s="153">
        <v>2327.0</v>
      </c>
      <c r="I758" s="153">
        <v>66.68</v>
      </c>
      <c r="J758" s="153">
        <v>351945.21</v>
      </c>
      <c r="K758" s="153">
        <v>100.8439</v>
      </c>
      <c r="L758" s="153">
        <v>151.2442</v>
      </c>
      <c r="M758" s="153">
        <v>390855.0</v>
      </c>
    </row>
    <row r="759">
      <c r="A759" s="250">
        <v>46251.0</v>
      </c>
      <c r="B759" s="153" t="s">
        <v>136</v>
      </c>
      <c r="C759" s="153" t="s">
        <v>5</v>
      </c>
      <c r="D759" s="153" t="s">
        <v>430</v>
      </c>
      <c r="E759" s="153" t="s">
        <v>431</v>
      </c>
      <c r="F759" s="153" t="s">
        <v>429</v>
      </c>
      <c r="G759" s="153">
        <v>3490.0</v>
      </c>
      <c r="H759" s="153">
        <v>1384.0</v>
      </c>
      <c r="I759" s="153">
        <v>39.66</v>
      </c>
      <c r="J759" s="153">
        <v>1511.0</v>
      </c>
      <c r="K759" s="153">
        <v>0.433</v>
      </c>
      <c r="L759" s="153">
        <v>1.0918</v>
      </c>
      <c r="M759" s="153">
        <v>1511.0</v>
      </c>
    </row>
    <row r="760">
      <c r="A760" s="250">
        <v>46251.0</v>
      </c>
      <c r="B760" s="153" t="s">
        <v>136</v>
      </c>
      <c r="C760" s="153" t="s">
        <v>5</v>
      </c>
      <c r="D760" s="153" t="s">
        <v>430</v>
      </c>
      <c r="E760" s="153" t="s">
        <v>432</v>
      </c>
      <c r="F760" s="153" t="s">
        <v>429</v>
      </c>
      <c r="G760" s="153">
        <v>3490.0</v>
      </c>
      <c r="H760" s="153">
        <v>2192.0</v>
      </c>
      <c r="I760" s="153">
        <v>62.81</v>
      </c>
      <c r="J760" s="153">
        <v>5421.0</v>
      </c>
      <c r="K760" s="153">
        <v>1.5533</v>
      </c>
      <c r="L760" s="153">
        <v>2.4731</v>
      </c>
      <c r="M760" s="153">
        <v>5421.0</v>
      </c>
    </row>
    <row r="761">
      <c r="A761" s="250">
        <v>46251.0</v>
      </c>
      <c r="B761" s="153" t="s">
        <v>136</v>
      </c>
      <c r="C761" s="153" t="s">
        <v>5</v>
      </c>
      <c r="D761" s="153" t="s">
        <v>430</v>
      </c>
      <c r="E761" s="153" t="s">
        <v>433</v>
      </c>
      <c r="F761" s="153" t="s">
        <v>429</v>
      </c>
      <c r="G761" s="153">
        <v>3490.0</v>
      </c>
      <c r="H761" s="153">
        <v>1723.0</v>
      </c>
      <c r="I761" s="153">
        <v>49.37</v>
      </c>
      <c r="J761" s="153">
        <v>2117.0</v>
      </c>
      <c r="K761" s="153">
        <v>0.6066</v>
      </c>
      <c r="L761" s="153">
        <v>1.2287</v>
      </c>
      <c r="M761" s="153">
        <v>2117.0</v>
      </c>
    </row>
    <row r="762">
      <c r="A762" s="250">
        <v>46251.0</v>
      </c>
      <c r="B762" s="153" t="s">
        <v>136</v>
      </c>
      <c r="C762" s="153" t="s">
        <v>5</v>
      </c>
      <c r="D762" s="153" t="s">
        <v>434</v>
      </c>
      <c r="E762" s="153" t="s">
        <v>435</v>
      </c>
      <c r="F762" s="153" t="s">
        <v>429</v>
      </c>
      <c r="G762" s="153">
        <v>3490.0</v>
      </c>
      <c r="H762" s="153">
        <v>2502.0</v>
      </c>
      <c r="I762" s="153">
        <v>71.69</v>
      </c>
      <c r="J762" s="153">
        <v>2735.0</v>
      </c>
      <c r="K762" s="153">
        <v>0.7837</v>
      </c>
      <c r="L762" s="153">
        <v>1.0931</v>
      </c>
      <c r="M762" s="153">
        <v>2735.0</v>
      </c>
    </row>
    <row r="763">
      <c r="A763" s="250">
        <v>46251.0</v>
      </c>
      <c r="B763" s="153" t="s">
        <v>136</v>
      </c>
      <c r="C763" s="153" t="s">
        <v>5</v>
      </c>
      <c r="D763" s="153" t="s">
        <v>434</v>
      </c>
      <c r="E763" s="153" t="s">
        <v>436</v>
      </c>
      <c r="F763" s="153" t="s">
        <v>429</v>
      </c>
      <c r="G763" s="153">
        <v>3490.0</v>
      </c>
      <c r="H763" s="153">
        <v>2256.0</v>
      </c>
      <c r="I763" s="153">
        <v>64.64</v>
      </c>
      <c r="J763" s="153">
        <v>2866.0</v>
      </c>
      <c r="K763" s="153">
        <v>0.8212</v>
      </c>
      <c r="L763" s="153">
        <v>1.2704</v>
      </c>
      <c r="M763" s="153">
        <v>2866.0</v>
      </c>
    </row>
    <row r="764">
      <c r="A764" s="250">
        <v>46251.0</v>
      </c>
      <c r="B764" s="153" t="s">
        <v>136</v>
      </c>
      <c r="C764" s="153" t="s">
        <v>5</v>
      </c>
      <c r="D764" s="153" t="s">
        <v>434</v>
      </c>
      <c r="E764" s="153" t="s">
        <v>437</v>
      </c>
      <c r="F764" s="153" t="s">
        <v>429</v>
      </c>
      <c r="G764" s="153">
        <v>3490.0</v>
      </c>
      <c r="H764" s="153">
        <v>614.0</v>
      </c>
      <c r="I764" s="153">
        <v>17.59</v>
      </c>
      <c r="J764" s="153">
        <v>720.0</v>
      </c>
      <c r="K764" s="153">
        <v>0.2063</v>
      </c>
      <c r="L764" s="153">
        <v>1.1726</v>
      </c>
      <c r="M764" s="153">
        <v>720.0</v>
      </c>
    </row>
    <row r="765">
      <c r="A765" s="250">
        <v>46251.0</v>
      </c>
      <c r="B765" s="153" t="s">
        <v>136</v>
      </c>
      <c r="C765" s="153" t="s">
        <v>5</v>
      </c>
      <c r="D765" s="153" t="s">
        <v>441</v>
      </c>
      <c r="E765" s="153" t="s">
        <v>442</v>
      </c>
      <c r="F765" s="153" t="s">
        <v>440</v>
      </c>
      <c r="G765" s="153">
        <v>3490.0</v>
      </c>
      <c r="H765" s="153">
        <v>1281.0</v>
      </c>
      <c r="I765" s="153">
        <v>36.7</v>
      </c>
      <c r="J765" s="153">
        <v>16410.0</v>
      </c>
      <c r="K765" s="153">
        <v>4.702</v>
      </c>
      <c r="L765" s="153">
        <v>12.8103</v>
      </c>
      <c r="M765" s="153">
        <v>16410.0</v>
      </c>
    </row>
    <row r="766">
      <c r="A766" s="250">
        <v>46251.0</v>
      </c>
      <c r="B766" s="153" t="s">
        <v>136</v>
      </c>
      <c r="C766" s="153" t="s">
        <v>5</v>
      </c>
      <c r="D766" s="153" t="s">
        <v>441</v>
      </c>
      <c r="E766" s="153" t="s">
        <v>443</v>
      </c>
      <c r="F766" s="153" t="s">
        <v>440</v>
      </c>
      <c r="G766" s="153">
        <v>3490.0</v>
      </c>
      <c r="H766" s="153">
        <v>21.0</v>
      </c>
      <c r="I766" s="153">
        <v>0.6</v>
      </c>
      <c r="J766" s="153">
        <v>220.0</v>
      </c>
      <c r="K766" s="153">
        <v>0.063</v>
      </c>
      <c r="L766" s="153">
        <v>10.4762</v>
      </c>
      <c r="M766" s="153">
        <v>220.0</v>
      </c>
    </row>
    <row r="767">
      <c r="A767" s="250">
        <v>46251.0</v>
      </c>
      <c r="B767" s="153" t="s">
        <v>136</v>
      </c>
      <c r="C767" s="153" t="s">
        <v>5</v>
      </c>
      <c r="D767" s="153" t="s">
        <v>444</v>
      </c>
      <c r="E767" s="153" t="s">
        <v>445</v>
      </c>
      <c r="F767" s="153" t="s">
        <v>440</v>
      </c>
      <c r="G767" s="153">
        <v>3490.0</v>
      </c>
      <c r="H767" s="153">
        <v>2396.0</v>
      </c>
      <c r="I767" s="153">
        <v>68.65</v>
      </c>
      <c r="J767" s="153">
        <v>122130.0</v>
      </c>
      <c r="K767" s="153">
        <v>34.9943</v>
      </c>
      <c r="L767" s="153">
        <v>50.9725</v>
      </c>
      <c r="M767" s="153">
        <v>122130.0</v>
      </c>
    </row>
    <row r="768">
      <c r="A768" s="250">
        <v>46251.0</v>
      </c>
      <c r="B768" s="153" t="s">
        <v>137</v>
      </c>
      <c r="C768" s="153" t="s">
        <v>5</v>
      </c>
      <c r="D768" s="153" t="s">
        <v>424</v>
      </c>
      <c r="E768" s="153" t="s">
        <v>425</v>
      </c>
      <c r="F768" s="153" t="s">
        <v>426</v>
      </c>
      <c r="G768" s="153">
        <v>441.0</v>
      </c>
      <c r="H768" s="153">
        <v>308.0</v>
      </c>
      <c r="I768" s="153">
        <v>69.84</v>
      </c>
      <c r="J768" s="153">
        <v>13114.17</v>
      </c>
      <c r="K768" s="153">
        <v>29.7373</v>
      </c>
      <c r="L768" s="153">
        <v>42.5785</v>
      </c>
      <c r="M768" s="153">
        <v>15620.0</v>
      </c>
    </row>
    <row r="769">
      <c r="A769" s="250">
        <v>46251.0</v>
      </c>
      <c r="B769" s="153" t="s">
        <v>137</v>
      </c>
      <c r="C769" s="153" t="s">
        <v>5</v>
      </c>
      <c r="D769" s="153" t="s">
        <v>427</v>
      </c>
      <c r="E769" s="153" t="s">
        <v>428</v>
      </c>
      <c r="F769" s="153" t="s">
        <v>429</v>
      </c>
      <c r="G769" s="153">
        <v>441.0</v>
      </c>
      <c r="H769" s="153">
        <v>304.0</v>
      </c>
      <c r="I769" s="153">
        <v>68.93</v>
      </c>
      <c r="J769" s="153">
        <v>82836.35</v>
      </c>
      <c r="K769" s="153">
        <v>187.8375</v>
      </c>
      <c r="L769" s="153">
        <v>272.488</v>
      </c>
      <c r="M769" s="153">
        <v>91645.0</v>
      </c>
    </row>
    <row r="770">
      <c r="A770" s="250">
        <v>46251.0</v>
      </c>
      <c r="B770" s="153" t="s">
        <v>137</v>
      </c>
      <c r="C770" s="153" t="s">
        <v>5</v>
      </c>
      <c r="D770" s="153" t="s">
        <v>430</v>
      </c>
      <c r="E770" s="153" t="s">
        <v>431</v>
      </c>
      <c r="F770" s="153" t="s">
        <v>429</v>
      </c>
      <c r="G770" s="153">
        <v>441.0</v>
      </c>
      <c r="H770" s="153">
        <v>274.0</v>
      </c>
      <c r="I770" s="153">
        <v>62.13</v>
      </c>
      <c r="J770" s="153">
        <v>302.0</v>
      </c>
      <c r="K770" s="153">
        <v>0.6848</v>
      </c>
      <c r="L770" s="153">
        <v>1.1022</v>
      </c>
      <c r="M770" s="153">
        <v>302.0</v>
      </c>
    </row>
    <row r="771">
      <c r="A771" s="250">
        <v>46251.0</v>
      </c>
      <c r="B771" s="153" t="s">
        <v>137</v>
      </c>
      <c r="C771" s="153" t="s">
        <v>5</v>
      </c>
      <c r="D771" s="153" t="s">
        <v>430</v>
      </c>
      <c r="E771" s="153" t="s">
        <v>432</v>
      </c>
      <c r="F771" s="153" t="s">
        <v>429</v>
      </c>
      <c r="G771" s="153">
        <v>441.0</v>
      </c>
      <c r="H771" s="153">
        <v>298.0</v>
      </c>
      <c r="I771" s="153">
        <v>67.57</v>
      </c>
      <c r="J771" s="153">
        <v>918.0</v>
      </c>
      <c r="K771" s="153">
        <v>2.0816</v>
      </c>
      <c r="L771" s="153">
        <v>3.0805</v>
      </c>
      <c r="M771" s="153">
        <v>918.0</v>
      </c>
    </row>
    <row r="772">
      <c r="A772" s="250">
        <v>46251.0</v>
      </c>
      <c r="B772" s="153" t="s">
        <v>137</v>
      </c>
      <c r="C772" s="153" t="s">
        <v>5</v>
      </c>
      <c r="D772" s="153" t="s">
        <v>430</v>
      </c>
      <c r="E772" s="153" t="s">
        <v>433</v>
      </c>
      <c r="F772" s="153" t="s">
        <v>429</v>
      </c>
      <c r="G772" s="153">
        <v>441.0</v>
      </c>
      <c r="H772" s="153">
        <v>286.0</v>
      </c>
      <c r="I772" s="153">
        <v>64.85</v>
      </c>
      <c r="J772" s="153">
        <v>461.0</v>
      </c>
      <c r="K772" s="153">
        <v>1.0454</v>
      </c>
      <c r="L772" s="153">
        <v>1.6119</v>
      </c>
      <c r="M772" s="153">
        <v>461.0</v>
      </c>
    </row>
    <row r="773">
      <c r="A773" s="250">
        <v>46251.0</v>
      </c>
      <c r="B773" s="153" t="s">
        <v>137</v>
      </c>
      <c r="C773" s="153" t="s">
        <v>5</v>
      </c>
      <c r="D773" s="153" t="s">
        <v>434</v>
      </c>
      <c r="E773" s="153" t="s">
        <v>435</v>
      </c>
      <c r="F773" s="153" t="s">
        <v>429</v>
      </c>
      <c r="G773" s="153">
        <v>441.0</v>
      </c>
      <c r="H773" s="153">
        <v>308.0</v>
      </c>
      <c r="I773" s="153">
        <v>69.84</v>
      </c>
      <c r="J773" s="153">
        <v>458.0</v>
      </c>
      <c r="K773" s="153">
        <v>1.0385</v>
      </c>
      <c r="L773" s="153">
        <v>1.487</v>
      </c>
      <c r="M773" s="153">
        <v>458.0</v>
      </c>
    </row>
    <row r="774">
      <c r="A774" s="250">
        <v>46251.0</v>
      </c>
      <c r="B774" s="153" t="s">
        <v>137</v>
      </c>
      <c r="C774" s="153" t="s">
        <v>5</v>
      </c>
      <c r="D774" s="153" t="s">
        <v>434</v>
      </c>
      <c r="E774" s="153" t="s">
        <v>436</v>
      </c>
      <c r="F774" s="153" t="s">
        <v>429</v>
      </c>
      <c r="G774" s="153">
        <v>441.0</v>
      </c>
      <c r="H774" s="153">
        <v>300.0</v>
      </c>
      <c r="I774" s="153">
        <v>68.03</v>
      </c>
      <c r="J774" s="153">
        <v>428.0</v>
      </c>
      <c r="K774" s="153">
        <v>0.9705</v>
      </c>
      <c r="L774" s="153">
        <v>1.4267</v>
      </c>
      <c r="M774" s="153">
        <v>428.0</v>
      </c>
    </row>
    <row r="775">
      <c r="A775" s="250">
        <v>46251.0</v>
      </c>
      <c r="B775" s="153" t="s">
        <v>137</v>
      </c>
      <c r="C775" s="153" t="s">
        <v>5</v>
      </c>
      <c r="D775" s="153" t="s">
        <v>434</v>
      </c>
      <c r="E775" s="153" t="s">
        <v>437</v>
      </c>
      <c r="F775" s="153" t="s">
        <v>429</v>
      </c>
      <c r="G775" s="153">
        <v>441.0</v>
      </c>
      <c r="H775" s="153">
        <v>216.0</v>
      </c>
      <c r="I775" s="153">
        <v>48.98</v>
      </c>
      <c r="J775" s="153">
        <v>266.0</v>
      </c>
      <c r="K775" s="153">
        <v>0.6032</v>
      </c>
      <c r="L775" s="153">
        <v>1.2315</v>
      </c>
      <c r="M775" s="153">
        <v>266.0</v>
      </c>
    </row>
    <row r="776">
      <c r="A776" s="250">
        <v>46251.0</v>
      </c>
      <c r="B776" s="153" t="s">
        <v>137</v>
      </c>
      <c r="C776" s="153" t="s">
        <v>5</v>
      </c>
      <c r="D776" s="153" t="s">
        <v>441</v>
      </c>
      <c r="E776" s="153" t="s">
        <v>442</v>
      </c>
      <c r="F776" s="153" t="s">
        <v>440</v>
      </c>
      <c r="G776" s="153">
        <v>441.0</v>
      </c>
      <c r="H776" s="153">
        <v>266.0</v>
      </c>
      <c r="I776" s="153">
        <v>60.32</v>
      </c>
      <c r="J776" s="153">
        <v>3380.0</v>
      </c>
      <c r="K776" s="153">
        <v>7.6644</v>
      </c>
      <c r="L776" s="153">
        <v>12.7068</v>
      </c>
      <c r="M776" s="153">
        <v>3380.0</v>
      </c>
    </row>
    <row r="777">
      <c r="A777" s="250">
        <v>46251.0</v>
      </c>
      <c r="B777" s="153" t="s">
        <v>137</v>
      </c>
      <c r="C777" s="153" t="s">
        <v>5</v>
      </c>
      <c r="D777" s="153" t="s">
        <v>441</v>
      </c>
      <c r="E777" s="153" t="s">
        <v>443</v>
      </c>
      <c r="F777" s="153" t="s">
        <v>440</v>
      </c>
      <c r="G777" s="153">
        <v>441.0</v>
      </c>
      <c r="H777" s="153">
        <v>22.0</v>
      </c>
      <c r="I777" s="153">
        <v>4.99</v>
      </c>
      <c r="J777" s="153">
        <v>270.0</v>
      </c>
      <c r="K777" s="153">
        <v>0.6122</v>
      </c>
      <c r="L777" s="153">
        <v>12.2727</v>
      </c>
      <c r="M777" s="153">
        <v>270.0</v>
      </c>
    </row>
    <row r="778">
      <c r="A778" s="250">
        <v>46251.0</v>
      </c>
      <c r="B778" s="153" t="s">
        <v>137</v>
      </c>
      <c r="C778" s="153" t="s">
        <v>5</v>
      </c>
      <c r="D778" s="153" t="s">
        <v>444</v>
      </c>
      <c r="E778" s="153" t="s">
        <v>445</v>
      </c>
      <c r="F778" s="153" t="s">
        <v>440</v>
      </c>
      <c r="G778" s="153">
        <v>441.0</v>
      </c>
      <c r="H778" s="153">
        <v>307.0</v>
      </c>
      <c r="I778" s="153">
        <v>69.61</v>
      </c>
      <c r="J778" s="153">
        <v>23215.0</v>
      </c>
      <c r="K778" s="153">
        <v>52.6417</v>
      </c>
      <c r="L778" s="153">
        <v>75.6189</v>
      </c>
      <c r="M778" s="153">
        <v>23215.0</v>
      </c>
    </row>
    <row r="779">
      <c r="A779" s="250">
        <v>46252.0</v>
      </c>
      <c r="B779" s="153" t="s">
        <v>423</v>
      </c>
      <c r="C779" s="153" t="s">
        <v>5</v>
      </c>
      <c r="D779" s="153" t="s">
        <v>424</v>
      </c>
      <c r="E779" s="153" t="s">
        <v>425</v>
      </c>
      <c r="F779" s="153" t="s">
        <v>426</v>
      </c>
      <c r="G779" s="153">
        <v>6463.0</v>
      </c>
      <c r="H779" s="153">
        <v>216.0</v>
      </c>
      <c r="I779" s="153">
        <v>3.34</v>
      </c>
      <c r="J779" s="153">
        <v>7804.73</v>
      </c>
      <c r="K779" s="153">
        <v>1.2076</v>
      </c>
      <c r="L779" s="153">
        <v>36.133</v>
      </c>
      <c r="M779" s="153">
        <v>44190.0</v>
      </c>
    </row>
    <row r="780">
      <c r="A780" s="250">
        <v>46252.0</v>
      </c>
      <c r="B780" s="153" t="s">
        <v>423</v>
      </c>
      <c r="C780" s="153" t="s">
        <v>5</v>
      </c>
      <c r="D780" s="153" t="s">
        <v>427</v>
      </c>
      <c r="E780" s="153" t="s">
        <v>428</v>
      </c>
      <c r="F780" s="153" t="s">
        <v>429</v>
      </c>
      <c r="G780" s="153">
        <v>6463.0</v>
      </c>
      <c r="H780" s="153">
        <v>246.0</v>
      </c>
      <c r="I780" s="153">
        <v>3.81</v>
      </c>
      <c r="J780" s="153">
        <v>50490.8</v>
      </c>
      <c r="K780" s="153">
        <v>7.8123</v>
      </c>
      <c r="L780" s="153">
        <v>205.2471</v>
      </c>
      <c r="M780" s="153">
        <v>57640.0</v>
      </c>
    </row>
    <row r="781">
      <c r="A781" s="250">
        <v>46252.0</v>
      </c>
      <c r="B781" s="153" t="s">
        <v>423</v>
      </c>
      <c r="C781" s="153" t="s">
        <v>5</v>
      </c>
      <c r="D781" s="153" t="s">
        <v>430</v>
      </c>
      <c r="E781" s="153" t="s">
        <v>431</v>
      </c>
      <c r="F781" s="153" t="s">
        <v>429</v>
      </c>
      <c r="G781" s="153">
        <v>6463.0</v>
      </c>
      <c r="H781" s="153">
        <v>43.0</v>
      </c>
      <c r="I781" s="153">
        <v>0.67</v>
      </c>
      <c r="J781" s="153">
        <v>260.0</v>
      </c>
      <c r="K781" s="153">
        <v>0.0402</v>
      </c>
      <c r="L781" s="153">
        <v>6.0465</v>
      </c>
      <c r="M781" s="153">
        <v>260.0</v>
      </c>
    </row>
    <row r="782">
      <c r="A782" s="250">
        <v>46252.0</v>
      </c>
      <c r="B782" s="153" t="s">
        <v>423</v>
      </c>
      <c r="C782" s="153" t="s">
        <v>5</v>
      </c>
      <c r="D782" s="153" t="s">
        <v>430</v>
      </c>
      <c r="E782" s="153" t="s">
        <v>432</v>
      </c>
      <c r="F782" s="153" t="s">
        <v>429</v>
      </c>
      <c r="G782" s="153">
        <v>6463.0</v>
      </c>
      <c r="H782" s="153">
        <v>113.0</v>
      </c>
      <c r="I782" s="153">
        <v>1.75</v>
      </c>
      <c r="J782" s="153">
        <v>368.0</v>
      </c>
      <c r="K782" s="153">
        <v>0.0569</v>
      </c>
      <c r="L782" s="153">
        <v>3.2566</v>
      </c>
      <c r="M782" s="153">
        <v>368.0</v>
      </c>
    </row>
    <row r="783">
      <c r="A783" s="250">
        <v>46252.0</v>
      </c>
      <c r="B783" s="153" t="s">
        <v>423</v>
      </c>
      <c r="C783" s="153" t="s">
        <v>5</v>
      </c>
      <c r="D783" s="153" t="s">
        <v>430</v>
      </c>
      <c r="E783" s="153" t="s">
        <v>433</v>
      </c>
      <c r="F783" s="153" t="s">
        <v>429</v>
      </c>
      <c r="G783" s="153">
        <v>6463.0</v>
      </c>
      <c r="H783" s="153">
        <v>149.0</v>
      </c>
      <c r="I783" s="153">
        <v>2.31</v>
      </c>
      <c r="J783" s="153">
        <v>392.0</v>
      </c>
      <c r="K783" s="153">
        <v>0.0607</v>
      </c>
      <c r="L783" s="153">
        <v>2.6309</v>
      </c>
      <c r="M783" s="153">
        <v>392.0</v>
      </c>
    </row>
    <row r="784">
      <c r="A784" s="250">
        <v>46252.0</v>
      </c>
      <c r="B784" s="153" t="s">
        <v>423</v>
      </c>
      <c r="C784" s="153" t="s">
        <v>5</v>
      </c>
      <c r="D784" s="153" t="s">
        <v>434</v>
      </c>
      <c r="E784" s="153" t="s">
        <v>435</v>
      </c>
      <c r="F784" s="153" t="s">
        <v>429</v>
      </c>
      <c r="G784" s="153">
        <v>6463.0</v>
      </c>
      <c r="H784" s="153">
        <v>133.0</v>
      </c>
      <c r="I784" s="153">
        <v>2.06</v>
      </c>
      <c r="J784" s="153">
        <v>261.0</v>
      </c>
      <c r="K784" s="153">
        <v>0.0404</v>
      </c>
      <c r="L784" s="153">
        <v>1.9624</v>
      </c>
      <c r="M784" s="153">
        <v>261.0</v>
      </c>
    </row>
    <row r="785">
      <c r="A785" s="250">
        <v>46252.0</v>
      </c>
      <c r="B785" s="153" t="s">
        <v>423</v>
      </c>
      <c r="C785" s="153" t="s">
        <v>5</v>
      </c>
      <c r="D785" s="153" t="s">
        <v>434</v>
      </c>
      <c r="E785" s="153" t="s">
        <v>436</v>
      </c>
      <c r="F785" s="153" t="s">
        <v>429</v>
      </c>
      <c r="G785" s="153">
        <v>6463.0</v>
      </c>
      <c r="H785" s="153">
        <v>100.0</v>
      </c>
      <c r="I785" s="153">
        <v>1.55</v>
      </c>
      <c r="J785" s="153">
        <v>172.0</v>
      </c>
      <c r="K785" s="153">
        <v>0.0266</v>
      </c>
      <c r="L785" s="153">
        <v>1.72</v>
      </c>
      <c r="M785" s="153">
        <v>172.0</v>
      </c>
    </row>
    <row r="786">
      <c r="A786" s="250">
        <v>46252.0</v>
      </c>
      <c r="B786" s="153" t="s">
        <v>423</v>
      </c>
      <c r="C786" s="153" t="s">
        <v>5</v>
      </c>
      <c r="D786" s="153" t="s">
        <v>434</v>
      </c>
      <c r="E786" s="153" t="s">
        <v>437</v>
      </c>
      <c r="F786" s="153" t="s">
        <v>429</v>
      </c>
      <c r="G786" s="153">
        <v>6463.0</v>
      </c>
      <c r="H786" s="153">
        <v>76.0</v>
      </c>
      <c r="I786" s="153">
        <v>1.18</v>
      </c>
      <c r="J786" s="153">
        <v>138.0</v>
      </c>
      <c r="K786" s="153">
        <v>0.0214</v>
      </c>
      <c r="L786" s="153">
        <v>1.8158</v>
      </c>
      <c r="M786" s="153">
        <v>138.0</v>
      </c>
    </row>
    <row r="787">
      <c r="A787" s="250">
        <v>46252.0</v>
      </c>
      <c r="B787" s="153" t="s">
        <v>423</v>
      </c>
      <c r="C787" s="153" t="s">
        <v>5</v>
      </c>
      <c r="D787" s="153" t="s">
        <v>438</v>
      </c>
      <c r="E787" s="153" t="s">
        <v>439</v>
      </c>
      <c r="F787" s="153" t="s">
        <v>440</v>
      </c>
      <c r="G787" s="153">
        <v>6463.0</v>
      </c>
      <c r="H787" s="153">
        <v>1.0</v>
      </c>
      <c r="I787" s="153">
        <v>0.02</v>
      </c>
      <c r="J787" s="153">
        <v>10.0</v>
      </c>
      <c r="K787" s="153">
        <v>0.0015</v>
      </c>
      <c r="L787" s="153">
        <v>10.0</v>
      </c>
      <c r="M787" s="153">
        <v>10.0</v>
      </c>
    </row>
    <row r="788">
      <c r="A788" s="250">
        <v>46252.0</v>
      </c>
      <c r="B788" s="153" t="s">
        <v>423</v>
      </c>
      <c r="C788" s="153" t="s">
        <v>5</v>
      </c>
      <c r="D788" s="153" t="s">
        <v>441</v>
      </c>
      <c r="E788" s="153" t="s">
        <v>442</v>
      </c>
      <c r="F788" s="153" t="s">
        <v>440</v>
      </c>
      <c r="G788" s="153">
        <v>6463.0</v>
      </c>
      <c r="H788" s="153">
        <v>8.0</v>
      </c>
      <c r="I788" s="153">
        <v>0.12</v>
      </c>
      <c r="J788" s="153">
        <v>140.0</v>
      </c>
      <c r="K788" s="153">
        <v>0.0217</v>
      </c>
      <c r="L788" s="153">
        <v>17.5</v>
      </c>
      <c r="M788" s="153">
        <v>140.0</v>
      </c>
    </row>
    <row r="789">
      <c r="A789" s="250">
        <v>46252.0</v>
      </c>
      <c r="B789" s="153" t="s">
        <v>423</v>
      </c>
      <c r="C789" s="153" t="s">
        <v>5</v>
      </c>
      <c r="D789" s="153" t="s">
        <v>441</v>
      </c>
      <c r="E789" s="153" t="s">
        <v>443</v>
      </c>
      <c r="F789" s="153" t="s">
        <v>440</v>
      </c>
      <c r="G789" s="153">
        <v>6463.0</v>
      </c>
      <c r="H789" s="153">
        <v>68.0</v>
      </c>
      <c r="I789" s="153">
        <v>1.05</v>
      </c>
      <c r="J789" s="153">
        <v>800.0</v>
      </c>
      <c r="K789" s="153">
        <v>0.1238</v>
      </c>
      <c r="L789" s="153">
        <v>11.7647</v>
      </c>
      <c r="M789" s="153">
        <v>800.0</v>
      </c>
    </row>
    <row r="790">
      <c r="A790" s="250">
        <v>46252.0</v>
      </c>
      <c r="B790" s="153" t="s">
        <v>423</v>
      </c>
      <c r="C790" s="153" t="s">
        <v>5</v>
      </c>
      <c r="D790" s="153" t="s">
        <v>444</v>
      </c>
      <c r="E790" s="153" t="s">
        <v>445</v>
      </c>
      <c r="F790" s="153" t="s">
        <v>440</v>
      </c>
      <c r="G790" s="153">
        <v>6463.0</v>
      </c>
      <c r="H790" s="153">
        <v>225.0</v>
      </c>
      <c r="I790" s="153">
        <v>3.48</v>
      </c>
      <c r="J790" s="153">
        <v>11470.0</v>
      </c>
      <c r="K790" s="153">
        <v>1.7747</v>
      </c>
      <c r="L790" s="153">
        <v>50.9778</v>
      </c>
      <c r="M790" s="153">
        <v>11470.0</v>
      </c>
    </row>
    <row r="791">
      <c r="A791" s="250">
        <v>46252.0</v>
      </c>
      <c r="B791" s="153" t="s">
        <v>133</v>
      </c>
      <c r="C791" s="153" t="s">
        <v>5</v>
      </c>
      <c r="D791" s="153" t="s">
        <v>424</v>
      </c>
      <c r="E791" s="153" t="s">
        <v>425</v>
      </c>
      <c r="F791" s="153" t="s">
        <v>426</v>
      </c>
      <c r="G791" s="153">
        <v>11391.0</v>
      </c>
      <c r="H791" s="153">
        <v>2964.0</v>
      </c>
      <c r="I791" s="153">
        <v>26.02</v>
      </c>
      <c r="J791" s="153">
        <v>38047.6</v>
      </c>
      <c r="K791" s="153">
        <v>3.3401</v>
      </c>
      <c r="L791" s="153">
        <v>12.8366</v>
      </c>
      <c r="M791" s="153">
        <v>46530.0</v>
      </c>
    </row>
    <row r="792">
      <c r="A792" s="250">
        <v>46252.0</v>
      </c>
      <c r="B792" s="153" t="s">
        <v>133</v>
      </c>
      <c r="C792" s="153" t="s">
        <v>5</v>
      </c>
      <c r="D792" s="153" t="s">
        <v>427</v>
      </c>
      <c r="E792" s="153" t="s">
        <v>428</v>
      </c>
      <c r="F792" s="153" t="s">
        <v>429</v>
      </c>
      <c r="G792" s="153">
        <v>11391.0</v>
      </c>
      <c r="H792" s="153">
        <v>2765.0</v>
      </c>
      <c r="I792" s="153">
        <v>24.27</v>
      </c>
      <c r="J792" s="153">
        <v>100732.89</v>
      </c>
      <c r="K792" s="153">
        <v>8.8432</v>
      </c>
      <c r="L792" s="153">
        <v>36.4314</v>
      </c>
      <c r="M792" s="153">
        <v>113115.0</v>
      </c>
    </row>
    <row r="793">
      <c r="A793" s="250">
        <v>46252.0</v>
      </c>
      <c r="B793" s="153" t="s">
        <v>133</v>
      </c>
      <c r="C793" s="153" t="s">
        <v>5</v>
      </c>
      <c r="D793" s="153" t="s">
        <v>430</v>
      </c>
      <c r="E793" s="153" t="s">
        <v>431</v>
      </c>
      <c r="F793" s="153" t="s">
        <v>429</v>
      </c>
      <c r="G793" s="153">
        <v>11391.0</v>
      </c>
      <c r="H793" s="153">
        <v>79.0</v>
      </c>
      <c r="I793" s="153">
        <v>0.69</v>
      </c>
      <c r="J793" s="153">
        <v>90.0</v>
      </c>
      <c r="K793" s="153">
        <v>0.0079</v>
      </c>
      <c r="L793" s="153">
        <v>1.1392</v>
      </c>
      <c r="M793" s="153">
        <v>90.0</v>
      </c>
    </row>
    <row r="794">
      <c r="A794" s="250">
        <v>46252.0</v>
      </c>
      <c r="B794" s="153" t="s">
        <v>133</v>
      </c>
      <c r="C794" s="153" t="s">
        <v>5</v>
      </c>
      <c r="D794" s="153" t="s">
        <v>430</v>
      </c>
      <c r="E794" s="153" t="s">
        <v>432</v>
      </c>
      <c r="F794" s="153" t="s">
        <v>429</v>
      </c>
      <c r="G794" s="153">
        <v>11391.0</v>
      </c>
      <c r="H794" s="153">
        <v>1835.0</v>
      </c>
      <c r="I794" s="153">
        <v>16.11</v>
      </c>
      <c r="J794" s="153">
        <v>3134.0</v>
      </c>
      <c r="K794" s="153">
        <v>0.2751</v>
      </c>
      <c r="L794" s="153">
        <v>1.7079</v>
      </c>
      <c r="M794" s="153">
        <v>3134.0</v>
      </c>
    </row>
    <row r="795">
      <c r="A795" s="250">
        <v>46252.0</v>
      </c>
      <c r="B795" s="153" t="s">
        <v>133</v>
      </c>
      <c r="C795" s="153" t="s">
        <v>5</v>
      </c>
      <c r="D795" s="153" t="s">
        <v>430</v>
      </c>
      <c r="E795" s="153" t="s">
        <v>433</v>
      </c>
      <c r="F795" s="153" t="s">
        <v>429</v>
      </c>
      <c r="G795" s="153">
        <v>11391.0</v>
      </c>
      <c r="H795" s="153">
        <v>409.0</v>
      </c>
      <c r="I795" s="153">
        <v>3.59</v>
      </c>
      <c r="J795" s="153">
        <v>445.0</v>
      </c>
      <c r="K795" s="153">
        <v>0.0391</v>
      </c>
      <c r="L795" s="153">
        <v>1.088</v>
      </c>
      <c r="M795" s="153">
        <v>445.0</v>
      </c>
    </row>
    <row r="796">
      <c r="A796" s="250">
        <v>46252.0</v>
      </c>
      <c r="B796" s="153" t="s">
        <v>133</v>
      </c>
      <c r="C796" s="153" t="s">
        <v>5</v>
      </c>
      <c r="D796" s="153" t="s">
        <v>434</v>
      </c>
      <c r="E796" s="153" t="s">
        <v>435</v>
      </c>
      <c r="F796" s="153" t="s">
        <v>429</v>
      </c>
      <c r="G796" s="153">
        <v>11391.0</v>
      </c>
      <c r="H796" s="153">
        <v>2376.0</v>
      </c>
      <c r="I796" s="153">
        <v>20.86</v>
      </c>
      <c r="J796" s="153">
        <v>2453.0</v>
      </c>
      <c r="K796" s="153">
        <v>0.2153</v>
      </c>
      <c r="L796" s="153">
        <v>1.0324</v>
      </c>
      <c r="M796" s="153">
        <v>2453.0</v>
      </c>
    </row>
    <row r="797">
      <c r="A797" s="250">
        <v>46252.0</v>
      </c>
      <c r="B797" s="153" t="s">
        <v>133</v>
      </c>
      <c r="C797" s="153" t="s">
        <v>5</v>
      </c>
      <c r="D797" s="153" t="s">
        <v>434</v>
      </c>
      <c r="E797" s="153" t="s">
        <v>436</v>
      </c>
      <c r="F797" s="153" t="s">
        <v>429</v>
      </c>
      <c r="G797" s="153">
        <v>11391.0</v>
      </c>
      <c r="H797" s="153">
        <v>1819.0</v>
      </c>
      <c r="I797" s="153">
        <v>15.97</v>
      </c>
      <c r="J797" s="153">
        <v>2112.0</v>
      </c>
      <c r="K797" s="153">
        <v>0.1854</v>
      </c>
      <c r="L797" s="153">
        <v>1.1611</v>
      </c>
      <c r="M797" s="153">
        <v>2112.0</v>
      </c>
    </row>
    <row r="798">
      <c r="A798" s="250">
        <v>46252.0</v>
      </c>
      <c r="B798" s="153" t="s">
        <v>133</v>
      </c>
      <c r="C798" s="153" t="s">
        <v>5</v>
      </c>
      <c r="D798" s="153" t="s">
        <v>434</v>
      </c>
      <c r="E798" s="153" t="s">
        <v>437</v>
      </c>
      <c r="F798" s="153" t="s">
        <v>429</v>
      </c>
      <c r="G798" s="153">
        <v>11391.0</v>
      </c>
      <c r="H798" s="153">
        <v>2.0</v>
      </c>
      <c r="I798" s="153">
        <v>0.02</v>
      </c>
      <c r="J798" s="153">
        <v>2.0</v>
      </c>
      <c r="K798" s="153">
        <v>2.0E-4</v>
      </c>
      <c r="L798" s="153">
        <v>1.0</v>
      </c>
      <c r="M798" s="153">
        <v>2.0</v>
      </c>
    </row>
    <row r="799">
      <c r="A799" s="250">
        <v>46252.0</v>
      </c>
      <c r="B799" s="153" t="s">
        <v>133</v>
      </c>
      <c r="C799" s="153" t="s">
        <v>5</v>
      </c>
      <c r="D799" s="153" t="s">
        <v>438</v>
      </c>
      <c r="E799" s="153" t="s">
        <v>439</v>
      </c>
      <c r="F799" s="153" t="s">
        <v>440</v>
      </c>
      <c r="G799" s="153">
        <v>11391.0</v>
      </c>
      <c r="H799" s="153">
        <v>11.0</v>
      </c>
      <c r="I799" s="153">
        <v>0.1</v>
      </c>
      <c r="J799" s="153">
        <v>180.0</v>
      </c>
      <c r="K799" s="153">
        <v>0.0158</v>
      </c>
      <c r="L799" s="153">
        <v>16.3636</v>
      </c>
      <c r="M799" s="153">
        <v>180.0</v>
      </c>
    </row>
    <row r="800">
      <c r="A800" s="250">
        <v>46252.0</v>
      </c>
      <c r="B800" s="153" t="s">
        <v>133</v>
      </c>
      <c r="C800" s="153" t="s">
        <v>5</v>
      </c>
      <c r="D800" s="153" t="s">
        <v>446</v>
      </c>
      <c r="E800" s="153" t="s">
        <v>447</v>
      </c>
      <c r="F800" s="153" t="s">
        <v>429</v>
      </c>
      <c r="G800" s="153">
        <v>11391.0</v>
      </c>
      <c r="H800" s="153">
        <v>1.0</v>
      </c>
      <c r="I800" s="153">
        <v>0.01</v>
      </c>
      <c r="J800" s="153">
        <v>345.0</v>
      </c>
      <c r="K800" s="153">
        <v>0.0303</v>
      </c>
      <c r="L800" s="153">
        <v>345.0</v>
      </c>
      <c r="M800" s="153">
        <v>345.0</v>
      </c>
    </row>
    <row r="801">
      <c r="A801" s="250">
        <v>46252.0</v>
      </c>
      <c r="B801" s="153" t="s">
        <v>133</v>
      </c>
      <c r="C801" s="153" t="s">
        <v>5</v>
      </c>
      <c r="D801" s="153" t="s">
        <v>441</v>
      </c>
      <c r="E801" s="153" t="s">
        <v>442</v>
      </c>
      <c r="F801" s="153" t="s">
        <v>440</v>
      </c>
      <c r="G801" s="153">
        <v>11391.0</v>
      </c>
      <c r="H801" s="153">
        <v>50.0</v>
      </c>
      <c r="I801" s="153">
        <v>0.44</v>
      </c>
      <c r="J801" s="153">
        <v>600.0</v>
      </c>
      <c r="K801" s="153">
        <v>0.0527</v>
      </c>
      <c r="L801" s="153">
        <v>12.0</v>
      </c>
      <c r="M801" s="153">
        <v>600.0</v>
      </c>
    </row>
    <row r="802">
      <c r="A802" s="250">
        <v>46252.0</v>
      </c>
      <c r="B802" s="153" t="s">
        <v>133</v>
      </c>
      <c r="C802" s="153" t="s">
        <v>5</v>
      </c>
      <c r="D802" s="153" t="s">
        <v>444</v>
      </c>
      <c r="E802" s="153" t="s">
        <v>445</v>
      </c>
      <c r="F802" s="153" t="s">
        <v>440</v>
      </c>
      <c r="G802" s="153">
        <v>11391.0</v>
      </c>
      <c r="H802" s="153">
        <v>2878.0</v>
      </c>
      <c r="I802" s="153">
        <v>25.27</v>
      </c>
      <c r="J802" s="153">
        <v>61735.0</v>
      </c>
      <c r="K802" s="153">
        <v>5.4196</v>
      </c>
      <c r="L802" s="153">
        <v>21.4507</v>
      </c>
      <c r="M802" s="153">
        <v>61735.0</v>
      </c>
    </row>
    <row r="803">
      <c r="A803" s="250">
        <v>46252.0</v>
      </c>
      <c r="B803" s="153" t="s">
        <v>134</v>
      </c>
      <c r="C803" s="153" t="s">
        <v>5</v>
      </c>
      <c r="D803" s="153" t="s">
        <v>424</v>
      </c>
      <c r="E803" s="153" t="s">
        <v>425</v>
      </c>
      <c r="F803" s="153" t="s">
        <v>426</v>
      </c>
      <c r="G803" s="153">
        <v>8797.0</v>
      </c>
      <c r="H803" s="153">
        <v>3234.0</v>
      </c>
      <c r="I803" s="153">
        <v>36.76</v>
      </c>
      <c r="J803" s="153">
        <v>56384.06</v>
      </c>
      <c r="K803" s="153">
        <v>6.4095</v>
      </c>
      <c r="L803" s="153">
        <v>17.4348</v>
      </c>
      <c r="M803" s="153">
        <v>70770.0</v>
      </c>
    </row>
    <row r="804">
      <c r="A804" s="250">
        <v>46252.0</v>
      </c>
      <c r="B804" s="153" t="s">
        <v>134</v>
      </c>
      <c r="C804" s="153" t="s">
        <v>5</v>
      </c>
      <c r="D804" s="153" t="s">
        <v>427</v>
      </c>
      <c r="E804" s="153" t="s">
        <v>428</v>
      </c>
      <c r="F804" s="153" t="s">
        <v>429</v>
      </c>
      <c r="G804" s="153">
        <v>8797.0</v>
      </c>
      <c r="H804" s="153">
        <v>3634.0</v>
      </c>
      <c r="I804" s="153">
        <v>41.31</v>
      </c>
      <c r="J804" s="153">
        <v>235391.31</v>
      </c>
      <c r="K804" s="153">
        <v>26.7581</v>
      </c>
      <c r="L804" s="153">
        <v>64.7747</v>
      </c>
      <c r="M804" s="153">
        <v>272410.0</v>
      </c>
    </row>
    <row r="805">
      <c r="A805" s="250">
        <v>46252.0</v>
      </c>
      <c r="B805" s="153" t="s">
        <v>134</v>
      </c>
      <c r="C805" s="153" t="s">
        <v>5</v>
      </c>
      <c r="D805" s="153" t="s">
        <v>430</v>
      </c>
      <c r="E805" s="153" t="s">
        <v>431</v>
      </c>
      <c r="F805" s="153" t="s">
        <v>429</v>
      </c>
      <c r="G805" s="153">
        <v>8797.0</v>
      </c>
      <c r="H805" s="153">
        <v>1066.0</v>
      </c>
      <c r="I805" s="153">
        <v>12.12</v>
      </c>
      <c r="J805" s="153">
        <v>1159.0</v>
      </c>
      <c r="K805" s="153">
        <v>0.1317</v>
      </c>
      <c r="L805" s="153">
        <v>1.0872</v>
      </c>
      <c r="M805" s="153">
        <v>1159.0</v>
      </c>
    </row>
    <row r="806">
      <c r="A806" s="250">
        <v>46252.0</v>
      </c>
      <c r="B806" s="153" t="s">
        <v>134</v>
      </c>
      <c r="C806" s="153" t="s">
        <v>5</v>
      </c>
      <c r="D806" s="153" t="s">
        <v>430</v>
      </c>
      <c r="E806" s="153" t="s">
        <v>432</v>
      </c>
      <c r="F806" s="153" t="s">
        <v>429</v>
      </c>
      <c r="G806" s="153">
        <v>8797.0</v>
      </c>
      <c r="H806" s="153">
        <v>2398.0</v>
      </c>
      <c r="I806" s="153">
        <v>27.26</v>
      </c>
      <c r="J806" s="153">
        <v>4483.0</v>
      </c>
      <c r="K806" s="153">
        <v>0.5096</v>
      </c>
      <c r="L806" s="153">
        <v>1.8695</v>
      </c>
      <c r="M806" s="153">
        <v>4483.0</v>
      </c>
    </row>
    <row r="807">
      <c r="A807" s="250">
        <v>46252.0</v>
      </c>
      <c r="B807" s="153" t="s">
        <v>134</v>
      </c>
      <c r="C807" s="153" t="s">
        <v>5</v>
      </c>
      <c r="D807" s="153" t="s">
        <v>430</v>
      </c>
      <c r="E807" s="153" t="s">
        <v>433</v>
      </c>
      <c r="F807" s="153" t="s">
        <v>429</v>
      </c>
      <c r="G807" s="153">
        <v>8797.0</v>
      </c>
      <c r="H807" s="153">
        <v>1616.0</v>
      </c>
      <c r="I807" s="153">
        <v>18.37</v>
      </c>
      <c r="J807" s="153">
        <v>1835.0</v>
      </c>
      <c r="K807" s="153">
        <v>0.2086</v>
      </c>
      <c r="L807" s="153">
        <v>1.1355</v>
      </c>
      <c r="M807" s="153">
        <v>1835.0</v>
      </c>
    </row>
    <row r="808">
      <c r="A808" s="250">
        <v>46252.0</v>
      </c>
      <c r="B808" s="153" t="s">
        <v>134</v>
      </c>
      <c r="C808" s="153" t="s">
        <v>5</v>
      </c>
      <c r="D808" s="153" t="s">
        <v>434</v>
      </c>
      <c r="E808" s="153" t="s">
        <v>435</v>
      </c>
      <c r="F808" s="153" t="s">
        <v>429</v>
      </c>
      <c r="G808" s="153">
        <v>8797.0</v>
      </c>
      <c r="H808" s="153">
        <v>1808.0</v>
      </c>
      <c r="I808" s="153">
        <v>20.55</v>
      </c>
      <c r="J808" s="153">
        <v>1871.0</v>
      </c>
      <c r="K808" s="153">
        <v>0.2127</v>
      </c>
      <c r="L808" s="153">
        <v>1.0348</v>
      </c>
      <c r="M808" s="153">
        <v>1871.0</v>
      </c>
    </row>
    <row r="809">
      <c r="A809" s="250">
        <v>46252.0</v>
      </c>
      <c r="B809" s="153" t="s">
        <v>134</v>
      </c>
      <c r="C809" s="153" t="s">
        <v>5</v>
      </c>
      <c r="D809" s="153" t="s">
        <v>434</v>
      </c>
      <c r="E809" s="153" t="s">
        <v>436</v>
      </c>
      <c r="F809" s="153" t="s">
        <v>429</v>
      </c>
      <c r="G809" s="153">
        <v>8797.0</v>
      </c>
      <c r="H809" s="153">
        <v>1910.0</v>
      </c>
      <c r="I809" s="153">
        <v>21.71</v>
      </c>
      <c r="J809" s="153">
        <v>2353.0</v>
      </c>
      <c r="K809" s="153">
        <v>0.2675</v>
      </c>
      <c r="L809" s="153">
        <v>1.2319</v>
      </c>
      <c r="M809" s="153">
        <v>2353.0</v>
      </c>
    </row>
    <row r="810">
      <c r="A810" s="250">
        <v>46252.0</v>
      </c>
      <c r="B810" s="153" t="s">
        <v>134</v>
      </c>
      <c r="C810" s="153" t="s">
        <v>5</v>
      </c>
      <c r="D810" s="153" t="s">
        <v>434</v>
      </c>
      <c r="E810" s="153" t="s">
        <v>437</v>
      </c>
      <c r="F810" s="153" t="s">
        <v>429</v>
      </c>
      <c r="G810" s="153">
        <v>8797.0</v>
      </c>
      <c r="H810" s="153">
        <v>161.0</v>
      </c>
      <c r="I810" s="153">
        <v>1.83</v>
      </c>
      <c r="J810" s="153">
        <v>182.0</v>
      </c>
      <c r="K810" s="153">
        <v>0.0207</v>
      </c>
      <c r="L810" s="153">
        <v>1.1304</v>
      </c>
      <c r="M810" s="153">
        <v>182.0</v>
      </c>
    </row>
    <row r="811">
      <c r="A811" s="250">
        <v>46252.0</v>
      </c>
      <c r="B811" s="153" t="s">
        <v>134</v>
      </c>
      <c r="C811" s="153" t="s">
        <v>5</v>
      </c>
      <c r="D811" s="153" t="s">
        <v>438</v>
      </c>
      <c r="E811" s="153" t="s">
        <v>439</v>
      </c>
      <c r="F811" s="153" t="s">
        <v>440</v>
      </c>
      <c r="G811" s="153">
        <v>8797.0</v>
      </c>
      <c r="H811" s="153">
        <v>3.0</v>
      </c>
      <c r="I811" s="153">
        <v>0.03</v>
      </c>
      <c r="J811" s="153">
        <v>50.0</v>
      </c>
      <c r="K811" s="153">
        <v>0.0057</v>
      </c>
      <c r="L811" s="153">
        <v>16.6667</v>
      </c>
      <c r="M811" s="153">
        <v>50.0</v>
      </c>
    </row>
    <row r="812">
      <c r="A812" s="250">
        <v>46252.0</v>
      </c>
      <c r="B812" s="153" t="s">
        <v>134</v>
      </c>
      <c r="C812" s="153" t="s">
        <v>5</v>
      </c>
      <c r="D812" s="153" t="s">
        <v>441</v>
      </c>
      <c r="E812" s="153" t="s">
        <v>442</v>
      </c>
      <c r="F812" s="153" t="s">
        <v>440</v>
      </c>
      <c r="G812" s="153">
        <v>8797.0</v>
      </c>
      <c r="H812" s="153">
        <v>874.0</v>
      </c>
      <c r="I812" s="153">
        <v>9.94</v>
      </c>
      <c r="J812" s="153">
        <v>10480.0</v>
      </c>
      <c r="K812" s="153">
        <v>1.1913</v>
      </c>
      <c r="L812" s="153">
        <v>11.9908</v>
      </c>
      <c r="M812" s="153">
        <v>10480.0</v>
      </c>
    </row>
    <row r="813">
      <c r="A813" s="250">
        <v>46252.0</v>
      </c>
      <c r="B813" s="153" t="s">
        <v>134</v>
      </c>
      <c r="C813" s="153" t="s">
        <v>5</v>
      </c>
      <c r="D813" s="153" t="s">
        <v>441</v>
      </c>
      <c r="E813" s="153" t="s">
        <v>443</v>
      </c>
      <c r="F813" s="153" t="s">
        <v>440</v>
      </c>
      <c r="G813" s="153">
        <v>8797.0</v>
      </c>
      <c r="H813" s="153">
        <v>2.0</v>
      </c>
      <c r="I813" s="153">
        <v>0.02</v>
      </c>
      <c r="J813" s="153">
        <v>20.0</v>
      </c>
      <c r="K813" s="153">
        <v>0.0023</v>
      </c>
      <c r="L813" s="153">
        <v>10.0</v>
      </c>
      <c r="M813" s="153">
        <v>20.0</v>
      </c>
    </row>
    <row r="814">
      <c r="A814" s="250">
        <v>46252.0</v>
      </c>
      <c r="B814" s="153" t="s">
        <v>134</v>
      </c>
      <c r="C814" s="153" t="s">
        <v>5</v>
      </c>
      <c r="D814" s="153" t="s">
        <v>444</v>
      </c>
      <c r="E814" s="153" t="s">
        <v>445</v>
      </c>
      <c r="F814" s="153" t="s">
        <v>440</v>
      </c>
      <c r="G814" s="153">
        <v>8797.0</v>
      </c>
      <c r="H814" s="153">
        <v>3300.0</v>
      </c>
      <c r="I814" s="153">
        <v>37.51</v>
      </c>
      <c r="J814" s="153">
        <v>102315.0</v>
      </c>
      <c r="K814" s="153">
        <v>11.6307</v>
      </c>
      <c r="L814" s="153">
        <v>31.0045</v>
      </c>
      <c r="M814" s="153">
        <v>102315.0</v>
      </c>
    </row>
    <row r="815">
      <c r="A815" s="250">
        <v>46252.0</v>
      </c>
      <c r="B815" s="153" t="s">
        <v>135</v>
      </c>
      <c r="C815" s="153" t="s">
        <v>4</v>
      </c>
      <c r="D815" s="153" t="s">
        <v>424</v>
      </c>
      <c r="E815" s="153" t="s">
        <v>425</v>
      </c>
      <c r="F815" s="153" t="s">
        <v>426</v>
      </c>
      <c r="G815" s="153">
        <v>6528.0</v>
      </c>
      <c r="H815" s="153">
        <v>1.0</v>
      </c>
      <c r="I815" s="153">
        <v>0.02</v>
      </c>
      <c r="J815" s="153">
        <v>20.0</v>
      </c>
      <c r="K815" s="153">
        <v>0.0031</v>
      </c>
      <c r="L815" s="153">
        <v>20.0</v>
      </c>
      <c r="M815" s="153">
        <v>20.0</v>
      </c>
    </row>
    <row r="816">
      <c r="A816" s="250">
        <v>46252.0</v>
      </c>
      <c r="B816" s="153" t="s">
        <v>135</v>
      </c>
      <c r="C816" s="153" t="s">
        <v>4</v>
      </c>
      <c r="D816" s="153" t="s">
        <v>427</v>
      </c>
      <c r="E816" s="153" t="s">
        <v>428</v>
      </c>
      <c r="F816" s="153" t="s">
        <v>429</v>
      </c>
      <c r="G816" s="153">
        <v>6528.0</v>
      </c>
      <c r="H816" s="153">
        <v>1.0</v>
      </c>
      <c r="I816" s="153">
        <v>0.02</v>
      </c>
      <c r="J816" s="153">
        <v>50.0</v>
      </c>
      <c r="K816" s="153">
        <v>0.0077</v>
      </c>
      <c r="L816" s="153">
        <v>50.0</v>
      </c>
      <c r="M816" s="153">
        <v>50.0</v>
      </c>
    </row>
    <row r="817">
      <c r="A817" s="250">
        <v>46252.0</v>
      </c>
      <c r="B817" s="153" t="s">
        <v>135</v>
      </c>
      <c r="C817" s="153" t="s">
        <v>4</v>
      </c>
      <c r="D817" s="153" t="s">
        <v>430</v>
      </c>
      <c r="E817" s="153" t="s">
        <v>432</v>
      </c>
      <c r="F817" s="153" t="s">
        <v>429</v>
      </c>
      <c r="G817" s="153">
        <v>6528.0</v>
      </c>
      <c r="H817" s="153">
        <v>1.0</v>
      </c>
      <c r="I817" s="153">
        <v>0.02</v>
      </c>
      <c r="J817" s="153">
        <v>1.0</v>
      </c>
      <c r="K817" s="153">
        <v>2.0E-4</v>
      </c>
      <c r="L817" s="153">
        <v>1.0</v>
      </c>
      <c r="M817" s="153">
        <v>1.0</v>
      </c>
    </row>
    <row r="818">
      <c r="A818" s="250">
        <v>46252.0</v>
      </c>
      <c r="B818" s="153" t="s">
        <v>135</v>
      </c>
      <c r="C818" s="153" t="s">
        <v>4</v>
      </c>
      <c r="D818" s="153" t="s">
        <v>430</v>
      </c>
      <c r="E818" s="153" t="s">
        <v>433</v>
      </c>
      <c r="F818" s="153" t="s">
        <v>429</v>
      </c>
      <c r="G818" s="153">
        <v>6528.0</v>
      </c>
      <c r="H818" s="153">
        <v>1.0</v>
      </c>
      <c r="I818" s="153">
        <v>0.02</v>
      </c>
      <c r="J818" s="153">
        <v>1.0</v>
      </c>
      <c r="K818" s="153">
        <v>2.0E-4</v>
      </c>
      <c r="L818" s="153">
        <v>1.0</v>
      </c>
      <c r="M818" s="153">
        <v>1.0</v>
      </c>
    </row>
    <row r="819">
      <c r="A819" s="250">
        <v>46252.0</v>
      </c>
      <c r="B819" s="153" t="s">
        <v>135</v>
      </c>
      <c r="C819" s="153" t="s">
        <v>5</v>
      </c>
      <c r="D819" s="153" t="s">
        <v>424</v>
      </c>
      <c r="E819" s="153" t="s">
        <v>425</v>
      </c>
      <c r="F819" s="153" t="s">
        <v>426</v>
      </c>
      <c r="G819" s="153">
        <v>6563.0</v>
      </c>
      <c r="H819" s="153">
        <v>2549.0</v>
      </c>
      <c r="I819" s="153">
        <v>38.84</v>
      </c>
      <c r="J819" s="153">
        <v>53673.73</v>
      </c>
      <c r="K819" s="153">
        <v>8.1782</v>
      </c>
      <c r="L819" s="153">
        <v>21.0568</v>
      </c>
      <c r="M819" s="153">
        <v>68370.0</v>
      </c>
    </row>
    <row r="820">
      <c r="A820" s="250">
        <v>46252.0</v>
      </c>
      <c r="B820" s="153" t="s">
        <v>135</v>
      </c>
      <c r="C820" s="153" t="s">
        <v>5</v>
      </c>
      <c r="D820" s="153" t="s">
        <v>427</v>
      </c>
      <c r="E820" s="153" t="s">
        <v>428</v>
      </c>
      <c r="F820" s="153" t="s">
        <v>429</v>
      </c>
      <c r="G820" s="153">
        <v>6563.0</v>
      </c>
      <c r="H820" s="153">
        <v>3445.0</v>
      </c>
      <c r="I820" s="153">
        <v>52.49</v>
      </c>
      <c r="J820" s="153">
        <v>340121.99</v>
      </c>
      <c r="K820" s="153">
        <v>51.8242</v>
      </c>
      <c r="L820" s="153">
        <v>98.7292</v>
      </c>
      <c r="M820" s="153">
        <v>389590.0</v>
      </c>
    </row>
    <row r="821">
      <c r="A821" s="250">
        <v>46252.0</v>
      </c>
      <c r="B821" s="153" t="s">
        <v>135</v>
      </c>
      <c r="C821" s="153" t="s">
        <v>5</v>
      </c>
      <c r="D821" s="153" t="s">
        <v>430</v>
      </c>
      <c r="E821" s="153" t="s">
        <v>431</v>
      </c>
      <c r="F821" s="153" t="s">
        <v>429</v>
      </c>
      <c r="G821" s="153">
        <v>6563.0</v>
      </c>
      <c r="H821" s="153">
        <v>1663.0</v>
      </c>
      <c r="I821" s="153">
        <v>25.34</v>
      </c>
      <c r="J821" s="153">
        <v>1806.0</v>
      </c>
      <c r="K821" s="153">
        <v>0.2752</v>
      </c>
      <c r="L821" s="153">
        <v>1.086</v>
      </c>
      <c r="M821" s="153">
        <v>1806.0</v>
      </c>
    </row>
    <row r="822">
      <c r="A822" s="250">
        <v>46252.0</v>
      </c>
      <c r="B822" s="153" t="s">
        <v>135</v>
      </c>
      <c r="C822" s="153" t="s">
        <v>5</v>
      </c>
      <c r="D822" s="153" t="s">
        <v>430</v>
      </c>
      <c r="E822" s="153" t="s">
        <v>432</v>
      </c>
      <c r="F822" s="153" t="s">
        <v>429</v>
      </c>
      <c r="G822" s="153">
        <v>6563.0</v>
      </c>
      <c r="H822" s="153">
        <v>2336.0</v>
      </c>
      <c r="I822" s="153">
        <v>35.59</v>
      </c>
      <c r="J822" s="153">
        <v>4361.0</v>
      </c>
      <c r="K822" s="153">
        <v>0.6645</v>
      </c>
      <c r="L822" s="153">
        <v>1.8669</v>
      </c>
      <c r="M822" s="153">
        <v>4361.0</v>
      </c>
    </row>
    <row r="823">
      <c r="A823" s="250">
        <v>46252.0</v>
      </c>
      <c r="B823" s="153" t="s">
        <v>135</v>
      </c>
      <c r="C823" s="153" t="s">
        <v>5</v>
      </c>
      <c r="D823" s="153" t="s">
        <v>430</v>
      </c>
      <c r="E823" s="153" t="s">
        <v>433</v>
      </c>
      <c r="F823" s="153" t="s">
        <v>429</v>
      </c>
      <c r="G823" s="153">
        <v>6563.0</v>
      </c>
      <c r="H823" s="153">
        <v>1910.0</v>
      </c>
      <c r="I823" s="153">
        <v>29.1</v>
      </c>
      <c r="J823" s="153">
        <v>2189.0</v>
      </c>
      <c r="K823" s="153">
        <v>0.3335</v>
      </c>
      <c r="L823" s="153">
        <v>1.1461</v>
      </c>
      <c r="M823" s="153">
        <v>2189.0</v>
      </c>
    </row>
    <row r="824">
      <c r="A824" s="250">
        <v>46252.0</v>
      </c>
      <c r="B824" s="153" t="s">
        <v>135</v>
      </c>
      <c r="C824" s="153" t="s">
        <v>5</v>
      </c>
      <c r="D824" s="153" t="s">
        <v>434</v>
      </c>
      <c r="E824" s="153" t="s">
        <v>435</v>
      </c>
      <c r="F824" s="153" t="s">
        <v>429</v>
      </c>
      <c r="G824" s="153">
        <v>6563.0</v>
      </c>
      <c r="H824" s="153">
        <v>1402.0</v>
      </c>
      <c r="I824" s="153">
        <v>21.36</v>
      </c>
      <c r="J824" s="153">
        <v>1522.0</v>
      </c>
      <c r="K824" s="153">
        <v>0.2319</v>
      </c>
      <c r="L824" s="153">
        <v>1.0856</v>
      </c>
      <c r="M824" s="153">
        <v>1522.0</v>
      </c>
    </row>
    <row r="825">
      <c r="A825" s="250">
        <v>46252.0</v>
      </c>
      <c r="B825" s="153" t="s">
        <v>135</v>
      </c>
      <c r="C825" s="153" t="s">
        <v>5</v>
      </c>
      <c r="D825" s="153" t="s">
        <v>434</v>
      </c>
      <c r="E825" s="153" t="s">
        <v>436</v>
      </c>
      <c r="F825" s="153" t="s">
        <v>429</v>
      </c>
      <c r="G825" s="153">
        <v>6563.0</v>
      </c>
      <c r="H825" s="153">
        <v>1553.0</v>
      </c>
      <c r="I825" s="153">
        <v>23.66</v>
      </c>
      <c r="J825" s="153">
        <v>1982.0</v>
      </c>
      <c r="K825" s="153">
        <v>0.302</v>
      </c>
      <c r="L825" s="153">
        <v>1.2762</v>
      </c>
      <c r="M825" s="153">
        <v>1982.0</v>
      </c>
    </row>
    <row r="826">
      <c r="A826" s="250">
        <v>46252.0</v>
      </c>
      <c r="B826" s="153" t="s">
        <v>135</v>
      </c>
      <c r="C826" s="153" t="s">
        <v>5</v>
      </c>
      <c r="D826" s="153" t="s">
        <v>434</v>
      </c>
      <c r="E826" s="153" t="s">
        <v>437</v>
      </c>
      <c r="F826" s="153" t="s">
        <v>429</v>
      </c>
      <c r="G826" s="153">
        <v>6563.0</v>
      </c>
      <c r="H826" s="153">
        <v>787.0</v>
      </c>
      <c r="I826" s="153">
        <v>11.99</v>
      </c>
      <c r="J826" s="153">
        <v>937.0</v>
      </c>
      <c r="K826" s="153">
        <v>0.1428</v>
      </c>
      <c r="L826" s="153">
        <v>1.1906</v>
      </c>
      <c r="M826" s="153">
        <v>937.0</v>
      </c>
    </row>
    <row r="827">
      <c r="A827" s="250">
        <v>46252.0</v>
      </c>
      <c r="B827" s="153" t="s">
        <v>135</v>
      </c>
      <c r="C827" s="153" t="s">
        <v>5</v>
      </c>
      <c r="D827" s="153" t="s">
        <v>438</v>
      </c>
      <c r="E827" s="153" t="s">
        <v>439</v>
      </c>
      <c r="F827" s="153" t="s">
        <v>440</v>
      </c>
      <c r="G827" s="153">
        <v>6563.0</v>
      </c>
      <c r="H827" s="153">
        <v>6.0</v>
      </c>
      <c r="I827" s="153">
        <v>0.09</v>
      </c>
      <c r="J827" s="153">
        <v>70.0</v>
      </c>
      <c r="K827" s="153">
        <v>0.0107</v>
      </c>
      <c r="L827" s="153">
        <v>11.6667</v>
      </c>
      <c r="M827" s="153">
        <v>70.0</v>
      </c>
    </row>
    <row r="828">
      <c r="A828" s="250">
        <v>46252.0</v>
      </c>
      <c r="B828" s="153" t="s">
        <v>135</v>
      </c>
      <c r="C828" s="153" t="s">
        <v>5</v>
      </c>
      <c r="D828" s="153" t="s">
        <v>441</v>
      </c>
      <c r="E828" s="153" t="s">
        <v>442</v>
      </c>
      <c r="F828" s="153" t="s">
        <v>440</v>
      </c>
      <c r="G828" s="153">
        <v>6563.0</v>
      </c>
      <c r="H828" s="153">
        <v>1633.0</v>
      </c>
      <c r="I828" s="153">
        <v>24.88</v>
      </c>
      <c r="J828" s="153">
        <v>20110.0</v>
      </c>
      <c r="K828" s="153">
        <v>3.0641</v>
      </c>
      <c r="L828" s="153">
        <v>12.3148</v>
      </c>
      <c r="M828" s="153">
        <v>20110.0</v>
      </c>
    </row>
    <row r="829">
      <c r="A829" s="250">
        <v>46252.0</v>
      </c>
      <c r="B829" s="153" t="s">
        <v>135</v>
      </c>
      <c r="C829" s="153" t="s">
        <v>5</v>
      </c>
      <c r="D829" s="153" t="s">
        <v>441</v>
      </c>
      <c r="E829" s="153" t="s">
        <v>443</v>
      </c>
      <c r="F829" s="153" t="s">
        <v>440</v>
      </c>
      <c r="G829" s="153">
        <v>6563.0</v>
      </c>
      <c r="H829" s="153">
        <v>14.0</v>
      </c>
      <c r="I829" s="153">
        <v>0.21</v>
      </c>
      <c r="J829" s="153">
        <v>160.0</v>
      </c>
      <c r="K829" s="153">
        <v>0.0244</v>
      </c>
      <c r="L829" s="153">
        <v>11.4286</v>
      </c>
      <c r="M829" s="153">
        <v>160.0</v>
      </c>
    </row>
    <row r="830">
      <c r="A830" s="250">
        <v>46252.0</v>
      </c>
      <c r="B830" s="153" t="s">
        <v>135</v>
      </c>
      <c r="C830" s="153" t="s">
        <v>5</v>
      </c>
      <c r="D830" s="153" t="s">
        <v>444</v>
      </c>
      <c r="E830" s="153" t="s">
        <v>445</v>
      </c>
      <c r="F830" s="153" t="s">
        <v>440</v>
      </c>
      <c r="G830" s="153">
        <v>6563.0</v>
      </c>
      <c r="H830" s="153">
        <v>3051.0</v>
      </c>
      <c r="I830" s="153">
        <v>46.49</v>
      </c>
      <c r="J830" s="153">
        <v>115190.0</v>
      </c>
      <c r="K830" s="153">
        <v>17.5514</v>
      </c>
      <c r="L830" s="153">
        <v>37.7548</v>
      </c>
      <c r="M830" s="153">
        <v>115190.0</v>
      </c>
    </row>
    <row r="831">
      <c r="A831" s="250">
        <v>46252.0</v>
      </c>
      <c r="B831" s="153" t="s">
        <v>136</v>
      </c>
      <c r="C831" s="153" t="s">
        <v>5</v>
      </c>
      <c r="D831" s="153" t="s">
        <v>424</v>
      </c>
      <c r="E831" s="153" t="s">
        <v>425</v>
      </c>
      <c r="F831" s="153" t="s">
        <v>426</v>
      </c>
      <c r="G831" s="153">
        <v>3432.0</v>
      </c>
      <c r="H831" s="153">
        <v>1494.0</v>
      </c>
      <c r="I831" s="153">
        <v>43.53</v>
      </c>
      <c r="J831" s="153">
        <v>40518.44</v>
      </c>
      <c r="K831" s="153">
        <v>11.8061</v>
      </c>
      <c r="L831" s="153">
        <v>27.1208</v>
      </c>
      <c r="M831" s="153">
        <v>49060.0</v>
      </c>
    </row>
    <row r="832">
      <c r="A832" s="250">
        <v>46252.0</v>
      </c>
      <c r="B832" s="153" t="s">
        <v>136</v>
      </c>
      <c r="C832" s="153" t="s">
        <v>5</v>
      </c>
      <c r="D832" s="153" t="s">
        <v>427</v>
      </c>
      <c r="E832" s="153" t="s">
        <v>428</v>
      </c>
      <c r="F832" s="153" t="s">
        <v>429</v>
      </c>
      <c r="G832" s="153">
        <v>3432.0</v>
      </c>
      <c r="H832" s="153">
        <v>2068.0</v>
      </c>
      <c r="I832" s="153">
        <v>60.26</v>
      </c>
      <c r="J832" s="153">
        <v>307198.26</v>
      </c>
      <c r="K832" s="153">
        <v>89.51</v>
      </c>
      <c r="L832" s="153">
        <v>148.5485</v>
      </c>
      <c r="M832" s="153">
        <v>346710.0</v>
      </c>
    </row>
    <row r="833">
      <c r="A833" s="250">
        <v>46252.0</v>
      </c>
      <c r="B833" s="153" t="s">
        <v>136</v>
      </c>
      <c r="C833" s="153" t="s">
        <v>5</v>
      </c>
      <c r="D833" s="153" t="s">
        <v>430</v>
      </c>
      <c r="E833" s="153" t="s">
        <v>431</v>
      </c>
      <c r="F833" s="153" t="s">
        <v>429</v>
      </c>
      <c r="G833" s="153">
        <v>3432.0</v>
      </c>
      <c r="H833" s="153">
        <v>931.0</v>
      </c>
      <c r="I833" s="153">
        <v>27.13</v>
      </c>
      <c r="J833" s="153">
        <v>1003.0</v>
      </c>
      <c r="K833" s="153">
        <v>0.2922</v>
      </c>
      <c r="L833" s="153">
        <v>1.0773</v>
      </c>
      <c r="M833" s="153">
        <v>1003.0</v>
      </c>
    </row>
    <row r="834">
      <c r="A834" s="250">
        <v>46252.0</v>
      </c>
      <c r="B834" s="153" t="s">
        <v>136</v>
      </c>
      <c r="C834" s="153" t="s">
        <v>5</v>
      </c>
      <c r="D834" s="153" t="s">
        <v>430</v>
      </c>
      <c r="E834" s="153" t="s">
        <v>432</v>
      </c>
      <c r="F834" s="153" t="s">
        <v>429</v>
      </c>
      <c r="G834" s="153">
        <v>3432.0</v>
      </c>
      <c r="H834" s="153">
        <v>1538.0</v>
      </c>
      <c r="I834" s="153">
        <v>44.81</v>
      </c>
      <c r="J834" s="153">
        <v>2776.0</v>
      </c>
      <c r="K834" s="153">
        <v>0.8089</v>
      </c>
      <c r="L834" s="153">
        <v>1.8049</v>
      </c>
      <c r="M834" s="153">
        <v>2776.0</v>
      </c>
    </row>
    <row r="835">
      <c r="A835" s="250">
        <v>46252.0</v>
      </c>
      <c r="B835" s="153" t="s">
        <v>136</v>
      </c>
      <c r="C835" s="153" t="s">
        <v>5</v>
      </c>
      <c r="D835" s="153" t="s">
        <v>430</v>
      </c>
      <c r="E835" s="153" t="s">
        <v>433</v>
      </c>
      <c r="F835" s="153" t="s">
        <v>429</v>
      </c>
      <c r="G835" s="153">
        <v>3432.0</v>
      </c>
      <c r="H835" s="153">
        <v>1330.0</v>
      </c>
      <c r="I835" s="153">
        <v>38.75</v>
      </c>
      <c r="J835" s="153">
        <v>1593.0</v>
      </c>
      <c r="K835" s="153">
        <v>0.4642</v>
      </c>
      <c r="L835" s="153">
        <v>1.1977</v>
      </c>
      <c r="M835" s="153">
        <v>1593.0</v>
      </c>
    </row>
    <row r="836">
      <c r="A836" s="250">
        <v>46252.0</v>
      </c>
      <c r="B836" s="153" t="s">
        <v>136</v>
      </c>
      <c r="C836" s="153" t="s">
        <v>5</v>
      </c>
      <c r="D836" s="153" t="s">
        <v>434</v>
      </c>
      <c r="E836" s="153" t="s">
        <v>435</v>
      </c>
      <c r="F836" s="153" t="s">
        <v>429</v>
      </c>
      <c r="G836" s="153">
        <v>3432.0</v>
      </c>
      <c r="H836" s="153">
        <v>986.0</v>
      </c>
      <c r="I836" s="153">
        <v>28.73</v>
      </c>
      <c r="J836" s="153">
        <v>1482.0</v>
      </c>
      <c r="K836" s="153">
        <v>0.4318</v>
      </c>
      <c r="L836" s="153">
        <v>1.503</v>
      </c>
      <c r="M836" s="153">
        <v>1482.0</v>
      </c>
    </row>
    <row r="837">
      <c r="A837" s="250">
        <v>46252.0</v>
      </c>
      <c r="B837" s="153" t="s">
        <v>136</v>
      </c>
      <c r="C837" s="153" t="s">
        <v>5</v>
      </c>
      <c r="D837" s="153" t="s">
        <v>434</v>
      </c>
      <c r="E837" s="153" t="s">
        <v>436</v>
      </c>
      <c r="F837" s="153" t="s">
        <v>429</v>
      </c>
      <c r="G837" s="153">
        <v>3432.0</v>
      </c>
      <c r="H837" s="153">
        <v>785.0</v>
      </c>
      <c r="I837" s="153">
        <v>22.87</v>
      </c>
      <c r="J837" s="153">
        <v>1108.0</v>
      </c>
      <c r="K837" s="153">
        <v>0.3228</v>
      </c>
      <c r="L837" s="153">
        <v>1.4115</v>
      </c>
      <c r="M837" s="153">
        <v>1108.0</v>
      </c>
    </row>
    <row r="838">
      <c r="A838" s="250">
        <v>46252.0</v>
      </c>
      <c r="B838" s="153" t="s">
        <v>136</v>
      </c>
      <c r="C838" s="153" t="s">
        <v>5</v>
      </c>
      <c r="D838" s="153" t="s">
        <v>434</v>
      </c>
      <c r="E838" s="153" t="s">
        <v>437</v>
      </c>
      <c r="F838" s="153" t="s">
        <v>429</v>
      </c>
      <c r="G838" s="153">
        <v>3432.0</v>
      </c>
      <c r="H838" s="153">
        <v>1014.0</v>
      </c>
      <c r="I838" s="153">
        <v>29.55</v>
      </c>
      <c r="J838" s="153">
        <v>1267.0</v>
      </c>
      <c r="K838" s="153">
        <v>0.3692</v>
      </c>
      <c r="L838" s="153">
        <v>1.2495</v>
      </c>
      <c r="M838" s="153">
        <v>1267.0</v>
      </c>
    </row>
    <row r="839">
      <c r="A839" s="250">
        <v>46252.0</v>
      </c>
      <c r="B839" s="153" t="s">
        <v>136</v>
      </c>
      <c r="C839" s="153" t="s">
        <v>5</v>
      </c>
      <c r="D839" s="153" t="s">
        <v>438</v>
      </c>
      <c r="E839" s="153" t="s">
        <v>439</v>
      </c>
      <c r="F839" s="153" t="s">
        <v>440</v>
      </c>
      <c r="G839" s="153">
        <v>3432.0</v>
      </c>
      <c r="H839" s="153">
        <v>1.0</v>
      </c>
      <c r="I839" s="153">
        <v>0.03</v>
      </c>
      <c r="J839" s="153">
        <v>20.0</v>
      </c>
      <c r="K839" s="153">
        <v>0.0058</v>
      </c>
      <c r="L839" s="153">
        <v>20.0</v>
      </c>
      <c r="M839" s="153">
        <v>20.0</v>
      </c>
    </row>
    <row r="840">
      <c r="A840" s="250">
        <v>46252.0</v>
      </c>
      <c r="B840" s="153" t="s">
        <v>136</v>
      </c>
      <c r="C840" s="153" t="s">
        <v>5</v>
      </c>
      <c r="D840" s="153" t="s">
        <v>441</v>
      </c>
      <c r="E840" s="153" t="s">
        <v>442</v>
      </c>
      <c r="F840" s="153" t="s">
        <v>440</v>
      </c>
      <c r="G840" s="153">
        <v>3432.0</v>
      </c>
      <c r="H840" s="153">
        <v>932.0</v>
      </c>
      <c r="I840" s="153">
        <v>27.16</v>
      </c>
      <c r="J840" s="153">
        <v>12250.0</v>
      </c>
      <c r="K840" s="153">
        <v>3.5693</v>
      </c>
      <c r="L840" s="153">
        <v>13.1438</v>
      </c>
      <c r="M840" s="153">
        <v>12250.0</v>
      </c>
    </row>
    <row r="841">
      <c r="A841" s="250">
        <v>46252.0</v>
      </c>
      <c r="B841" s="153" t="s">
        <v>136</v>
      </c>
      <c r="C841" s="153" t="s">
        <v>5</v>
      </c>
      <c r="D841" s="153" t="s">
        <v>441</v>
      </c>
      <c r="E841" s="153" t="s">
        <v>443</v>
      </c>
      <c r="F841" s="153" t="s">
        <v>440</v>
      </c>
      <c r="G841" s="153">
        <v>3432.0</v>
      </c>
      <c r="H841" s="153">
        <v>152.0</v>
      </c>
      <c r="I841" s="153">
        <v>4.43</v>
      </c>
      <c r="J841" s="153">
        <v>1840.0</v>
      </c>
      <c r="K841" s="153">
        <v>0.5361</v>
      </c>
      <c r="L841" s="153">
        <v>12.1053</v>
      </c>
      <c r="M841" s="153">
        <v>1840.0</v>
      </c>
    </row>
    <row r="842">
      <c r="A842" s="250">
        <v>46252.0</v>
      </c>
      <c r="B842" s="153" t="s">
        <v>136</v>
      </c>
      <c r="C842" s="153" t="s">
        <v>5</v>
      </c>
      <c r="D842" s="153" t="s">
        <v>444</v>
      </c>
      <c r="E842" s="153" t="s">
        <v>445</v>
      </c>
      <c r="F842" s="153" t="s">
        <v>440</v>
      </c>
      <c r="G842" s="153">
        <v>3432.0</v>
      </c>
      <c r="H842" s="153">
        <v>1736.0</v>
      </c>
      <c r="I842" s="153">
        <v>50.58</v>
      </c>
      <c r="J842" s="153">
        <v>86785.0</v>
      </c>
      <c r="K842" s="153">
        <v>25.287</v>
      </c>
      <c r="L842" s="153">
        <v>49.9914</v>
      </c>
      <c r="M842" s="153">
        <v>86785.0</v>
      </c>
    </row>
    <row r="843">
      <c r="A843" s="250">
        <v>46252.0</v>
      </c>
      <c r="B843" s="153" t="s">
        <v>137</v>
      </c>
      <c r="C843" s="153" t="s">
        <v>5</v>
      </c>
      <c r="D843" s="153" t="s">
        <v>424</v>
      </c>
      <c r="E843" s="153" t="s">
        <v>425</v>
      </c>
      <c r="F843" s="153" t="s">
        <v>426</v>
      </c>
      <c r="G843" s="153">
        <v>469.0</v>
      </c>
      <c r="H843" s="153">
        <v>271.0</v>
      </c>
      <c r="I843" s="153">
        <v>57.78</v>
      </c>
      <c r="J843" s="153">
        <v>14533.5</v>
      </c>
      <c r="K843" s="153">
        <v>30.9883</v>
      </c>
      <c r="L843" s="153">
        <v>53.6291</v>
      </c>
      <c r="M843" s="153">
        <v>22140.0</v>
      </c>
    </row>
    <row r="844">
      <c r="A844" s="250">
        <v>46252.0</v>
      </c>
      <c r="B844" s="153" t="s">
        <v>137</v>
      </c>
      <c r="C844" s="153" t="s">
        <v>5</v>
      </c>
      <c r="D844" s="153" t="s">
        <v>427</v>
      </c>
      <c r="E844" s="153" t="s">
        <v>428</v>
      </c>
      <c r="F844" s="153" t="s">
        <v>429</v>
      </c>
      <c r="G844" s="153">
        <v>469.0</v>
      </c>
      <c r="H844" s="153">
        <v>303.0</v>
      </c>
      <c r="I844" s="153">
        <v>64.61</v>
      </c>
      <c r="J844" s="153">
        <v>97779.59</v>
      </c>
      <c r="K844" s="153">
        <v>208.4853</v>
      </c>
      <c r="L844" s="153">
        <v>322.7049</v>
      </c>
      <c r="M844" s="153">
        <v>111250.0</v>
      </c>
    </row>
    <row r="845">
      <c r="A845" s="250">
        <v>46252.0</v>
      </c>
      <c r="B845" s="153" t="s">
        <v>137</v>
      </c>
      <c r="C845" s="153" t="s">
        <v>5</v>
      </c>
      <c r="D845" s="153" t="s">
        <v>430</v>
      </c>
      <c r="E845" s="153" t="s">
        <v>431</v>
      </c>
      <c r="F845" s="153" t="s">
        <v>429</v>
      </c>
      <c r="G845" s="153">
        <v>469.0</v>
      </c>
      <c r="H845" s="153">
        <v>173.0</v>
      </c>
      <c r="I845" s="153">
        <v>36.89</v>
      </c>
      <c r="J845" s="153">
        <v>229.0</v>
      </c>
      <c r="K845" s="153">
        <v>0.4883</v>
      </c>
      <c r="L845" s="153">
        <v>1.3237</v>
      </c>
      <c r="M845" s="153">
        <v>229.0</v>
      </c>
    </row>
    <row r="846">
      <c r="A846" s="250">
        <v>46252.0</v>
      </c>
      <c r="B846" s="153" t="s">
        <v>137</v>
      </c>
      <c r="C846" s="153" t="s">
        <v>5</v>
      </c>
      <c r="D846" s="153" t="s">
        <v>430</v>
      </c>
      <c r="E846" s="153" t="s">
        <v>432</v>
      </c>
      <c r="F846" s="153" t="s">
        <v>429</v>
      </c>
      <c r="G846" s="153">
        <v>469.0</v>
      </c>
      <c r="H846" s="153">
        <v>163.0</v>
      </c>
      <c r="I846" s="153">
        <v>34.75</v>
      </c>
      <c r="J846" s="153">
        <v>438.0</v>
      </c>
      <c r="K846" s="153">
        <v>0.9339</v>
      </c>
      <c r="L846" s="153">
        <v>2.6871</v>
      </c>
      <c r="M846" s="153">
        <v>438.0</v>
      </c>
    </row>
    <row r="847">
      <c r="A847" s="250">
        <v>46252.0</v>
      </c>
      <c r="B847" s="153" t="s">
        <v>137</v>
      </c>
      <c r="C847" s="153" t="s">
        <v>5</v>
      </c>
      <c r="D847" s="153" t="s">
        <v>430</v>
      </c>
      <c r="E847" s="153" t="s">
        <v>433</v>
      </c>
      <c r="F847" s="153" t="s">
        <v>429</v>
      </c>
      <c r="G847" s="153">
        <v>469.0</v>
      </c>
      <c r="H847" s="153">
        <v>266.0</v>
      </c>
      <c r="I847" s="153">
        <v>56.72</v>
      </c>
      <c r="J847" s="153">
        <v>401.0</v>
      </c>
      <c r="K847" s="153">
        <v>0.855</v>
      </c>
      <c r="L847" s="153">
        <v>1.5075</v>
      </c>
      <c r="M847" s="153">
        <v>401.0</v>
      </c>
    </row>
    <row r="848">
      <c r="A848" s="250">
        <v>46252.0</v>
      </c>
      <c r="B848" s="153" t="s">
        <v>137</v>
      </c>
      <c r="C848" s="153" t="s">
        <v>5</v>
      </c>
      <c r="D848" s="153" t="s">
        <v>434</v>
      </c>
      <c r="E848" s="153" t="s">
        <v>435</v>
      </c>
      <c r="F848" s="153" t="s">
        <v>429</v>
      </c>
      <c r="G848" s="153">
        <v>469.0</v>
      </c>
      <c r="H848" s="153">
        <v>231.0</v>
      </c>
      <c r="I848" s="153">
        <v>49.25</v>
      </c>
      <c r="J848" s="153">
        <v>470.0</v>
      </c>
      <c r="K848" s="153">
        <v>1.0021</v>
      </c>
      <c r="L848" s="153">
        <v>2.0346</v>
      </c>
      <c r="M848" s="153">
        <v>470.0</v>
      </c>
    </row>
    <row r="849">
      <c r="A849" s="250">
        <v>46252.0</v>
      </c>
      <c r="B849" s="153" t="s">
        <v>137</v>
      </c>
      <c r="C849" s="153" t="s">
        <v>5</v>
      </c>
      <c r="D849" s="153" t="s">
        <v>434</v>
      </c>
      <c r="E849" s="153" t="s">
        <v>436</v>
      </c>
      <c r="F849" s="153" t="s">
        <v>429</v>
      </c>
      <c r="G849" s="153">
        <v>469.0</v>
      </c>
      <c r="H849" s="153">
        <v>210.0</v>
      </c>
      <c r="I849" s="153">
        <v>44.78</v>
      </c>
      <c r="J849" s="153">
        <v>381.0</v>
      </c>
      <c r="K849" s="153">
        <v>0.8124</v>
      </c>
      <c r="L849" s="153">
        <v>1.8143</v>
      </c>
      <c r="M849" s="153">
        <v>381.0</v>
      </c>
    </row>
    <row r="850">
      <c r="A850" s="250">
        <v>46252.0</v>
      </c>
      <c r="B850" s="153" t="s">
        <v>137</v>
      </c>
      <c r="C850" s="153" t="s">
        <v>5</v>
      </c>
      <c r="D850" s="153" t="s">
        <v>434</v>
      </c>
      <c r="E850" s="153" t="s">
        <v>437</v>
      </c>
      <c r="F850" s="153" t="s">
        <v>429</v>
      </c>
      <c r="G850" s="153">
        <v>469.0</v>
      </c>
      <c r="H850" s="153">
        <v>156.0</v>
      </c>
      <c r="I850" s="153">
        <v>33.26</v>
      </c>
      <c r="J850" s="153">
        <v>281.0</v>
      </c>
      <c r="K850" s="153">
        <v>0.5991</v>
      </c>
      <c r="L850" s="153">
        <v>1.8013</v>
      </c>
      <c r="M850" s="153">
        <v>281.0</v>
      </c>
    </row>
    <row r="851">
      <c r="A851" s="250">
        <v>46252.0</v>
      </c>
      <c r="B851" s="153" t="s">
        <v>137</v>
      </c>
      <c r="C851" s="153" t="s">
        <v>5</v>
      </c>
      <c r="D851" s="153" t="s">
        <v>441</v>
      </c>
      <c r="E851" s="153" t="s">
        <v>442</v>
      </c>
      <c r="F851" s="153" t="s">
        <v>440</v>
      </c>
      <c r="G851" s="153">
        <v>469.0</v>
      </c>
      <c r="H851" s="153">
        <v>107.0</v>
      </c>
      <c r="I851" s="153">
        <v>22.81</v>
      </c>
      <c r="J851" s="153">
        <v>1590.0</v>
      </c>
      <c r="K851" s="153">
        <v>3.3902</v>
      </c>
      <c r="L851" s="153">
        <v>14.8598</v>
      </c>
      <c r="M851" s="153">
        <v>1590.0</v>
      </c>
    </row>
    <row r="852">
      <c r="A852" s="250">
        <v>46252.0</v>
      </c>
      <c r="B852" s="153" t="s">
        <v>137</v>
      </c>
      <c r="C852" s="153" t="s">
        <v>5</v>
      </c>
      <c r="D852" s="153" t="s">
        <v>441</v>
      </c>
      <c r="E852" s="153" t="s">
        <v>443</v>
      </c>
      <c r="F852" s="153" t="s">
        <v>440</v>
      </c>
      <c r="G852" s="153">
        <v>469.0</v>
      </c>
      <c r="H852" s="153">
        <v>142.0</v>
      </c>
      <c r="I852" s="153">
        <v>30.28</v>
      </c>
      <c r="J852" s="153">
        <v>1880.0</v>
      </c>
      <c r="K852" s="153">
        <v>4.0085</v>
      </c>
      <c r="L852" s="153">
        <v>13.2394</v>
      </c>
      <c r="M852" s="153">
        <v>1880.0</v>
      </c>
    </row>
    <row r="853">
      <c r="A853" s="250">
        <v>46252.0</v>
      </c>
      <c r="B853" s="153" t="s">
        <v>137</v>
      </c>
      <c r="C853" s="153" t="s">
        <v>5</v>
      </c>
      <c r="D853" s="153" t="s">
        <v>444</v>
      </c>
      <c r="E853" s="153" t="s">
        <v>445</v>
      </c>
      <c r="F853" s="153" t="s">
        <v>440</v>
      </c>
      <c r="G853" s="153">
        <v>469.0</v>
      </c>
      <c r="H853" s="153">
        <v>278.0</v>
      </c>
      <c r="I853" s="153">
        <v>59.28</v>
      </c>
      <c r="J853" s="153">
        <v>21455.0</v>
      </c>
      <c r="K853" s="153">
        <v>45.7463</v>
      </c>
      <c r="L853" s="153">
        <v>77.1763</v>
      </c>
      <c r="M853" s="153">
        <v>21455.0</v>
      </c>
    </row>
    <row r="854">
      <c r="A854" s="250">
        <v>46253.0</v>
      </c>
      <c r="B854" s="153" t="s">
        <v>423</v>
      </c>
      <c r="C854" s="153" t="s">
        <v>5</v>
      </c>
      <c r="D854" s="153" t="s">
        <v>424</v>
      </c>
      <c r="E854" s="153" t="s">
        <v>425</v>
      </c>
      <c r="F854" s="153" t="s">
        <v>426</v>
      </c>
      <c r="G854" s="153">
        <v>7481.0</v>
      </c>
      <c r="H854" s="153">
        <v>301.0</v>
      </c>
      <c r="I854" s="153">
        <v>4.02</v>
      </c>
      <c r="J854" s="153">
        <v>13429.38</v>
      </c>
      <c r="K854" s="153">
        <v>1.7951</v>
      </c>
      <c r="L854" s="153">
        <v>44.6159</v>
      </c>
      <c r="M854" s="153">
        <v>173810.0</v>
      </c>
    </row>
    <row r="855">
      <c r="A855" s="250">
        <v>46253.0</v>
      </c>
      <c r="B855" s="153" t="s">
        <v>423</v>
      </c>
      <c r="C855" s="153" t="s">
        <v>5</v>
      </c>
      <c r="D855" s="153" t="s">
        <v>427</v>
      </c>
      <c r="E855" s="153" t="s">
        <v>428</v>
      </c>
      <c r="F855" s="153" t="s">
        <v>429</v>
      </c>
      <c r="G855" s="153">
        <v>7481.0</v>
      </c>
      <c r="H855" s="153">
        <v>417.0</v>
      </c>
      <c r="I855" s="153">
        <v>5.57</v>
      </c>
      <c r="J855" s="153">
        <v>97153.98</v>
      </c>
      <c r="K855" s="153">
        <v>12.9868</v>
      </c>
      <c r="L855" s="153">
        <v>232.9832</v>
      </c>
      <c r="M855" s="153">
        <v>109285.0</v>
      </c>
    </row>
    <row r="856">
      <c r="A856" s="250">
        <v>46253.0</v>
      </c>
      <c r="B856" s="153" t="s">
        <v>423</v>
      </c>
      <c r="C856" s="153" t="s">
        <v>5</v>
      </c>
      <c r="D856" s="153" t="s">
        <v>430</v>
      </c>
      <c r="E856" s="153" t="s">
        <v>431</v>
      </c>
      <c r="F856" s="153" t="s">
        <v>429</v>
      </c>
      <c r="G856" s="153">
        <v>7481.0</v>
      </c>
      <c r="H856" s="153">
        <v>92.0</v>
      </c>
      <c r="I856" s="153">
        <v>1.23</v>
      </c>
      <c r="J856" s="153">
        <v>1061.0</v>
      </c>
      <c r="K856" s="153">
        <v>0.1418</v>
      </c>
      <c r="L856" s="153">
        <v>11.5326</v>
      </c>
      <c r="M856" s="153">
        <v>1061.0</v>
      </c>
    </row>
    <row r="857">
      <c r="A857" s="250">
        <v>46253.0</v>
      </c>
      <c r="B857" s="153" t="s">
        <v>423</v>
      </c>
      <c r="C857" s="153" t="s">
        <v>5</v>
      </c>
      <c r="D857" s="153" t="s">
        <v>430</v>
      </c>
      <c r="E857" s="153" t="s">
        <v>432</v>
      </c>
      <c r="F857" s="153" t="s">
        <v>429</v>
      </c>
      <c r="G857" s="153">
        <v>7481.0</v>
      </c>
      <c r="H857" s="153">
        <v>162.0</v>
      </c>
      <c r="I857" s="153">
        <v>2.17</v>
      </c>
      <c r="J857" s="153">
        <v>1182.0</v>
      </c>
      <c r="K857" s="153">
        <v>0.158</v>
      </c>
      <c r="L857" s="153">
        <v>7.2963</v>
      </c>
      <c r="M857" s="153">
        <v>1182.0</v>
      </c>
    </row>
    <row r="858">
      <c r="A858" s="250">
        <v>46253.0</v>
      </c>
      <c r="B858" s="153" t="s">
        <v>423</v>
      </c>
      <c r="C858" s="153" t="s">
        <v>5</v>
      </c>
      <c r="D858" s="153" t="s">
        <v>430</v>
      </c>
      <c r="E858" s="153" t="s">
        <v>433</v>
      </c>
      <c r="F858" s="153" t="s">
        <v>429</v>
      </c>
      <c r="G858" s="153">
        <v>7481.0</v>
      </c>
      <c r="H858" s="153">
        <v>236.0</v>
      </c>
      <c r="I858" s="153">
        <v>3.15</v>
      </c>
      <c r="J858" s="153">
        <v>1215.0</v>
      </c>
      <c r="K858" s="153">
        <v>0.1624</v>
      </c>
      <c r="L858" s="153">
        <v>5.1483</v>
      </c>
      <c r="M858" s="153">
        <v>1215.0</v>
      </c>
    </row>
    <row r="859">
      <c r="A859" s="250">
        <v>46253.0</v>
      </c>
      <c r="B859" s="153" t="s">
        <v>423</v>
      </c>
      <c r="C859" s="153" t="s">
        <v>5</v>
      </c>
      <c r="D859" s="153" t="s">
        <v>434</v>
      </c>
      <c r="E859" s="153" t="s">
        <v>435</v>
      </c>
      <c r="F859" s="153" t="s">
        <v>429</v>
      </c>
      <c r="G859" s="153">
        <v>7481.0</v>
      </c>
      <c r="H859" s="153">
        <v>165.0</v>
      </c>
      <c r="I859" s="153">
        <v>2.21</v>
      </c>
      <c r="J859" s="153">
        <v>321.0</v>
      </c>
      <c r="K859" s="153">
        <v>0.0429</v>
      </c>
      <c r="L859" s="153">
        <v>1.9455</v>
      </c>
      <c r="M859" s="153">
        <v>321.0</v>
      </c>
    </row>
    <row r="860">
      <c r="A860" s="250">
        <v>46253.0</v>
      </c>
      <c r="B860" s="153" t="s">
        <v>423</v>
      </c>
      <c r="C860" s="153" t="s">
        <v>5</v>
      </c>
      <c r="D860" s="153" t="s">
        <v>434</v>
      </c>
      <c r="E860" s="153" t="s">
        <v>436</v>
      </c>
      <c r="F860" s="153" t="s">
        <v>429</v>
      </c>
      <c r="G860" s="153">
        <v>7481.0</v>
      </c>
      <c r="H860" s="153">
        <v>167.0</v>
      </c>
      <c r="I860" s="153">
        <v>2.23</v>
      </c>
      <c r="J860" s="153">
        <v>318.0</v>
      </c>
      <c r="K860" s="153">
        <v>0.0425</v>
      </c>
      <c r="L860" s="153">
        <v>1.9042</v>
      </c>
      <c r="M860" s="153">
        <v>318.0</v>
      </c>
    </row>
    <row r="861">
      <c r="A861" s="250">
        <v>46253.0</v>
      </c>
      <c r="B861" s="153" t="s">
        <v>423</v>
      </c>
      <c r="C861" s="153" t="s">
        <v>5</v>
      </c>
      <c r="D861" s="153" t="s">
        <v>434</v>
      </c>
      <c r="E861" s="153" t="s">
        <v>437</v>
      </c>
      <c r="F861" s="153" t="s">
        <v>429</v>
      </c>
      <c r="G861" s="153">
        <v>7481.0</v>
      </c>
      <c r="H861" s="153">
        <v>176.0</v>
      </c>
      <c r="I861" s="153">
        <v>2.35</v>
      </c>
      <c r="J861" s="153">
        <v>324.0</v>
      </c>
      <c r="K861" s="153">
        <v>0.0433</v>
      </c>
      <c r="L861" s="153">
        <v>1.8409</v>
      </c>
      <c r="M861" s="153">
        <v>324.0</v>
      </c>
    </row>
    <row r="862">
      <c r="A862" s="250">
        <v>46253.0</v>
      </c>
      <c r="B862" s="153" t="s">
        <v>423</v>
      </c>
      <c r="C862" s="153" t="s">
        <v>5</v>
      </c>
      <c r="D862" s="153" t="s">
        <v>441</v>
      </c>
      <c r="E862" s="153" t="s">
        <v>442</v>
      </c>
      <c r="F862" s="153" t="s">
        <v>440</v>
      </c>
      <c r="G862" s="153">
        <v>7481.0</v>
      </c>
      <c r="H862" s="153">
        <v>17.0</v>
      </c>
      <c r="I862" s="153">
        <v>0.23</v>
      </c>
      <c r="J862" s="153">
        <v>230.0</v>
      </c>
      <c r="K862" s="153">
        <v>0.0307</v>
      </c>
      <c r="L862" s="153">
        <v>13.5294</v>
      </c>
      <c r="M862" s="153">
        <v>230.0</v>
      </c>
    </row>
    <row r="863">
      <c r="A863" s="250">
        <v>46253.0</v>
      </c>
      <c r="B863" s="153" t="s">
        <v>423</v>
      </c>
      <c r="C863" s="153" t="s">
        <v>5</v>
      </c>
      <c r="D863" s="153" t="s">
        <v>441</v>
      </c>
      <c r="E863" s="153" t="s">
        <v>443</v>
      </c>
      <c r="F863" s="153" t="s">
        <v>440</v>
      </c>
      <c r="G863" s="153">
        <v>7481.0</v>
      </c>
      <c r="H863" s="153">
        <v>124.0</v>
      </c>
      <c r="I863" s="153">
        <v>1.66</v>
      </c>
      <c r="J863" s="153">
        <v>1410.0</v>
      </c>
      <c r="K863" s="153">
        <v>0.1885</v>
      </c>
      <c r="L863" s="153">
        <v>11.371</v>
      </c>
      <c r="M863" s="153">
        <v>1410.0</v>
      </c>
    </row>
    <row r="864">
      <c r="A864" s="250">
        <v>46253.0</v>
      </c>
      <c r="B864" s="153" t="s">
        <v>423</v>
      </c>
      <c r="C864" s="153" t="s">
        <v>5</v>
      </c>
      <c r="D864" s="153" t="s">
        <v>444</v>
      </c>
      <c r="E864" s="153" t="s">
        <v>445</v>
      </c>
      <c r="F864" s="153" t="s">
        <v>440</v>
      </c>
      <c r="G864" s="153">
        <v>7481.0</v>
      </c>
      <c r="H864" s="153">
        <v>317.0</v>
      </c>
      <c r="I864" s="153">
        <v>4.24</v>
      </c>
      <c r="J864" s="153">
        <v>18230.0</v>
      </c>
      <c r="K864" s="153">
        <v>2.4368</v>
      </c>
      <c r="L864" s="153">
        <v>57.5079</v>
      </c>
      <c r="M864" s="153">
        <v>18230.0</v>
      </c>
    </row>
    <row r="865">
      <c r="A865" s="250">
        <v>46253.0</v>
      </c>
      <c r="B865" s="153" t="s">
        <v>133</v>
      </c>
      <c r="C865" s="153" t="s">
        <v>5</v>
      </c>
      <c r="D865" s="153" t="s">
        <v>424</v>
      </c>
      <c r="E865" s="153" t="s">
        <v>425</v>
      </c>
      <c r="F865" s="153" t="s">
        <v>426</v>
      </c>
      <c r="G865" s="153">
        <v>11043.0</v>
      </c>
      <c r="H865" s="153">
        <v>2291.0</v>
      </c>
      <c r="I865" s="153">
        <v>20.75</v>
      </c>
      <c r="J865" s="153">
        <v>31464.5</v>
      </c>
      <c r="K865" s="153">
        <v>2.8493</v>
      </c>
      <c r="L865" s="153">
        <v>13.734</v>
      </c>
      <c r="M865" s="153">
        <v>39460.0</v>
      </c>
    </row>
    <row r="866">
      <c r="A866" s="250">
        <v>46253.0</v>
      </c>
      <c r="B866" s="153" t="s">
        <v>133</v>
      </c>
      <c r="C866" s="153" t="s">
        <v>5</v>
      </c>
      <c r="D866" s="153" t="s">
        <v>427</v>
      </c>
      <c r="E866" s="153" t="s">
        <v>428</v>
      </c>
      <c r="F866" s="153" t="s">
        <v>429</v>
      </c>
      <c r="G866" s="153">
        <v>11043.0</v>
      </c>
      <c r="H866" s="153">
        <v>2465.0</v>
      </c>
      <c r="I866" s="153">
        <v>22.32</v>
      </c>
      <c r="J866" s="153">
        <v>100253.59</v>
      </c>
      <c r="K866" s="153">
        <v>9.0785</v>
      </c>
      <c r="L866" s="153">
        <v>40.6708</v>
      </c>
      <c r="M866" s="153">
        <v>114420.0</v>
      </c>
    </row>
    <row r="867">
      <c r="A867" s="250">
        <v>46253.0</v>
      </c>
      <c r="B867" s="153" t="s">
        <v>133</v>
      </c>
      <c r="C867" s="153" t="s">
        <v>5</v>
      </c>
      <c r="D867" s="153" t="s">
        <v>430</v>
      </c>
      <c r="E867" s="153" t="s">
        <v>431</v>
      </c>
      <c r="F867" s="153" t="s">
        <v>429</v>
      </c>
      <c r="G867" s="153">
        <v>11043.0</v>
      </c>
      <c r="H867" s="153">
        <v>220.0</v>
      </c>
      <c r="I867" s="153">
        <v>1.99</v>
      </c>
      <c r="J867" s="153">
        <v>243.0</v>
      </c>
      <c r="K867" s="153">
        <v>0.022</v>
      </c>
      <c r="L867" s="153">
        <v>1.1045</v>
      </c>
      <c r="M867" s="153">
        <v>243.0</v>
      </c>
    </row>
    <row r="868">
      <c r="A868" s="250">
        <v>46253.0</v>
      </c>
      <c r="B868" s="153" t="s">
        <v>133</v>
      </c>
      <c r="C868" s="153" t="s">
        <v>5</v>
      </c>
      <c r="D868" s="153" t="s">
        <v>430</v>
      </c>
      <c r="E868" s="153" t="s">
        <v>432</v>
      </c>
      <c r="F868" s="153" t="s">
        <v>429</v>
      </c>
      <c r="G868" s="153">
        <v>11043.0</v>
      </c>
      <c r="H868" s="153">
        <v>1573.0</v>
      </c>
      <c r="I868" s="153">
        <v>14.24</v>
      </c>
      <c r="J868" s="153">
        <v>2575.0</v>
      </c>
      <c r="K868" s="153">
        <v>0.2332</v>
      </c>
      <c r="L868" s="153">
        <v>1.637</v>
      </c>
      <c r="M868" s="153">
        <v>2575.0</v>
      </c>
    </row>
    <row r="869">
      <c r="A869" s="250">
        <v>46253.0</v>
      </c>
      <c r="B869" s="153" t="s">
        <v>133</v>
      </c>
      <c r="C869" s="153" t="s">
        <v>5</v>
      </c>
      <c r="D869" s="153" t="s">
        <v>430</v>
      </c>
      <c r="E869" s="153" t="s">
        <v>433</v>
      </c>
      <c r="F869" s="153" t="s">
        <v>429</v>
      </c>
      <c r="G869" s="153">
        <v>11043.0</v>
      </c>
      <c r="H869" s="153">
        <v>624.0</v>
      </c>
      <c r="I869" s="153">
        <v>5.65</v>
      </c>
      <c r="J869" s="153">
        <v>685.0</v>
      </c>
      <c r="K869" s="153">
        <v>0.062</v>
      </c>
      <c r="L869" s="153">
        <v>1.0978</v>
      </c>
      <c r="M869" s="153">
        <v>685.0</v>
      </c>
    </row>
    <row r="870">
      <c r="A870" s="250">
        <v>46253.0</v>
      </c>
      <c r="B870" s="153" t="s">
        <v>133</v>
      </c>
      <c r="C870" s="153" t="s">
        <v>5</v>
      </c>
      <c r="D870" s="153" t="s">
        <v>434</v>
      </c>
      <c r="E870" s="153" t="s">
        <v>435</v>
      </c>
      <c r="F870" s="153" t="s">
        <v>429</v>
      </c>
      <c r="G870" s="153">
        <v>11043.0</v>
      </c>
      <c r="H870" s="153">
        <v>1459.0</v>
      </c>
      <c r="I870" s="153">
        <v>13.21</v>
      </c>
      <c r="J870" s="153">
        <v>1510.0</v>
      </c>
      <c r="K870" s="153">
        <v>0.1367</v>
      </c>
      <c r="L870" s="153">
        <v>1.035</v>
      </c>
      <c r="M870" s="153">
        <v>1510.0</v>
      </c>
    </row>
    <row r="871">
      <c r="A871" s="250">
        <v>46253.0</v>
      </c>
      <c r="B871" s="153" t="s">
        <v>133</v>
      </c>
      <c r="C871" s="153" t="s">
        <v>5</v>
      </c>
      <c r="D871" s="153" t="s">
        <v>434</v>
      </c>
      <c r="E871" s="153" t="s">
        <v>436</v>
      </c>
      <c r="F871" s="153" t="s">
        <v>429</v>
      </c>
      <c r="G871" s="153">
        <v>11043.0</v>
      </c>
      <c r="H871" s="153">
        <v>1341.0</v>
      </c>
      <c r="I871" s="153">
        <v>12.14</v>
      </c>
      <c r="J871" s="153">
        <v>1569.0</v>
      </c>
      <c r="K871" s="153">
        <v>0.1421</v>
      </c>
      <c r="L871" s="153">
        <v>1.17</v>
      </c>
      <c r="M871" s="153">
        <v>1569.0</v>
      </c>
    </row>
    <row r="872">
      <c r="A872" s="250">
        <v>46253.0</v>
      </c>
      <c r="B872" s="153" t="s">
        <v>133</v>
      </c>
      <c r="C872" s="153" t="s">
        <v>5</v>
      </c>
      <c r="D872" s="153" t="s">
        <v>434</v>
      </c>
      <c r="E872" s="153" t="s">
        <v>437</v>
      </c>
      <c r="F872" s="153" t="s">
        <v>429</v>
      </c>
      <c r="G872" s="153">
        <v>11043.0</v>
      </c>
      <c r="H872" s="153">
        <v>10.0</v>
      </c>
      <c r="I872" s="153">
        <v>0.09</v>
      </c>
      <c r="J872" s="153">
        <v>14.0</v>
      </c>
      <c r="K872" s="153">
        <v>0.0013</v>
      </c>
      <c r="L872" s="153">
        <v>1.4</v>
      </c>
      <c r="M872" s="153">
        <v>14.0</v>
      </c>
    </row>
    <row r="873">
      <c r="A873" s="250">
        <v>46253.0</v>
      </c>
      <c r="B873" s="153" t="s">
        <v>133</v>
      </c>
      <c r="C873" s="153" t="s">
        <v>5</v>
      </c>
      <c r="D873" s="153" t="s">
        <v>438</v>
      </c>
      <c r="E873" s="153" t="s">
        <v>439</v>
      </c>
      <c r="F873" s="153" t="s">
        <v>440</v>
      </c>
      <c r="G873" s="153">
        <v>11043.0</v>
      </c>
      <c r="H873" s="153">
        <v>6.0</v>
      </c>
      <c r="I873" s="153">
        <v>0.05</v>
      </c>
      <c r="J873" s="153">
        <v>60.0</v>
      </c>
      <c r="K873" s="153">
        <v>0.0054</v>
      </c>
      <c r="L873" s="153">
        <v>10.0</v>
      </c>
      <c r="M873" s="153">
        <v>60.0</v>
      </c>
    </row>
    <row r="874">
      <c r="A874" s="250">
        <v>46253.0</v>
      </c>
      <c r="B874" s="153" t="s">
        <v>133</v>
      </c>
      <c r="C874" s="153" t="s">
        <v>5</v>
      </c>
      <c r="D874" s="153" t="s">
        <v>441</v>
      </c>
      <c r="E874" s="153" t="s">
        <v>442</v>
      </c>
      <c r="F874" s="153" t="s">
        <v>440</v>
      </c>
      <c r="G874" s="153">
        <v>11043.0</v>
      </c>
      <c r="H874" s="153">
        <v>141.0</v>
      </c>
      <c r="I874" s="153">
        <v>1.28</v>
      </c>
      <c r="J874" s="153">
        <v>1670.0</v>
      </c>
      <c r="K874" s="153">
        <v>0.1512</v>
      </c>
      <c r="L874" s="153">
        <v>11.844</v>
      </c>
      <c r="M874" s="153">
        <v>1670.0</v>
      </c>
    </row>
    <row r="875">
      <c r="A875" s="250">
        <v>46253.0</v>
      </c>
      <c r="B875" s="153" t="s">
        <v>133</v>
      </c>
      <c r="C875" s="153" t="s">
        <v>5</v>
      </c>
      <c r="D875" s="153" t="s">
        <v>444</v>
      </c>
      <c r="E875" s="153" t="s">
        <v>445</v>
      </c>
      <c r="F875" s="153" t="s">
        <v>440</v>
      </c>
      <c r="G875" s="153">
        <v>11043.0</v>
      </c>
      <c r="H875" s="153">
        <v>2264.0</v>
      </c>
      <c r="I875" s="153">
        <v>20.5</v>
      </c>
      <c r="J875" s="153">
        <v>51355.0</v>
      </c>
      <c r="K875" s="153">
        <v>4.6505</v>
      </c>
      <c r="L875" s="153">
        <v>22.6833</v>
      </c>
      <c r="M875" s="153">
        <v>51355.0</v>
      </c>
    </row>
    <row r="876">
      <c r="A876" s="250">
        <v>46253.0</v>
      </c>
      <c r="B876" s="153" t="s">
        <v>134</v>
      </c>
      <c r="C876" s="153" t="s">
        <v>5</v>
      </c>
      <c r="D876" s="153" t="s">
        <v>424</v>
      </c>
      <c r="E876" s="153" t="s">
        <v>425</v>
      </c>
      <c r="F876" s="153" t="s">
        <v>426</v>
      </c>
      <c r="G876" s="153">
        <v>8622.0</v>
      </c>
      <c r="H876" s="153">
        <v>2075.0</v>
      </c>
      <c r="I876" s="153">
        <v>24.07</v>
      </c>
      <c r="J876" s="153">
        <v>36294.77</v>
      </c>
      <c r="K876" s="153">
        <v>4.2096</v>
      </c>
      <c r="L876" s="153">
        <v>17.4915</v>
      </c>
      <c r="M876" s="153">
        <v>48090.0</v>
      </c>
    </row>
    <row r="877">
      <c r="A877" s="250">
        <v>46253.0</v>
      </c>
      <c r="B877" s="153" t="s">
        <v>134</v>
      </c>
      <c r="C877" s="153" t="s">
        <v>5</v>
      </c>
      <c r="D877" s="153" t="s">
        <v>427</v>
      </c>
      <c r="E877" s="153" t="s">
        <v>428</v>
      </c>
      <c r="F877" s="153" t="s">
        <v>429</v>
      </c>
      <c r="G877" s="153">
        <v>8622.0</v>
      </c>
      <c r="H877" s="153">
        <v>2931.0</v>
      </c>
      <c r="I877" s="153">
        <v>33.99</v>
      </c>
      <c r="J877" s="153">
        <v>202526.38</v>
      </c>
      <c r="K877" s="153">
        <v>23.4895</v>
      </c>
      <c r="L877" s="153">
        <v>69.098</v>
      </c>
      <c r="M877" s="153">
        <v>235675.0</v>
      </c>
    </row>
    <row r="878">
      <c r="A878" s="250">
        <v>46253.0</v>
      </c>
      <c r="B878" s="153" t="s">
        <v>134</v>
      </c>
      <c r="C878" s="153" t="s">
        <v>5</v>
      </c>
      <c r="D878" s="153" t="s">
        <v>430</v>
      </c>
      <c r="E878" s="153" t="s">
        <v>431</v>
      </c>
      <c r="F878" s="153" t="s">
        <v>429</v>
      </c>
      <c r="G878" s="153">
        <v>8622.0</v>
      </c>
      <c r="H878" s="153">
        <v>1211.0</v>
      </c>
      <c r="I878" s="153">
        <v>14.05</v>
      </c>
      <c r="J878" s="153">
        <v>1315.0</v>
      </c>
      <c r="K878" s="153">
        <v>0.1525</v>
      </c>
      <c r="L878" s="153">
        <v>1.0859</v>
      </c>
      <c r="M878" s="153">
        <v>1315.0</v>
      </c>
    </row>
    <row r="879">
      <c r="A879" s="250">
        <v>46253.0</v>
      </c>
      <c r="B879" s="153" t="s">
        <v>134</v>
      </c>
      <c r="C879" s="153" t="s">
        <v>5</v>
      </c>
      <c r="D879" s="153" t="s">
        <v>430</v>
      </c>
      <c r="E879" s="153" t="s">
        <v>432</v>
      </c>
      <c r="F879" s="153" t="s">
        <v>429</v>
      </c>
      <c r="G879" s="153">
        <v>8622.0</v>
      </c>
      <c r="H879" s="153">
        <v>1638.0</v>
      </c>
      <c r="I879" s="153">
        <v>19.0</v>
      </c>
      <c r="J879" s="153">
        <v>2920.0</v>
      </c>
      <c r="K879" s="153">
        <v>0.3387</v>
      </c>
      <c r="L879" s="153">
        <v>1.7827</v>
      </c>
      <c r="M879" s="153">
        <v>2920.0</v>
      </c>
    </row>
    <row r="880">
      <c r="A880" s="250">
        <v>46253.0</v>
      </c>
      <c r="B880" s="153" t="s">
        <v>134</v>
      </c>
      <c r="C880" s="153" t="s">
        <v>5</v>
      </c>
      <c r="D880" s="153" t="s">
        <v>430</v>
      </c>
      <c r="E880" s="153" t="s">
        <v>433</v>
      </c>
      <c r="F880" s="153" t="s">
        <v>429</v>
      </c>
      <c r="G880" s="153">
        <v>8622.0</v>
      </c>
      <c r="H880" s="153">
        <v>1325.0</v>
      </c>
      <c r="I880" s="153">
        <v>15.37</v>
      </c>
      <c r="J880" s="153">
        <v>1545.0</v>
      </c>
      <c r="K880" s="153">
        <v>0.1792</v>
      </c>
      <c r="L880" s="153">
        <v>1.166</v>
      </c>
      <c r="M880" s="153">
        <v>1545.0</v>
      </c>
    </row>
    <row r="881">
      <c r="A881" s="250">
        <v>46253.0</v>
      </c>
      <c r="B881" s="153" t="s">
        <v>134</v>
      </c>
      <c r="C881" s="153" t="s">
        <v>5</v>
      </c>
      <c r="D881" s="153" t="s">
        <v>434</v>
      </c>
      <c r="E881" s="153" t="s">
        <v>435</v>
      </c>
      <c r="F881" s="153" t="s">
        <v>429</v>
      </c>
      <c r="G881" s="153">
        <v>8622.0</v>
      </c>
      <c r="H881" s="153">
        <v>991.0</v>
      </c>
      <c r="I881" s="153">
        <v>11.49</v>
      </c>
      <c r="J881" s="153">
        <v>1050.0</v>
      </c>
      <c r="K881" s="153">
        <v>0.1218</v>
      </c>
      <c r="L881" s="153">
        <v>1.0595</v>
      </c>
      <c r="M881" s="153">
        <v>1050.0</v>
      </c>
    </row>
    <row r="882">
      <c r="A882" s="250">
        <v>46253.0</v>
      </c>
      <c r="B882" s="153" t="s">
        <v>134</v>
      </c>
      <c r="C882" s="153" t="s">
        <v>5</v>
      </c>
      <c r="D882" s="153" t="s">
        <v>434</v>
      </c>
      <c r="E882" s="153" t="s">
        <v>436</v>
      </c>
      <c r="F882" s="153" t="s">
        <v>429</v>
      </c>
      <c r="G882" s="153">
        <v>8622.0</v>
      </c>
      <c r="H882" s="153">
        <v>1121.0</v>
      </c>
      <c r="I882" s="153">
        <v>13.0</v>
      </c>
      <c r="J882" s="153">
        <v>1395.0</v>
      </c>
      <c r="K882" s="153">
        <v>0.1618</v>
      </c>
      <c r="L882" s="153">
        <v>1.2444</v>
      </c>
      <c r="M882" s="153">
        <v>1395.0</v>
      </c>
    </row>
    <row r="883">
      <c r="A883" s="250">
        <v>46253.0</v>
      </c>
      <c r="B883" s="153" t="s">
        <v>134</v>
      </c>
      <c r="C883" s="153" t="s">
        <v>5</v>
      </c>
      <c r="D883" s="153" t="s">
        <v>434</v>
      </c>
      <c r="E883" s="153" t="s">
        <v>437</v>
      </c>
      <c r="F883" s="153" t="s">
        <v>429</v>
      </c>
      <c r="G883" s="153">
        <v>8622.0</v>
      </c>
      <c r="H883" s="153">
        <v>323.0</v>
      </c>
      <c r="I883" s="153">
        <v>3.75</v>
      </c>
      <c r="J883" s="153">
        <v>359.0</v>
      </c>
      <c r="K883" s="153">
        <v>0.0416</v>
      </c>
      <c r="L883" s="153">
        <v>1.1115</v>
      </c>
      <c r="M883" s="153">
        <v>359.0</v>
      </c>
    </row>
    <row r="884">
      <c r="A884" s="250">
        <v>46253.0</v>
      </c>
      <c r="B884" s="153" t="s">
        <v>134</v>
      </c>
      <c r="C884" s="153" t="s">
        <v>5</v>
      </c>
      <c r="D884" s="153" t="s">
        <v>438</v>
      </c>
      <c r="E884" s="153" t="s">
        <v>439</v>
      </c>
      <c r="F884" s="153" t="s">
        <v>440</v>
      </c>
      <c r="G884" s="153">
        <v>8622.0</v>
      </c>
      <c r="H884" s="153">
        <v>6.0</v>
      </c>
      <c r="I884" s="153">
        <v>0.07</v>
      </c>
      <c r="J884" s="153">
        <v>70.0</v>
      </c>
      <c r="K884" s="153">
        <v>0.0081</v>
      </c>
      <c r="L884" s="153">
        <v>11.6667</v>
      </c>
      <c r="M884" s="153">
        <v>70.0</v>
      </c>
    </row>
    <row r="885">
      <c r="A885" s="250">
        <v>46253.0</v>
      </c>
      <c r="B885" s="153" t="s">
        <v>134</v>
      </c>
      <c r="C885" s="153" t="s">
        <v>5</v>
      </c>
      <c r="D885" s="153" t="s">
        <v>446</v>
      </c>
      <c r="E885" s="153" t="s">
        <v>447</v>
      </c>
      <c r="F885" s="153" t="s">
        <v>429</v>
      </c>
      <c r="G885" s="153">
        <v>8622.0</v>
      </c>
      <c r="H885" s="153">
        <v>1.0</v>
      </c>
      <c r="I885" s="153">
        <v>0.01</v>
      </c>
      <c r="J885" s="153">
        <v>50.0</v>
      </c>
      <c r="K885" s="153">
        <v>0.0058</v>
      </c>
      <c r="L885" s="153">
        <v>50.0</v>
      </c>
      <c r="M885" s="153">
        <v>50.0</v>
      </c>
    </row>
    <row r="886">
      <c r="A886" s="250">
        <v>46253.0</v>
      </c>
      <c r="B886" s="153" t="s">
        <v>134</v>
      </c>
      <c r="C886" s="153" t="s">
        <v>5</v>
      </c>
      <c r="D886" s="153" t="s">
        <v>441</v>
      </c>
      <c r="E886" s="153" t="s">
        <v>442</v>
      </c>
      <c r="F886" s="153" t="s">
        <v>440</v>
      </c>
      <c r="G886" s="153">
        <v>8622.0</v>
      </c>
      <c r="H886" s="153">
        <v>1144.0</v>
      </c>
      <c r="I886" s="153">
        <v>13.27</v>
      </c>
      <c r="J886" s="153">
        <v>14270.0</v>
      </c>
      <c r="K886" s="153">
        <v>1.6551</v>
      </c>
      <c r="L886" s="153">
        <v>12.4738</v>
      </c>
      <c r="M886" s="153">
        <v>14270.0</v>
      </c>
    </row>
    <row r="887">
      <c r="A887" s="250">
        <v>46253.0</v>
      </c>
      <c r="B887" s="153" t="s">
        <v>134</v>
      </c>
      <c r="C887" s="153" t="s">
        <v>5</v>
      </c>
      <c r="D887" s="153" t="s">
        <v>441</v>
      </c>
      <c r="E887" s="153" t="s">
        <v>443</v>
      </c>
      <c r="F887" s="153" t="s">
        <v>440</v>
      </c>
      <c r="G887" s="153">
        <v>8622.0</v>
      </c>
      <c r="H887" s="153">
        <v>4.0</v>
      </c>
      <c r="I887" s="153">
        <v>0.05</v>
      </c>
      <c r="J887" s="153">
        <v>100.0</v>
      </c>
      <c r="K887" s="153">
        <v>0.0116</v>
      </c>
      <c r="L887" s="153">
        <v>25.0</v>
      </c>
      <c r="M887" s="153">
        <v>100.0</v>
      </c>
    </row>
    <row r="888">
      <c r="A888" s="250">
        <v>46253.0</v>
      </c>
      <c r="B888" s="153" t="s">
        <v>134</v>
      </c>
      <c r="C888" s="153" t="s">
        <v>5</v>
      </c>
      <c r="D888" s="153" t="s">
        <v>444</v>
      </c>
      <c r="E888" s="153" t="s">
        <v>445</v>
      </c>
      <c r="F888" s="153" t="s">
        <v>440</v>
      </c>
      <c r="G888" s="153">
        <v>8622.0</v>
      </c>
      <c r="H888" s="153">
        <v>2583.0</v>
      </c>
      <c r="I888" s="153">
        <v>29.96</v>
      </c>
      <c r="J888" s="153">
        <v>83650.0</v>
      </c>
      <c r="K888" s="153">
        <v>9.7019</v>
      </c>
      <c r="L888" s="153">
        <v>32.3848</v>
      </c>
      <c r="M888" s="153">
        <v>83650.0</v>
      </c>
    </row>
    <row r="889">
      <c r="A889" s="250">
        <v>46253.0</v>
      </c>
      <c r="B889" s="153" t="s">
        <v>135</v>
      </c>
      <c r="C889" s="153" t="s">
        <v>4</v>
      </c>
      <c r="D889" s="153" t="s">
        <v>427</v>
      </c>
      <c r="E889" s="153" t="s">
        <v>428</v>
      </c>
      <c r="F889" s="153" t="s">
        <v>429</v>
      </c>
      <c r="G889" s="153">
        <v>6340.0</v>
      </c>
      <c r="H889" s="153">
        <v>1.0</v>
      </c>
      <c r="I889" s="153">
        <v>0.02</v>
      </c>
      <c r="J889" s="153">
        <v>75.0</v>
      </c>
      <c r="K889" s="153">
        <v>0.0118</v>
      </c>
      <c r="L889" s="153">
        <v>75.0</v>
      </c>
      <c r="M889" s="153">
        <v>75.0</v>
      </c>
    </row>
    <row r="890">
      <c r="A890" s="250">
        <v>46253.0</v>
      </c>
      <c r="B890" s="153" t="s">
        <v>135</v>
      </c>
      <c r="C890" s="153" t="s">
        <v>4</v>
      </c>
      <c r="D890" s="153" t="s">
        <v>430</v>
      </c>
      <c r="E890" s="153" t="s">
        <v>431</v>
      </c>
      <c r="F890" s="153" t="s">
        <v>429</v>
      </c>
      <c r="G890" s="153">
        <v>6340.0</v>
      </c>
      <c r="H890" s="153">
        <v>1.0</v>
      </c>
      <c r="I890" s="153">
        <v>0.02</v>
      </c>
      <c r="J890" s="153">
        <v>1.0</v>
      </c>
      <c r="K890" s="153">
        <v>2.0E-4</v>
      </c>
      <c r="L890" s="153">
        <v>1.0</v>
      </c>
      <c r="M890" s="153">
        <v>1.0</v>
      </c>
    </row>
    <row r="891">
      <c r="A891" s="250">
        <v>46253.0</v>
      </c>
      <c r="B891" s="153" t="s">
        <v>135</v>
      </c>
      <c r="C891" s="153" t="s">
        <v>4</v>
      </c>
      <c r="D891" s="153" t="s">
        <v>441</v>
      </c>
      <c r="E891" s="153" t="s">
        <v>442</v>
      </c>
      <c r="F891" s="153" t="s">
        <v>440</v>
      </c>
      <c r="G891" s="153">
        <v>6340.0</v>
      </c>
      <c r="H891" s="153">
        <v>1.0</v>
      </c>
      <c r="I891" s="153">
        <v>0.02</v>
      </c>
      <c r="J891" s="153">
        <v>10.0</v>
      </c>
      <c r="K891" s="153">
        <v>0.0016</v>
      </c>
      <c r="L891" s="153">
        <v>10.0</v>
      </c>
      <c r="M891" s="153">
        <v>10.0</v>
      </c>
    </row>
    <row r="892">
      <c r="A892" s="250">
        <v>46253.0</v>
      </c>
      <c r="B892" s="153" t="s">
        <v>135</v>
      </c>
      <c r="C892" s="153" t="s">
        <v>4</v>
      </c>
      <c r="D892" s="153" t="s">
        <v>444</v>
      </c>
      <c r="E892" s="153" t="s">
        <v>445</v>
      </c>
      <c r="F892" s="153" t="s">
        <v>440</v>
      </c>
      <c r="G892" s="153">
        <v>6340.0</v>
      </c>
      <c r="H892" s="153">
        <v>1.0</v>
      </c>
      <c r="I892" s="153">
        <v>0.02</v>
      </c>
      <c r="J892" s="153">
        <v>30.0</v>
      </c>
      <c r="K892" s="153">
        <v>0.0047</v>
      </c>
      <c r="L892" s="153">
        <v>30.0</v>
      </c>
      <c r="M892" s="153">
        <v>30.0</v>
      </c>
    </row>
    <row r="893">
      <c r="A893" s="250">
        <v>46253.0</v>
      </c>
      <c r="B893" s="153" t="s">
        <v>135</v>
      </c>
      <c r="C893" s="153" t="s">
        <v>5</v>
      </c>
      <c r="D893" s="153" t="s">
        <v>424</v>
      </c>
      <c r="E893" s="153" t="s">
        <v>425</v>
      </c>
      <c r="F893" s="153" t="s">
        <v>426</v>
      </c>
      <c r="G893" s="153">
        <v>6225.0</v>
      </c>
      <c r="H893" s="153">
        <v>1522.0</v>
      </c>
      <c r="I893" s="153">
        <v>24.45</v>
      </c>
      <c r="J893" s="153">
        <v>33015.95</v>
      </c>
      <c r="K893" s="153">
        <v>5.3038</v>
      </c>
      <c r="L893" s="153">
        <v>21.6925</v>
      </c>
      <c r="M893" s="153">
        <v>42800.0</v>
      </c>
    </row>
    <row r="894">
      <c r="A894" s="250">
        <v>46253.0</v>
      </c>
      <c r="B894" s="153" t="s">
        <v>135</v>
      </c>
      <c r="C894" s="153" t="s">
        <v>5</v>
      </c>
      <c r="D894" s="153" t="s">
        <v>427</v>
      </c>
      <c r="E894" s="153" t="s">
        <v>428</v>
      </c>
      <c r="F894" s="153" t="s">
        <v>429</v>
      </c>
      <c r="G894" s="153">
        <v>6225.0</v>
      </c>
      <c r="H894" s="153">
        <v>2673.0</v>
      </c>
      <c r="I894" s="153">
        <v>42.94</v>
      </c>
      <c r="J894" s="153">
        <v>259778.97</v>
      </c>
      <c r="K894" s="153">
        <v>41.7316</v>
      </c>
      <c r="L894" s="153">
        <v>97.1863</v>
      </c>
      <c r="M894" s="153">
        <v>296610.0</v>
      </c>
    </row>
    <row r="895">
      <c r="A895" s="250">
        <v>46253.0</v>
      </c>
      <c r="B895" s="153" t="s">
        <v>135</v>
      </c>
      <c r="C895" s="153" t="s">
        <v>5</v>
      </c>
      <c r="D895" s="153" t="s">
        <v>430</v>
      </c>
      <c r="E895" s="153" t="s">
        <v>431</v>
      </c>
      <c r="F895" s="153" t="s">
        <v>429</v>
      </c>
      <c r="G895" s="153">
        <v>6225.0</v>
      </c>
      <c r="H895" s="153">
        <v>1082.0</v>
      </c>
      <c r="I895" s="153">
        <v>17.38</v>
      </c>
      <c r="J895" s="153">
        <v>1167.0</v>
      </c>
      <c r="K895" s="153">
        <v>0.1875</v>
      </c>
      <c r="L895" s="153">
        <v>1.0786</v>
      </c>
      <c r="M895" s="153">
        <v>1167.0</v>
      </c>
    </row>
    <row r="896">
      <c r="A896" s="250">
        <v>46253.0</v>
      </c>
      <c r="B896" s="153" t="s">
        <v>135</v>
      </c>
      <c r="C896" s="153" t="s">
        <v>5</v>
      </c>
      <c r="D896" s="153" t="s">
        <v>430</v>
      </c>
      <c r="E896" s="153" t="s">
        <v>432</v>
      </c>
      <c r="F896" s="153" t="s">
        <v>429</v>
      </c>
      <c r="G896" s="153">
        <v>6225.0</v>
      </c>
      <c r="H896" s="153">
        <v>1743.0</v>
      </c>
      <c r="I896" s="153">
        <v>28.0</v>
      </c>
      <c r="J896" s="153">
        <v>2918.0</v>
      </c>
      <c r="K896" s="153">
        <v>0.4688</v>
      </c>
      <c r="L896" s="153">
        <v>1.6741</v>
      </c>
      <c r="M896" s="153">
        <v>2918.0</v>
      </c>
    </row>
    <row r="897">
      <c r="A897" s="250">
        <v>46253.0</v>
      </c>
      <c r="B897" s="153" t="s">
        <v>135</v>
      </c>
      <c r="C897" s="153" t="s">
        <v>5</v>
      </c>
      <c r="D897" s="153" t="s">
        <v>430</v>
      </c>
      <c r="E897" s="153" t="s">
        <v>433</v>
      </c>
      <c r="F897" s="153" t="s">
        <v>429</v>
      </c>
      <c r="G897" s="153">
        <v>6225.0</v>
      </c>
      <c r="H897" s="153">
        <v>1239.0</v>
      </c>
      <c r="I897" s="153">
        <v>19.9</v>
      </c>
      <c r="J897" s="153">
        <v>1400.0</v>
      </c>
      <c r="K897" s="153">
        <v>0.2249</v>
      </c>
      <c r="L897" s="153">
        <v>1.1299</v>
      </c>
      <c r="M897" s="153">
        <v>1400.0</v>
      </c>
    </row>
    <row r="898">
      <c r="A898" s="250">
        <v>46253.0</v>
      </c>
      <c r="B898" s="153" t="s">
        <v>135</v>
      </c>
      <c r="C898" s="153" t="s">
        <v>5</v>
      </c>
      <c r="D898" s="153" t="s">
        <v>434</v>
      </c>
      <c r="E898" s="153" t="s">
        <v>435</v>
      </c>
      <c r="F898" s="153" t="s">
        <v>429</v>
      </c>
      <c r="G898" s="153">
        <v>6225.0</v>
      </c>
      <c r="H898" s="153">
        <v>818.0</v>
      </c>
      <c r="I898" s="153">
        <v>13.14</v>
      </c>
      <c r="J898" s="153">
        <v>1011.0</v>
      </c>
      <c r="K898" s="153">
        <v>0.1624</v>
      </c>
      <c r="L898" s="153">
        <v>1.2359</v>
      </c>
      <c r="M898" s="153">
        <v>1011.0</v>
      </c>
    </row>
    <row r="899">
      <c r="A899" s="250">
        <v>46253.0</v>
      </c>
      <c r="B899" s="153" t="s">
        <v>135</v>
      </c>
      <c r="C899" s="153" t="s">
        <v>5</v>
      </c>
      <c r="D899" s="153" t="s">
        <v>434</v>
      </c>
      <c r="E899" s="153" t="s">
        <v>436</v>
      </c>
      <c r="F899" s="153" t="s">
        <v>429</v>
      </c>
      <c r="G899" s="153">
        <v>6225.0</v>
      </c>
      <c r="H899" s="153">
        <v>770.0</v>
      </c>
      <c r="I899" s="153">
        <v>12.37</v>
      </c>
      <c r="J899" s="153">
        <v>963.0</v>
      </c>
      <c r="K899" s="153">
        <v>0.1547</v>
      </c>
      <c r="L899" s="153">
        <v>1.2506</v>
      </c>
      <c r="M899" s="153">
        <v>963.0</v>
      </c>
    </row>
    <row r="900">
      <c r="A900" s="250">
        <v>46253.0</v>
      </c>
      <c r="B900" s="153" t="s">
        <v>135</v>
      </c>
      <c r="C900" s="153" t="s">
        <v>5</v>
      </c>
      <c r="D900" s="153" t="s">
        <v>434</v>
      </c>
      <c r="E900" s="153" t="s">
        <v>437</v>
      </c>
      <c r="F900" s="153" t="s">
        <v>429</v>
      </c>
      <c r="G900" s="153">
        <v>6225.0</v>
      </c>
      <c r="H900" s="153">
        <v>991.0</v>
      </c>
      <c r="I900" s="153">
        <v>15.92</v>
      </c>
      <c r="J900" s="153">
        <v>1184.0</v>
      </c>
      <c r="K900" s="153">
        <v>0.1902</v>
      </c>
      <c r="L900" s="153">
        <v>1.1948</v>
      </c>
      <c r="M900" s="153">
        <v>1184.0</v>
      </c>
    </row>
    <row r="901">
      <c r="A901" s="250">
        <v>46253.0</v>
      </c>
      <c r="B901" s="153" t="s">
        <v>135</v>
      </c>
      <c r="C901" s="153" t="s">
        <v>5</v>
      </c>
      <c r="D901" s="153" t="s">
        <v>438</v>
      </c>
      <c r="E901" s="153" t="s">
        <v>439</v>
      </c>
      <c r="F901" s="153" t="s">
        <v>440</v>
      </c>
      <c r="G901" s="153">
        <v>6225.0</v>
      </c>
      <c r="H901" s="153">
        <v>2.0</v>
      </c>
      <c r="I901" s="153">
        <v>0.03</v>
      </c>
      <c r="J901" s="153">
        <v>40.0</v>
      </c>
      <c r="K901" s="153">
        <v>0.0064</v>
      </c>
      <c r="L901" s="153">
        <v>20.0</v>
      </c>
      <c r="M901" s="153">
        <v>40.0</v>
      </c>
    </row>
    <row r="902">
      <c r="A902" s="250">
        <v>46253.0</v>
      </c>
      <c r="B902" s="153" t="s">
        <v>135</v>
      </c>
      <c r="C902" s="153" t="s">
        <v>5</v>
      </c>
      <c r="D902" s="153" t="s">
        <v>441</v>
      </c>
      <c r="E902" s="153" t="s">
        <v>442</v>
      </c>
      <c r="F902" s="153" t="s">
        <v>440</v>
      </c>
      <c r="G902" s="153">
        <v>6225.0</v>
      </c>
      <c r="H902" s="153">
        <v>1108.0</v>
      </c>
      <c r="I902" s="153">
        <v>17.8</v>
      </c>
      <c r="J902" s="153">
        <v>14060.0</v>
      </c>
      <c r="K902" s="153">
        <v>2.2586</v>
      </c>
      <c r="L902" s="153">
        <v>12.6895</v>
      </c>
      <c r="M902" s="153">
        <v>14060.0</v>
      </c>
    </row>
    <row r="903">
      <c r="A903" s="250">
        <v>46253.0</v>
      </c>
      <c r="B903" s="153" t="s">
        <v>135</v>
      </c>
      <c r="C903" s="153" t="s">
        <v>5</v>
      </c>
      <c r="D903" s="153" t="s">
        <v>441</v>
      </c>
      <c r="E903" s="153" t="s">
        <v>443</v>
      </c>
      <c r="F903" s="153" t="s">
        <v>440</v>
      </c>
      <c r="G903" s="153">
        <v>6225.0</v>
      </c>
      <c r="H903" s="153">
        <v>18.0</v>
      </c>
      <c r="I903" s="153">
        <v>0.29</v>
      </c>
      <c r="J903" s="153">
        <v>240.0</v>
      </c>
      <c r="K903" s="153">
        <v>0.0386</v>
      </c>
      <c r="L903" s="153">
        <v>13.3333</v>
      </c>
      <c r="M903" s="153">
        <v>240.0</v>
      </c>
    </row>
    <row r="904">
      <c r="A904" s="250">
        <v>46253.0</v>
      </c>
      <c r="B904" s="153" t="s">
        <v>135</v>
      </c>
      <c r="C904" s="153" t="s">
        <v>5</v>
      </c>
      <c r="D904" s="153" t="s">
        <v>444</v>
      </c>
      <c r="E904" s="153" t="s">
        <v>445</v>
      </c>
      <c r="F904" s="153" t="s">
        <v>440</v>
      </c>
      <c r="G904" s="153">
        <v>6225.0</v>
      </c>
      <c r="H904" s="153">
        <v>1997.0</v>
      </c>
      <c r="I904" s="153">
        <v>32.08</v>
      </c>
      <c r="J904" s="153">
        <v>79675.0</v>
      </c>
      <c r="K904" s="153">
        <v>12.7992</v>
      </c>
      <c r="L904" s="153">
        <v>39.8973</v>
      </c>
      <c r="M904" s="153">
        <v>79675.0</v>
      </c>
    </row>
    <row r="905">
      <c r="A905" s="250">
        <v>46253.0</v>
      </c>
      <c r="B905" s="153" t="s">
        <v>136</v>
      </c>
      <c r="C905" s="153" t="s">
        <v>5</v>
      </c>
      <c r="D905" s="153" t="s">
        <v>424</v>
      </c>
      <c r="E905" s="153" t="s">
        <v>425</v>
      </c>
      <c r="F905" s="153" t="s">
        <v>426</v>
      </c>
      <c r="G905" s="153">
        <v>3428.0</v>
      </c>
      <c r="H905" s="153">
        <v>1208.0</v>
      </c>
      <c r="I905" s="153">
        <v>35.24</v>
      </c>
      <c r="J905" s="153">
        <v>41058.16</v>
      </c>
      <c r="K905" s="153">
        <v>11.9773</v>
      </c>
      <c r="L905" s="153">
        <v>33.9885</v>
      </c>
      <c r="M905" s="153">
        <v>49310.0</v>
      </c>
    </row>
    <row r="906">
      <c r="A906" s="250">
        <v>46253.0</v>
      </c>
      <c r="B906" s="153" t="s">
        <v>136</v>
      </c>
      <c r="C906" s="153" t="s">
        <v>5</v>
      </c>
      <c r="D906" s="153" t="s">
        <v>427</v>
      </c>
      <c r="E906" s="153" t="s">
        <v>428</v>
      </c>
      <c r="F906" s="153" t="s">
        <v>429</v>
      </c>
      <c r="G906" s="153">
        <v>3428.0</v>
      </c>
      <c r="H906" s="153">
        <v>1648.0</v>
      </c>
      <c r="I906" s="153">
        <v>48.07</v>
      </c>
      <c r="J906" s="153">
        <v>293292.5</v>
      </c>
      <c r="K906" s="153">
        <v>85.5579</v>
      </c>
      <c r="L906" s="153">
        <v>177.9688</v>
      </c>
      <c r="M906" s="153">
        <v>335440.0</v>
      </c>
    </row>
    <row r="907">
      <c r="A907" s="250">
        <v>46253.0</v>
      </c>
      <c r="B907" s="153" t="s">
        <v>136</v>
      </c>
      <c r="C907" s="153" t="s">
        <v>5</v>
      </c>
      <c r="D907" s="153" t="s">
        <v>430</v>
      </c>
      <c r="E907" s="153" t="s">
        <v>431</v>
      </c>
      <c r="F907" s="153" t="s">
        <v>429</v>
      </c>
      <c r="G907" s="153">
        <v>3428.0</v>
      </c>
      <c r="H907" s="153">
        <v>547.0</v>
      </c>
      <c r="I907" s="153">
        <v>15.96</v>
      </c>
      <c r="J907" s="153">
        <v>606.0</v>
      </c>
      <c r="K907" s="153">
        <v>0.1768</v>
      </c>
      <c r="L907" s="153">
        <v>1.1079</v>
      </c>
      <c r="M907" s="153">
        <v>606.0</v>
      </c>
    </row>
    <row r="908">
      <c r="A908" s="250">
        <v>46253.0</v>
      </c>
      <c r="B908" s="153" t="s">
        <v>136</v>
      </c>
      <c r="C908" s="153" t="s">
        <v>5</v>
      </c>
      <c r="D908" s="153" t="s">
        <v>430</v>
      </c>
      <c r="E908" s="153" t="s">
        <v>432</v>
      </c>
      <c r="F908" s="153" t="s">
        <v>429</v>
      </c>
      <c r="G908" s="153">
        <v>3428.0</v>
      </c>
      <c r="H908" s="153">
        <v>923.0</v>
      </c>
      <c r="I908" s="153">
        <v>26.93</v>
      </c>
      <c r="J908" s="153">
        <v>1633.0</v>
      </c>
      <c r="K908" s="153">
        <v>0.4764</v>
      </c>
      <c r="L908" s="153">
        <v>1.7692</v>
      </c>
      <c r="M908" s="153">
        <v>1633.0</v>
      </c>
    </row>
    <row r="909">
      <c r="A909" s="250">
        <v>46253.0</v>
      </c>
      <c r="B909" s="153" t="s">
        <v>136</v>
      </c>
      <c r="C909" s="153" t="s">
        <v>5</v>
      </c>
      <c r="D909" s="153" t="s">
        <v>430</v>
      </c>
      <c r="E909" s="153" t="s">
        <v>433</v>
      </c>
      <c r="F909" s="153" t="s">
        <v>429</v>
      </c>
      <c r="G909" s="153">
        <v>3428.0</v>
      </c>
      <c r="H909" s="153">
        <v>1090.0</v>
      </c>
      <c r="I909" s="153">
        <v>31.8</v>
      </c>
      <c r="J909" s="153">
        <v>1282.0</v>
      </c>
      <c r="K909" s="153">
        <v>0.374</v>
      </c>
      <c r="L909" s="153">
        <v>1.1761</v>
      </c>
      <c r="M909" s="153">
        <v>1282.0</v>
      </c>
    </row>
    <row r="910">
      <c r="A910" s="250">
        <v>46253.0</v>
      </c>
      <c r="B910" s="153" t="s">
        <v>136</v>
      </c>
      <c r="C910" s="153" t="s">
        <v>5</v>
      </c>
      <c r="D910" s="153" t="s">
        <v>434</v>
      </c>
      <c r="E910" s="153" t="s">
        <v>435</v>
      </c>
      <c r="F910" s="153" t="s">
        <v>429</v>
      </c>
      <c r="G910" s="153">
        <v>3428.0</v>
      </c>
      <c r="H910" s="153">
        <v>938.0</v>
      </c>
      <c r="I910" s="153">
        <v>27.36</v>
      </c>
      <c r="J910" s="153">
        <v>1666.0</v>
      </c>
      <c r="K910" s="153">
        <v>0.486</v>
      </c>
      <c r="L910" s="153">
        <v>1.7761</v>
      </c>
      <c r="M910" s="153">
        <v>1666.0</v>
      </c>
    </row>
    <row r="911">
      <c r="A911" s="250">
        <v>46253.0</v>
      </c>
      <c r="B911" s="153" t="s">
        <v>136</v>
      </c>
      <c r="C911" s="153" t="s">
        <v>5</v>
      </c>
      <c r="D911" s="153" t="s">
        <v>434</v>
      </c>
      <c r="E911" s="153" t="s">
        <v>436</v>
      </c>
      <c r="F911" s="153" t="s">
        <v>429</v>
      </c>
      <c r="G911" s="153">
        <v>3428.0</v>
      </c>
      <c r="H911" s="153">
        <v>696.0</v>
      </c>
      <c r="I911" s="153">
        <v>20.3</v>
      </c>
      <c r="J911" s="153">
        <v>1195.0</v>
      </c>
      <c r="K911" s="153">
        <v>0.3486</v>
      </c>
      <c r="L911" s="153">
        <v>1.717</v>
      </c>
      <c r="M911" s="153">
        <v>1195.0</v>
      </c>
    </row>
    <row r="912">
      <c r="A912" s="250">
        <v>46253.0</v>
      </c>
      <c r="B912" s="153" t="s">
        <v>136</v>
      </c>
      <c r="C912" s="153" t="s">
        <v>5</v>
      </c>
      <c r="D912" s="153" t="s">
        <v>434</v>
      </c>
      <c r="E912" s="153" t="s">
        <v>437</v>
      </c>
      <c r="F912" s="153" t="s">
        <v>429</v>
      </c>
      <c r="G912" s="153">
        <v>3428.0</v>
      </c>
      <c r="H912" s="153">
        <v>602.0</v>
      </c>
      <c r="I912" s="153">
        <v>17.56</v>
      </c>
      <c r="J912" s="153">
        <v>836.0</v>
      </c>
      <c r="K912" s="153">
        <v>0.2439</v>
      </c>
      <c r="L912" s="153">
        <v>1.3887</v>
      </c>
      <c r="M912" s="153">
        <v>836.0</v>
      </c>
    </row>
    <row r="913">
      <c r="A913" s="250">
        <v>46253.0</v>
      </c>
      <c r="B913" s="153" t="s">
        <v>136</v>
      </c>
      <c r="C913" s="153" t="s">
        <v>5</v>
      </c>
      <c r="D913" s="153" t="s">
        <v>438</v>
      </c>
      <c r="E913" s="153" t="s">
        <v>439</v>
      </c>
      <c r="F913" s="153" t="s">
        <v>440</v>
      </c>
      <c r="G913" s="153">
        <v>3428.0</v>
      </c>
      <c r="H913" s="153">
        <v>1.0</v>
      </c>
      <c r="I913" s="153">
        <v>0.03</v>
      </c>
      <c r="J913" s="153">
        <v>10.0</v>
      </c>
      <c r="K913" s="153">
        <v>0.0029</v>
      </c>
      <c r="L913" s="153">
        <v>10.0</v>
      </c>
      <c r="M913" s="153">
        <v>10.0</v>
      </c>
    </row>
    <row r="914">
      <c r="A914" s="250">
        <v>46253.0</v>
      </c>
      <c r="B914" s="153" t="s">
        <v>136</v>
      </c>
      <c r="C914" s="153" t="s">
        <v>5</v>
      </c>
      <c r="D914" s="153" t="s">
        <v>441</v>
      </c>
      <c r="E914" s="153" t="s">
        <v>442</v>
      </c>
      <c r="F914" s="153" t="s">
        <v>440</v>
      </c>
      <c r="G914" s="153">
        <v>3428.0</v>
      </c>
      <c r="H914" s="153">
        <v>425.0</v>
      </c>
      <c r="I914" s="153">
        <v>12.4</v>
      </c>
      <c r="J914" s="153">
        <v>5550.0</v>
      </c>
      <c r="K914" s="153">
        <v>1.619</v>
      </c>
      <c r="L914" s="153">
        <v>13.0588</v>
      </c>
      <c r="M914" s="153">
        <v>5550.0</v>
      </c>
    </row>
    <row r="915">
      <c r="A915" s="250">
        <v>46253.0</v>
      </c>
      <c r="B915" s="153" t="s">
        <v>136</v>
      </c>
      <c r="C915" s="153" t="s">
        <v>5</v>
      </c>
      <c r="D915" s="153" t="s">
        <v>441</v>
      </c>
      <c r="E915" s="153" t="s">
        <v>443</v>
      </c>
      <c r="F915" s="153" t="s">
        <v>440</v>
      </c>
      <c r="G915" s="153">
        <v>3428.0</v>
      </c>
      <c r="H915" s="153">
        <v>387.0</v>
      </c>
      <c r="I915" s="153">
        <v>11.29</v>
      </c>
      <c r="J915" s="153">
        <v>4710.0</v>
      </c>
      <c r="K915" s="153">
        <v>1.374</v>
      </c>
      <c r="L915" s="153">
        <v>12.1705</v>
      </c>
      <c r="M915" s="153">
        <v>4710.0</v>
      </c>
    </row>
    <row r="916">
      <c r="A916" s="250">
        <v>46253.0</v>
      </c>
      <c r="B916" s="153" t="s">
        <v>136</v>
      </c>
      <c r="C916" s="153" t="s">
        <v>5</v>
      </c>
      <c r="D916" s="153" t="s">
        <v>444</v>
      </c>
      <c r="E916" s="153" t="s">
        <v>445</v>
      </c>
      <c r="F916" s="153" t="s">
        <v>440</v>
      </c>
      <c r="G916" s="153">
        <v>3428.0</v>
      </c>
      <c r="H916" s="153">
        <v>1329.0</v>
      </c>
      <c r="I916" s="153">
        <v>38.77</v>
      </c>
      <c r="J916" s="153">
        <v>73585.0</v>
      </c>
      <c r="K916" s="153">
        <v>21.4659</v>
      </c>
      <c r="L916" s="153">
        <v>55.3687</v>
      </c>
      <c r="M916" s="153">
        <v>73585.0</v>
      </c>
    </row>
    <row r="917">
      <c r="A917" s="250">
        <v>46253.0</v>
      </c>
      <c r="B917" s="153" t="s">
        <v>137</v>
      </c>
      <c r="C917" s="153" t="s">
        <v>5</v>
      </c>
      <c r="D917" s="153" t="s">
        <v>424</v>
      </c>
      <c r="E917" s="153" t="s">
        <v>425</v>
      </c>
      <c r="F917" s="153" t="s">
        <v>426</v>
      </c>
      <c r="G917" s="153">
        <v>477.0</v>
      </c>
      <c r="H917" s="153">
        <v>204.0</v>
      </c>
      <c r="I917" s="153">
        <v>42.77</v>
      </c>
      <c r="J917" s="153">
        <v>16146.11</v>
      </c>
      <c r="K917" s="153">
        <v>33.8493</v>
      </c>
      <c r="L917" s="153">
        <v>79.1476</v>
      </c>
      <c r="M917" s="153">
        <v>137300.0</v>
      </c>
    </row>
    <row r="918">
      <c r="A918" s="250">
        <v>46253.0</v>
      </c>
      <c r="B918" s="153" t="s">
        <v>137</v>
      </c>
      <c r="C918" s="153" t="s">
        <v>5</v>
      </c>
      <c r="D918" s="153" t="s">
        <v>427</v>
      </c>
      <c r="E918" s="153" t="s">
        <v>428</v>
      </c>
      <c r="F918" s="153" t="s">
        <v>429</v>
      </c>
      <c r="G918" s="153">
        <v>477.0</v>
      </c>
      <c r="H918" s="153">
        <v>281.0</v>
      </c>
      <c r="I918" s="153">
        <v>58.91</v>
      </c>
      <c r="J918" s="153">
        <v>111756.65</v>
      </c>
      <c r="K918" s="153">
        <v>234.2907</v>
      </c>
      <c r="L918" s="153">
        <v>397.7105</v>
      </c>
      <c r="M918" s="153">
        <v>127200.0</v>
      </c>
    </row>
    <row r="919">
      <c r="A919" s="250">
        <v>46253.0</v>
      </c>
      <c r="B919" s="153" t="s">
        <v>137</v>
      </c>
      <c r="C919" s="153" t="s">
        <v>5</v>
      </c>
      <c r="D919" s="153" t="s">
        <v>430</v>
      </c>
      <c r="E919" s="153" t="s">
        <v>431</v>
      </c>
      <c r="F919" s="153" t="s">
        <v>429</v>
      </c>
      <c r="G919" s="153">
        <v>477.0</v>
      </c>
      <c r="H919" s="153">
        <v>160.0</v>
      </c>
      <c r="I919" s="153">
        <v>33.54</v>
      </c>
      <c r="J919" s="153">
        <v>902.0</v>
      </c>
      <c r="K919" s="153">
        <v>1.891</v>
      </c>
      <c r="L919" s="153">
        <v>5.6375</v>
      </c>
      <c r="M919" s="153">
        <v>902.0</v>
      </c>
    </row>
    <row r="920">
      <c r="A920" s="250">
        <v>46253.0</v>
      </c>
      <c r="B920" s="153" t="s">
        <v>137</v>
      </c>
      <c r="C920" s="153" t="s">
        <v>5</v>
      </c>
      <c r="D920" s="153" t="s">
        <v>430</v>
      </c>
      <c r="E920" s="153" t="s">
        <v>432</v>
      </c>
      <c r="F920" s="153" t="s">
        <v>429</v>
      </c>
      <c r="G920" s="153">
        <v>477.0</v>
      </c>
      <c r="H920" s="153">
        <v>94.0</v>
      </c>
      <c r="I920" s="153">
        <v>19.71</v>
      </c>
      <c r="J920" s="153">
        <v>952.0</v>
      </c>
      <c r="K920" s="153">
        <v>1.9958</v>
      </c>
      <c r="L920" s="153">
        <v>10.1277</v>
      </c>
      <c r="M920" s="153">
        <v>952.0</v>
      </c>
    </row>
    <row r="921">
      <c r="A921" s="250">
        <v>46253.0</v>
      </c>
      <c r="B921" s="153" t="s">
        <v>137</v>
      </c>
      <c r="C921" s="153" t="s">
        <v>5</v>
      </c>
      <c r="D921" s="153" t="s">
        <v>430</v>
      </c>
      <c r="E921" s="153" t="s">
        <v>433</v>
      </c>
      <c r="F921" s="153" t="s">
        <v>429</v>
      </c>
      <c r="G921" s="153">
        <v>477.0</v>
      </c>
      <c r="H921" s="153">
        <v>199.0</v>
      </c>
      <c r="I921" s="153">
        <v>41.72</v>
      </c>
      <c r="J921" s="153">
        <v>970.0</v>
      </c>
      <c r="K921" s="153">
        <v>2.0335</v>
      </c>
      <c r="L921" s="153">
        <v>4.8744</v>
      </c>
      <c r="M921" s="153">
        <v>970.0</v>
      </c>
    </row>
    <row r="922">
      <c r="A922" s="250">
        <v>46253.0</v>
      </c>
      <c r="B922" s="153" t="s">
        <v>137</v>
      </c>
      <c r="C922" s="153" t="s">
        <v>5</v>
      </c>
      <c r="D922" s="153" t="s">
        <v>434</v>
      </c>
      <c r="E922" s="153" t="s">
        <v>435</v>
      </c>
      <c r="F922" s="153" t="s">
        <v>429</v>
      </c>
      <c r="G922" s="153">
        <v>477.0</v>
      </c>
      <c r="H922" s="153">
        <v>110.0</v>
      </c>
      <c r="I922" s="153">
        <v>23.06</v>
      </c>
      <c r="J922" s="153">
        <v>201.0</v>
      </c>
      <c r="K922" s="153">
        <v>0.4214</v>
      </c>
      <c r="L922" s="153">
        <v>1.8273</v>
      </c>
      <c r="M922" s="153">
        <v>201.0</v>
      </c>
    </row>
    <row r="923">
      <c r="A923" s="250">
        <v>46253.0</v>
      </c>
      <c r="B923" s="153" t="s">
        <v>137</v>
      </c>
      <c r="C923" s="153" t="s">
        <v>5</v>
      </c>
      <c r="D923" s="153" t="s">
        <v>434</v>
      </c>
      <c r="E923" s="153" t="s">
        <v>436</v>
      </c>
      <c r="F923" s="153" t="s">
        <v>429</v>
      </c>
      <c r="G923" s="153">
        <v>477.0</v>
      </c>
      <c r="H923" s="153">
        <v>145.0</v>
      </c>
      <c r="I923" s="153">
        <v>30.4</v>
      </c>
      <c r="J923" s="153">
        <v>269.0</v>
      </c>
      <c r="K923" s="153">
        <v>0.5639</v>
      </c>
      <c r="L923" s="153">
        <v>1.8552</v>
      </c>
      <c r="M923" s="153">
        <v>269.0</v>
      </c>
    </row>
    <row r="924">
      <c r="A924" s="250">
        <v>46253.0</v>
      </c>
      <c r="B924" s="153" t="s">
        <v>137</v>
      </c>
      <c r="C924" s="153" t="s">
        <v>5</v>
      </c>
      <c r="D924" s="153" t="s">
        <v>434</v>
      </c>
      <c r="E924" s="153" t="s">
        <v>437</v>
      </c>
      <c r="F924" s="153" t="s">
        <v>429</v>
      </c>
      <c r="G924" s="153">
        <v>477.0</v>
      </c>
      <c r="H924" s="153">
        <v>167.0</v>
      </c>
      <c r="I924" s="153">
        <v>35.01</v>
      </c>
      <c r="J924" s="153">
        <v>355.0</v>
      </c>
      <c r="K924" s="153">
        <v>0.7442</v>
      </c>
      <c r="L924" s="153">
        <v>2.1257</v>
      </c>
      <c r="M924" s="153">
        <v>355.0</v>
      </c>
    </row>
    <row r="925">
      <c r="A925" s="250">
        <v>46253.0</v>
      </c>
      <c r="B925" s="153" t="s">
        <v>137</v>
      </c>
      <c r="C925" s="153" t="s">
        <v>5</v>
      </c>
      <c r="D925" s="153" t="s">
        <v>441</v>
      </c>
      <c r="E925" s="153" t="s">
        <v>442</v>
      </c>
      <c r="F925" s="153" t="s">
        <v>440</v>
      </c>
      <c r="G925" s="153">
        <v>477.0</v>
      </c>
      <c r="H925" s="153">
        <v>63.0</v>
      </c>
      <c r="I925" s="153">
        <v>13.21</v>
      </c>
      <c r="J925" s="153">
        <v>900.0</v>
      </c>
      <c r="K925" s="153">
        <v>1.8868</v>
      </c>
      <c r="L925" s="153">
        <v>14.2857</v>
      </c>
      <c r="M925" s="153">
        <v>900.0</v>
      </c>
    </row>
    <row r="926">
      <c r="A926" s="250">
        <v>46253.0</v>
      </c>
      <c r="B926" s="153" t="s">
        <v>137</v>
      </c>
      <c r="C926" s="153" t="s">
        <v>5</v>
      </c>
      <c r="D926" s="153" t="s">
        <v>441</v>
      </c>
      <c r="E926" s="153" t="s">
        <v>443</v>
      </c>
      <c r="F926" s="153" t="s">
        <v>440</v>
      </c>
      <c r="G926" s="153">
        <v>477.0</v>
      </c>
      <c r="H926" s="153">
        <v>84.0</v>
      </c>
      <c r="I926" s="153">
        <v>17.61</v>
      </c>
      <c r="J926" s="153">
        <v>1140.0</v>
      </c>
      <c r="K926" s="153">
        <v>2.3899</v>
      </c>
      <c r="L926" s="153">
        <v>13.5714</v>
      </c>
      <c r="M926" s="153">
        <v>1140.0</v>
      </c>
    </row>
    <row r="927">
      <c r="A927" s="250">
        <v>46253.0</v>
      </c>
      <c r="B927" s="153" t="s">
        <v>137</v>
      </c>
      <c r="C927" s="153" t="s">
        <v>5</v>
      </c>
      <c r="D927" s="153" t="s">
        <v>444</v>
      </c>
      <c r="E927" s="153" t="s">
        <v>445</v>
      </c>
      <c r="F927" s="153" t="s">
        <v>440</v>
      </c>
      <c r="G927" s="153">
        <v>477.0</v>
      </c>
      <c r="H927" s="153">
        <v>234.0</v>
      </c>
      <c r="I927" s="153">
        <v>49.06</v>
      </c>
      <c r="J927" s="153">
        <v>17815.0</v>
      </c>
      <c r="K927" s="153">
        <v>37.348</v>
      </c>
      <c r="L927" s="153">
        <v>76.1325</v>
      </c>
      <c r="M927" s="153">
        <v>17815.0</v>
      </c>
    </row>
    <row r="928">
      <c r="A928" s="250">
        <v>46254.0</v>
      </c>
      <c r="B928" s="153" t="s">
        <v>423</v>
      </c>
      <c r="C928" s="153" t="s">
        <v>5</v>
      </c>
      <c r="D928" s="153" t="s">
        <v>424</v>
      </c>
      <c r="E928" s="153" t="s">
        <v>425</v>
      </c>
      <c r="F928" s="153" t="s">
        <v>426</v>
      </c>
      <c r="G928" s="153">
        <v>8032.0</v>
      </c>
      <c r="H928" s="153">
        <v>323.0</v>
      </c>
      <c r="I928" s="153">
        <v>4.02</v>
      </c>
      <c r="J928" s="153">
        <v>15260.72</v>
      </c>
      <c r="K928" s="153">
        <v>1.9</v>
      </c>
      <c r="L928" s="153">
        <v>47.2468</v>
      </c>
      <c r="M928" s="153">
        <v>67350.0</v>
      </c>
    </row>
    <row r="929">
      <c r="A929" s="250">
        <v>46254.0</v>
      </c>
      <c r="B929" s="153" t="s">
        <v>423</v>
      </c>
      <c r="C929" s="153" t="s">
        <v>5</v>
      </c>
      <c r="D929" s="153" t="s">
        <v>427</v>
      </c>
      <c r="E929" s="153" t="s">
        <v>428</v>
      </c>
      <c r="F929" s="153" t="s">
        <v>429</v>
      </c>
      <c r="G929" s="153">
        <v>8032.0</v>
      </c>
      <c r="H929" s="153">
        <v>425.0</v>
      </c>
      <c r="I929" s="153">
        <v>5.29</v>
      </c>
      <c r="J929" s="153">
        <v>102517.05</v>
      </c>
      <c r="K929" s="153">
        <v>12.7636</v>
      </c>
      <c r="L929" s="153">
        <v>241.2166</v>
      </c>
      <c r="M929" s="153">
        <v>115540.0</v>
      </c>
    </row>
    <row r="930">
      <c r="A930" s="250">
        <v>46254.0</v>
      </c>
      <c r="B930" s="153" t="s">
        <v>423</v>
      </c>
      <c r="C930" s="153" t="s">
        <v>5</v>
      </c>
      <c r="D930" s="153" t="s">
        <v>430</v>
      </c>
      <c r="E930" s="153" t="s">
        <v>431</v>
      </c>
      <c r="F930" s="153" t="s">
        <v>429</v>
      </c>
      <c r="G930" s="153">
        <v>8032.0</v>
      </c>
      <c r="H930" s="153">
        <v>104.0</v>
      </c>
      <c r="I930" s="153">
        <v>1.29</v>
      </c>
      <c r="J930" s="153">
        <v>419.0</v>
      </c>
      <c r="K930" s="153">
        <v>0.0522</v>
      </c>
      <c r="L930" s="153">
        <v>4.0288</v>
      </c>
      <c r="M930" s="153">
        <v>419.0</v>
      </c>
    </row>
    <row r="931">
      <c r="A931" s="250">
        <v>46254.0</v>
      </c>
      <c r="B931" s="153" t="s">
        <v>423</v>
      </c>
      <c r="C931" s="153" t="s">
        <v>5</v>
      </c>
      <c r="D931" s="153" t="s">
        <v>430</v>
      </c>
      <c r="E931" s="153" t="s">
        <v>432</v>
      </c>
      <c r="F931" s="153" t="s">
        <v>429</v>
      </c>
      <c r="G931" s="153">
        <v>8032.0</v>
      </c>
      <c r="H931" s="153">
        <v>122.0</v>
      </c>
      <c r="I931" s="153">
        <v>1.52</v>
      </c>
      <c r="J931" s="153">
        <v>473.0</v>
      </c>
      <c r="K931" s="153">
        <v>0.0589</v>
      </c>
      <c r="L931" s="153">
        <v>3.877</v>
      </c>
      <c r="M931" s="153">
        <v>473.0</v>
      </c>
    </row>
    <row r="932">
      <c r="A932" s="250">
        <v>46254.0</v>
      </c>
      <c r="B932" s="153" t="s">
        <v>423</v>
      </c>
      <c r="C932" s="153" t="s">
        <v>5</v>
      </c>
      <c r="D932" s="153" t="s">
        <v>430</v>
      </c>
      <c r="E932" s="153" t="s">
        <v>433</v>
      </c>
      <c r="F932" s="153" t="s">
        <v>429</v>
      </c>
      <c r="G932" s="153">
        <v>8032.0</v>
      </c>
      <c r="H932" s="153">
        <v>262.0</v>
      </c>
      <c r="I932" s="153">
        <v>3.26</v>
      </c>
      <c r="J932" s="153">
        <v>593.0</v>
      </c>
      <c r="K932" s="153">
        <v>0.0738</v>
      </c>
      <c r="L932" s="153">
        <v>2.2634</v>
      </c>
      <c r="M932" s="153">
        <v>593.0</v>
      </c>
    </row>
    <row r="933">
      <c r="A933" s="250">
        <v>46254.0</v>
      </c>
      <c r="B933" s="153" t="s">
        <v>423</v>
      </c>
      <c r="C933" s="153" t="s">
        <v>5</v>
      </c>
      <c r="D933" s="153" t="s">
        <v>434</v>
      </c>
      <c r="E933" s="153" t="s">
        <v>435</v>
      </c>
      <c r="F933" s="153" t="s">
        <v>429</v>
      </c>
      <c r="G933" s="153">
        <v>8032.0</v>
      </c>
      <c r="H933" s="153">
        <v>192.0</v>
      </c>
      <c r="I933" s="153">
        <v>2.39</v>
      </c>
      <c r="J933" s="153">
        <v>385.0</v>
      </c>
      <c r="K933" s="153">
        <v>0.0479</v>
      </c>
      <c r="L933" s="153">
        <v>2.0052</v>
      </c>
      <c r="M933" s="153">
        <v>385.0</v>
      </c>
    </row>
    <row r="934">
      <c r="A934" s="250">
        <v>46254.0</v>
      </c>
      <c r="B934" s="153" t="s">
        <v>423</v>
      </c>
      <c r="C934" s="153" t="s">
        <v>5</v>
      </c>
      <c r="D934" s="153" t="s">
        <v>434</v>
      </c>
      <c r="E934" s="153" t="s">
        <v>436</v>
      </c>
      <c r="F934" s="153" t="s">
        <v>429</v>
      </c>
      <c r="G934" s="153">
        <v>8032.0</v>
      </c>
      <c r="H934" s="153">
        <v>149.0</v>
      </c>
      <c r="I934" s="153">
        <v>1.86</v>
      </c>
      <c r="J934" s="153">
        <v>287.0</v>
      </c>
      <c r="K934" s="153">
        <v>0.0357</v>
      </c>
      <c r="L934" s="153">
        <v>1.9262</v>
      </c>
      <c r="M934" s="153">
        <v>287.0</v>
      </c>
    </row>
    <row r="935">
      <c r="A935" s="250">
        <v>46254.0</v>
      </c>
      <c r="B935" s="153" t="s">
        <v>423</v>
      </c>
      <c r="C935" s="153" t="s">
        <v>5</v>
      </c>
      <c r="D935" s="153" t="s">
        <v>434</v>
      </c>
      <c r="E935" s="153" t="s">
        <v>437</v>
      </c>
      <c r="F935" s="153" t="s">
        <v>429</v>
      </c>
      <c r="G935" s="153">
        <v>8032.0</v>
      </c>
      <c r="H935" s="153">
        <v>169.0</v>
      </c>
      <c r="I935" s="153">
        <v>2.1</v>
      </c>
      <c r="J935" s="153">
        <v>327.0</v>
      </c>
      <c r="K935" s="153">
        <v>0.0407</v>
      </c>
      <c r="L935" s="153">
        <v>1.9349</v>
      </c>
      <c r="M935" s="153">
        <v>327.0</v>
      </c>
    </row>
    <row r="936">
      <c r="A936" s="250">
        <v>46254.0</v>
      </c>
      <c r="B936" s="153" t="s">
        <v>423</v>
      </c>
      <c r="C936" s="153" t="s">
        <v>5</v>
      </c>
      <c r="D936" s="153" t="s">
        <v>441</v>
      </c>
      <c r="E936" s="153" t="s">
        <v>442</v>
      </c>
      <c r="F936" s="153" t="s">
        <v>440</v>
      </c>
      <c r="G936" s="153">
        <v>8032.0</v>
      </c>
      <c r="H936" s="153">
        <v>18.0</v>
      </c>
      <c r="I936" s="153">
        <v>0.22</v>
      </c>
      <c r="J936" s="153">
        <v>240.0</v>
      </c>
      <c r="K936" s="153">
        <v>0.0299</v>
      </c>
      <c r="L936" s="153">
        <v>13.3333</v>
      </c>
      <c r="M936" s="153">
        <v>240.0</v>
      </c>
    </row>
    <row r="937">
      <c r="A937" s="250">
        <v>46254.0</v>
      </c>
      <c r="B937" s="153" t="s">
        <v>423</v>
      </c>
      <c r="C937" s="153" t="s">
        <v>5</v>
      </c>
      <c r="D937" s="153" t="s">
        <v>441</v>
      </c>
      <c r="E937" s="153" t="s">
        <v>443</v>
      </c>
      <c r="F937" s="153" t="s">
        <v>440</v>
      </c>
      <c r="G937" s="153">
        <v>8032.0</v>
      </c>
      <c r="H937" s="153">
        <v>112.0</v>
      </c>
      <c r="I937" s="153">
        <v>1.39</v>
      </c>
      <c r="J937" s="153">
        <v>1370.0</v>
      </c>
      <c r="K937" s="153">
        <v>0.1706</v>
      </c>
      <c r="L937" s="153">
        <v>12.2321</v>
      </c>
      <c r="M937" s="153">
        <v>1370.0</v>
      </c>
    </row>
    <row r="938">
      <c r="A938" s="250">
        <v>46254.0</v>
      </c>
      <c r="B938" s="153" t="s">
        <v>423</v>
      </c>
      <c r="C938" s="153" t="s">
        <v>5</v>
      </c>
      <c r="D938" s="153" t="s">
        <v>444</v>
      </c>
      <c r="E938" s="153" t="s">
        <v>445</v>
      </c>
      <c r="F938" s="153" t="s">
        <v>440</v>
      </c>
      <c r="G938" s="153">
        <v>8032.0</v>
      </c>
      <c r="H938" s="153">
        <v>357.0</v>
      </c>
      <c r="I938" s="153">
        <v>4.44</v>
      </c>
      <c r="J938" s="153">
        <v>20535.0</v>
      </c>
      <c r="K938" s="153">
        <v>2.5566</v>
      </c>
      <c r="L938" s="153">
        <v>57.521</v>
      </c>
      <c r="M938" s="153">
        <v>20535.0</v>
      </c>
    </row>
    <row r="939">
      <c r="A939" s="250">
        <v>46254.0</v>
      </c>
      <c r="B939" s="153" t="s">
        <v>133</v>
      </c>
      <c r="C939" s="153" t="s">
        <v>5</v>
      </c>
      <c r="D939" s="153" t="s">
        <v>424</v>
      </c>
      <c r="E939" s="153" t="s">
        <v>425</v>
      </c>
      <c r="F939" s="153" t="s">
        <v>426</v>
      </c>
      <c r="G939" s="153">
        <v>10796.0</v>
      </c>
      <c r="H939" s="153">
        <v>1767.0</v>
      </c>
      <c r="I939" s="153">
        <v>16.37</v>
      </c>
      <c r="J939" s="153">
        <v>24862.57</v>
      </c>
      <c r="K939" s="153">
        <v>2.3029</v>
      </c>
      <c r="L939" s="153">
        <v>14.0705</v>
      </c>
      <c r="M939" s="153">
        <v>30590.0</v>
      </c>
    </row>
    <row r="940">
      <c r="A940" s="250">
        <v>46254.0</v>
      </c>
      <c r="B940" s="153" t="s">
        <v>133</v>
      </c>
      <c r="C940" s="153" t="s">
        <v>5</v>
      </c>
      <c r="D940" s="153" t="s">
        <v>427</v>
      </c>
      <c r="E940" s="153" t="s">
        <v>428</v>
      </c>
      <c r="F940" s="153" t="s">
        <v>429</v>
      </c>
      <c r="G940" s="153">
        <v>10796.0</v>
      </c>
      <c r="H940" s="153">
        <v>2145.0</v>
      </c>
      <c r="I940" s="153">
        <v>19.87</v>
      </c>
      <c r="J940" s="153">
        <v>89802.68</v>
      </c>
      <c r="K940" s="153">
        <v>8.3181</v>
      </c>
      <c r="L940" s="153">
        <v>41.8661</v>
      </c>
      <c r="M940" s="153">
        <v>102710.0</v>
      </c>
    </row>
    <row r="941">
      <c r="A941" s="250">
        <v>46254.0</v>
      </c>
      <c r="B941" s="153" t="s">
        <v>133</v>
      </c>
      <c r="C941" s="153" t="s">
        <v>5</v>
      </c>
      <c r="D941" s="153" t="s">
        <v>430</v>
      </c>
      <c r="E941" s="153" t="s">
        <v>431</v>
      </c>
      <c r="F941" s="153" t="s">
        <v>429</v>
      </c>
      <c r="G941" s="153">
        <v>10796.0</v>
      </c>
      <c r="H941" s="153">
        <v>373.0</v>
      </c>
      <c r="I941" s="153">
        <v>3.45</v>
      </c>
      <c r="J941" s="153">
        <v>396.0</v>
      </c>
      <c r="K941" s="153">
        <v>0.0367</v>
      </c>
      <c r="L941" s="153">
        <v>1.0617</v>
      </c>
      <c r="M941" s="153">
        <v>396.0</v>
      </c>
    </row>
    <row r="942">
      <c r="A942" s="250">
        <v>46254.0</v>
      </c>
      <c r="B942" s="153" t="s">
        <v>133</v>
      </c>
      <c r="C942" s="153" t="s">
        <v>5</v>
      </c>
      <c r="D942" s="153" t="s">
        <v>430</v>
      </c>
      <c r="E942" s="153" t="s">
        <v>432</v>
      </c>
      <c r="F942" s="153" t="s">
        <v>429</v>
      </c>
      <c r="G942" s="153">
        <v>10796.0</v>
      </c>
      <c r="H942" s="153">
        <v>1195.0</v>
      </c>
      <c r="I942" s="153">
        <v>11.07</v>
      </c>
      <c r="J942" s="153">
        <v>1910.0</v>
      </c>
      <c r="K942" s="153">
        <v>0.1769</v>
      </c>
      <c r="L942" s="153">
        <v>1.5983</v>
      </c>
      <c r="M942" s="153">
        <v>1910.0</v>
      </c>
    </row>
    <row r="943">
      <c r="A943" s="250">
        <v>46254.0</v>
      </c>
      <c r="B943" s="153" t="s">
        <v>133</v>
      </c>
      <c r="C943" s="153" t="s">
        <v>5</v>
      </c>
      <c r="D943" s="153" t="s">
        <v>430</v>
      </c>
      <c r="E943" s="153" t="s">
        <v>433</v>
      </c>
      <c r="F943" s="153" t="s">
        <v>429</v>
      </c>
      <c r="G943" s="153">
        <v>10796.0</v>
      </c>
      <c r="H943" s="153">
        <v>650.0</v>
      </c>
      <c r="I943" s="153">
        <v>6.02</v>
      </c>
      <c r="J943" s="153">
        <v>715.0</v>
      </c>
      <c r="K943" s="153">
        <v>0.0662</v>
      </c>
      <c r="L943" s="153">
        <v>1.1</v>
      </c>
      <c r="M943" s="153">
        <v>715.0</v>
      </c>
    </row>
    <row r="944">
      <c r="A944" s="250">
        <v>46254.0</v>
      </c>
      <c r="B944" s="153" t="s">
        <v>133</v>
      </c>
      <c r="C944" s="153" t="s">
        <v>5</v>
      </c>
      <c r="D944" s="153" t="s">
        <v>434</v>
      </c>
      <c r="E944" s="153" t="s">
        <v>435</v>
      </c>
      <c r="F944" s="153" t="s">
        <v>429</v>
      </c>
      <c r="G944" s="153">
        <v>10796.0</v>
      </c>
      <c r="H944" s="153">
        <v>1028.0</v>
      </c>
      <c r="I944" s="153">
        <v>9.52</v>
      </c>
      <c r="J944" s="153">
        <v>1052.0</v>
      </c>
      <c r="K944" s="153">
        <v>0.0974</v>
      </c>
      <c r="L944" s="153">
        <v>1.0233</v>
      </c>
      <c r="M944" s="153">
        <v>1052.0</v>
      </c>
    </row>
    <row r="945">
      <c r="A945" s="250">
        <v>46254.0</v>
      </c>
      <c r="B945" s="153" t="s">
        <v>133</v>
      </c>
      <c r="C945" s="153" t="s">
        <v>5</v>
      </c>
      <c r="D945" s="153" t="s">
        <v>434</v>
      </c>
      <c r="E945" s="153" t="s">
        <v>436</v>
      </c>
      <c r="F945" s="153" t="s">
        <v>429</v>
      </c>
      <c r="G945" s="153">
        <v>10796.0</v>
      </c>
      <c r="H945" s="153">
        <v>957.0</v>
      </c>
      <c r="I945" s="153">
        <v>8.86</v>
      </c>
      <c r="J945" s="153">
        <v>1112.0</v>
      </c>
      <c r="K945" s="153">
        <v>0.103</v>
      </c>
      <c r="L945" s="153">
        <v>1.162</v>
      </c>
      <c r="M945" s="153">
        <v>1112.0</v>
      </c>
    </row>
    <row r="946">
      <c r="A946" s="250">
        <v>46254.0</v>
      </c>
      <c r="B946" s="153" t="s">
        <v>133</v>
      </c>
      <c r="C946" s="153" t="s">
        <v>5</v>
      </c>
      <c r="D946" s="153" t="s">
        <v>434</v>
      </c>
      <c r="E946" s="153" t="s">
        <v>437</v>
      </c>
      <c r="F946" s="153" t="s">
        <v>429</v>
      </c>
      <c r="G946" s="153">
        <v>10796.0</v>
      </c>
      <c r="H946" s="153">
        <v>16.0</v>
      </c>
      <c r="I946" s="153">
        <v>0.15</v>
      </c>
      <c r="J946" s="153">
        <v>19.0</v>
      </c>
      <c r="K946" s="153">
        <v>0.0018</v>
      </c>
      <c r="L946" s="153">
        <v>1.1875</v>
      </c>
      <c r="M946" s="153">
        <v>19.0</v>
      </c>
    </row>
    <row r="947">
      <c r="A947" s="250">
        <v>46254.0</v>
      </c>
      <c r="B947" s="153" t="s">
        <v>133</v>
      </c>
      <c r="C947" s="153" t="s">
        <v>5</v>
      </c>
      <c r="D947" s="153" t="s">
        <v>438</v>
      </c>
      <c r="E947" s="153" t="s">
        <v>439</v>
      </c>
      <c r="F947" s="153" t="s">
        <v>440</v>
      </c>
      <c r="G947" s="153">
        <v>10796.0</v>
      </c>
      <c r="H947" s="153">
        <v>7.0</v>
      </c>
      <c r="I947" s="153">
        <v>0.06</v>
      </c>
      <c r="J947" s="153">
        <v>110.0</v>
      </c>
      <c r="K947" s="153">
        <v>0.0102</v>
      </c>
      <c r="L947" s="153">
        <v>15.7143</v>
      </c>
      <c r="M947" s="153">
        <v>110.0</v>
      </c>
    </row>
    <row r="948">
      <c r="A948" s="250">
        <v>46254.0</v>
      </c>
      <c r="B948" s="153" t="s">
        <v>133</v>
      </c>
      <c r="C948" s="153" t="s">
        <v>5</v>
      </c>
      <c r="D948" s="153" t="s">
        <v>441</v>
      </c>
      <c r="E948" s="153" t="s">
        <v>442</v>
      </c>
      <c r="F948" s="153" t="s">
        <v>440</v>
      </c>
      <c r="G948" s="153">
        <v>10796.0</v>
      </c>
      <c r="H948" s="153">
        <v>293.0</v>
      </c>
      <c r="I948" s="153">
        <v>2.71</v>
      </c>
      <c r="J948" s="153">
        <v>3280.0</v>
      </c>
      <c r="K948" s="153">
        <v>0.3038</v>
      </c>
      <c r="L948" s="153">
        <v>11.1945</v>
      </c>
      <c r="M948" s="153">
        <v>3280.0</v>
      </c>
    </row>
    <row r="949">
      <c r="A949" s="250">
        <v>46254.0</v>
      </c>
      <c r="B949" s="153" t="s">
        <v>133</v>
      </c>
      <c r="C949" s="153" t="s">
        <v>5</v>
      </c>
      <c r="D949" s="153" t="s">
        <v>444</v>
      </c>
      <c r="E949" s="153" t="s">
        <v>445</v>
      </c>
      <c r="F949" s="153" t="s">
        <v>440</v>
      </c>
      <c r="G949" s="153">
        <v>10796.0</v>
      </c>
      <c r="H949" s="153">
        <v>1883.0</v>
      </c>
      <c r="I949" s="153">
        <v>17.44</v>
      </c>
      <c r="J949" s="153">
        <v>43255.0</v>
      </c>
      <c r="K949" s="153">
        <v>4.0066</v>
      </c>
      <c r="L949" s="153">
        <v>22.9713</v>
      </c>
      <c r="M949" s="153">
        <v>43255.0</v>
      </c>
    </row>
    <row r="950">
      <c r="A950" s="250">
        <v>46254.0</v>
      </c>
      <c r="B950" s="153" t="s">
        <v>134</v>
      </c>
      <c r="C950" s="153" t="s">
        <v>5</v>
      </c>
      <c r="D950" s="153" t="s">
        <v>424</v>
      </c>
      <c r="E950" s="153" t="s">
        <v>425</v>
      </c>
      <c r="F950" s="153" t="s">
        <v>426</v>
      </c>
      <c r="G950" s="153">
        <v>8267.0</v>
      </c>
      <c r="H950" s="153">
        <v>1400.0</v>
      </c>
      <c r="I950" s="153">
        <v>16.93</v>
      </c>
      <c r="J950" s="153">
        <v>24005.18</v>
      </c>
      <c r="K950" s="153">
        <v>2.9037</v>
      </c>
      <c r="L950" s="153">
        <v>17.1466</v>
      </c>
      <c r="M950" s="153">
        <v>31750.0</v>
      </c>
    </row>
    <row r="951">
      <c r="A951" s="250">
        <v>46254.0</v>
      </c>
      <c r="B951" s="153" t="s">
        <v>134</v>
      </c>
      <c r="C951" s="153" t="s">
        <v>5</v>
      </c>
      <c r="D951" s="153" t="s">
        <v>427</v>
      </c>
      <c r="E951" s="153" t="s">
        <v>428</v>
      </c>
      <c r="F951" s="153" t="s">
        <v>429</v>
      </c>
      <c r="G951" s="153">
        <v>8267.0</v>
      </c>
      <c r="H951" s="153">
        <v>2480.0</v>
      </c>
      <c r="I951" s="153">
        <v>30.0</v>
      </c>
      <c r="J951" s="153">
        <v>176658.72</v>
      </c>
      <c r="K951" s="153">
        <v>21.3691</v>
      </c>
      <c r="L951" s="153">
        <v>71.2334</v>
      </c>
      <c r="M951" s="153">
        <v>206065.0</v>
      </c>
    </row>
    <row r="952">
      <c r="A952" s="250">
        <v>46254.0</v>
      </c>
      <c r="B952" s="153" t="s">
        <v>134</v>
      </c>
      <c r="C952" s="153" t="s">
        <v>5</v>
      </c>
      <c r="D952" s="153" t="s">
        <v>430</v>
      </c>
      <c r="E952" s="153" t="s">
        <v>431</v>
      </c>
      <c r="F952" s="153" t="s">
        <v>429</v>
      </c>
      <c r="G952" s="153">
        <v>8267.0</v>
      </c>
      <c r="H952" s="153">
        <v>1034.0</v>
      </c>
      <c r="I952" s="153">
        <v>12.51</v>
      </c>
      <c r="J952" s="153">
        <v>1153.0</v>
      </c>
      <c r="K952" s="153">
        <v>0.1395</v>
      </c>
      <c r="L952" s="153">
        <v>1.1151</v>
      </c>
      <c r="M952" s="153">
        <v>1153.0</v>
      </c>
    </row>
    <row r="953">
      <c r="A953" s="250">
        <v>46254.0</v>
      </c>
      <c r="B953" s="153" t="s">
        <v>134</v>
      </c>
      <c r="C953" s="153" t="s">
        <v>5</v>
      </c>
      <c r="D953" s="153" t="s">
        <v>430</v>
      </c>
      <c r="E953" s="153" t="s">
        <v>432</v>
      </c>
      <c r="F953" s="153" t="s">
        <v>429</v>
      </c>
      <c r="G953" s="153">
        <v>8267.0</v>
      </c>
      <c r="H953" s="153">
        <v>1363.0</v>
      </c>
      <c r="I953" s="153">
        <v>16.49</v>
      </c>
      <c r="J953" s="153">
        <v>2254.0</v>
      </c>
      <c r="K953" s="153">
        <v>0.2727</v>
      </c>
      <c r="L953" s="153">
        <v>1.6537</v>
      </c>
      <c r="M953" s="153">
        <v>2254.0</v>
      </c>
    </row>
    <row r="954">
      <c r="A954" s="250">
        <v>46254.0</v>
      </c>
      <c r="B954" s="153" t="s">
        <v>134</v>
      </c>
      <c r="C954" s="153" t="s">
        <v>5</v>
      </c>
      <c r="D954" s="153" t="s">
        <v>430</v>
      </c>
      <c r="E954" s="153" t="s">
        <v>433</v>
      </c>
      <c r="F954" s="153" t="s">
        <v>429</v>
      </c>
      <c r="G954" s="153">
        <v>8267.0</v>
      </c>
      <c r="H954" s="153">
        <v>918.0</v>
      </c>
      <c r="I954" s="153">
        <v>11.1</v>
      </c>
      <c r="J954" s="153">
        <v>1042.0</v>
      </c>
      <c r="K954" s="153">
        <v>0.126</v>
      </c>
      <c r="L954" s="153">
        <v>1.1351</v>
      </c>
      <c r="M954" s="153">
        <v>1042.0</v>
      </c>
    </row>
    <row r="955">
      <c r="A955" s="250">
        <v>46254.0</v>
      </c>
      <c r="B955" s="153" t="s">
        <v>134</v>
      </c>
      <c r="C955" s="153" t="s">
        <v>5</v>
      </c>
      <c r="D955" s="153" t="s">
        <v>434</v>
      </c>
      <c r="E955" s="153" t="s">
        <v>435</v>
      </c>
      <c r="F955" s="153" t="s">
        <v>429</v>
      </c>
      <c r="G955" s="153">
        <v>8267.0</v>
      </c>
      <c r="H955" s="153">
        <v>691.0</v>
      </c>
      <c r="I955" s="153">
        <v>8.36</v>
      </c>
      <c r="J955" s="153">
        <v>731.0</v>
      </c>
      <c r="K955" s="153">
        <v>0.0884</v>
      </c>
      <c r="L955" s="153">
        <v>1.0579</v>
      </c>
      <c r="M955" s="153">
        <v>731.0</v>
      </c>
    </row>
    <row r="956">
      <c r="A956" s="250">
        <v>46254.0</v>
      </c>
      <c r="B956" s="153" t="s">
        <v>134</v>
      </c>
      <c r="C956" s="153" t="s">
        <v>5</v>
      </c>
      <c r="D956" s="153" t="s">
        <v>434</v>
      </c>
      <c r="E956" s="153" t="s">
        <v>436</v>
      </c>
      <c r="F956" s="153" t="s">
        <v>429</v>
      </c>
      <c r="G956" s="153">
        <v>8267.0</v>
      </c>
      <c r="H956" s="153">
        <v>786.0</v>
      </c>
      <c r="I956" s="153">
        <v>9.51</v>
      </c>
      <c r="J956" s="153">
        <v>972.0</v>
      </c>
      <c r="K956" s="153">
        <v>0.1176</v>
      </c>
      <c r="L956" s="153">
        <v>1.2366</v>
      </c>
      <c r="M956" s="153">
        <v>972.0</v>
      </c>
    </row>
    <row r="957">
      <c r="A957" s="250">
        <v>46254.0</v>
      </c>
      <c r="B957" s="153" t="s">
        <v>134</v>
      </c>
      <c r="C957" s="153" t="s">
        <v>5</v>
      </c>
      <c r="D957" s="153" t="s">
        <v>434</v>
      </c>
      <c r="E957" s="153" t="s">
        <v>437</v>
      </c>
      <c r="F957" s="153" t="s">
        <v>429</v>
      </c>
      <c r="G957" s="153">
        <v>8267.0</v>
      </c>
      <c r="H957" s="153">
        <v>477.0</v>
      </c>
      <c r="I957" s="153">
        <v>5.77</v>
      </c>
      <c r="J957" s="153">
        <v>570.0</v>
      </c>
      <c r="K957" s="153">
        <v>0.0689</v>
      </c>
      <c r="L957" s="153">
        <v>1.195</v>
      </c>
      <c r="M957" s="153">
        <v>570.0</v>
      </c>
    </row>
    <row r="958">
      <c r="A958" s="250">
        <v>46254.0</v>
      </c>
      <c r="B958" s="153" t="s">
        <v>134</v>
      </c>
      <c r="C958" s="153" t="s">
        <v>5</v>
      </c>
      <c r="D958" s="153" t="s">
        <v>438</v>
      </c>
      <c r="E958" s="153" t="s">
        <v>439</v>
      </c>
      <c r="F958" s="153" t="s">
        <v>440</v>
      </c>
      <c r="G958" s="153">
        <v>8267.0</v>
      </c>
      <c r="H958" s="153">
        <v>4.0</v>
      </c>
      <c r="I958" s="153">
        <v>0.05</v>
      </c>
      <c r="J958" s="153">
        <v>60.0</v>
      </c>
      <c r="K958" s="153">
        <v>0.0073</v>
      </c>
      <c r="L958" s="153">
        <v>15.0</v>
      </c>
      <c r="M958" s="153">
        <v>60.0</v>
      </c>
    </row>
    <row r="959">
      <c r="A959" s="250">
        <v>46254.0</v>
      </c>
      <c r="B959" s="153" t="s">
        <v>134</v>
      </c>
      <c r="C959" s="153" t="s">
        <v>5</v>
      </c>
      <c r="D959" s="153" t="s">
        <v>441</v>
      </c>
      <c r="E959" s="153" t="s">
        <v>442</v>
      </c>
      <c r="F959" s="153" t="s">
        <v>440</v>
      </c>
      <c r="G959" s="153">
        <v>8267.0</v>
      </c>
      <c r="H959" s="153">
        <v>1062.0</v>
      </c>
      <c r="I959" s="153">
        <v>12.85</v>
      </c>
      <c r="J959" s="153">
        <v>12910.0</v>
      </c>
      <c r="K959" s="153">
        <v>1.5616</v>
      </c>
      <c r="L959" s="153">
        <v>12.1563</v>
      </c>
      <c r="M959" s="153">
        <v>12910.0</v>
      </c>
    </row>
    <row r="960">
      <c r="A960" s="250">
        <v>46254.0</v>
      </c>
      <c r="B960" s="153" t="s">
        <v>134</v>
      </c>
      <c r="C960" s="153" t="s">
        <v>5</v>
      </c>
      <c r="D960" s="153" t="s">
        <v>441</v>
      </c>
      <c r="E960" s="153" t="s">
        <v>443</v>
      </c>
      <c r="F960" s="153" t="s">
        <v>440</v>
      </c>
      <c r="G960" s="153">
        <v>8267.0</v>
      </c>
      <c r="H960" s="153">
        <v>1.0</v>
      </c>
      <c r="I960" s="153">
        <v>0.01</v>
      </c>
      <c r="J960" s="153">
        <v>10.0</v>
      </c>
      <c r="K960" s="153">
        <v>0.0012</v>
      </c>
      <c r="L960" s="153">
        <v>10.0</v>
      </c>
      <c r="M960" s="153">
        <v>10.0</v>
      </c>
    </row>
    <row r="961">
      <c r="A961" s="250">
        <v>46254.0</v>
      </c>
      <c r="B961" s="153" t="s">
        <v>134</v>
      </c>
      <c r="C961" s="153" t="s">
        <v>5</v>
      </c>
      <c r="D961" s="153" t="s">
        <v>444</v>
      </c>
      <c r="E961" s="153" t="s">
        <v>445</v>
      </c>
      <c r="F961" s="153" t="s">
        <v>440</v>
      </c>
      <c r="G961" s="153">
        <v>8267.0</v>
      </c>
      <c r="H961" s="153">
        <v>1980.0</v>
      </c>
      <c r="I961" s="153">
        <v>23.95</v>
      </c>
      <c r="J961" s="153">
        <v>64815.0</v>
      </c>
      <c r="K961" s="153">
        <v>7.8402</v>
      </c>
      <c r="L961" s="153">
        <v>32.7348</v>
      </c>
      <c r="M961" s="153">
        <v>64815.0</v>
      </c>
    </row>
    <row r="962">
      <c r="A962" s="250">
        <v>46254.0</v>
      </c>
      <c r="B962" s="153" t="s">
        <v>135</v>
      </c>
      <c r="C962" s="153" t="s">
        <v>4</v>
      </c>
      <c r="D962" s="153" t="s">
        <v>434</v>
      </c>
      <c r="E962" s="153" t="s">
        <v>437</v>
      </c>
      <c r="F962" s="153" t="s">
        <v>429</v>
      </c>
      <c r="G962" s="153">
        <v>6427.0</v>
      </c>
      <c r="H962" s="153">
        <v>1.0</v>
      </c>
      <c r="I962" s="153">
        <v>0.02</v>
      </c>
      <c r="J962" s="153">
        <v>1.0</v>
      </c>
      <c r="K962" s="153">
        <v>2.0E-4</v>
      </c>
      <c r="L962" s="153">
        <v>1.0</v>
      </c>
      <c r="M962" s="153">
        <v>1.0</v>
      </c>
    </row>
    <row r="963">
      <c r="A963" s="250">
        <v>46254.0</v>
      </c>
      <c r="B963" s="153" t="s">
        <v>135</v>
      </c>
      <c r="C963" s="153" t="s">
        <v>5</v>
      </c>
      <c r="D963" s="153" t="s">
        <v>424</v>
      </c>
      <c r="E963" s="153" t="s">
        <v>425</v>
      </c>
      <c r="F963" s="153" t="s">
        <v>426</v>
      </c>
      <c r="G963" s="153">
        <v>6282.0</v>
      </c>
      <c r="H963" s="153">
        <v>1347.0</v>
      </c>
      <c r="I963" s="153">
        <v>21.44</v>
      </c>
      <c r="J963" s="153">
        <v>31694.0</v>
      </c>
      <c r="K963" s="153">
        <v>5.0452</v>
      </c>
      <c r="L963" s="153">
        <v>23.5293</v>
      </c>
      <c r="M963" s="153">
        <v>39860.0</v>
      </c>
    </row>
    <row r="964">
      <c r="A964" s="250">
        <v>46254.0</v>
      </c>
      <c r="B964" s="153" t="s">
        <v>135</v>
      </c>
      <c r="C964" s="153" t="s">
        <v>5</v>
      </c>
      <c r="D964" s="153" t="s">
        <v>427</v>
      </c>
      <c r="E964" s="153" t="s">
        <v>428</v>
      </c>
      <c r="F964" s="153" t="s">
        <v>429</v>
      </c>
      <c r="G964" s="153">
        <v>6282.0</v>
      </c>
      <c r="H964" s="153">
        <v>2241.0</v>
      </c>
      <c r="I964" s="153">
        <v>35.67</v>
      </c>
      <c r="J964" s="153">
        <v>239701.52</v>
      </c>
      <c r="K964" s="153">
        <v>38.1569</v>
      </c>
      <c r="L964" s="153">
        <v>106.9619</v>
      </c>
      <c r="M964" s="153">
        <v>281700.0</v>
      </c>
    </row>
    <row r="965">
      <c r="A965" s="250">
        <v>46254.0</v>
      </c>
      <c r="B965" s="153" t="s">
        <v>135</v>
      </c>
      <c r="C965" s="153" t="s">
        <v>5</v>
      </c>
      <c r="D965" s="153" t="s">
        <v>430</v>
      </c>
      <c r="E965" s="153" t="s">
        <v>431</v>
      </c>
      <c r="F965" s="153" t="s">
        <v>429</v>
      </c>
      <c r="G965" s="153">
        <v>6282.0</v>
      </c>
      <c r="H965" s="153">
        <v>633.0</v>
      </c>
      <c r="I965" s="153">
        <v>10.08</v>
      </c>
      <c r="J965" s="153">
        <v>692.0</v>
      </c>
      <c r="K965" s="153">
        <v>0.1102</v>
      </c>
      <c r="L965" s="153">
        <v>1.0932</v>
      </c>
      <c r="M965" s="153">
        <v>692.0</v>
      </c>
    </row>
    <row r="966">
      <c r="A966" s="250">
        <v>46254.0</v>
      </c>
      <c r="B966" s="153" t="s">
        <v>135</v>
      </c>
      <c r="C966" s="153" t="s">
        <v>5</v>
      </c>
      <c r="D966" s="153" t="s">
        <v>430</v>
      </c>
      <c r="E966" s="153" t="s">
        <v>432</v>
      </c>
      <c r="F966" s="153" t="s">
        <v>429</v>
      </c>
      <c r="G966" s="153">
        <v>6282.0</v>
      </c>
      <c r="H966" s="153">
        <v>1508.0</v>
      </c>
      <c r="I966" s="153">
        <v>24.01</v>
      </c>
      <c r="J966" s="153">
        <v>2467.0</v>
      </c>
      <c r="K966" s="153">
        <v>0.3927</v>
      </c>
      <c r="L966" s="153">
        <v>1.6359</v>
      </c>
      <c r="M966" s="153">
        <v>2467.0</v>
      </c>
    </row>
    <row r="967">
      <c r="A967" s="250">
        <v>46254.0</v>
      </c>
      <c r="B967" s="153" t="s">
        <v>135</v>
      </c>
      <c r="C967" s="153" t="s">
        <v>5</v>
      </c>
      <c r="D967" s="153" t="s">
        <v>430</v>
      </c>
      <c r="E967" s="153" t="s">
        <v>433</v>
      </c>
      <c r="F967" s="153" t="s">
        <v>429</v>
      </c>
      <c r="G967" s="153">
        <v>6282.0</v>
      </c>
      <c r="H967" s="153">
        <v>1098.0</v>
      </c>
      <c r="I967" s="153">
        <v>17.48</v>
      </c>
      <c r="J967" s="153">
        <v>1253.0</v>
      </c>
      <c r="K967" s="153">
        <v>0.1995</v>
      </c>
      <c r="L967" s="153">
        <v>1.1412</v>
      </c>
      <c r="M967" s="153">
        <v>1253.0</v>
      </c>
    </row>
    <row r="968">
      <c r="A968" s="250">
        <v>46254.0</v>
      </c>
      <c r="B968" s="153" t="s">
        <v>135</v>
      </c>
      <c r="C968" s="153" t="s">
        <v>5</v>
      </c>
      <c r="D968" s="153" t="s">
        <v>434</v>
      </c>
      <c r="E968" s="153" t="s">
        <v>435</v>
      </c>
      <c r="F968" s="153" t="s">
        <v>429</v>
      </c>
      <c r="G968" s="153">
        <v>6282.0</v>
      </c>
      <c r="H968" s="153">
        <v>847.0</v>
      </c>
      <c r="I968" s="153">
        <v>13.48</v>
      </c>
      <c r="J968" s="153">
        <v>1233.0</v>
      </c>
      <c r="K968" s="153">
        <v>0.1963</v>
      </c>
      <c r="L968" s="153">
        <v>1.4557</v>
      </c>
      <c r="M968" s="153">
        <v>1233.0</v>
      </c>
    </row>
    <row r="969">
      <c r="A969" s="250">
        <v>46254.0</v>
      </c>
      <c r="B969" s="153" t="s">
        <v>135</v>
      </c>
      <c r="C969" s="153" t="s">
        <v>5</v>
      </c>
      <c r="D969" s="153" t="s">
        <v>434</v>
      </c>
      <c r="E969" s="153" t="s">
        <v>436</v>
      </c>
      <c r="F969" s="153" t="s">
        <v>429</v>
      </c>
      <c r="G969" s="153">
        <v>6282.0</v>
      </c>
      <c r="H969" s="153">
        <v>585.0</v>
      </c>
      <c r="I969" s="153">
        <v>9.31</v>
      </c>
      <c r="J969" s="153">
        <v>796.0</v>
      </c>
      <c r="K969" s="153">
        <v>0.1267</v>
      </c>
      <c r="L969" s="153">
        <v>1.3607</v>
      </c>
      <c r="M969" s="153">
        <v>796.0</v>
      </c>
    </row>
    <row r="970">
      <c r="A970" s="250">
        <v>46254.0</v>
      </c>
      <c r="B970" s="153" t="s">
        <v>135</v>
      </c>
      <c r="C970" s="153" t="s">
        <v>5</v>
      </c>
      <c r="D970" s="153" t="s">
        <v>434</v>
      </c>
      <c r="E970" s="153" t="s">
        <v>437</v>
      </c>
      <c r="F970" s="153" t="s">
        <v>429</v>
      </c>
      <c r="G970" s="153">
        <v>6282.0</v>
      </c>
      <c r="H970" s="153">
        <v>897.0</v>
      </c>
      <c r="I970" s="153">
        <v>14.28</v>
      </c>
      <c r="J970" s="153">
        <v>1097.0</v>
      </c>
      <c r="K970" s="153">
        <v>0.1746</v>
      </c>
      <c r="L970" s="153">
        <v>1.223</v>
      </c>
      <c r="M970" s="153">
        <v>1097.0</v>
      </c>
    </row>
    <row r="971">
      <c r="A971" s="250">
        <v>46254.0</v>
      </c>
      <c r="B971" s="153" t="s">
        <v>135</v>
      </c>
      <c r="C971" s="153" t="s">
        <v>5</v>
      </c>
      <c r="D971" s="153" t="s">
        <v>438</v>
      </c>
      <c r="E971" s="153" t="s">
        <v>439</v>
      </c>
      <c r="F971" s="153" t="s">
        <v>440</v>
      </c>
      <c r="G971" s="153">
        <v>6282.0</v>
      </c>
      <c r="H971" s="153">
        <v>4.0</v>
      </c>
      <c r="I971" s="153">
        <v>0.06</v>
      </c>
      <c r="J971" s="153">
        <v>40.0</v>
      </c>
      <c r="K971" s="153">
        <v>0.0064</v>
      </c>
      <c r="L971" s="153">
        <v>10.0</v>
      </c>
      <c r="M971" s="153">
        <v>40.0</v>
      </c>
    </row>
    <row r="972">
      <c r="A972" s="250">
        <v>46254.0</v>
      </c>
      <c r="B972" s="153" t="s">
        <v>135</v>
      </c>
      <c r="C972" s="153" t="s">
        <v>5</v>
      </c>
      <c r="D972" s="153" t="s">
        <v>441</v>
      </c>
      <c r="E972" s="153" t="s">
        <v>442</v>
      </c>
      <c r="F972" s="153" t="s">
        <v>440</v>
      </c>
      <c r="G972" s="153">
        <v>6282.0</v>
      </c>
      <c r="H972" s="153">
        <v>680.0</v>
      </c>
      <c r="I972" s="153">
        <v>10.82</v>
      </c>
      <c r="J972" s="153">
        <v>8730.0</v>
      </c>
      <c r="K972" s="153">
        <v>1.3897</v>
      </c>
      <c r="L972" s="153">
        <v>12.8382</v>
      </c>
      <c r="M972" s="153">
        <v>8730.0</v>
      </c>
    </row>
    <row r="973">
      <c r="A973" s="250">
        <v>46254.0</v>
      </c>
      <c r="B973" s="153" t="s">
        <v>135</v>
      </c>
      <c r="C973" s="153" t="s">
        <v>5</v>
      </c>
      <c r="D973" s="153" t="s">
        <v>441</v>
      </c>
      <c r="E973" s="153" t="s">
        <v>443</v>
      </c>
      <c r="F973" s="153" t="s">
        <v>440</v>
      </c>
      <c r="G973" s="153">
        <v>6282.0</v>
      </c>
      <c r="H973" s="153">
        <v>65.0</v>
      </c>
      <c r="I973" s="153">
        <v>1.03</v>
      </c>
      <c r="J973" s="153">
        <v>700.0</v>
      </c>
      <c r="K973" s="153">
        <v>0.1114</v>
      </c>
      <c r="L973" s="153">
        <v>10.7692</v>
      </c>
      <c r="M973" s="153">
        <v>700.0</v>
      </c>
    </row>
    <row r="974">
      <c r="A974" s="250">
        <v>46254.0</v>
      </c>
      <c r="B974" s="153" t="s">
        <v>135</v>
      </c>
      <c r="C974" s="153" t="s">
        <v>5</v>
      </c>
      <c r="D974" s="153" t="s">
        <v>444</v>
      </c>
      <c r="E974" s="153" t="s">
        <v>445</v>
      </c>
      <c r="F974" s="153" t="s">
        <v>440</v>
      </c>
      <c r="G974" s="153">
        <v>6282.0</v>
      </c>
      <c r="H974" s="153">
        <v>1573.0</v>
      </c>
      <c r="I974" s="153">
        <v>25.04</v>
      </c>
      <c r="J974" s="153">
        <v>67750.0</v>
      </c>
      <c r="K974" s="153">
        <v>10.7848</v>
      </c>
      <c r="L974" s="153">
        <v>43.0706</v>
      </c>
      <c r="M974" s="153">
        <v>67750.0</v>
      </c>
    </row>
    <row r="975">
      <c r="A975" s="250">
        <v>46254.0</v>
      </c>
      <c r="B975" s="153" t="s">
        <v>136</v>
      </c>
      <c r="C975" s="153" t="s">
        <v>5</v>
      </c>
      <c r="D975" s="153" t="s">
        <v>424</v>
      </c>
      <c r="E975" s="153" t="s">
        <v>425</v>
      </c>
      <c r="F975" s="153" t="s">
        <v>426</v>
      </c>
      <c r="G975" s="153">
        <v>3401.0</v>
      </c>
      <c r="H975" s="153">
        <v>1070.0</v>
      </c>
      <c r="I975" s="153">
        <v>31.46</v>
      </c>
      <c r="J975" s="153">
        <v>45973.49</v>
      </c>
      <c r="K975" s="153">
        <v>13.5176</v>
      </c>
      <c r="L975" s="153">
        <v>42.9659</v>
      </c>
      <c r="M975" s="153">
        <v>63590.0</v>
      </c>
    </row>
    <row r="976">
      <c r="A976" s="250">
        <v>46254.0</v>
      </c>
      <c r="B976" s="153" t="s">
        <v>136</v>
      </c>
      <c r="C976" s="153" t="s">
        <v>5</v>
      </c>
      <c r="D976" s="153" t="s">
        <v>427</v>
      </c>
      <c r="E976" s="153" t="s">
        <v>428</v>
      </c>
      <c r="F976" s="153" t="s">
        <v>429</v>
      </c>
      <c r="G976" s="153">
        <v>3401.0</v>
      </c>
      <c r="H976" s="153">
        <v>1429.0</v>
      </c>
      <c r="I976" s="153">
        <v>42.02</v>
      </c>
      <c r="J976" s="153">
        <v>307338.73</v>
      </c>
      <c r="K976" s="153">
        <v>90.3672</v>
      </c>
      <c r="L976" s="153">
        <v>215.0726</v>
      </c>
      <c r="M976" s="153">
        <v>357555.0</v>
      </c>
    </row>
    <row r="977">
      <c r="A977" s="250">
        <v>46254.0</v>
      </c>
      <c r="B977" s="153" t="s">
        <v>136</v>
      </c>
      <c r="C977" s="153" t="s">
        <v>5</v>
      </c>
      <c r="D977" s="153" t="s">
        <v>430</v>
      </c>
      <c r="E977" s="153" t="s">
        <v>431</v>
      </c>
      <c r="F977" s="153" t="s">
        <v>429</v>
      </c>
      <c r="G977" s="153">
        <v>3401.0</v>
      </c>
      <c r="H977" s="153">
        <v>536.0</v>
      </c>
      <c r="I977" s="153">
        <v>15.76</v>
      </c>
      <c r="J977" s="153">
        <v>639.0</v>
      </c>
      <c r="K977" s="153">
        <v>0.1879</v>
      </c>
      <c r="L977" s="153">
        <v>1.1922</v>
      </c>
      <c r="M977" s="153">
        <v>639.0</v>
      </c>
    </row>
    <row r="978">
      <c r="A978" s="250">
        <v>46254.0</v>
      </c>
      <c r="B978" s="153" t="s">
        <v>136</v>
      </c>
      <c r="C978" s="153" t="s">
        <v>5</v>
      </c>
      <c r="D978" s="153" t="s">
        <v>430</v>
      </c>
      <c r="E978" s="153" t="s">
        <v>432</v>
      </c>
      <c r="F978" s="153" t="s">
        <v>429</v>
      </c>
      <c r="G978" s="153">
        <v>3401.0</v>
      </c>
      <c r="H978" s="153">
        <v>574.0</v>
      </c>
      <c r="I978" s="153">
        <v>16.88</v>
      </c>
      <c r="J978" s="153">
        <v>1111.0</v>
      </c>
      <c r="K978" s="153">
        <v>0.3267</v>
      </c>
      <c r="L978" s="153">
        <v>1.9355</v>
      </c>
      <c r="M978" s="153">
        <v>1111.0</v>
      </c>
    </row>
    <row r="979">
      <c r="A979" s="250">
        <v>46254.0</v>
      </c>
      <c r="B979" s="153" t="s">
        <v>136</v>
      </c>
      <c r="C979" s="153" t="s">
        <v>5</v>
      </c>
      <c r="D979" s="153" t="s">
        <v>430</v>
      </c>
      <c r="E979" s="153" t="s">
        <v>433</v>
      </c>
      <c r="F979" s="153" t="s">
        <v>429</v>
      </c>
      <c r="G979" s="153">
        <v>3401.0</v>
      </c>
      <c r="H979" s="153">
        <v>948.0</v>
      </c>
      <c r="I979" s="153">
        <v>27.87</v>
      </c>
      <c r="J979" s="153">
        <v>1149.0</v>
      </c>
      <c r="K979" s="153">
        <v>0.3378</v>
      </c>
      <c r="L979" s="153">
        <v>1.212</v>
      </c>
      <c r="M979" s="153">
        <v>1149.0</v>
      </c>
    </row>
    <row r="980">
      <c r="A980" s="250">
        <v>46254.0</v>
      </c>
      <c r="B980" s="153" t="s">
        <v>136</v>
      </c>
      <c r="C980" s="153" t="s">
        <v>5</v>
      </c>
      <c r="D980" s="153" t="s">
        <v>434</v>
      </c>
      <c r="E980" s="153" t="s">
        <v>435</v>
      </c>
      <c r="F980" s="153" t="s">
        <v>429</v>
      </c>
      <c r="G980" s="153">
        <v>3401.0</v>
      </c>
      <c r="H980" s="153">
        <v>793.0</v>
      </c>
      <c r="I980" s="153">
        <v>23.32</v>
      </c>
      <c r="J980" s="153">
        <v>1424.0</v>
      </c>
      <c r="K980" s="153">
        <v>0.4187</v>
      </c>
      <c r="L980" s="153">
        <v>1.7957</v>
      </c>
      <c r="M980" s="153">
        <v>1424.0</v>
      </c>
    </row>
    <row r="981">
      <c r="A981" s="250">
        <v>46254.0</v>
      </c>
      <c r="B981" s="153" t="s">
        <v>136</v>
      </c>
      <c r="C981" s="153" t="s">
        <v>5</v>
      </c>
      <c r="D981" s="153" t="s">
        <v>434</v>
      </c>
      <c r="E981" s="153" t="s">
        <v>436</v>
      </c>
      <c r="F981" s="153" t="s">
        <v>429</v>
      </c>
      <c r="G981" s="153">
        <v>3401.0</v>
      </c>
      <c r="H981" s="153">
        <v>693.0</v>
      </c>
      <c r="I981" s="153">
        <v>20.38</v>
      </c>
      <c r="J981" s="153">
        <v>1289.0</v>
      </c>
      <c r="K981" s="153">
        <v>0.379</v>
      </c>
      <c r="L981" s="153">
        <v>1.86</v>
      </c>
      <c r="M981" s="153">
        <v>1289.0</v>
      </c>
    </row>
    <row r="982">
      <c r="A982" s="250">
        <v>46254.0</v>
      </c>
      <c r="B982" s="153" t="s">
        <v>136</v>
      </c>
      <c r="C982" s="153" t="s">
        <v>5</v>
      </c>
      <c r="D982" s="153" t="s">
        <v>434</v>
      </c>
      <c r="E982" s="153" t="s">
        <v>437</v>
      </c>
      <c r="F982" s="153" t="s">
        <v>429</v>
      </c>
      <c r="G982" s="153">
        <v>3401.0</v>
      </c>
      <c r="H982" s="153">
        <v>511.0</v>
      </c>
      <c r="I982" s="153">
        <v>15.02</v>
      </c>
      <c r="J982" s="153">
        <v>865.0</v>
      </c>
      <c r="K982" s="153">
        <v>0.2543</v>
      </c>
      <c r="L982" s="153">
        <v>1.6928</v>
      </c>
      <c r="M982" s="153">
        <v>865.0</v>
      </c>
    </row>
    <row r="983">
      <c r="A983" s="250">
        <v>46254.0</v>
      </c>
      <c r="B983" s="153" t="s">
        <v>136</v>
      </c>
      <c r="C983" s="153" t="s">
        <v>5</v>
      </c>
      <c r="D983" s="153" t="s">
        <v>441</v>
      </c>
      <c r="E983" s="153" t="s">
        <v>442</v>
      </c>
      <c r="F983" s="153" t="s">
        <v>440</v>
      </c>
      <c r="G983" s="153">
        <v>3401.0</v>
      </c>
      <c r="H983" s="153">
        <v>290.0</v>
      </c>
      <c r="I983" s="153">
        <v>8.53</v>
      </c>
      <c r="J983" s="153">
        <v>3740.0</v>
      </c>
      <c r="K983" s="153">
        <v>1.0997</v>
      </c>
      <c r="L983" s="153">
        <v>12.8966</v>
      </c>
      <c r="M983" s="153">
        <v>3740.0</v>
      </c>
    </row>
    <row r="984">
      <c r="A984" s="250">
        <v>46254.0</v>
      </c>
      <c r="B984" s="153" t="s">
        <v>136</v>
      </c>
      <c r="C984" s="153" t="s">
        <v>5</v>
      </c>
      <c r="D984" s="153" t="s">
        <v>441</v>
      </c>
      <c r="E984" s="153" t="s">
        <v>443</v>
      </c>
      <c r="F984" s="153" t="s">
        <v>440</v>
      </c>
      <c r="G984" s="153">
        <v>3401.0</v>
      </c>
      <c r="H984" s="153">
        <v>407.0</v>
      </c>
      <c r="I984" s="153">
        <v>11.97</v>
      </c>
      <c r="J984" s="153">
        <v>5000.0</v>
      </c>
      <c r="K984" s="153">
        <v>1.4702</v>
      </c>
      <c r="L984" s="153">
        <v>12.285</v>
      </c>
      <c r="M984" s="153">
        <v>5000.0</v>
      </c>
    </row>
    <row r="985">
      <c r="A985" s="250">
        <v>46254.0</v>
      </c>
      <c r="B985" s="153" t="s">
        <v>136</v>
      </c>
      <c r="C985" s="153" t="s">
        <v>5</v>
      </c>
      <c r="D985" s="153" t="s">
        <v>444</v>
      </c>
      <c r="E985" s="153" t="s">
        <v>445</v>
      </c>
      <c r="F985" s="153" t="s">
        <v>440</v>
      </c>
      <c r="G985" s="153">
        <v>3401.0</v>
      </c>
      <c r="H985" s="153">
        <v>1127.0</v>
      </c>
      <c r="I985" s="153">
        <v>33.14</v>
      </c>
      <c r="J985" s="153">
        <v>63155.0</v>
      </c>
      <c r="K985" s="153">
        <v>18.5695</v>
      </c>
      <c r="L985" s="153">
        <v>56.0382</v>
      </c>
      <c r="M985" s="153">
        <v>63155.0</v>
      </c>
    </row>
    <row r="986">
      <c r="A986" s="250">
        <v>46254.0</v>
      </c>
      <c r="B986" s="153" t="s">
        <v>137</v>
      </c>
      <c r="C986" s="153" t="s">
        <v>5</v>
      </c>
      <c r="D986" s="153" t="s">
        <v>424</v>
      </c>
      <c r="E986" s="153" t="s">
        <v>425</v>
      </c>
      <c r="F986" s="153" t="s">
        <v>426</v>
      </c>
      <c r="G986" s="153">
        <v>434.0</v>
      </c>
      <c r="H986" s="153">
        <v>126.0</v>
      </c>
      <c r="I986" s="153">
        <v>29.03</v>
      </c>
      <c r="J986" s="153">
        <v>9802.87</v>
      </c>
      <c r="K986" s="153">
        <v>22.5873</v>
      </c>
      <c r="L986" s="153">
        <v>77.8006</v>
      </c>
      <c r="M986" s="153">
        <v>182850.0</v>
      </c>
    </row>
    <row r="987">
      <c r="A987" s="250">
        <v>46254.0</v>
      </c>
      <c r="B987" s="153" t="s">
        <v>137</v>
      </c>
      <c r="C987" s="153" t="s">
        <v>5</v>
      </c>
      <c r="D987" s="153" t="s">
        <v>427</v>
      </c>
      <c r="E987" s="153" t="s">
        <v>428</v>
      </c>
      <c r="F987" s="153" t="s">
        <v>429</v>
      </c>
      <c r="G987" s="153">
        <v>434.0</v>
      </c>
      <c r="H987" s="153">
        <v>189.0</v>
      </c>
      <c r="I987" s="153">
        <v>43.55</v>
      </c>
      <c r="J987" s="153">
        <v>80343.94</v>
      </c>
      <c r="K987" s="153">
        <v>185.1243</v>
      </c>
      <c r="L987" s="153">
        <v>425.1002</v>
      </c>
      <c r="M987" s="153">
        <v>100330.0</v>
      </c>
    </row>
    <row r="988">
      <c r="A988" s="250">
        <v>46254.0</v>
      </c>
      <c r="B988" s="153" t="s">
        <v>137</v>
      </c>
      <c r="C988" s="153" t="s">
        <v>5</v>
      </c>
      <c r="D988" s="153" t="s">
        <v>430</v>
      </c>
      <c r="E988" s="153" t="s">
        <v>431</v>
      </c>
      <c r="F988" s="153" t="s">
        <v>429</v>
      </c>
      <c r="G988" s="153">
        <v>434.0</v>
      </c>
      <c r="H988" s="153">
        <v>106.0</v>
      </c>
      <c r="I988" s="153">
        <v>24.42</v>
      </c>
      <c r="J988" s="153">
        <v>1157.0</v>
      </c>
      <c r="K988" s="153">
        <v>2.6659</v>
      </c>
      <c r="L988" s="153">
        <v>10.9151</v>
      </c>
      <c r="M988" s="153">
        <v>1157.0</v>
      </c>
    </row>
    <row r="989">
      <c r="A989" s="250">
        <v>46254.0</v>
      </c>
      <c r="B989" s="153" t="s">
        <v>137</v>
      </c>
      <c r="C989" s="153" t="s">
        <v>5</v>
      </c>
      <c r="D989" s="153" t="s">
        <v>430</v>
      </c>
      <c r="E989" s="153" t="s">
        <v>432</v>
      </c>
      <c r="F989" s="153" t="s">
        <v>429</v>
      </c>
      <c r="G989" s="153">
        <v>434.0</v>
      </c>
      <c r="H989" s="153">
        <v>76.0</v>
      </c>
      <c r="I989" s="153">
        <v>17.51</v>
      </c>
      <c r="J989" s="153">
        <v>1246.0</v>
      </c>
      <c r="K989" s="153">
        <v>2.871</v>
      </c>
      <c r="L989" s="153">
        <v>16.3947</v>
      </c>
      <c r="M989" s="153">
        <v>1246.0</v>
      </c>
    </row>
    <row r="990">
      <c r="A990" s="250">
        <v>46254.0</v>
      </c>
      <c r="B990" s="153" t="s">
        <v>137</v>
      </c>
      <c r="C990" s="153" t="s">
        <v>5</v>
      </c>
      <c r="D990" s="153" t="s">
        <v>430</v>
      </c>
      <c r="E990" s="153" t="s">
        <v>433</v>
      </c>
      <c r="F990" s="153" t="s">
        <v>429</v>
      </c>
      <c r="G990" s="153">
        <v>434.0</v>
      </c>
      <c r="H990" s="153">
        <v>125.0</v>
      </c>
      <c r="I990" s="153">
        <v>28.8</v>
      </c>
      <c r="J990" s="153">
        <v>1201.0</v>
      </c>
      <c r="K990" s="153">
        <v>2.7673</v>
      </c>
      <c r="L990" s="153">
        <v>9.608</v>
      </c>
      <c r="M990" s="153">
        <v>1201.0</v>
      </c>
    </row>
    <row r="991">
      <c r="A991" s="250">
        <v>46254.0</v>
      </c>
      <c r="B991" s="153" t="s">
        <v>137</v>
      </c>
      <c r="C991" s="153" t="s">
        <v>5</v>
      </c>
      <c r="D991" s="153" t="s">
        <v>434</v>
      </c>
      <c r="E991" s="153" t="s">
        <v>435</v>
      </c>
      <c r="F991" s="153" t="s">
        <v>429</v>
      </c>
      <c r="G991" s="153">
        <v>434.0</v>
      </c>
      <c r="H991" s="153">
        <v>77.0</v>
      </c>
      <c r="I991" s="153">
        <v>17.74</v>
      </c>
      <c r="J991" s="153">
        <v>123.0</v>
      </c>
      <c r="K991" s="153">
        <v>0.2834</v>
      </c>
      <c r="L991" s="153">
        <v>1.5974</v>
      </c>
      <c r="M991" s="153">
        <v>123.0</v>
      </c>
    </row>
    <row r="992">
      <c r="A992" s="250">
        <v>46254.0</v>
      </c>
      <c r="B992" s="153" t="s">
        <v>137</v>
      </c>
      <c r="C992" s="153" t="s">
        <v>5</v>
      </c>
      <c r="D992" s="153" t="s">
        <v>434</v>
      </c>
      <c r="E992" s="153" t="s">
        <v>436</v>
      </c>
      <c r="F992" s="153" t="s">
        <v>429</v>
      </c>
      <c r="G992" s="153">
        <v>434.0</v>
      </c>
      <c r="H992" s="153">
        <v>93.0</v>
      </c>
      <c r="I992" s="153">
        <v>21.43</v>
      </c>
      <c r="J992" s="153">
        <v>165.0</v>
      </c>
      <c r="K992" s="153">
        <v>0.3802</v>
      </c>
      <c r="L992" s="153">
        <v>1.7742</v>
      </c>
      <c r="M992" s="153">
        <v>165.0</v>
      </c>
    </row>
    <row r="993">
      <c r="A993" s="250">
        <v>46254.0</v>
      </c>
      <c r="B993" s="153" t="s">
        <v>137</v>
      </c>
      <c r="C993" s="153" t="s">
        <v>5</v>
      </c>
      <c r="D993" s="153" t="s">
        <v>434</v>
      </c>
      <c r="E993" s="153" t="s">
        <v>437</v>
      </c>
      <c r="F993" s="153" t="s">
        <v>429</v>
      </c>
      <c r="G993" s="153">
        <v>434.0</v>
      </c>
      <c r="H993" s="153">
        <v>158.0</v>
      </c>
      <c r="I993" s="153">
        <v>36.41</v>
      </c>
      <c r="J993" s="153">
        <v>381.0</v>
      </c>
      <c r="K993" s="153">
        <v>0.8779</v>
      </c>
      <c r="L993" s="153">
        <v>2.4114</v>
      </c>
      <c r="M993" s="153">
        <v>381.0</v>
      </c>
    </row>
    <row r="994">
      <c r="A994" s="250">
        <v>46254.0</v>
      </c>
      <c r="B994" s="153" t="s">
        <v>137</v>
      </c>
      <c r="C994" s="153" t="s">
        <v>5</v>
      </c>
      <c r="D994" s="153" t="s">
        <v>441</v>
      </c>
      <c r="E994" s="153" t="s">
        <v>442</v>
      </c>
      <c r="F994" s="153" t="s">
        <v>440</v>
      </c>
      <c r="G994" s="153">
        <v>434.0</v>
      </c>
      <c r="H994" s="153">
        <v>57.0</v>
      </c>
      <c r="I994" s="153">
        <v>13.13</v>
      </c>
      <c r="J994" s="153">
        <v>770.0</v>
      </c>
      <c r="K994" s="153">
        <v>1.7742</v>
      </c>
      <c r="L994" s="153">
        <v>13.5088</v>
      </c>
      <c r="M994" s="153">
        <v>770.0</v>
      </c>
    </row>
    <row r="995">
      <c r="A995" s="250">
        <v>46254.0</v>
      </c>
      <c r="B995" s="153" t="s">
        <v>137</v>
      </c>
      <c r="C995" s="153" t="s">
        <v>5</v>
      </c>
      <c r="D995" s="153" t="s">
        <v>441</v>
      </c>
      <c r="E995" s="153" t="s">
        <v>443</v>
      </c>
      <c r="F995" s="153" t="s">
        <v>440</v>
      </c>
      <c r="G995" s="153">
        <v>434.0</v>
      </c>
      <c r="H995" s="153">
        <v>34.0</v>
      </c>
      <c r="I995" s="153">
        <v>7.83</v>
      </c>
      <c r="J995" s="153">
        <v>400.0</v>
      </c>
      <c r="K995" s="153">
        <v>0.9217</v>
      </c>
      <c r="L995" s="153">
        <v>11.7647</v>
      </c>
      <c r="M995" s="153">
        <v>400.0</v>
      </c>
    </row>
    <row r="996">
      <c r="A996" s="250">
        <v>46254.0</v>
      </c>
      <c r="B996" s="153" t="s">
        <v>137</v>
      </c>
      <c r="C996" s="153" t="s">
        <v>5</v>
      </c>
      <c r="D996" s="153" t="s">
        <v>444</v>
      </c>
      <c r="E996" s="153" t="s">
        <v>445</v>
      </c>
      <c r="F996" s="153" t="s">
        <v>440</v>
      </c>
      <c r="G996" s="153">
        <v>434.0</v>
      </c>
      <c r="H996" s="153">
        <v>194.0</v>
      </c>
      <c r="I996" s="153">
        <v>44.7</v>
      </c>
      <c r="J996" s="153">
        <v>14800.0</v>
      </c>
      <c r="K996" s="153">
        <v>34.1014</v>
      </c>
      <c r="L996" s="153">
        <v>76.2887</v>
      </c>
      <c r="M996" s="153">
        <v>14800.0</v>
      </c>
    </row>
    <row r="997">
      <c r="A997" s="250">
        <v>46255.0</v>
      </c>
      <c r="B997" s="153" t="s">
        <v>423</v>
      </c>
      <c r="C997" s="153" t="s">
        <v>5</v>
      </c>
      <c r="D997" s="153" t="s">
        <v>424</v>
      </c>
      <c r="E997" s="153" t="s">
        <v>425</v>
      </c>
      <c r="F997" s="153" t="s">
        <v>426</v>
      </c>
      <c r="G997" s="153">
        <v>7999.0</v>
      </c>
      <c r="H997" s="153">
        <v>31.0</v>
      </c>
      <c r="I997" s="153">
        <v>0.39</v>
      </c>
      <c r="J997" s="153">
        <v>1520.16</v>
      </c>
      <c r="K997" s="153">
        <v>0.19</v>
      </c>
      <c r="L997" s="153">
        <v>49.0373</v>
      </c>
      <c r="M997" s="153">
        <v>1880.0</v>
      </c>
    </row>
    <row r="998">
      <c r="A998" s="250">
        <v>46255.0</v>
      </c>
      <c r="B998" s="153" t="s">
        <v>423</v>
      </c>
      <c r="C998" s="153" t="s">
        <v>5</v>
      </c>
      <c r="D998" s="153" t="s">
        <v>427</v>
      </c>
      <c r="E998" s="153" t="s">
        <v>428</v>
      </c>
      <c r="F998" s="153" t="s">
        <v>429</v>
      </c>
      <c r="G998" s="153">
        <v>7999.0</v>
      </c>
      <c r="H998" s="153">
        <v>36.0</v>
      </c>
      <c r="I998" s="153">
        <v>0.45</v>
      </c>
      <c r="J998" s="153">
        <v>5025.44</v>
      </c>
      <c r="K998" s="153">
        <v>0.6283</v>
      </c>
      <c r="L998" s="153">
        <v>139.5955</v>
      </c>
      <c r="M998" s="153">
        <v>6390.0</v>
      </c>
    </row>
    <row r="999">
      <c r="A999" s="250">
        <v>46255.0</v>
      </c>
      <c r="B999" s="153" t="s">
        <v>423</v>
      </c>
      <c r="C999" s="153" t="s">
        <v>5</v>
      </c>
      <c r="D999" s="153" t="s">
        <v>430</v>
      </c>
      <c r="E999" s="153" t="s">
        <v>431</v>
      </c>
      <c r="F999" s="153" t="s">
        <v>429</v>
      </c>
      <c r="G999" s="153">
        <v>7999.0</v>
      </c>
      <c r="H999" s="153">
        <v>11.0</v>
      </c>
      <c r="I999" s="153">
        <v>0.14</v>
      </c>
      <c r="J999" s="153">
        <v>17.0</v>
      </c>
      <c r="K999" s="153">
        <v>0.0021</v>
      </c>
      <c r="L999" s="153">
        <v>1.5455</v>
      </c>
      <c r="M999" s="153">
        <v>17.0</v>
      </c>
    </row>
    <row r="1000">
      <c r="A1000" s="250">
        <v>46255.0</v>
      </c>
      <c r="B1000" s="153" t="s">
        <v>423</v>
      </c>
      <c r="C1000" s="153" t="s">
        <v>5</v>
      </c>
      <c r="D1000" s="153" t="s">
        <v>430</v>
      </c>
      <c r="E1000" s="153" t="s">
        <v>432</v>
      </c>
      <c r="F1000" s="153" t="s">
        <v>429</v>
      </c>
      <c r="G1000" s="153">
        <v>7999.0</v>
      </c>
      <c r="H1000" s="153">
        <v>10.0</v>
      </c>
      <c r="I1000" s="153">
        <v>0.13</v>
      </c>
      <c r="J1000" s="153">
        <v>17.0</v>
      </c>
      <c r="K1000" s="153">
        <v>0.0021</v>
      </c>
      <c r="L1000" s="153">
        <v>1.7</v>
      </c>
      <c r="M1000" s="153">
        <v>17.0</v>
      </c>
    </row>
    <row r="1001">
      <c r="A1001" s="250">
        <v>46255.0</v>
      </c>
      <c r="B1001" s="153" t="s">
        <v>423</v>
      </c>
      <c r="C1001" s="153" t="s">
        <v>5</v>
      </c>
      <c r="D1001" s="153" t="s">
        <v>430</v>
      </c>
      <c r="E1001" s="153" t="s">
        <v>433</v>
      </c>
      <c r="F1001" s="153" t="s">
        <v>429</v>
      </c>
      <c r="G1001" s="153">
        <v>7999.0</v>
      </c>
      <c r="H1001" s="153">
        <v>26.0</v>
      </c>
      <c r="I1001" s="153">
        <v>0.33</v>
      </c>
      <c r="J1001" s="153">
        <v>32.0</v>
      </c>
      <c r="K1001" s="153">
        <v>0.004</v>
      </c>
      <c r="L1001" s="153">
        <v>1.2308</v>
      </c>
      <c r="M1001" s="153">
        <v>32.0</v>
      </c>
    </row>
    <row r="1002">
      <c r="A1002" s="250">
        <v>46255.0</v>
      </c>
      <c r="B1002" s="153" t="s">
        <v>423</v>
      </c>
      <c r="C1002" s="153" t="s">
        <v>5</v>
      </c>
      <c r="D1002" s="153" t="s">
        <v>434</v>
      </c>
      <c r="E1002" s="153" t="s">
        <v>435</v>
      </c>
      <c r="F1002" s="153" t="s">
        <v>429</v>
      </c>
      <c r="G1002" s="153">
        <v>7999.0</v>
      </c>
      <c r="H1002" s="153">
        <v>12.0</v>
      </c>
      <c r="I1002" s="153">
        <v>0.15</v>
      </c>
      <c r="J1002" s="153">
        <v>23.0</v>
      </c>
      <c r="K1002" s="153">
        <v>0.0029</v>
      </c>
      <c r="L1002" s="153">
        <v>1.9167</v>
      </c>
      <c r="M1002" s="153">
        <v>23.0</v>
      </c>
    </row>
    <row r="1003">
      <c r="A1003" s="250">
        <v>46255.0</v>
      </c>
      <c r="B1003" s="153" t="s">
        <v>423</v>
      </c>
      <c r="C1003" s="153" t="s">
        <v>5</v>
      </c>
      <c r="D1003" s="153" t="s">
        <v>434</v>
      </c>
      <c r="E1003" s="153" t="s">
        <v>436</v>
      </c>
      <c r="F1003" s="153" t="s">
        <v>429</v>
      </c>
      <c r="G1003" s="153">
        <v>7999.0</v>
      </c>
      <c r="H1003" s="153">
        <v>11.0</v>
      </c>
      <c r="I1003" s="153">
        <v>0.14</v>
      </c>
      <c r="J1003" s="153">
        <v>19.0</v>
      </c>
      <c r="K1003" s="153">
        <v>0.0024</v>
      </c>
      <c r="L1003" s="153">
        <v>1.7273</v>
      </c>
      <c r="M1003" s="153">
        <v>19.0</v>
      </c>
    </row>
    <row r="1004">
      <c r="A1004" s="250">
        <v>46255.0</v>
      </c>
      <c r="B1004" s="153" t="s">
        <v>423</v>
      </c>
      <c r="C1004" s="153" t="s">
        <v>5</v>
      </c>
      <c r="D1004" s="153" t="s">
        <v>434</v>
      </c>
      <c r="E1004" s="153" t="s">
        <v>437</v>
      </c>
      <c r="F1004" s="153" t="s">
        <v>429</v>
      </c>
      <c r="G1004" s="153">
        <v>7999.0</v>
      </c>
      <c r="H1004" s="153">
        <v>13.0</v>
      </c>
      <c r="I1004" s="153">
        <v>0.16</v>
      </c>
      <c r="J1004" s="153">
        <v>24.0</v>
      </c>
      <c r="K1004" s="153">
        <v>0.003</v>
      </c>
      <c r="L1004" s="153">
        <v>1.8462</v>
      </c>
      <c r="M1004" s="153">
        <v>24.0</v>
      </c>
    </row>
    <row r="1005">
      <c r="A1005" s="250">
        <v>46255.0</v>
      </c>
      <c r="B1005" s="153" t="s">
        <v>423</v>
      </c>
      <c r="C1005" s="153" t="s">
        <v>5</v>
      </c>
      <c r="D1005" s="153" t="s">
        <v>438</v>
      </c>
      <c r="E1005" s="153" t="s">
        <v>439</v>
      </c>
      <c r="F1005" s="153" t="s">
        <v>440</v>
      </c>
      <c r="G1005" s="153">
        <v>7999.0</v>
      </c>
      <c r="H1005" s="153">
        <v>1.0</v>
      </c>
      <c r="I1005" s="153">
        <v>0.01</v>
      </c>
      <c r="J1005" s="153">
        <v>30.0</v>
      </c>
      <c r="K1005" s="153">
        <v>0.0038</v>
      </c>
      <c r="L1005" s="153">
        <v>30.0</v>
      </c>
      <c r="M1005" s="153">
        <v>30.0</v>
      </c>
    </row>
    <row r="1006">
      <c r="A1006" s="250">
        <v>46255.0</v>
      </c>
      <c r="B1006" s="153" t="s">
        <v>423</v>
      </c>
      <c r="C1006" s="153" t="s">
        <v>5</v>
      </c>
      <c r="D1006" s="153" t="s">
        <v>441</v>
      </c>
      <c r="E1006" s="153" t="s">
        <v>442</v>
      </c>
      <c r="F1006" s="153" t="s">
        <v>440</v>
      </c>
      <c r="G1006" s="153">
        <v>7999.0</v>
      </c>
      <c r="H1006" s="153">
        <v>4.0</v>
      </c>
      <c r="I1006" s="153">
        <v>0.05</v>
      </c>
      <c r="J1006" s="153">
        <v>70.0</v>
      </c>
      <c r="K1006" s="153">
        <v>0.0088</v>
      </c>
      <c r="L1006" s="153">
        <v>17.5</v>
      </c>
      <c r="M1006" s="153">
        <v>70.0</v>
      </c>
    </row>
    <row r="1007">
      <c r="A1007" s="250">
        <v>46255.0</v>
      </c>
      <c r="B1007" s="153" t="s">
        <v>423</v>
      </c>
      <c r="C1007" s="153" t="s">
        <v>5</v>
      </c>
      <c r="D1007" s="153" t="s">
        <v>441</v>
      </c>
      <c r="E1007" s="153" t="s">
        <v>443</v>
      </c>
      <c r="F1007" s="153" t="s">
        <v>440</v>
      </c>
      <c r="G1007" s="153">
        <v>7999.0</v>
      </c>
      <c r="H1007" s="153">
        <v>6.0</v>
      </c>
      <c r="I1007" s="153">
        <v>0.08</v>
      </c>
      <c r="J1007" s="153">
        <v>60.0</v>
      </c>
      <c r="K1007" s="153">
        <v>0.0075</v>
      </c>
      <c r="L1007" s="153">
        <v>10.0</v>
      </c>
      <c r="M1007" s="153">
        <v>60.0</v>
      </c>
    </row>
    <row r="1008">
      <c r="A1008" s="250">
        <v>46255.0</v>
      </c>
      <c r="B1008" s="153" t="s">
        <v>423</v>
      </c>
      <c r="C1008" s="153" t="s">
        <v>5</v>
      </c>
      <c r="D1008" s="153" t="s">
        <v>444</v>
      </c>
      <c r="E1008" s="153" t="s">
        <v>445</v>
      </c>
      <c r="F1008" s="153" t="s">
        <v>440</v>
      </c>
      <c r="G1008" s="153">
        <v>7999.0</v>
      </c>
      <c r="H1008" s="153">
        <v>18.0</v>
      </c>
      <c r="I1008" s="153">
        <v>0.23</v>
      </c>
      <c r="J1008" s="153">
        <v>1235.0</v>
      </c>
      <c r="K1008" s="153">
        <v>0.1544</v>
      </c>
      <c r="L1008" s="153">
        <v>68.6111</v>
      </c>
      <c r="M1008" s="153">
        <v>1235.0</v>
      </c>
    </row>
    <row r="1009">
      <c r="A1009" s="250">
        <v>46255.0</v>
      </c>
      <c r="B1009" s="153" t="s">
        <v>133</v>
      </c>
      <c r="C1009" s="153" t="s">
        <v>5</v>
      </c>
      <c r="D1009" s="153" t="s">
        <v>424</v>
      </c>
      <c r="E1009" s="153" t="s">
        <v>425</v>
      </c>
      <c r="F1009" s="153" t="s">
        <v>426</v>
      </c>
      <c r="G1009" s="153">
        <v>11056.0</v>
      </c>
      <c r="H1009" s="153">
        <v>182.0</v>
      </c>
      <c r="I1009" s="153">
        <v>1.65</v>
      </c>
      <c r="J1009" s="153">
        <v>2094.9</v>
      </c>
      <c r="K1009" s="153">
        <v>0.1895</v>
      </c>
      <c r="L1009" s="153">
        <v>11.5105</v>
      </c>
      <c r="M1009" s="153">
        <v>2790.0</v>
      </c>
    </row>
    <row r="1010">
      <c r="A1010" s="250">
        <v>46255.0</v>
      </c>
      <c r="B1010" s="153" t="s">
        <v>133</v>
      </c>
      <c r="C1010" s="153" t="s">
        <v>5</v>
      </c>
      <c r="D1010" s="153" t="s">
        <v>427</v>
      </c>
      <c r="E1010" s="153" t="s">
        <v>428</v>
      </c>
      <c r="F1010" s="153" t="s">
        <v>429</v>
      </c>
      <c r="G1010" s="153">
        <v>11056.0</v>
      </c>
      <c r="H1010" s="153">
        <v>231.0</v>
      </c>
      <c r="I1010" s="153">
        <v>2.09</v>
      </c>
      <c r="J1010" s="153">
        <v>7804.14</v>
      </c>
      <c r="K1010" s="153">
        <v>0.7059</v>
      </c>
      <c r="L1010" s="153">
        <v>33.7842</v>
      </c>
      <c r="M1010" s="153">
        <v>9690.0</v>
      </c>
    </row>
    <row r="1011">
      <c r="A1011" s="250">
        <v>46255.0</v>
      </c>
      <c r="B1011" s="153" t="s">
        <v>133</v>
      </c>
      <c r="C1011" s="153" t="s">
        <v>5</v>
      </c>
      <c r="D1011" s="153" t="s">
        <v>430</v>
      </c>
      <c r="E1011" s="153" t="s">
        <v>431</v>
      </c>
      <c r="F1011" s="153" t="s">
        <v>429</v>
      </c>
      <c r="G1011" s="153">
        <v>11056.0</v>
      </c>
      <c r="H1011" s="153">
        <v>24.0</v>
      </c>
      <c r="I1011" s="153">
        <v>0.22</v>
      </c>
      <c r="J1011" s="153">
        <v>25.0</v>
      </c>
      <c r="K1011" s="153">
        <v>0.0023</v>
      </c>
      <c r="L1011" s="153">
        <v>1.0417</v>
      </c>
      <c r="M1011" s="153">
        <v>25.0</v>
      </c>
    </row>
    <row r="1012">
      <c r="A1012" s="250">
        <v>46255.0</v>
      </c>
      <c r="B1012" s="153" t="s">
        <v>133</v>
      </c>
      <c r="C1012" s="153" t="s">
        <v>5</v>
      </c>
      <c r="D1012" s="153" t="s">
        <v>430</v>
      </c>
      <c r="E1012" s="153" t="s">
        <v>432</v>
      </c>
      <c r="F1012" s="153" t="s">
        <v>429</v>
      </c>
      <c r="G1012" s="153">
        <v>11056.0</v>
      </c>
      <c r="H1012" s="153">
        <v>116.0</v>
      </c>
      <c r="I1012" s="153">
        <v>1.05</v>
      </c>
      <c r="J1012" s="153">
        <v>171.0</v>
      </c>
      <c r="K1012" s="153">
        <v>0.0155</v>
      </c>
      <c r="L1012" s="153">
        <v>1.4741</v>
      </c>
      <c r="M1012" s="153">
        <v>171.0</v>
      </c>
    </row>
    <row r="1013">
      <c r="A1013" s="250">
        <v>46255.0</v>
      </c>
      <c r="B1013" s="153" t="s">
        <v>133</v>
      </c>
      <c r="C1013" s="153" t="s">
        <v>5</v>
      </c>
      <c r="D1013" s="153" t="s">
        <v>430</v>
      </c>
      <c r="E1013" s="153" t="s">
        <v>433</v>
      </c>
      <c r="F1013" s="153" t="s">
        <v>429</v>
      </c>
      <c r="G1013" s="153">
        <v>11056.0</v>
      </c>
      <c r="H1013" s="153">
        <v>51.0</v>
      </c>
      <c r="I1013" s="153">
        <v>0.46</v>
      </c>
      <c r="J1013" s="153">
        <v>53.0</v>
      </c>
      <c r="K1013" s="153">
        <v>0.0048</v>
      </c>
      <c r="L1013" s="153">
        <v>1.0392</v>
      </c>
      <c r="M1013" s="153">
        <v>53.0</v>
      </c>
    </row>
    <row r="1014">
      <c r="A1014" s="250">
        <v>46255.0</v>
      </c>
      <c r="B1014" s="153" t="s">
        <v>133</v>
      </c>
      <c r="C1014" s="153" t="s">
        <v>5</v>
      </c>
      <c r="D1014" s="153" t="s">
        <v>434</v>
      </c>
      <c r="E1014" s="153" t="s">
        <v>435</v>
      </c>
      <c r="F1014" s="153" t="s">
        <v>429</v>
      </c>
      <c r="G1014" s="153">
        <v>11056.0</v>
      </c>
      <c r="H1014" s="153">
        <v>114.0</v>
      </c>
      <c r="I1014" s="153">
        <v>1.03</v>
      </c>
      <c r="J1014" s="153">
        <v>116.0</v>
      </c>
      <c r="K1014" s="153">
        <v>0.0105</v>
      </c>
      <c r="L1014" s="153">
        <v>1.0175</v>
      </c>
      <c r="M1014" s="153">
        <v>116.0</v>
      </c>
    </row>
    <row r="1015">
      <c r="A1015" s="250">
        <v>46255.0</v>
      </c>
      <c r="B1015" s="153" t="s">
        <v>133</v>
      </c>
      <c r="C1015" s="153" t="s">
        <v>5</v>
      </c>
      <c r="D1015" s="153" t="s">
        <v>434</v>
      </c>
      <c r="E1015" s="153" t="s">
        <v>436</v>
      </c>
      <c r="F1015" s="153" t="s">
        <v>429</v>
      </c>
      <c r="G1015" s="153">
        <v>11056.0</v>
      </c>
      <c r="H1015" s="153">
        <v>98.0</v>
      </c>
      <c r="I1015" s="153">
        <v>0.89</v>
      </c>
      <c r="J1015" s="153">
        <v>112.0</v>
      </c>
      <c r="K1015" s="153">
        <v>0.0101</v>
      </c>
      <c r="L1015" s="153">
        <v>1.1429</v>
      </c>
      <c r="M1015" s="153">
        <v>112.0</v>
      </c>
    </row>
    <row r="1016">
      <c r="A1016" s="250">
        <v>46255.0</v>
      </c>
      <c r="B1016" s="153" t="s">
        <v>133</v>
      </c>
      <c r="C1016" s="153" t="s">
        <v>5</v>
      </c>
      <c r="D1016" s="153" t="s">
        <v>434</v>
      </c>
      <c r="E1016" s="153" t="s">
        <v>437</v>
      </c>
      <c r="F1016" s="153" t="s">
        <v>429</v>
      </c>
      <c r="G1016" s="153">
        <v>11056.0</v>
      </c>
      <c r="H1016" s="153">
        <v>3.0</v>
      </c>
      <c r="I1016" s="153">
        <v>0.03</v>
      </c>
      <c r="J1016" s="153">
        <v>4.0</v>
      </c>
      <c r="K1016" s="153">
        <v>4.0E-4</v>
      </c>
      <c r="L1016" s="153">
        <v>1.3333</v>
      </c>
      <c r="M1016" s="153">
        <v>4.0</v>
      </c>
    </row>
    <row r="1017">
      <c r="A1017" s="250">
        <v>46255.0</v>
      </c>
      <c r="B1017" s="153" t="s">
        <v>133</v>
      </c>
      <c r="C1017" s="153" t="s">
        <v>5</v>
      </c>
      <c r="D1017" s="153" t="s">
        <v>438</v>
      </c>
      <c r="E1017" s="153" t="s">
        <v>439</v>
      </c>
      <c r="F1017" s="153" t="s">
        <v>440</v>
      </c>
      <c r="G1017" s="153">
        <v>11056.0</v>
      </c>
      <c r="H1017" s="153">
        <v>2.0</v>
      </c>
      <c r="I1017" s="153">
        <v>0.02</v>
      </c>
      <c r="J1017" s="153">
        <v>30.0</v>
      </c>
      <c r="K1017" s="153">
        <v>0.0027</v>
      </c>
      <c r="L1017" s="153">
        <v>15.0</v>
      </c>
      <c r="M1017" s="153">
        <v>30.0</v>
      </c>
    </row>
    <row r="1018">
      <c r="A1018" s="250">
        <v>46255.0</v>
      </c>
      <c r="B1018" s="153" t="s">
        <v>133</v>
      </c>
      <c r="C1018" s="153" t="s">
        <v>5</v>
      </c>
      <c r="D1018" s="153" t="s">
        <v>441</v>
      </c>
      <c r="E1018" s="153" t="s">
        <v>442</v>
      </c>
      <c r="F1018" s="153" t="s">
        <v>440</v>
      </c>
      <c r="G1018" s="153">
        <v>11056.0</v>
      </c>
      <c r="H1018" s="153">
        <v>23.0</v>
      </c>
      <c r="I1018" s="153">
        <v>0.21</v>
      </c>
      <c r="J1018" s="153">
        <v>250.0</v>
      </c>
      <c r="K1018" s="153">
        <v>0.0226</v>
      </c>
      <c r="L1018" s="153">
        <v>10.8696</v>
      </c>
      <c r="M1018" s="153">
        <v>250.0</v>
      </c>
    </row>
    <row r="1019">
      <c r="A1019" s="250">
        <v>46255.0</v>
      </c>
      <c r="B1019" s="153" t="s">
        <v>133</v>
      </c>
      <c r="C1019" s="153" t="s">
        <v>5</v>
      </c>
      <c r="D1019" s="153" t="s">
        <v>444</v>
      </c>
      <c r="E1019" s="153" t="s">
        <v>445</v>
      </c>
      <c r="F1019" s="153" t="s">
        <v>440</v>
      </c>
      <c r="G1019" s="153">
        <v>11056.0</v>
      </c>
      <c r="H1019" s="153">
        <v>171.0</v>
      </c>
      <c r="I1019" s="153">
        <v>1.55</v>
      </c>
      <c r="J1019" s="153">
        <v>3520.0</v>
      </c>
      <c r="K1019" s="153">
        <v>0.3184</v>
      </c>
      <c r="L1019" s="153">
        <v>20.5848</v>
      </c>
      <c r="M1019" s="153">
        <v>3520.0</v>
      </c>
    </row>
    <row r="1020">
      <c r="A1020" s="250">
        <v>46255.0</v>
      </c>
      <c r="B1020" s="153" t="s">
        <v>134</v>
      </c>
      <c r="C1020" s="153" t="s">
        <v>5</v>
      </c>
      <c r="D1020" s="153" t="s">
        <v>424</v>
      </c>
      <c r="E1020" s="153" t="s">
        <v>425</v>
      </c>
      <c r="F1020" s="153" t="s">
        <v>426</v>
      </c>
      <c r="G1020" s="153">
        <v>8360.0</v>
      </c>
      <c r="H1020" s="153">
        <v>127.0</v>
      </c>
      <c r="I1020" s="153">
        <v>1.52</v>
      </c>
      <c r="J1020" s="153">
        <v>1727.53</v>
      </c>
      <c r="K1020" s="153">
        <v>0.2066</v>
      </c>
      <c r="L1020" s="153">
        <v>13.6026</v>
      </c>
      <c r="M1020" s="153">
        <v>2300.0</v>
      </c>
    </row>
    <row r="1021">
      <c r="A1021" s="250">
        <v>46255.0</v>
      </c>
      <c r="B1021" s="153" t="s">
        <v>134</v>
      </c>
      <c r="C1021" s="153" t="s">
        <v>5</v>
      </c>
      <c r="D1021" s="153" t="s">
        <v>427</v>
      </c>
      <c r="E1021" s="153" t="s">
        <v>428</v>
      </c>
      <c r="F1021" s="153" t="s">
        <v>429</v>
      </c>
      <c r="G1021" s="153">
        <v>8360.0</v>
      </c>
      <c r="H1021" s="153">
        <v>216.0</v>
      </c>
      <c r="I1021" s="153">
        <v>2.58</v>
      </c>
      <c r="J1021" s="153">
        <v>12391.97</v>
      </c>
      <c r="K1021" s="153">
        <v>1.4823</v>
      </c>
      <c r="L1021" s="153">
        <v>57.3702</v>
      </c>
      <c r="M1021" s="153">
        <v>15150.0</v>
      </c>
    </row>
    <row r="1022">
      <c r="A1022" s="250">
        <v>46255.0</v>
      </c>
      <c r="B1022" s="153" t="s">
        <v>134</v>
      </c>
      <c r="C1022" s="153" t="s">
        <v>5</v>
      </c>
      <c r="D1022" s="153" t="s">
        <v>430</v>
      </c>
      <c r="E1022" s="153" t="s">
        <v>431</v>
      </c>
      <c r="F1022" s="153" t="s">
        <v>429</v>
      </c>
      <c r="G1022" s="153">
        <v>8360.0</v>
      </c>
      <c r="H1022" s="153">
        <v>67.0</v>
      </c>
      <c r="I1022" s="153">
        <v>0.8</v>
      </c>
      <c r="J1022" s="153">
        <v>74.0</v>
      </c>
      <c r="K1022" s="153">
        <v>0.0089</v>
      </c>
      <c r="L1022" s="153">
        <v>1.1045</v>
      </c>
      <c r="M1022" s="153">
        <v>74.0</v>
      </c>
    </row>
    <row r="1023">
      <c r="A1023" s="250">
        <v>46255.0</v>
      </c>
      <c r="B1023" s="153" t="s">
        <v>134</v>
      </c>
      <c r="C1023" s="153" t="s">
        <v>5</v>
      </c>
      <c r="D1023" s="153" t="s">
        <v>430</v>
      </c>
      <c r="E1023" s="153" t="s">
        <v>432</v>
      </c>
      <c r="F1023" s="153" t="s">
        <v>429</v>
      </c>
      <c r="G1023" s="153">
        <v>8360.0</v>
      </c>
      <c r="H1023" s="153">
        <v>122.0</v>
      </c>
      <c r="I1023" s="153">
        <v>1.46</v>
      </c>
      <c r="J1023" s="153">
        <v>200.0</v>
      </c>
      <c r="K1023" s="153">
        <v>0.0239</v>
      </c>
      <c r="L1023" s="153">
        <v>1.6393</v>
      </c>
      <c r="M1023" s="153">
        <v>200.0</v>
      </c>
    </row>
    <row r="1024">
      <c r="A1024" s="250">
        <v>46255.0</v>
      </c>
      <c r="B1024" s="153" t="s">
        <v>134</v>
      </c>
      <c r="C1024" s="153" t="s">
        <v>5</v>
      </c>
      <c r="D1024" s="153" t="s">
        <v>430</v>
      </c>
      <c r="E1024" s="153" t="s">
        <v>433</v>
      </c>
      <c r="F1024" s="153" t="s">
        <v>429</v>
      </c>
      <c r="G1024" s="153">
        <v>8360.0</v>
      </c>
      <c r="H1024" s="153">
        <v>64.0</v>
      </c>
      <c r="I1024" s="153">
        <v>0.77</v>
      </c>
      <c r="J1024" s="153">
        <v>73.0</v>
      </c>
      <c r="K1024" s="153">
        <v>0.0087</v>
      </c>
      <c r="L1024" s="153">
        <v>1.1406</v>
      </c>
      <c r="M1024" s="153">
        <v>73.0</v>
      </c>
    </row>
    <row r="1025">
      <c r="A1025" s="250">
        <v>46255.0</v>
      </c>
      <c r="B1025" s="153" t="s">
        <v>134</v>
      </c>
      <c r="C1025" s="153" t="s">
        <v>5</v>
      </c>
      <c r="D1025" s="153" t="s">
        <v>434</v>
      </c>
      <c r="E1025" s="153" t="s">
        <v>435</v>
      </c>
      <c r="F1025" s="153" t="s">
        <v>429</v>
      </c>
      <c r="G1025" s="153">
        <v>8360.0</v>
      </c>
      <c r="H1025" s="153">
        <v>68.0</v>
      </c>
      <c r="I1025" s="153">
        <v>0.81</v>
      </c>
      <c r="J1025" s="153">
        <v>70.0</v>
      </c>
      <c r="K1025" s="153">
        <v>0.0084</v>
      </c>
      <c r="L1025" s="153">
        <v>1.0294</v>
      </c>
      <c r="M1025" s="153">
        <v>70.0</v>
      </c>
    </row>
    <row r="1026">
      <c r="A1026" s="250">
        <v>46255.0</v>
      </c>
      <c r="B1026" s="153" t="s">
        <v>134</v>
      </c>
      <c r="C1026" s="153" t="s">
        <v>5</v>
      </c>
      <c r="D1026" s="153" t="s">
        <v>434</v>
      </c>
      <c r="E1026" s="153" t="s">
        <v>436</v>
      </c>
      <c r="F1026" s="153" t="s">
        <v>429</v>
      </c>
      <c r="G1026" s="153">
        <v>8360.0</v>
      </c>
      <c r="H1026" s="153">
        <v>67.0</v>
      </c>
      <c r="I1026" s="153">
        <v>0.8</v>
      </c>
      <c r="J1026" s="153">
        <v>99.0</v>
      </c>
      <c r="K1026" s="153">
        <v>0.0118</v>
      </c>
      <c r="L1026" s="153">
        <v>1.4776</v>
      </c>
      <c r="M1026" s="153">
        <v>99.0</v>
      </c>
    </row>
    <row r="1027">
      <c r="A1027" s="250">
        <v>46255.0</v>
      </c>
      <c r="B1027" s="153" t="s">
        <v>134</v>
      </c>
      <c r="C1027" s="153" t="s">
        <v>5</v>
      </c>
      <c r="D1027" s="153" t="s">
        <v>434</v>
      </c>
      <c r="E1027" s="153" t="s">
        <v>437</v>
      </c>
      <c r="F1027" s="153" t="s">
        <v>429</v>
      </c>
      <c r="G1027" s="153">
        <v>8360.0</v>
      </c>
      <c r="H1027" s="153">
        <v>50.0</v>
      </c>
      <c r="I1027" s="153">
        <v>0.6</v>
      </c>
      <c r="J1027" s="153">
        <v>55.0</v>
      </c>
      <c r="K1027" s="153">
        <v>0.0066</v>
      </c>
      <c r="L1027" s="153">
        <v>1.1</v>
      </c>
      <c r="M1027" s="153">
        <v>55.0</v>
      </c>
    </row>
    <row r="1028">
      <c r="A1028" s="250">
        <v>46255.0</v>
      </c>
      <c r="B1028" s="153" t="s">
        <v>134</v>
      </c>
      <c r="C1028" s="153" t="s">
        <v>5</v>
      </c>
      <c r="D1028" s="153" t="s">
        <v>438</v>
      </c>
      <c r="E1028" s="153" t="s">
        <v>439</v>
      </c>
      <c r="F1028" s="153" t="s">
        <v>440</v>
      </c>
      <c r="G1028" s="153">
        <v>8360.0</v>
      </c>
      <c r="H1028" s="153">
        <v>8.0</v>
      </c>
      <c r="I1028" s="153">
        <v>0.1</v>
      </c>
      <c r="J1028" s="153">
        <v>190.0</v>
      </c>
      <c r="K1028" s="153">
        <v>0.0227</v>
      </c>
      <c r="L1028" s="153">
        <v>23.75</v>
      </c>
      <c r="M1028" s="153">
        <v>190.0</v>
      </c>
    </row>
    <row r="1029">
      <c r="A1029" s="250">
        <v>46255.0</v>
      </c>
      <c r="B1029" s="153" t="s">
        <v>134</v>
      </c>
      <c r="C1029" s="153" t="s">
        <v>5</v>
      </c>
      <c r="D1029" s="153" t="s">
        <v>441</v>
      </c>
      <c r="E1029" s="153" t="s">
        <v>442</v>
      </c>
      <c r="F1029" s="153" t="s">
        <v>440</v>
      </c>
      <c r="G1029" s="153">
        <v>8360.0</v>
      </c>
      <c r="H1029" s="153">
        <v>65.0</v>
      </c>
      <c r="I1029" s="153">
        <v>0.78</v>
      </c>
      <c r="J1029" s="153">
        <v>740.0</v>
      </c>
      <c r="K1029" s="153">
        <v>0.0885</v>
      </c>
      <c r="L1029" s="153">
        <v>11.3846</v>
      </c>
      <c r="M1029" s="153">
        <v>740.0</v>
      </c>
    </row>
    <row r="1030">
      <c r="A1030" s="250">
        <v>46255.0</v>
      </c>
      <c r="B1030" s="153" t="s">
        <v>134</v>
      </c>
      <c r="C1030" s="153" t="s">
        <v>5</v>
      </c>
      <c r="D1030" s="153" t="s">
        <v>444</v>
      </c>
      <c r="E1030" s="153" t="s">
        <v>445</v>
      </c>
      <c r="F1030" s="153" t="s">
        <v>440</v>
      </c>
      <c r="G1030" s="153">
        <v>8360.0</v>
      </c>
      <c r="H1030" s="153">
        <v>160.0</v>
      </c>
      <c r="I1030" s="153">
        <v>1.91</v>
      </c>
      <c r="J1030" s="153">
        <v>5035.0</v>
      </c>
      <c r="K1030" s="153">
        <v>0.6023</v>
      </c>
      <c r="L1030" s="153">
        <v>31.4688</v>
      </c>
      <c r="M1030" s="153">
        <v>5035.0</v>
      </c>
    </row>
    <row r="1031">
      <c r="A1031" s="250">
        <v>46255.0</v>
      </c>
      <c r="B1031" s="153" t="s">
        <v>135</v>
      </c>
      <c r="C1031" s="153" t="s">
        <v>5</v>
      </c>
      <c r="D1031" s="153" t="s">
        <v>424</v>
      </c>
      <c r="E1031" s="153" t="s">
        <v>425</v>
      </c>
      <c r="F1031" s="153" t="s">
        <v>426</v>
      </c>
      <c r="G1031" s="153">
        <v>6380.0</v>
      </c>
      <c r="H1031" s="153">
        <v>111.0</v>
      </c>
      <c r="I1031" s="153">
        <v>1.74</v>
      </c>
      <c r="J1031" s="153">
        <v>2109.77</v>
      </c>
      <c r="K1031" s="153">
        <v>0.3307</v>
      </c>
      <c r="L1031" s="153">
        <v>19.0069</v>
      </c>
      <c r="M1031" s="153">
        <v>2710.0</v>
      </c>
    </row>
    <row r="1032">
      <c r="A1032" s="250">
        <v>46255.0</v>
      </c>
      <c r="B1032" s="153" t="s">
        <v>135</v>
      </c>
      <c r="C1032" s="153" t="s">
        <v>5</v>
      </c>
      <c r="D1032" s="153" t="s">
        <v>427</v>
      </c>
      <c r="E1032" s="153" t="s">
        <v>428</v>
      </c>
      <c r="F1032" s="153" t="s">
        <v>429</v>
      </c>
      <c r="G1032" s="153">
        <v>6380.0</v>
      </c>
      <c r="H1032" s="153">
        <v>143.0</v>
      </c>
      <c r="I1032" s="153">
        <v>2.24</v>
      </c>
      <c r="J1032" s="153">
        <v>11446.19</v>
      </c>
      <c r="K1032" s="153">
        <v>1.7941</v>
      </c>
      <c r="L1032" s="153">
        <v>80.0433</v>
      </c>
      <c r="M1032" s="153">
        <v>14100.0</v>
      </c>
    </row>
    <row r="1033">
      <c r="A1033" s="250">
        <v>46255.0</v>
      </c>
      <c r="B1033" s="153" t="s">
        <v>135</v>
      </c>
      <c r="C1033" s="153" t="s">
        <v>5</v>
      </c>
      <c r="D1033" s="153" t="s">
        <v>430</v>
      </c>
      <c r="E1033" s="153" t="s">
        <v>431</v>
      </c>
      <c r="F1033" s="153" t="s">
        <v>429</v>
      </c>
      <c r="G1033" s="153">
        <v>6380.0</v>
      </c>
      <c r="H1033" s="153">
        <v>36.0</v>
      </c>
      <c r="I1033" s="153">
        <v>0.56</v>
      </c>
      <c r="J1033" s="153">
        <v>42.0</v>
      </c>
      <c r="K1033" s="153">
        <v>0.0066</v>
      </c>
      <c r="L1033" s="153">
        <v>1.1667</v>
      </c>
      <c r="M1033" s="153">
        <v>42.0</v>
      </c>
    </row>
    <row r="1034">
      <c r="A1034" s="250">
        <v>46255.0</v>
      </c>
      <c r="B1034" s="153" t="s">
        <v>135</v>
      </c>
      <c r="C1034" s="153" t="s">
        <v>5</v>
      </c>
      <c r="D1034" s="153" t="s">
        <v>430</v>
      </c>
      <c r="E1034" s="153" t="s">
        <v>432</v>
      </c>
      <c r="F1034" s="153" t="s">
        <v>429</v>
      </c>
      <c r="G1034" s="153">
        <v>6380.0</v>
      </c>
      <c r="H1034" s="153">
        <v>94.0</v>
      </c>
      <c r="I1034" s="153">
        <v>1.47</v>
      </c>
      <c r="J1034" s="153">
        <v>141.0</v>
      </c>
      <c r="K1034" s="153">
        <v>0.0221</v>
      </c>
      <c r="L1034" s="153">
        <v>1.5</v>
      </c>
      <c r="M1034" s="153">
        <v>141.0</v>
      </c>
    </row>
    <row r="1035">
      <c r="A1035" s="250">
        <v>46255.0</v>
      </c>
      <c r="B1035" s="153" t="s">
        <v>135</v>
      </c>
      <c r="C1035" s="153" t="s">
        <v>5</v>
      </c>
      <c r="D1035" s="153" t="s">
        <v>430</v>
      </c>
      <c r="E1035" s="153" t="s">
        <v>433</v>
      </c>
      <c r="F1035" s="153" t="s">
        <v>429</v>
      </c>
      <c r="G1035" s="153">
        <v>6380.0</v>
      </c>
      <c r="H1035" s="153">
        <v>72.0</v>
      </c>
      <c r="I1035" s="153">
        <v>1.13</v>
      </c>
      <c r="J1035" s="153">
        <v>82.0</v>
      </c>
      <c r="K1035" s="153">
        <v>0.0129</v>
      </c>
      <c r="L1035" s="153">
        <v>1.1389</v>
      </c>
      <c r="M1035" s="153">
        <v>82.0</v>
      </c>
    </row>
    <row r="1036">
      <c r="A1036" s="250">
        <v>46255.0</v>
      </c>
      <c r="B1036" s="153" t="s">
        <v>135</v>
      </c>
      <c r="C1036" s="153" t="s">
        <v>5</v>
      </c>
      <c r="D1036" s="153" t="s">
        <v>434</v>
      </c>
      <c r="E1036" s="153" t="s">
        <v>435</v>
      </c>
      <c r="F1036" s="153" t="s">
        <v>429</v>
      </c>
      <c r="G1036" s="153">
        <v>6380.0</v>
      </c>
      <c r="H1036" s="153">
        <v>66.0</v>
      </c>
      <c r="I1036" s="153">
        <v>1.03</v>
      </c>
      <c r="J1036" s="153">
        <v>101.0</v>
      </c>
      <c r="K1036" s="153">
        <v>0.0158</v>
      </c>
      <c r="L1036" s="153">
        <v>1.5303</v>
      </c>
      <c r="M1036" s="153">
        <v>101.0</v>
      </c>
    </row>
    <row r="1037">
      <c r="A1037" s="250">
        <v>46255.0</v>
      </c>
      <c r="B1037" s="153" t="s">
        <v>135</v>
      </c>
      <c r="C1037" s="153" t="s">
        <v>5</v>
      </c>
      <c r="D1037" s="153" t="s">
        <v>434</v>
      </c>
      <c r="E1037" s="153" t="s">
        <v>436</v>
      </c>
      <c r="F1037" s="153" t="s">
        <v>429</v>
      </c>
      <c r="G1037" s="153">
        <v>6380.0</v>
      </c>
      <c r="H1037" s="153">
        <v>40.0</v>
      </c>
      <c r="I1037" s="153">
        <v>0.63</v>
      </c>
      <c r="J1037" s="153">
        <v>47.0</v>
      </c>
      <c r="K1037" s="153">
        <v>0.0074</v>
      </c>
      <c r="L1037" s="153">
        <v>1.175</v>
      </c>
      <c r="M1037" s="153">
        <v>47.0</v>
      </c>
    </row>
    <row r="1038">
      <c r="A1038" s="250">
        <v>46255.0</v>
      </c>
      <c r="B1038" s="153" t="s">
        <v>135</v>
      </c>
      <c r="C1038" s="153" t="s">
        <v>5</v>
      </c>
      <c r="D1038" s="153" t="s">
        <v>434</v>
      </c>
      <c r="E1038" s="153" t="s">
        <v>437</v>
      </c>
      <c r="F1038" s="153" t="s">
        <v>429</v>
      </c>
      <c r="G1038" s="153">
        <v>6380.0</v>
      </c>
      <c r="H1038" s="153">
        <v>38.0</v>
      </c>
      <c r="I1038" s="153">
        <v>0.6</v>
      </c>
      <c r="J1038" s="153">
        <v>47.0</v>
      </c>
      <c r="K1038" s="153">
        <v>0.0074</v>
      </c>
      <c r="L1038" s="153">
        <v>1.2368</v>
      </c>
      <c r="M1038" s="153">
        <v>47.0</v>
      </c>
    </row>
    <row r="1039">
      <c r="A1039" s="250">
        <v>46255.0</v>
      </c>
      <c r="B1039" s="153" t="s">
        <v>135</v>
      </c>
      <c r="C1039" s="153" t="s">
        <v>5</v>
      </c>
      <c r="D1039" s="153" t="s">
        <v>441</v>
      </c>
      <c r="E1039" s="153" t="s">
        <v>442</v>
      </c>
      <c r="F1039" s="153" t="s">
        <v>440</v>
      </c>
      <c r="G1039" s="153">
        <v>6380.0</v>
      </c>
      <c r="H1039" s="153">
        <v>39.0</v>
      </c>
      <c r="I1039" s="153">
        <v>0.61</v>
      </c>
      <c r="J1039" s="153">
        <v>440.0</v>
      </c>
      <c r="K1039" s="153">
        <v>0.069</v>
      </c>
      <c r="L1039" s="153">
        <v>11.2821</v>
      </c>
      <c r="M1039" s="153">
        <v>440.0</v>
      </c>
    </row>
    <row r="1040">
      <c r="A1040" s="250">
        <v>46255.0</v>
      </c>
      <c r="B1040" s="153" t="s">
        <v>135</v>
      </c>
      <c r="C1040" s="153" t="s">
        <v>5</v>
      </c>
      <c r="D1040" s="153" t="s">
        <v>441</v>
      </c>
      <c r="E1040" s="153" t="s">
        <v>443</v>
      </c>
      <c r="F1040" s="153" t="s">
        <v>440</v>
      </c>
      <c r="G1040" s="153">
        <v>6380.0</v>
      </c>
      <c r="H1040" s="153">
        <v>8.0</v>
      </c>
      <c r="I1040" s="153">
        <v>0.13</v>
      </c>
      <c r="J1040" s="153">
        <v>100.0</v>
      </c>
      <c r="K1040" s="153">
        <v>0.0157</v>
      </c>
      <c r="L1040" s="153">
        <v>12.5</v>
      </c>
      <c r="M1040" s="153">
        <v>100.0</v>
      </c>
    </row>
    <row r="1041">
      <c r="A1041" s="250">
        <v>46255.0</v>
      </c>
      <c r="B1041" s="153" t="s">
        <v>135</v>
      </c>
      <c r="C1041" s="153" t="s">
        <v>5</v>
      </c>
      <c r="D1041" s="153" t="s">
        <v>444</v>
      </c>
      <c r="E1041" s="153" t="s">
        <v>445</v>
      </c>
      <c r="F1041" s="153" t="s">
        <v>440</v>
      </c>
      <c r="G1041" s="153">
        <v>6380.0</v>
      </c>
      <c r="H1041" s="153">
        <v>117.0</v>
      </c>
      <c r="I1041" s="153">
        <v>1.83</v>
      </c>
      <c r="J1041" s="153">
        <v>4490.0</v>
      </c>
      <c r="K1041" s="153">
        <v>0.7038</v>
      </c>
      <c r="L1041" s="153">
        <v>38.3761</v>
      </c>
      <c r="M1041" s="153">
        <v>4490.0</v>
      </c>
    </row>
    <row r="1042">
      <c r="A1042" s="250">
        <v>46255.0</v>
      </c>
      <c r="B1042" s="153" t="s">
        <v>136</v>
      </c>
      <c r="C1042" s="153" t="s">
        <v>5</v>
      </c>
      <c r="D1042" s="153" t="s">
        <v>424</v>
      </c>
      <c r="E1042" s="153" t="s">
        <v>425</v>
      </c>
      <c r="F1042" s="153" t="s">
        <v>426</v>
      </c>
      <c r="G1042" s="153">
        <v>3455.0</v>
      </c>
      <c r="H1042" s="153">
        <v>58.0</v>
      </c>
      <c r="I1042" s="153">
        <v>1.68</v>
      </c>
      <c r="J1042" s="153">
        <v>2087.85</v>
      </c>
      <c r="K1042" s="153">
        <v>0.6043</v>
      </c>
      <c r="L1042" s="153">
        <v>35.9975</v>
      </c>
      <c r="M1042" s="153">
        <v>2690.0</v>
      </c>
    </row>
    <row r="1043">
      <c r="A1043" s="250">
        <v>46255.0</v>
      </c>
      <c r="B1043" s="153" t="s">
        <v>136</v>
      </c>
      <c r="C1043" s="153" t="s">
        <v>5</v>
      </c>
      <c r="D1043" s="153" t="s">
        <v>427</v>
      </c>
      <c r="E1043" s="153" t="s">
        <v>428</v>
      </c>
      <c r="F1043" s="153" t="s">
        <v>429</v>
      </c>
      <c r="G1043" s="153">
        <v>3455.0</v>
      </c>
      <c r="H1043" s="153">
        <v>88.0</v>
      </c>
      <c r="I1043" s="153">
        <v>2.55</v>
      </c>
      <c r="J1043" s="153">
        <v>13743.47</v>
      </c>
      <c r="K1043" s="153">
        <v>3.9778</v>
      </c>
      <c r="L1043" s="153">
        <v>156.1758</v>
      </c>
      <c r="M1043" s="153">
        <v>16155.0</v>
      </c>
    </row>
    <row r="1044">
      <c r="A1044" s="250">
        <v>46255.0</v>
      </c>
      <c r="B1044" s="153" t="s">
        <v>136</v>
      </c>
      <c r="C1044" s="153" t="s">
        <v>5</v>
      </c>
      <c r="D1044" s="153" t="s">
        <v>430</v>
      </c>
      <c r="E1044" s="153" t="s">
        <v>431</v>
      </c>
      <c r="F1044" s="153" t="s">
        <v>429</v>
      </c>
      <c r="G1044" s="153">
        <v>3455.0</v>
      </c>
      <c r="H1044" s="153">
        <v>23.0</v>
      </c>
      <c r="I1044" s="153">
        <v>0.67</v>
      </c>
      <c r="J1044" s="153">
        <v>23.0</v>
      </c>
      <c r="K1044" s="153">
        <v>0.0067</v>
      </c>
      <c r="L1044" s="153">
        <v>1.0</v>
      </c>
      <c r="M1044" s="153">
        <v>23.0</v>
      </c>
    </row>
    <row r="1045">
      <c r="A1045" s="250">
        <v>46255.0</v>
      </c>
      <c r="B1045" s="153" t="s">
        <v>136</v>
      </c>
      <c r="C1045" s="153" t="s">
        <v>5</v>
      </c>
      <c r="D1045" s="153" t="s">
        <v>430</v>
      </c>
      <c r="E1045" s="153" t="s">
        <v>432</v>
      </c>
      <c r="F1045" s="153" t="s">
        <v>429</v>
      </c>
      <c r="G1045" s="153">
        <v>3455.0</v>
      </c>
      <c r="H1045" s="153">
        <v>48.0</v>
      </c>
      <c r="I1045" s="153">
        <v>1.39</v>
      </c>
      <c r="J1045" s="153">
        <v>74.0</v>
      </c>
      <c r="K1045" s="153">
        <v>0.0214</v>
      </c>
      <c r="L1045" s="153">
        <v>1.5417</v>
      </c>
      <c r="M1045" s="153">
        <v>74.0</v>
      </c>
    </row>
    <row r="1046">
      <c r="A1046" s="250">
        <v>46255.0</v>
      </c>
      <c r="B1046" s="153" t="s">
        <v>136</v>
      </c>
      <c r="C1046" s="153" t="s">
        <v>5</v>
      </c>
      <c r="D1046" s="153" t="s">
        <v>430</v>
      </c>
      <c r="E1046" s="153" t="s">
        <v>433</v>
      </c>
      <c r="F1046" s="153" t="s">
        <v>429</v>
      </c>
      <c r="G1046" s="153">
        <v>3455.0</v>
      </c>
      <c r="H1046" s="153">
        <v>37.0</v>
      </c>
      <c r="I1046" s="153">
        <v>1.07</v>
      </c>
      <c r="J1046" s="153">
        <v>40.0</v>
      </c>
      <c r="K1046" s="153">
        <v>0.0116</v>
      </c>
      <c r="L1046" s="153">
        <v>1.0811</v>
      </c>
      <c r="M1046" s="153">
        <v>40.0</v>
      </c>
    </row>
    <row r="1047">
      <c r="A1047" s="250">
        <v>46255.0</v>
      </c>
      <c r="B1047" s="153" t="s">
        <v>136</v>
      </c>
      <c r="C1047" s="153" t="s">
        <v>5</v>
      </c>
      <c r="D1047" s="153" t="s">
        <v>434</v>
      </c>
      <c r="E1047" s="153" t="s">
        <v>435</v>
      </c>
      <c r="F1047" s="153" t="s">
        <v>429</v>
      </c>
      <c r="G1047" s="153">
        <v>3455.0</v>
      </c>
      <c r="H1047" s="153">
        <v>51.0</v>
      </c>
      <c r="I1047" s="153">
        <v>1.48</v>
      </c>
      <c r="J1047" s="153">
        <v>84.0</v>
      </c>
      <c r="K1047" s="153">
        <v>0.0243</v>
      </c>
      <c r="L1047" s="153">
        <v>1.6471</v>
      </c>
      <c r="M1047" s="153">
        <v>84.0</v>
      </c>
    </row>
    <row r="1048">
      <c r="A1048" s="250">
        <v>46255.0</v>
      </c>
      <c r="B1048" s="153" t="s">
        <v>136</v>
      </c>
      <c r="C1048" s="153" t="s">
        <v>5</v>
      </c>
      <c r="D1048" s="153" t="s">
        <v>434</v>
      </c>
      <c r="E1048" s="153" t="s">
        <v>436</v>
      </c>
      <c r="F1048" s="153" t="s">
        <v>429</v>
      </c>
      <c r="G1048" s="153">
        <v>3455.0</v>
      </c>
      <c r="H1048" s="153">
        <v>37.0</v>
      </c>
      <c r="I1048" s="153">
        <v>1.07</v>
      </c>
      <c r="J1048" s="153">
        <v>54.0</v>
      </c>
      <c r="K1048" s="153">
        <v>0.0156</v>
      </c>
      <c r="L1048" s="153">
        <v>1.4595</v>
      </c>
      <c r="M1048" s="153">
        <v>54.0</v>
      </c>
    </row>
    <row r="1049">
      <c r="A1049" s="250">
        <v>46255.0</v>
      </c>
      <c r="B1049" s="153" t="s">
        <v>136</v>
      </c>
      <c r="C1049" s="153" t="s">
        <v>5</v>
      </c>
      <c r="D1049" s="153" t="s">
        <v>434</v>
      </c>
      <c r="E1049" s="153" t="s">
        <v>437</v>
      </c>
      <c r="F1049" s="153" t="s">
        <v>429</v>
      </c>
      <c r="G1049" s="153">
        <v>3455.0</v>
      </c>
      <c r="H1049" s="153">
        <v>24.0</v>
      </c>
      <c r="I1049" s="153">
        <v>0.69</v>
      </c>
      <c r="J1049" s="153">
        <v>41.0</v>
      </c>
      <c r="K1049" s="153">
        <v>0.0119</v>
      </c>
      <c r="L1049" s="153">
        <v>1.7083</v>
      </c>
      <c r="M1049" s="153">
        <v>41.0</v>
      </c>
    </row>
    <row r="1050">
      <c r="A1050" s="250">
        <v>46255.0</v>
      </c>
      <c r="B1050" s="153" t="s">
        <v>136</v>
      </c>
      <c r="C1050" s="153" t="s">
        <v>5</v>
      </c>
      <c r="D1050" s="153" t="s">
        <v>438</v>
      </c>
      <c r="E1050" s="153" t="s">
        <v>439</v>
      </c>
      <c r="F1050" s="153" t="s">
        <v>440</v>
      </c>
      <c r="G1050" s="153">
        <v>3455.0</v>
      </c>
      <c r="H1050" s="153">
        <v>3.0</v>
      </c>
      <c r="I1050" s="153">
        <v>0.09</v>
      </c>
      <c r="J1050" s="153">
        <v>30.0</v>
      </c>
      <c r="K1050" s="153">
        <v>0.0087</v>
      </c>
      <c r="L1050" s="153">
        <v>10.0</v>
      </c>
      <c r="M1050" s="153">
        <v>30.0</v>
      </c>
    </row>
    <row r="1051">
      <c r="A1051" s="250">
        <v>46255.0</v>
      </c>
      <c r="B1051" s="153" t="s">
        <v>136</v>
      </c>
      <c r="C1051" s="153" t="s">
        <v>5</v>
      </c>
      <c r="D1051" s="153" t="s">
        <v>441</v>
      </c>
      <c r="E1051" s="153" t="s">
        <v>442</v>
      </c>
      <c r="F1051" s="153" t="s">
        <v>440</v>
      </c>
      <c r="G1051" s="153">
        <v>3455.0</v>
      </c>
      <c r="H1051" s="153">
        <v>7.0</v>
      </c>
      <c r="I1051" s="153">
        <v>0.2</v>
      </c>
      <c r="J1051" s="153">
        <v>70.0</v>
      </c>
      <c r="K1051" s="153">
        <v>0.0203</v>
      </c>
      <c r="L1051" s="153">
        <v>10.0</v>
      </c>
      <c r="M1051" s="153">
        <v>70.0</v>
      </c>
    </row>
    <row r="1052">
      <c r="A1052" s="250">
        <v>46255.0</v>
      </c>
      <c r="B1052" s="153" t="s">
        <v>136</v>
      </c>
      <c r="C1052" s="153" t="s">
        <v>5</v>
      </c>
      <c r="D1052" s="153" t="s">
        <v>441</v>
      </c>
      <c r="E1052" s="153" t="s">
        <v>443</v>
      </c>
      <c r="F1052" s="153" t="s">
        <v>440</v>
      </c>
      <c r="G1052" s="153">
        <v>3455.0</v>
      </c>
      <c r="H1052" s="153">
        <v>16.0</v>
      </c>
      <c r="I1052" s="153">
        <v>0.46</v>
      </c>
      <c r="J1052" s="153">
        <v>180.0</v>
      </c>
      <c r="K1052" s="153">
        <v>0.0521</v>
      </c>
      <c r="L1052" s="153">
        <v>11.25</v>
      </c>
      <c r="M1052" s="153">
        <v>180.0</v>
      </c>
    </row>
    <row r="1053">
      <c r="A1053" s="250">
        <v>46255.0</v>
      </c>
      <c r="B1053" s="153" t="s">
        <v>136</v>
      </c>
      <c r="C1053" s="153" t="s">
        <v>5</v>
      </c>
      <c r="D1053" s="153" t="s">
        <v>444</v>
      </c>
      <c r="E1053" s="153" t="s">
        <v>445</v>
      </c>
      <c r="F1053" s="153" t="s">
        <v>440</v>
      </c>
      <c r="G1053" s="153">
        <v>3455.0</v>
      </c>
      <c r="H1053" s="153">
        <v>64.0</v>
      </c>
      <c r="I1053" s="153">
        <v>1.85</v>
      </c>
      <c r="J1053" s="153">
        <v>2965.0</v>
      </c>
      <c r="K1053" s="153">
        <v>0.8582</v>
      </c>
      <c r="L1053" s="153">
        <v>46.3281</v>
      </c>
      <c r="M1053" s="153">
        <v>2965.0</v>
      </c>
    </row>
    <row r="1054">
      <c r="A1054" s="250">
        <v>46255.0</v>
      </c>
      <c r="B1054" s="153" t="s">
        <v>137</v>
      </c>
      <c r="C1054" s="153" t="s">
        <v>5</v>
      </c>
      <c r="D1054" s="153" t="s">
        <v>424</v>
      </c>
      <c r="E1054" s="153" t="s">
        <v>425</v>
      </c>
      <c r="F1054" s="153" t="s">
        <v>426</v>
      </c>
      <c r="G1054" s="153">
        <v>486.0</v>
      </c>
      <c r="H1054" s="153">
        <v>6.0</v>
      </c>
      <c r="I1054" s="153">
        <v>1.23</v>
      </c>
      <c r="J1054" s="153">
        <v>406.51</v>
      </c>
      <c r="K1054" s="153">
        <v>0.8364</v>
      </c>
      <c r="L1054" s="153">
        <v>67.7509</v>
      </c>
      <c r="M1054" s="153">
        <v>28190.0</v>
      </c>
    </row>
    <row r="1055">
      <c r="A1055" s="250">
        <v>46255.0</v>
      </c>
      <c r="B1055" s="153" t="s">
        <v>137</v>
      </c>
      <c r="C1055" s="153" t="s">
        <v>5</v>
      </c>
      <c r="D1055" s="153" t="s">
        <v>427</v>
      </c>
      <c r="E1055" s="153" t="s">
        <v>428</v>
      </c>
      <c r="F1055" s="153" t="s">
        <v>429</v>
      </c>
      <c r="G1055" s="153">
        <v>486.0</v>
      </c>
      <c r="H1055" s="153">
        <v>9.0</v>
      </c>
      <c r="I1055" s="153">
        <v>1.85</v>
      </c>
      <c r="J1055" s="153">
        <v>2793.37</v>
      </c>
      <c r="K1055" s="153">
        <v>5.7477</v>
      </c>
      <c r="L1055" s="153">
        <v>310.375</v>
      </c>
      <c r="M1055" s="153">
        <v>3600.0</v>
      </c>
    </row>
    <row r="1056">
      <c r="A1056" s="250">
        <v>46255.0</v>
      </c>
      <c r="B1056" s="153" t="s">
        <v>137</v>
      </c>
      <c r="C1056" s="153" t="s">
        <v>5</v>
      </c>
      <c r="D1056" s="153" t="s">
        <v>430</v>
      </c>
      <c r="E1056" s="153" t="s">
        <v>431</v>
      </c>
      <c r="F1056" s="153" t="s">
        <v>429</v>
      </c>
      <c r="G1056" s="153">
        <v>486.0</v>
      </c>
      <c r="H1056" s="153">
        <v>6.0</v>
      </c>
      <c r="I1056" s="153">
        <v>1.23</v>
      </c>
      <c r="J1056" s="153">
        <v>171.0</v>
      </c>
      <c r="K1056" s="153">
        <v>0.3519</v>
      </c>
      <c r="L1056" s="153">
        <v>28.5</v>
      </c>
      <c r="M1056" s="153">
        <v>171.0</v>
      </c>
    </row>
    <row r="1057">
      <c r="A1057" s="250">
        <v>46255.0</v>
      </c>
      <c r="B1057" s="153" t="s">
        <v>137</v>
      </c>
      <c r="C1057" s="153" t="s">
        <v>5</v>
      </c>
      <c r="D1057" s="153" t="s">
        <v>430</v>
      </c>
      <c r="E1057" s="153" t="s">
        <v>432</v>
      </c>
      <c r="F1057" s="153" t="s">
        <v>429</v>
      </c>
      <c r="G1057" s="153">
        <v>486.0</v>
      </c>
      <c r="H1057" s="153">
        <v>5.0</v>
      </c>
      <c r="I1057" s="153">
        <v>1.03</v>
      </c>
      <c r="J1057" s="153">
        <v>170.0</v>
      </c>
      <c r="K1057" s="153">
        <v>0.3498</v>
      </c>
      <c r="L1057" s="153">
        <v>34.0</v>
      </c>
      <c r="M1057" s="153">
        <v>170.0</v>
      </c>
    </row>
    <row r="1058">
      <c r="A1058" s="250">
        <v>46255.0</v>
      </c>
      <c r="B1058" s="153" t="s">
        <v>137</v>
      </c>
      <c r="C1058" s="153" t="s">
        <v>5</v>
      </c>
      <c r="D1058" s="153" t="s">
        <v>430</v>
      </c>
      <c r="E1058" s="153" t="s">
        <v>433</v>
      </c>
      <c r="F1058" s="153" t="s">
        <v>429</v>
      </c>
      <c r="G1058" s="153">
        <v>486.0</v>
      </c>
      <c r="H1058" s="153">
        <v>6.0</v>
      </c>
      <c r="I1058" s="153">
        <v>1.23</v>
      </c>
      <c r="J1058" s="153">
        <v>172.0</v>
      </c>
      <c r="K1058" s="153">
        <v>0.3539</v>
      </c>
      <c r="L1058" s="153">
        <v>28.6667</v>
      </c>
      <c r="M1058" s="153">
        <v>172.0</v>
      </c>
    </row>
    <row r="1059">
      <c r="A1059" s="250">
        <v>46255.0</v>
      </c>
      <c r="B1059" s="153" t="s">
        <v>137</v>
      </c>
      <c r="C1059" s="153" t="s">
        <v>5</v>
      </c>
      <c r="D1059" s="153" t="s">
        <v>434</v>
      </c>
      <c r="E1059" s="153" t="s">
        <v>435</v>
      </c>
      <c r="F1059" s="153" t="s">
        <v>429</v>
      </c>
      <c r="G1059" s="153">
        <v>486.0</v>
      </c>
      <c r="H1059" s="153">
        <v>1.0</v>
      </c>
      <c r="I1059" s="153">
        <v>0.21</v>
      </c>
      <c r="J1059" s="153">
        <v>2.0</v>
      </c>
      <c r="K1059" s="153">
        <v>0.0041</v>
      </c>
      <c r="L1059" s="153">
        <v>2.0</v>
      </c>
      <c r="M1059" s="153">
        <v>2.0</v>
      </c>
    </row>
    <row r="1060">
      <c r="A1060" s="250">
        <v>46255.0</v>
      </c>
      <c r="B1060" s="153" t="s">
        <v>137</v>
      </c>
      <c r="C1060" s="153" t="s">
        <v>5</v>
      </c>
      <c r="D1060" s="153" t="s">
        <v>434</v>
      </c>
      <c r="E1060" s="153" t="s">
        <v>437</v>
      </c>
      <c r="F1060" s="153" t="s">
        <v>429</v>
      </c>
      <c r="G1060" s="153">
        <v>486.0</v>
      </c>
      <c r="H1060" s="153">
        <v>3.0</v>
      </c>
      <c r="I1060" s="153">
        <v>0.62</v>
      </c>
      <c r="J1060" s="153">
        <v>10.0</v>
      </c>
      <c r="K1060" s="153">
        <v>0.0206</v>
      </c>
      <c r="L1060" s="153">
        <v>3.3333</v>
      </c>
      <c r="M1060" s="153">
        <v>10.0</v>
      </c>
    </row>
    <row r="1061">
      <c r="A1061" s="250">
        <v>46255.0</v>
      </c>
      <c r="B1061" s="153" t="s">
        <v>137</v>
      </c>
      <c r="C1061" s="153" t="s">
        <v>5</v>
      </c>
      <c r="D1061" s="153" t="s">
        <v>441</v>
      </c>
      <c r="E1061" s="153" t="s">
        <v>442</v>
      </c>
      <c r="F1061" s="153" t="s">
        <v>440</v>
      </c>
      <c r="G1061" s="153">
        <v>486.0</v>
      </c>
      <c r="H1061" s="153">
        <v>2.0</v>
      </c>
      <c r="I1061" s="153">
        <v>0.41</v>
      </c>
      <c r="J1061" s="153">
        <v>30.0</v>
      </c>
      <c r="K1061" s="153">
        <v>0.0617</v>
      </c>
      <c r="L1061" s="153">
        <v>15.0</v>
      </c>
      <c r="M1061" s="153">
        <v>30.0</v>
      </c>
    </row>
    <row r="1062">
      <c r="A1062" s="250">
        <v>46255.0</v>
      </c>
      <c r="B1062" s="153" t="s">
        <v>137</v>
      </c>
      <c r="C1062" s="153" t="s">
        <v>5</v>
      </c>
      <c r="D1062" s="153" t="s">
        <v>441</v>
      </c>
      <c r="E1062" s="153" t="s">
        <v>443</v>
      </c>
      <c r="F1062" s="153" t="s">
        <v>440</v>
      </c>
      <c r="G1062" s="153">
        <v>486.0</v>
      </c>
      <c r="H1062" s="153">
        <v>1.0</v>
      </c>
      <c r="I1062" s="153">
        <v>0.21</v>
      </c>
      <c r="J1062" s="153">
        <v>10.0</v>
      </c>
      <c r="K1062" s="153">
        <v>0.0206</v>
      </c>
      <c r="L1062" s="153">
        <v>10.0</v>
      </c>
      <c r="M1062" s="153">
        <v>10.0</v>
      </c>
    </row>
    <row r="1063">
      <c r="A1063" s="250">
        <v>46255.0</v>
      </c>
      <c r="B1063" s="153" t="s">
        <v>137</v>
      </c>
      <c r="C1063" s="153" t="s">
        <v>5</v>
      </c>
      <c r="D1063" s="153" t="s">
        <v>444</v>
      </c>
      <c r="E1063" s="153" t="s">
        <v>445</v>
      </c>
      <c r="F1063" s="153" t="s">
        <v>440</v>
      </c>
      <c r="G1063" s="153">
        <v>486.0</v>
      </c>
      <c r="H1063" s="153">
        <v>7.0</v>
      </c>
      <c r="I1063" s="153">
        <v>1.44</v>
      </c>
      <c r="J1063" s="153">
        <v>345.0</v>
      </c>
      <c r="K1063" s="153">
        <v>0.7099</v>
      </c>
      <c r="L1063" s="153">
        <v>49.2857</v>
      </c>
      <c r="M1063" s="153">
        <v>345.0</v>
      </c>
    </row>
    <row r="1064">
      <c r="A1064" s="250">
        <v>46256.0</v>
      </c>
      <c r="B1064" s="153" t="s">
        <v>423</v>
      </c>
      <c r="C1064" s="153" t="s">
        <v>5</v>
      </c>
      <c r="D1064" s="153" t="s">
        <v>424</v>
      </c>
      <c r="E1064" s="153" t="s">
        <v>425</v>
      </c>
      <c r="F1064" s="153" t="s">
        <v>426</v>
      </c>
      <c r="G1064" s="153">
        <v>8710.0</v>
      </c>
      <c r="H1064" s="153">
        <v>5.0</v>
      </c>
      <c r="I1064" s="153">
        <v>0.06</v>
      </c>
      <c r="J1064" s="153">
        <v>35.54</v>
      </c>
      <c r="K1064" s="153">
        <v>0.0041</v>
      </c>
      <c r="L1064" s="153">
        <v>7.109</v>
      </c>
      <c r="M1064" s="153">
        <v>550.0</v>
      </c>
    </row>
    <row r="1065">
      <c r="A1065" s="250">
        <v>46256.0</v>
      </c>
      <c r="B1065" s="153" t="s">
        <v>423</v>
      </c>
      <c r="C1065" s="153" t="s">
        <v>5</v>
      </c>
      <c r="D1065" s="153" t="s">
        <v>427</v>
      </c>
      <c r="E1065" s="153" t="s">
        <v>428</v>
      </c>
      <c r="F1065" s="153" t="s">
        <v>429</v>
      </c>
      <c r="G1065" s="153">
        <v>8710.0</v>
      </c>
      <c r="H1065" s="153">
        <v>3.0</v>
      </c>
      <c r="I1065" s="153">
        <v>0.03</v>
      </c>
      <c r="J1065" s="153">
        <v>52.0</v>
      </c>
      <c r="K1065" s="153">
        <v>0.006</v>
      </c>
      <c r="L1065" s="153">
        <v>17.3333</v>
      </c>
      <c r="M1065" s="153">
        <v>60.0</v>
      </c>
    </row>
    <row r="1066">
      <c r="A1066" s="250">
        <v>46256.0</v>
      </c>
      <c r="B1066" s="153" t="s">
        <v>423</v>
      </c>
      <c r="C1066" s="153" t="s">
        <v>5</v>
      </c>
      <c r="D1066" s="153" t="s">
        <v>430</v>
      </c>
      <c r="E1066" s="153" t="s">
        <v>431</v>
      </c>
      <c r="F1066" s="153" t="s">
        <v>429</v>
      </c>
      <c r="G1066" s="153">
        <v>8710.0</v>
      </c>
      <c r="H1066" s="153">
        <v>1.0</v>
      </c>
      <c r="I1066" s="153">
        <v>0.01</v>
      </c>
      <c r="J1066" s="153">
        <v>3.0</v>
      </c>
      <c r="K1066" s="153">
        <v>3.0E-4</v>
      </c>
      <c r="L1066" s="153">
        <v>3.0</v>
      </c>
      <c r="M1066" s="153">
        <v>3.0</v>
      </c>
    </row>
    <row r="1067">
      <c r="A1067" s="250">
        <v>46256.0</v>
      </c>
      <c r="B1067" s="153" t="s">
        <v>423</v>
      </c>
      <c r="C1067" s="153" t="s">
        <v>5</v>
      </c>
      <c r="D1067" s="153" t="s">
        <v>430</v>
      </c>
      <c r="E1067" s="153" t="s">
        <v>432</v>
      </c>
      <c r="F1067" s="153" t="s">
        <v>429</v>
      </c>
      <c r="G1067" s="153">
        <v>8710.0</v>
      </c>
      <c r="H1067" s="153">
        <v>5.0</v>
      </c>
      <c r="I1067" s="153">
        <v>0.06</v>
      </c>
      <c r="J1067" s="153">
        <v>8.0</v>
      </c>
      <c r="K1067" s="153">
        <v>9.0E-4</v>
      </c>
      <c r="L1067" s="153">
        <v>1.6</v>
      </c>
      <c r="M1067" s="153">
        <v>8.0</v>
      </c>
    </row>
    <row r="1068">
      <c r="A1068" s="250">
        <v>46256.0</v>
      </c>
      <c r="B1068" s="153" t="s">
        <v>423</v>
      </c>
      <c r="C1068" s="153" t="s">
        <v>5</v>
      </c>
      <c r="D1068" s="153" t="s">
        <v>430</v>
      </c>
      <c r="E1068" s="153" t="s">
        <v>433</v>
      </c>
      <c r="F1068" s="153" t="s">
        <v>429</v>
      </c>
      <c r="G1068" s="153">
        <v>8710.0</v>
      </c>
      <c r="H1068" s="153">
        <v>1.0</v>
      </c>
      <c r="I1068" s="153">
        <v>0.01</v>
      </c>
      <c r="J1068" s="153">
        <v>3.0</v>
      </c>
      <c r="K1068" s="153">
        <v>3.0E-4</v>
      </c>
      <c r="L1068" s="153">
        <v>3.0</v>
      </c>
      <c r="M1068" s="153">
        <v>3.0</v>
      </c>
    </row>
    <row r="1069">
      <c r="A1069" s="250">
        <v>46256.0</v>
      </c>
      <c r="B1069" s="153" t="s">
        <v>423</v>
      </c>
      <c r="C1069" s="153" t="s">
        <v>5</v>
      </c>
      <c r="D1069" s="153" t="s">
        <v>434</v>
      </c>
      <c r="E1069" s="153" t="s">
        <v>435</v>
      </c>
      <c r="F1069" s="153" t="s">
        <v>429</v>
      </c>
      <c r="G1069" s="153">
        <v>8710.0</v>
      </c>
      <c r="H1069" s="153">
        <v>4.0</v>
      </c>
      <c r="I1069" s="153">
        <v>0.05</v>
      </c>
      <c r="J1069" s="153">
        <v>4.0</v>
      </c>
      <c r="K1069" s="153">
        <v>5.0E-4</v>
      </c>
      <c r="L1069" s="153">
        <v>1.0</v>
      </c>
      <c r="M1069" s="153">
        <v>4.0</v>
      </c>
    </row>
    <row r="1070">
      <c r="A1070" s="250">
        <v>46256.0</v>
      </c>
      <c r="B1070" s="153" t="s">
        <v>423</v>
      </c>
      <c r="C1070" s="153" t="s">
        <v>5</v>
      </c>
      <c r="D1070" s="153" t="s">
        <v>434</v>
      </c>
      <c r="E1070" s="153" t="s">
        <v>436</v>
      </c>
      <c r="F1070" s="153" t="s">
        <v>429</v>
      </c>
      <c r="G1070" s="153">
        <v>8710.0</v>
      </c>
      <c r="H1070" s="153">
        <v>3.0</v>
      </c>
      <c r="I1070" s="153">
        <v>0.03</v>
      </c>
      <c r="J1070" s="153">
        <v>3.0</v>
      </c>
      <c r="K1070" s="153">
        <v>3.0E-4</v>
      </c>
      <c r="L1070" s="153">
        <v>1.0</v>
      </c>
      <c r="M1070" s="153">
        <v>3.0</v>
      </c>
    </row>
    <row r="1071">
      <c r="A1071" s="250">
        <v>46256.0</v>
      </c>
      <c r="B1071" s="153" t="s">
        <v>423</v>
      </c>
      <c r="C1071" s="153" t="s">
        <v>5</v>
      </c>
      <c r="D1071" s="153" t="s">
        <v>444</v>
      </c>
      <c r="E1071" s="153" t="s">
        <v>445</v>
      </c>
      <c r="F1071" s="153" t="s">
        <v>440</v>
      </c>
      <c r="G1071" s="153">
        <v>8710.0</v>
      </c>
      <c r="H1071" s="153">
        <v>3.0</v>
      </c>
      <c r="I1071" s="153">
        <v>0.03</v>
      </c>
      <c r="J1071" s="153">
        <v>50.0</v>
      </c>
      <c r="K1071" s="153">
        <v>0.0057</v>
      </c>
      <c r="L1071" s="153">
        <v>16.6667</v>
      </c>
      <c r="M1071" s="153">
        <v>50.0</v>
      </c>
    </row>
    <row r="1072">
      <c r="A1072" s="250">
        <v>46256.0</v>
      </c>
      <c r="B1072" s="153" t="s">
        <v>133</v>
      </c>
      <c r="C1072" s="153" t="s">
        <v>5</v>
      </c>
      <c r="D1072" s="153" t="s">
        <v>424</v>
      </c>
      <c r="E1072" s="153" t="s">
        <v>425</v>
      </c>
      <c r="F1072" s="153" t="s">
        <v>426</v>
      </c>
      <c r="G1072" s="153">
        <v>10487.0</v>
      </c>
      <c r="H1072" s="153">
        <v>32.0</v>
      </c>
      <c r="I1072" s="153">
        <v>0.31</v>
      </c>
      <c r="J1072" s="153">
        <v>316.14</v>
      </c>
      <c r="K1072" s="153">
        <v>0.0301</v>
      </c>
      <c r="L1072" s="153">
        <v>9.8795</v>
      </c>
      <c r="M1072" s="153">
        <v>440.0</v>
      </c>
    </row>
    <row r="1073">
      <c r="A1073" s="250">
        <v>46256.0</v>
      </c>
      <c r="B1073" s="153" t="s">
        <v>133</v>
      </c>
      <c r="C1073" s="153" t="s">
        <v>5</v>
      </c>
      <c r="D1073" s="153" t="s">
        <v>427</v>
      </c>
      <c r="E1073" s="153" t="s">
        <v>428</v>
      </c>
      <c r="F1073" s="153" t="s">
        <v>429</v>
      </c>
      <c r="G1073" s="153">
        <v>10487.0</v>
      </c>
      <c r="H1073" s="153">
        <v>34.0</v>
      </c>
      <c r="I1073" s="153">
        <v>0.32</v>
      </c>
      <c r="J1073" s="153">
        <v>792.14</v>
      </c>
      <c r="K1073" s="153">
        <v>0.0755</v>
      </c>
      <c r="L1073" s="153">
        <v>23.2983</v>
      </c>
      <c r="M1073" s="153">
        <v>865.0</v>
      </c>
    </row>
    <row r="1074">
      <c r="A1074" s="250">
        <v>46256.0</v>
      </c>
      <c r="B1074" s="153" t="s">
        <v>133</v>
      </c>
      <c r="C1074" s="153" t="s">
        <v>5</v>
      </c>
      <c r="D1074" s="153" t="s">
        <v>430</v>
      </c>
      <c r="E1074" s="153" t="s">
        <v>431</v>
      </c>
      <c r="F1074" s="153" t="s">
        <v>429</v>
      </c>
      <c r="G1074" s="153">
        <v>10487.0</v>
      </c>
      <c r="H1074" s="153">
        <v>5.0</v>
      </c>
      <c r="I1074" s="153">
        <v>0.05</v>
      </c>
      <c r="J1074" s="153">
        <v>5.0</v>
      </c>
      <c r="K1074" s="153">
        <v>5.0E-4</v>
      </c>
      <c r="L1074" s="153">
        <v>1.0</v>
      </c>
      <c r="M1074" s="153">
        <v>5.0</v>
      </c>
    </row>
    <row r="1075">
      <c r="A1075" s="250">
        <v>46256.0</v>
      </c>
      <c r="B1075" s="153" t="s">
        <v>133</v>
      </c>
      <c r="C1075" s="153" t="s">
        <v>5</v>
      </c>
      <c r="D1075" s="153" t="s">
        <v>430</v>
      </c>
      <c r="E1075" s="153" t="s">
        <v>432</v>
      </c>
      <c r="F1075" s="153" t="s">
        <v>429</v>
      </c>
      <c r="G1075" s="153">
        <v>10487.0</v>
      </c>
      <c r="H1075" s="153">
        <v>16.0</v>
      </c>
      <c r="I1075" s="153">
        <v>0.15</v>
      </c>
      <c r="J1075" s="153">
        <v>18.0</v>
      </c>
      <c r="K1075" s="153">
        <v>0.0017</v>
      </c>
      <c r="L1075" s="153">
        <v>1.125</v>
      </c>
      <c r="M1075" s="153">
        <v>18.0</v>
      </c>
    </row>
    <row r="1076">
      <c r="A1076" s="250">
        <v>46256.0</v>
      </c>
      <c r="B1076" s="153" t="s">
        <v>133</v>
      </c>
      <c r="C1076" s="153" t="s">
        <v>5</v>
      </c>
      <c r="D1076" s="153" t="s">
        <v>430</v>
      </c>
      <c r="E1076" s="153" t="s">
        <v>433</v>
      </c>
      <c r="F1076" s="153" t="s">
        <v>429</v>
      </c>
      <c r="G1076" s="153">
        <v>10487.0</v>
      </c>
      <c r="H1076" s="153">
        <v>4.0</v>
      </c>
      <c r="I1076" s="153">
        <v>0.04</v>
      </c>
      <c r="J1076" s="153">
        <v>5.0</v>
      </c>
      <c r="K1076" s="153">
        <v>5.0E-4</v>
      </c>
      <c r="L1076" s="153">
        <v>1.25</v>
      </c>
      <c r="M1076" s="153">
        <v>5.0</v>
      </c>
    </row>
    <row r="1077">
      <c r="A1077" s="250">
        <v>46256.0</v>
      </c>
      <c r="B1077" s="153" t="s">
        <v>133</v>
      </c>
      <c r="C1077" s="153" t="s">
        <v>5</v>
      </c>
      <c r="D1077" s="153" t="s">
        <v>434</v>
      </c>
      <c r="E1077" s="153" t="s">
        <v>435</v>
      </c>
      <c r="F1077" s="153" t="s">
        <v>429</v>
      </c>
      <c r="G1077" s="153">
        <v>10487.0</v>
      </c>
      <c r="H1077" s="153">
        <v>26.0</v>
      </c>
      <c r="I1077" s="153">
        <v>0.25</v>
      </c>
      <c r="J1077" s="153">
        <v>27.0</v>
      </c>
      <c r="K1077" s="153">
        <v>0.0026</v>
      </c>
      <c r="L1077" s="153">
        <v>1.0385</v>
      </c>
      <c r="M1077" s="153">
        <v>27.0</v>
      </c>
    </row>
    <row r="1078">
      <c r="A1078" s="250">
        <v>46256.0</v>
      </c>
      <c r="B1078" s="153" t="s">
        <v>133</v>
      </c>
      <c r="C1078" s="153" t="s">
        <v>5</v>
      </c>
      <c r="D1078" s="153" t="s">
        <v>434</v>
      </c>
      <c r="E1078" s="153" t="s">
        <v>436</v>
      </c>
      <c r="F1078" s="153" t="s">
        <v>429</v>
      </c>
      <c r="G1078" s="153">
        <v>10487.0</v>
      </c>
      <c r="H1078" s="153">
        <v>19.0</v>
      </c>
      <c r="I1078" s="153">
        <v>0.18</v>
      </c>
      <c r="J1078" s="153">
        <v>20.0</v>
      </c>
      <c r="K1078" s="153">
        <v>0.0019</v>
      </c>
      <c r="L1078" s="153">
        <v>1.0526</v>
      </c>
      <c r="M1078" s="153">
        <v>20.0</v>
      </c>
    </row>
    <row r="1079">
      <c r="A1079" s="250">
        <v>46256.0</v>
      </c>
      <c r="B1079" s="153" t="s">
        <v>133</v>
      </c>
      <c r="C1079" s="153" t="s">
        <v>5</v>
      </c>
      <c r="D1079" s="153" t="s">
        <v>441</v>
      </c>
      <c r="E1079" s="153" t="s">
        <v>442</v>
      </c>
      <c r="F1079" s="153" t="s">
        <v>440</v>
      </c>
      <c r="G1079" s="153">
        <v>10487.0</v>
      </c>
      <c r="H1079" s="153">
        <v>4.0</v>
      </c>
      <c r="I1079" s="153">
        <v>0.04</v>
      </c>
      <c r="J1079" s="153">
        <v>60.0</v>
      </c>
      <c r="K1079" s="153">
        <v>0.0057</v>
      </c>
      <c r="L1079" s="153">
        <v>15.0</v>
      </c>
      <c r="M1079" s="153">
        <v>60.0</v>
      </c>
    </row>
    <row r="1080">
      <c r="A1080" s="250">
        <v>46256.0</v>
      </c>
      <c r="B1080" s="153" t="s">
        <v>133</v>
      </c>
      <c r="C1080" s="153" t="s">
        <v>5</v>
      </c>
      <c r="D1080" s="153" t="s">
        <v>444</v>
      </c>
      <c r="E1080" s="153" t="s">
        <v>445</v>
      </c>
      <c r="F1080" s="153" t="s">
        <v>440</v>
      </c>
      <c r="G1080" s="153">
        <v>10487.0</v>
      </c>
      <c r="H1080" s="153">
        <v>34.0</v>
      </c>
      <c r="I1080" s="153">
        <v>0.32</v>
      </c>
      <c r="J1080" s="153">
        <v>655.0</v>
      </c>
      <c r="K1080" s="153">
        <v>0.0625</v>
      </c>
      <c r="L1080" s="153">
        <v>19.2647</v>
      </c>
      <c r="M1080" s="153">
        <v>655.0</v>
      </c>
    </row>
    <row r="1081">
      <c r="A1081" s="250">
        <v>46256.0</v>
      </c>
      <c r="B1081" s="153" t="s">
        <v>134</v>
      </c>
      <c r="C1081" s="153" t="s">
        <v>5</v>
      </c>
      <c r="D1081" s="153" t="s">
        <v>424</v>
      </c>
      <c r="E1081" s="153" t="s">
        <v>425</v>
      </c>
      <c r="F1081" s="153" t="s">
        <v>426</v>
      </c>
      <c r="G1081" s="153">
        <v>8145.0</v>
      </c>
      <c r="H1081" s="153">
        <v>43.0</v>
      </c>
      <c r="I1081" s="153">
        <v>0.53</v>
      </c>
      <c r="J1081" s="153">
        <v>486.86</v>
      </c>
      <c r="K1081" s="153">
        <v>0.0598</v>
      </c>
      <c r="L1081" s="153">
        <v>11.3224</v>
      </c>
      <c r="M1081" s="153">
        <v>670.0</v>
      </c>
    </row>
    <row r="1082">
      <c r="A1082" s="250">
        <v>46256.0</v>
      </c>
      <c r="B1082" s="153" t="s">
        <v>134</v>
      </c>
      <c r="C1082" s="153" t="s">
        <v>5</v>
      </c>
      <c r="D1082" s="153" t="s">
        <v>427</v>
      </c>
      <c r="E1082" s="153" t="s">
        <v>428</v>
      </c>
      <c r="F1082" s="153" t="s">
        <v>429</v>
      </c>
      <c r="G1082" s="153">
        <v>8145.0</v>
      </c>
      <c r="H1082" s="153">
        <v>52.0</v>
      </c>
      <c r="I1082" s="153">
        <v>0.64</v>
      </c>
      <c r="J1082" s="153">
        <v>2003.12</v>
      </c>
      <c r="K1082" s="153">
        <v>0.2459</v>
      </c>
      <c r="L1082" s="153">
        <v>38.5216</v>
      </c>
      <c r="M1082" s="153">
        <v>2545.0</v>
      </c>
    </row>
    <row r="1083">
      <c r="A1083" s="250">
        <v>46256.0</v>
      </c>
      <c r="B1083" s="153" t="s">
        <v>134</v>
      </c>
      <c r="C1083" s="153" t="s">
        <v>5</v>
      </c>
      <c r="D1083" s="153" t="s">
        <v>430</v>
      </c>
      <c r="E1083" s="153" t="s">
        <v>431</v>
      </c>
      <c r="F1083" s="153" t="s">
        <v>429</v>
      </c>
      <c r="G1083" s="153">
        <v>8145.0</v>
      </c>
      <c r="H1083" s="153">
        <v>10.0</v>
      </c>
      <c r="I1083" s="153">
        <v>0.12</v>
      </c>
      <c r="J1083" s="153">
        <v>12.0</v>
      </c>
      <c r="K1083" s="153">
        <v>0.0015</v>
      </c>
      <c r="L1083" s="153">
        <v>1.2</v>
      </c>
      <c r="M1083" s="153">
        <v>12.0</v>
      </c>
    </row>
    <row r="1084">
      <c r="A1084" s="250">
        <v>46256.0</v>
      </c>
      <c r="B1084" s="153" t="s">
        <v>134</v>
      </c>
      <c r="C1084" s="153" t="s">
        <v>5</v>
      </c>
      <c r="D1084" s="153" t="s">
        <v>430</v>
      </c>
      <c r="E1084" s="153" t="s">
        <v>432</v>
      </c>
      <c r="F1084" s="153" t="s">
        <v>429</v>
      </c>
      <c r="G1084" s="153">
        <v>8145.0</v>
      </c>
      <c r="H1084" s="153">
        <v>27.0</v>
      </c>
      <c r="I1084" s="153">
        <v>0.33</v>
      </c>
      <c r="J1084" s="153">
        <v>49.0</v>
      </c>
      <c r="K1084" s="153">
        <v>0.006</v>
      </c>
      <c r="L1084" s="153">
        <v>1.8148</v>
      </c>
      <c r="M1084" s="153">
        <v>49.0</v>
      </c>
    </row>
    <row r="1085">
      <c r="A1085" s="250">
        <v>46256.0</v>
      </c>
      <c r="B1085" s="153" t="s">
        <v>134</v>
      </c>
      <c r="C1085" s="153" t="s">
        <v>5</v>
      </c>
      <c r="D1085" s="153" t="s">
        <v>430</v>
      </c>
      <c r="E1085" s="153" t="s">
        <v>433</v>
      </c>
      <c r="F1085" s="153" t="s">
        <v>429</v>
      </c>
      <c r="G1085" s="153">
        <v>8145.0</v>
      </c>
      <c r="H1085" s="153">
        <v>16.0</v>
      </c>
      <c r="I1085" s="153">
        <v>0.2</v>
      </c>
      <c r="J1085" s="153">
        <v>19.0</v>
      </c>
      <c r="K1085" s="153">
        <v>0.0023</v>
      </c>
      <c r="L1085" s="153">
        <v>1.1875</v>
      </c>
      <c r="M1085" s="153">
        <v>19.0</v>
      </c>
    </row>
    <row r="1086">
      <c r="A1086" s="250">
        <v>46256.0</v>
      </c>
      <c r="B1086" s="153" t="s">
        <v>134</v>
      </c>
      <c r="C1086" s="153" t="s">
        <v>5</v>
      </c>
      <c r="D1086" s="153" t="s">
        <v>434</v>
      </c>
      <c r="E1086" s="153" t="s">
        <v>435</v>
      </c>
      <c r="F1086" s="153" t="s">
        <v>429</v>
      </c>
      <c r="G1086" s="153">
        <v>8145.0</v>
      </c>
      <c r="H1086" s="153">
        <v>22.0</v>
      </c>
      <c r="I1086" s="153">
        <v>0.27</v>
      </c>
      <c r="J1086" s="153">
        <v>24.0</v>
      </c>
      <c r="K1086" s="153">
        <v>0.0029</v>
      </c>
      <c r="L1086" s="153">
        <v>1.0909</v>
      </c>
      <c r="M1086" s="153">
        <v>24.0</v>
      </c>
    </row>
    <row r="1087">
      <c r="A1087" s="250">
        <v>46256.0</v>
      </c>
      <c r="B1087" s="153" t="s">
        <v>134</v>
      </c>
      <c r="C1087" s="153" t="s">
        <v>5</v>
      </c>
      <c r="D1087" s="153" t="s">
        <v>434</v>
      </c>
      <c r="E1087" s="153" t="s">
        <v>436</v>
      </c>
      <c r="F1087" s="153" t="s">
        <v>429</v>
      </c>
      <c r="G1087" s="153">
        <v>8145.0</v>
      </c>
      <c r="H1087" s="153">
        <v>29.0</v>
      </c>
      <c r="I1087" s="153">
        <v>0.36</v>
      </c>
      <c r="J1087" s="153">
        <v>41.0</v>
      </c>
      <c r="K1087" s="153">
        <v>0.005</v>
      </c>
      <c r="L1087" s="153">
        <v>1.4138</v>
      </c>
      <c r="M1087" s="153">
        <v>41.0</v>
      </c>
    </row>
    <row r="1088">
      <c r="A1088" s="250">
        <v>46256.0</v>
      </c>
      <c r="B1088" s="153" t="s">
        <v>134</v>
      </c>
      <c r="C1088" s="153" t="s">
        <v>5</v>
      </c>
      <c r="D1088" s="153" t="s">
        <v>434</v>
      </c>
      <c r="E1088" s="153" t="s">
        <v>437</v>
      </c>
      <c r="F1088" s="153" t="s">
        <v>429</v>
      </c>
      <c r="G1088" s="153">
        <v>8145.0</v>
      </c>
      <c r="H1088" s="153">
        <v>1.0</v>
      </c>
      <c r="I1088" s="153">
        <v>0.01</v>
      </c>
      <c r="J1088" s="153">
        <v>1.0</v>
      </c>
      <c r="K1088" s="153">
        <v>1.0E-4</v>
      </c>
      <c r="L1088" s="153">
        <v>1.0</v>
      </c>
      <c r="M1088" s="153">
        <v>1.0</v>
      </c>
    </row>
    <row r="1089">
      <c r="A1089" s="250">
        <v>46256.0</v>
      </c>
      <c r="B1089" s="153" t="s">
        <v>134</v>
      </c>
      <c r="C1089" s="153" t="s">
        <v>5</v>
      </c>
      <c r="D1089" s="153" t="s">
        <v>438</v>
      </c>
      <c r="E1089" s="153" t="s">
        <v>439</v>
      </c>
      <c r="F1089" s="153" t="s">
        <v>440</v>
      </c>
      <c r="G1089" s="153">
        <v>8145.0</v>
      </c>
      <c r="H1089" s="153">
        <v>4.0</v>
      </c>
      <c r="I1089" s="153">
        <v>0.05</v>
      </c>
      <c r="J1089" s="153">
        <v>90.0</v>
      </c>
      <c r="K1089" s="153">
        <v>0.011</v>
      </c>
      <c r="L1089" s="153">
        <v>22.5</v>
      </c>
      <c r="M1089" s="153">
        <v>90.0</v>
      </c>
    </row>
    <row r="1090">
      <c r="A1090" s="250">
        <v>46256.0</v>
      </c>
      <c r="B1090" s="153" t="s">
        <v>134</v>
      </c>
      <c r="C1090" s="153" t="s">
        <v>5</v>
      </c>
      <c r="D1090" s="153" t="s">
        <v>441</v>
      </c>
      <c r="E1090" s="153" t="s">
        <v>442</v>
      </c>
      <c r="F1090" s="153" t="s">
        <v>440</v>
      </c>
      <c r="G1090" s="153">
        <v>8145.0</v>
      </c>
      <c r="H1090" s="153">
        <v>6.0</v>
      </c>
      <c r="I1090" s="153">
        <v>0.07</v>
      </c>
      <c r="J1090" s="153">
        <v>60.0</v>
      </c>
      <c r="K1090" s="153">
        <v>0.0074</v>
      </c>
      <c r="L1090" s="153">
        <v>10.0</v>
      </c>
      <c r="M1090" s="153">
        <v>60.0</v>
      </c>
    </row>
    <row r="1091">
      <c r="A1091" s="250">
        <v>46256.0</v>
      </c>
      <c r="B1091" s="153" t="s">
        <v>134</v>
      </c>
      <c r="C1091" s="153" t="s">
        <v>5</v>
      </c>
      <c r="D1091" s="153" t="s">
        <v>444</v>
      </c>
      <c r="E1091" s="153" t="s">
        <v>445</v>
      </c>
      <c r="F1091" s="153" t="s">
        <v>440</v>
      </c>
      <c r="G1091" s="153">
        <v>8145.0</v>
      </c>
      <c r="H1091" s="153">
        <v>46.0</v>
      </c>
      <c r="I1091" s="153">
        <v>0.56</v>
      </c>
      <c r="J1091" s="153">
        <v>1510.0</v>
      </c>
      <c r="K1091" s="153">
        <v>0.1854</v>
      </c>
      <c r="L1091" s="153">
        <v>32.8261</v>
      </c>
      <c r="M1091" s="153">
        <v>1510.0</v>
      </c>
    </row>
    <row r="1092">
      <c r="A1092" s="250">
        <v>46256.0</v>
      </c>
      <c r="B1092" s="153" t="s">
        <v>135</v>
      </c>
      <c r="C1092" s="153" t="s">
        <v>5</v>
      </c>
      <c r="D1092" s="153" t="s">
        <v>424</v>
      </c>
      <c r="E1092" s="153" t="s">
        <v>425</v>
      </c>
      <c r="F1092" s="153" t="s">
        <v>426</v>
      </c>
      <c r="G1092" s="153">
        <v>6230.0</v>
      </c>
      <c r="H1092" s="153">
        <v>23.0</v>
      </c>
      <c r="I1092" s="153">
        <v>0.37</v>
      </c>
      <c r="J1092" s="153">
        <v>346.08</v>
      </c>
      <c r="K1092" s="153">
        <v>0.0556</v>
      </c>
      <c r="L1092" s="153">
        <v>15.0469</v>
      </c>
      <c r="M1092" s="153">
        <v>430.0</v>
      </c>
    </row>
    <row r="1093">
      <c r="A1093" s="250">
        <v>46256.0</v>
      </c>
      <c r="B1093" s="153" t="s">
        <v>135</v>
      </c>
      <c r="C1093" s="153" t="s">
        <v>5</v>
      </c>
      <c r="D1093" s="153" t="s">
        <v>427</v>
      </c>
      <c r="E1093" s="153" t="s">
        <v>428</v>
      </c>
      <c r="F1093" s="153" t="s">
        <v>429</v>
      </c>
      <c r="G1093" s="153">
        <v>6230.0</v>
      </c>
      <c r="H1093" s="153">
        <v>17.0</v>
      </c>
      <c r="I1093" s="153">
        <v>0.27</v>
      </c>
      <c r="J1093" s="153">
        <v>933.26</v>
      </c>
      <c r="K1093" s="153">
        <v>0.1498</v>
      </c>
      <c r="L1093" s="153">
        <v>54.8974</v>
      </c>
      <c r="M1093" s="153">
        <v>1230.0</v>
      </c>
    </row>
    <row r="1094">
      <c r="A1094" s="250">
        <v>46256.0</v>
      </c>
      <c r="B1094" s="153" t="s">
        <v>135</v>
      </c>
      <c r="C1094" s="153" t="s">
        <v>5</v>
      </c>
      <c r="D1094" s="153" t="s">
        <v>430</v>
      </c>
      <c r="E1094" s="153" t="s">
        <v>431</v>
      </c>
      <c r="F1094" s="153" t="s">
        <v>429</v>
      </c>
      <c r="G1094" s="153">
        <v>6230.0</v>
      </c>
      <c r="H1094" s="153">
        <v>1.0</v>
      </c>
      <c r="I1094" s="153">
        <v>0.02</v>
      </c>
      <c r="J1094" s="153">
        <v>1.0</v>
      </c>
      <c r="K1094" s="153">
        <v>2.0E-4</v>
      </c>
      <c r="L1094" s="153">
        <v>1.0</v>
      </c>
      <c r="M1094" s="153">
        <v>1.0</v>
      </c>
    </row>
    <row r="1095">
      <c r="A1095" s="250">
        <v>46256.0</v>
      </c>
      <c r="B1095" s="153" t="s">
        <v>135</v>
      </c>
      <c r="C1095" s="153" t="s">
        <v>5</v>
      </c>
      <c r="D1095" s="153" t="s">
        <v>430</v>
      </c>
      <c r="E1095" s="153" t="s">
        <v>432</v>
      </c>
      <c r="F1095" s="153" t="s">
        <v>429</v>
      </c>
      <c r="G1095" s="153">
        <v>6230.0</v>
      </c>
      <c r="H1095" s="153">
        <v>8.0</v>
      </c>
      <c r="I1095" s="153">
        <v>0.13</v>
      </c>
      <c r="J1095" s="153">
        <v>13.0</v>
      </c>
      <c r="K1095" s="153">
        <v>0.0021</v>
      </c>
      <c r="L1095" s="153">
        <v>1.625</v>
      </c>
      <c r="M1095" s="153">
        <v>13.0</v>
      </c>
    </row>
    <row r="1096">
      <c r="A1096" s="250">
        <v>46256.0</v>
      </c>
      <c r="B1096" s="153" t="s">
        <v>135</v>
      </c>
      <c r="C1096" s="153" t="s">
        <v>5</v>
      </c>
      <c r="D1096" s="153" t="s">
        <v>430</v>
      </c>
      <c r="E1096" s="153" t="s">
        <v>433</v>
      </c>
      <c r="F1096" s="153" t="s">
        <v>429</v>
      </c>
      <c r="G1096" s="153">
        <v>6230.0</v>
      </c>
      <c r="H1096" s="153">
        <v>9.0</v>
      </c>
      <c r="I1096" s="153">
        <v>0.14</v>
      </c>
      <c r="J1096" s="153">
        <v>10.0</v>
      </c>
      <c r="K1096" s="153">
        <v>0.0016</v>
      </c>
      <c r="L1096" s="153">
        <v>1.1111</v>
      </c>
      <c r="M1096" s="153">
        <v>10.0</v>
      </c>
    </row>
    <row r="1097">
      <c r="A1097" s="250">
        <v>46256.0</v>
      </c>
      <c r="B1097" s="153" t="s">
        <v>135</v>
      </c>
      <c r="C1097" s="153" t="s">
        <v>5</v>
      </c>
      <c r="D1097" s="153" t="s">
        <v>434</v>
      </c>
      <c r="E1097" s="153" t="s">
        <v>435</v>
      </c>
      <c r="F1097" s="153" t="s">
        <v>429</v>
      </c>
      <c r="G1097" s="153">
        <v>6230.0</v>
      </c>
      <c r="H1097" s="153">
        <v>13.0</v>
      </c>
      <c r="I1097" s="153">
        <v>0.21</v>
      </c>
      <c r="J1097" s="153">
        <v>13.0</v>
      </c>
      <c r="K1097" s="153">
        <v>0.0021</v>
      </c>
      <c r="L1097" s="153">
        <v>1.0</v>
      </c>
      <c r="M1097" s="153">
        <v>13.0</v>
      </c>
    </row>
    <row r="1098">
      <c r="A1098" s="250">
        <v>46256.0</v>
      </c>
      <c r="B1098" s="153" t="s">
        <v>135</v>
      </c>
      <c r="C1098" s="153" t="s">
        <v>5</v>
      </c>
      <c r="D1098" s="153" t="s">
        <v>434</v>
      </c>
      <c r="E1098" s="153" t="s">
        <v>436</v>
      </c>
      <c r="F1098" s="153" t="s">
        <v>429</v>
      </c>
      <c r="G1098" s="153">
        <v>6230.0</v>
      </c>
      <c r="H1098" s="153">
        <v>5.0</v>
      </c>
      <c r="I1098" s="153">
        <v>0.08</v>
      </c>
      <c r="J1098" s="153">
        <v>6.0</v>
      </c>
      <c r="K1098" s="153">
        <v>0.001</v>
      </c>
      <c r="L1098" s="153">
        <v>1.2</v>
      </c>
      <c r="M1098" s="153">
        <v>6.0</v>
      </c>
    </row>
    <row r="1099">
      <c r="A1099" s="250">
        <v>46256.0</v>
      </c>
      <c r="B1099" s="153" t="s">
        <v>135</v>
      </c>
      <c r="C1099" s="153" t="s">
        <v>5</v>
      </c>
      <c r="D1099" s="153" t="s">
        <v>434</v>
      </c>
      <c r="E1099" s="153" t="s">
        <v>437</v>
      </c>
      <c r="F1099" s="153" t="s">
        <v>429</v>
      </c>
      <c r="G1099" s="153">
        <v>6230.0</v>
      </c>
      <c r="H1099" s="153">
        <v>1.0</v>
      </c>
      <c r="I1099" s="153">
        <v>0.02</v>
      </c>
      <c r="J1099" s="153">
        <v>1.0</v>
      </c>
      <c r="K1099" s="153">
        <v>2.0E-4</v>
      </c>
      <c r="L1099" s="153">
        <v>1.0</v>
      </c>
      <c r="M1099" s="153">
        <v>1.0</v>
      </c>
    </row>
    <row r="1100">
      <c r="A1100" s="250">
        <v>46256.0</v>
      </c>
      <c r="B1100" s="153" t="s">
        <v>135</v>
      </c>
      <c r="C1100" s="153" t="s">
        <v>5</v>
      </c>
      <c r="D1100" s="153" t="s">
        <v>438</v>
      </c>
      <c r="E1100" s="153" t="s">
        <v>439</v>
      </c>
      <c r="F1100" s="153" t="s">
        <v>440</v>
      </c>
      <c r="G1100" s="153">
        <v>6230.0</v>
      </c>
      <c r="H1100" s="153">
        <v>1.0</v>
      </c>
      <c r="I1100" s="153">
        <v>0.02</v>
      </c>
      <c r="J1100" s="153">
        <v>20.0</v>
      </c>
      <c r="K1100" s="153">
        <v>0.0032</v>
      </c>
      <c r="L1100" s="153">
        <v>20.0</v>
      </c>
      <c r="M1100" s="153">
        <v>20.0</v>
      </c>
    </row>
    <row r="1101">
      <c r="A1101" s="250">
        <v>46256.0</v>
      </c>
      <c r="B1101" s="153" t="s">
        <v>135</v>
      </c>
      <c r="C1101" s="153" t="s">
        <v>5</v>
      </c>
      <c r="D1101" s="153" t="s">
        <v>441</v>
      </c>
      <c r="E1101" s="153" t="s">
        <v>442</v>
      </c>
      <c r="F1101" s="153" t="s">
        <v>440</v>
      </c>
      <c r="G1101" s="153">
        <v>6230.0</v>
      </c>
      <c r="H1101" s="153">
        <v>3.0</v>
      </c>
      <c r="I1101" s="153">
        <v>0.05</v>
      </c>
      <c r="J1101" s="153">
        <v>30.0</v>
      </c>
      <c r="K1101" s="153">
        <v>0.0048</v>
      </c>
      <c r="L1101" s="153">
        <v>10.0</v>
      </c>
      <c r="M1101" s="153">
        <v>30.0</v>
      </c>
    </row>
    <row r="1102">
      <c r="A1102" s="250">
        <v>46256.0</v>
      </c>
      <c r="B1102" s="153" t="s">
        <v>135</v>
      </c>
      <c r="C1102" s="153" t="s">
        <v>5</v>
      </c>
      <c r="D1102" s="153" t="s">
        <v>444</v>
      </c>
      <c r="E1102" s="153" t="s">
        <v>445</v>
      </c>
      <c r="F1102" s="153" t="s">
        <v>440</v>
      </c>
      <c r="G1102" s="153">
        <v>6230.0</v>
      </c>
      <c r="H1102" s="153">
        <v>16.0</v>
      </c>
      <c r="I1102" s="153">
        <v>0.26</v>
      </c>
      <c r="J1102" s="153">
        <v>535.0</v>
      </c>
      <c r="K1102" s="153">
        <v>0.0859</v>
      </c>
      <c r="L1102" s="153">
        <v>33.4375</v>
      </c>
      <c r="M1102" s="153">
        <v>535.0</v>
      </c>
    </row>
    <row r="1103">
      <c r="A1103" s="250">
        <v>46256.0</v>
      </c>
      <c r="B1103" s="153" t="s">
        <v>136</v>
      </c>
      <c r="C1103" s="153" t="s">
        <v>5</v>
      </c>
      <c r="D1103" s="153" t="s">
        <v>424</v>
      </c>
      <c r="E1103" s="153" t="s">
        <v>425</v>
      </c>
      <c r="F1103" s="153" t="s">
        <v>426</v>
      </c>
      <c r="G1103" s="153">
        <v>3378.0</v>
      </c>
      <c r="H1103" s="153">
        <v>3.0</v>
      </c>
      <c r="I1103" s="153">
        <v>0.09</v>
      </c>
      <c r="J1103" s="153">
        <v>40.0</v>
      </c>
      <c r="K1103" s="153">
        <v>0.0118</v>
      </c>
      <c r="L1103" s="153">
        <v>13.3333</v>
      </c>
      <c r="M1103" s="153">
        <v>80.0</v>
      </c>
    </row>
    <row r="1104">
      <c r="A1104" s="250">
        <v>46256.0</v>
      </c>
      <c r="B1104" s="153" t="s">
        <v>136</v>
      </c>
      <c r="C1104" s="153" t="s">
        <v>5</v>
      </c>
      <c r="D1104" s="153" t="s">
        <v>427</v>
      </c>
      <c r="E1104" s="153" t="s">
        <v>428</v>
      </c>
      <c r="F1104" s="153" t="s">
        <v>429</v>
      </c>
      <c r="G1104" s="153">
        <v>3378.0</v>
      </c>
      <c r="H1104" s="153">
        <v>5.0</v>
      </c>
      <c r="I1104" s="153">
        <v>0.15</v>
      </c>
      <c r="J1104" s="153">
        <v>288.17</v>
      </c>
      <c r="K1104" s="153">
        <v>0.0853</v>
      </c>
      <c r="L1104" s="153">
        <v>57.6348</v>
      </c>
      <c r="M1104" s="153">
        <v>440.0</v>
      </c>
    </row>
    <row r="1105">
      <c r="A1105" s="250">
        <v>46256.0</v>
      </c>
      <c r="B1105" s="153" t="s">
        <v>136</v>
      </c>
      <c r="C1105" s="153" t="s">
        <v>5</v>
      </c>
      <c r="D1105" s="153" t="s">
        <v>430</v>
      </c>
      <c r="E1105" s="153" t="s">
        <v>431</v>
      </c>
      <c r="F1105" s="153" t="s">
        <v>429</v>
      </c>
      <c r="G1105" s="153">
        <v>3378.0</v>
      </c>
      <c r="H1105" s="153">
        <v>2.0</v>
      </c>
      <c r="I1105" s="153">
        <v>0.06</v>
      </c>
      <c r="J1105" s="153">
        <v>2.0</v>
      </c>
      <c r="K1105" s="153">
        <v>6.0E-4</v>
      </c>
      <c r="L1105" s="153">
        <v>1.0</v>
      </c>
      <c r="M1105" s="153">
        <v>2.0</v>
      </c>
    </row>
    <row r="1106">
      <c r="A1106" s="250">
        <v>46256.0</v>
      </c>
      <c r="B1106" s="153" t="s">
        <v>136</v>
      </c>
      <c r="C1106" s="153" t="s">
        <v>5</v>
      </c>
      <c r="D1106" s="153" t="s">
        <v>430</v>
      </c>
      <c r="E1106" s="153" t="s">
        <v>432</v>
      </c>
      <c r="F1106" s="153" t="s">
        <v>429</v>
      </c>
      <c r="G1106" s="153">
        <v>3378.0</v>
      </c>
      <c r="H1106" s="153">
        <v>2.0</v>
      </c>
      <c r="I1106" s="153">
        <v>0.06</v>
      </c>
      <c r="J1106" s="153">
        <v>2.0</v>
      </c>
      <c r="K1106" s="153">
        <v>6.0E-4</v>
      </c>
      <c r="L1106" s="153">
        <v>1.0</v>
      </c>
      <c r="M1106" s="153">
        <v>2.0</v>
      </c>
    </row>
    <row r="1107">
      <c r="A1107" s="250">
        <v>46256.0</v>
      </c>
      <c r="B1107" s="153" t="s">
        <v>136</v>
      </c>
      <c r="C1107" s="153" t="s">
        <v>5</v>
      </c>
      <c r="D1107" s="153" t="s">
        <v>430</v>
      </c>
      <c r="E1107" s="153" t="s">
        <v>433</v>
      </c>
      <c r="F1107" s="153" t="s">
        <v>429</v>
      </c>
      <c r="G1107" s="153">
        <v>3378.0</v>
      </c>
      <c r="H1107" s="153">
        <v>6.0</v>
      </c>
      <c r="I1107" s="153">
        <v>0.18</v>
      </c>
      <c r="J1107" s="153">
        <v>8.0</v>
      </c>
      <c r="K1107" s="153">
        <v>0.0024</v>
      </c>
      <c r="L1107" s="153">
        <v>1.3333</v>
      </c>
      <c r="M1107" s="153">
        <v>8.0</v>
      </c>
    </row>
    <row r="1108">
      <c r="A1108" s="250">
        <v>46256.0</v>
      </c>
      <c r="B1108" s="153" t="s">
        <v>136</v>
      </c>
      <c r="C1108" s="153" t="s">
        <v>5</v>
      </c>
      <c r="D1108" s="153" t="s">
        <v>434</v>
      </c>
      <c r="E1108" s="153" t="s">
        <v>435</v>
      </c>
      <c r="F1108" s="153" t="s">
        <v>429</v>
      </c>
      <c r="G1108" s="153">
        <v>3378.0</v>
      </c>
      <c r="H1108" s="153">
        <v>2.0</v>
      </c>
      <c r="I1108" s="153">
        <v>0.06</v>
      </c>
      <c r="J1108" s="153">
        <v>2.0</v>
      </c>
      <c r="K1108" s="153">
        <v>6.0E-4</v>
      </c>
      <c r="L1108" s="153">
        <v>1.0</v>
      </c>
      <c r="M1108" s="153">
        <v>2.0</v>
      </c>
    </row>
    <row r="1109">
      <c r="A1109" s="250">
        <v>46256.0</v>
      </c>
      <c r="B1109" s="153" t="s">
        <v>136</v>
      </c>
      <c r="C1109" s="153" t="s">
        <v>5</v>
      </c>
      <c r="D1109" s="153" t="s">
        <v>434</v>
      </c>
      <c r="E1109" s="153" t="s">
        <v>436</v>
      </c>
      <c r="F1109" s="153" t="s">
        <v>429</v>
      </c>
      <c r="G1109" s="153">
        <v>3378.0</v>
      </c>
      <c r="H1109" s="153">
        <v>1.0</v>
      </c>
      <c r="I1109" s="153">
        <v>0.03</v>
      </c>
      <c r="J1109" s="153">
        <v>2.0</v>
      </c>
      <c r="K1109" s="153">
        <v>6.0E-4</v>
      </c>
      <c r="L1109" s="153">
        <v>2.0</v>
      </c>
      <c r="M1109" s="153">
        <v>2.0</v>
      </c>
    </row>
    <row r="1110">
      <c r="A1110" s="250">
        <v>46256.0</v>
      </c>
      <c r="B1110" s="153" t="s">
        <v>136</v>
      </c>
      <c r="C1110" s="153" t="s">
        <v>5</v>
      </c>
      <c r="D1110" s="153" t="s">
        <v>441</v>
      </c>
      <c r="E1110" s="153" t="s">
        <v>442</v>
      </c>
      <c r="F1110" s="153" t="s">
        <v>440</v>
      </c>
      <c r="G1110" s="153">
        <v>3378.0</v>
      </c>
      <c r="H1110" s="153">
        <v>1.0</v>
      </c>
      <c r="I1110" s="153">
        <v>0.03</v>
      </c>
      <c r="J1110" s="153">
        <v>10.0</v>
      </c>
      <c r="K1110" s="153">
        <v>0.003</v>
      </c>
      <c r="L1110" s="153">
        <v>10.0</v>
      </c>
      <c r="M1110" s="153">
        <v>10.0</v>
      </c>
    </row>
    <row r="1111">
      <c r="A1111" s="250">
        <v>46256.0</v>
      </c>
      <c r="B1111" s="153" t="s">
        <v>136</v>
      </c>
      <c r="C1111" s="153" t="s">
        <v>5</v>
      </c>
      <c r="D1111" s="153" t="s">
        <v>444</v>
      </c>
      <c r="E1111" s="153" t="s">
        <v>445</v>
      </c>
      <c r="F1111" s="153" t="s">
        <v>440</v>
      </c>
      <c r="G1111" s="153">
        <v>3378.0</v>
      </c>
      <c r="H1111" s="153">
        <v>5.0</v>
      </c>
      <c r="I1111" s="153">
        <v>0.15</v>
      </c>
      <c r="J1111" s="153">
        <v>140.0</v>
      </c>
      <c r="K1111" s="153">
        <v>0.0414</v>
      </c>
      <c r="L1111" s="153">
        <v>28.0</v>
      </c>
      <c r="M1111" s="153">
        <v>140.0</v>
      </c>
    </row>
    <row r="1112">
      <c r="A1112" s="250">
        <v>46257.0</v>
      </c>
      <c r="B1112" s="153" t="s">
        <v>423</v>
      </c>
      <c r="C1112" s="153" t="s">
        <v>5</v>
      </c>
      <c r="D1112" s="153" t="s">
        <v>424</v>
      </c>
      <c r="E1112" s="153" t="s">
        <v>425</v>
      </c>
      <c r="F1112" s="153" t="s">
        <v>426</v>
      </c>
      <c r="G1112" s="153">
        <v>8830.0</v>
      </c>
      <c r="H1112" s="153">
        <v>5.0</v>
      </c>
      <c r="I1112" s="153">
        <v>0.06</v>
      </c>
      <c r="J1112" s="153">
        <v>30.0</v>
      </c>
      <c r="K1112" s="153">
        <v>0.0034</v>
      </c>
      <c r="L1112" s="153">
        <v>6.0</v>
      </c>
      <c r="M1112" s="153">
        <v>50.0</v>
      </c>
    </row>
    <row r="1113">
      <c r="A1113" s="250">
        <v>46257.0</v>
      </c>
      <c r="B1113" s="153" t="s">
        <v>423</v>
      </c>
      <c r="C1113" s="153" t="s">
        <v>5</v>
      </c>
      <c r="D1113" s="153" t="s">
        <v>427</v>
      </c>
      <c r="E1113" s="153" t="s">
        <v>428</v>
      </c>
      <c r="F1113" s="153" t="s">
        <v>429</v>
      </c>
      <c r="G1113" s="153">
        <v>8830.0</v>
      </c>
      <c r="H1113" s="153">
        <v>1.0</v>
      </c>
      <c r="I1113" s="153">
        <v>0.01</v>
      </c>
      <c r="J1113" s="153">
        <v>25.71</v>
      </c>
      <c r="K1113" s="153">
        <v>0.0029</v>
      </c>
      <c r="L1113" s="153">
        <v>25.7143</v>
      </c>
      <c r="M1113" s="153">
        <v>30.0</v>
      </c>
    </row>
    <row r="1114">
      <c r="A1114" s="250">
        <v>46257.0</v>
      </c>
      <c r="B1114" s="153" t="s">
        <v>423</v>
      </c>
      <c r="C1114" s="153" t="s">
        <v>5</v>
      </c>
      <c r="D1114" s="153" t="s">
        <v>430</v>
      </c>
      <c r="E1114" s="153" t="s">
        <v>431</v>
      </c>
      <c r="F1114" s="153" t="s">
        <v>429</v>
      </c>
      <c r="G1114" s="153">
        <v>8830.0</v>
      </c>
      <c r="H1114" s="153">
        <v>1.0</v>
      </c>
      <c r="I1114" s="153">
        <v>0.01</v>
      </c>
      <c r="J1114" s="153">
        <v>1.0</v>
      </c>
      <c r="K1114" s="153">
        <v>1.0E-4</v>
      </c>
      <c r="L1114" s="153">
        <v>1.0</v>
      </c>
      <c r="M1114" s="153">
        <v>1.0</v>
      </c>
    </row>
    <row r="1115">
      <c r="A1115" s="250">
        <v>46257.0</v>
      </c>
      <c r="B1115" s="153" t="s">
        <v>423</v>
      </c>
      <c r="C1115" s="153" t="s">
        <v>5</v>
      </c>
      <c r="D1115" s="153" t="s">
        <v>430</v>
      </c>
      <c r="E1115" s="153" t="s">
        <v>432</v>
      </c>
      <c r="F1115" s="153" t="s">
        <v>429</v>
      </c>
      <c r="G1115" s="153">
        <v>8830.0</v>
      </c>
      <c r="H1115" s="153">
        <v>3.0</v>
      </c>
      <c r="I1115" s="153">
        <v>0.03</v>
      </c>
      <c r="J1115" s="153">
        <v>4.0</v>
      </c>
      <c r="K1115" s="153">
        <v>5.0E-4</v>
      </c>
      <c r="L1115" s="153">
        <v>1.3333</v>
      </c>
      <c r="M1115" s="153">
        <v>4.0</v>
      </c>
    </row>
    <row r="1116">
      <c r="A1116" s="250">
        <v>46257.0</v>
      </c>
      <c r="B1116" s="153" t="s">
        <v>423</v>
      </c>
      <c r="C1116" s="153" t="s">
        <v>5</v>
      </c>
      <c r="D1116" s="153" t="s">
        <v>434</v>
      </c>
      <c r="E1116" s="153" t="s">
        <v>435</v>
      </c>
      <c r="F1116" s="153" t="s">
        <v>429</v>
      </c>
      <c r="G1116" s="153">
        <v>8830.0</v>
      </c>
      <c r="H1116" s="153">
        <v>4.0</v>
      </c>
      <c r="I1116" s="153">
        <v>0.05</v>
      </c>
      <c r="J1116" s="153">
        <v>6.0</v>
      </c>
      <c r="K1116" s="153">
        <v>7.0E-4</v>
      </c>
      <c r="L1116" s="153">
        <v>1.5</v>
      </c>
      <c r="M1116" s="153">
        <v>6.0</v>
      </c>
    </row>
    <row r="1117">
      <c r="A1117" s="250">
        <v>46257.0</v>
      </c>
      <c r="B1117" s="153" t="s">
        <v>423</v>
      </c>
      <c r="C1117" s="153" t="s">
        <v>5</v>
      </c>
      <c r="D1117" s="153" t="s">
        <v>444</v>
      </c>
      <c r="E1117" s="153" t="s">
        <v>445</v>
      </c>
      <c r="F1117" s="153" t="s">
        <v>440</v>
      </c>
      <c r="G1117" s="153">
        <v>8830.0</v>
      </c>
      <c r="H1117" s="153">
        <v>3.0</v>
      </c>
      <c r="I1117" s="153">
        <v>0.03</v>
      </c>
      <c r="J1117" s="153">
        <v>75.0</v>
      </c>
      <c r="K1117" s="153">
        <v>0.0085</v>
      </c>
      <c r="L1117" s="153">
        <v>25.0</v>
      </c>
      <c r="M1117" s="153">
        <v>75.0</v>
      </c>
    </row>
    <row r="1118">
      <c r="A1118" s="250">
        <v>46257.0</v>
      </c>
      <c r="B1118" s="153" t="s">
        <v>133</v>
      </c>
      <c r="C1118" s="153" t="s">
        <v>5</v>
      </c>
      <c r="D1118" s="153" t="s">
        <v>424</v>
      </c>
      <c r="E1118" s="153" t="s">
        <v>425</v>
      </c>
      <c r="F1118" s="153" t="s">
        <v>426</v>
      </c>
      <c r="G1118" s="153">
        <v>10729.0</v>
      </c>
      <c r="H1118" s="153">
        <v>32.0</v>
      </c>
      <c r="I1118" s="153">
        <v>0.3</v>
      </c>
      <c r="J1118" s="153">
        <v>280.0</v>
      </c>
      <c r="K1118" s="153">
        <v>0.0261</v>
      </c>
      <c r="L1118" s="153">
        <v>8.75</v>
      </c>
      <c r="M1118" s="153">
        <v>360.0</v>
      </c>
    </row>
    <row r="1119">
      <c r="A1119" s="250">
        <v>46257.0</v>
      </c>
      <c r="B1119" s="153" t="s">
        <v>133</v>
      </c>
      <c r="C1119" s="153" t="s">
        <v>5</v>
      </c>
      <c r="D1119" s="153" t="s">
        <v>427</v>
      </c>
      <c r="E1119" s="153" t="s">
        <v>428</v>
      </c>
      <c r="F1119" s="153" t="s">
        <v>429</v>
      </c>
      <c r="G1119" s="153">
        <v>10729.0</v>
      </c>
      <c r="H1119" s="153">
        <v>28.0</v>
      </c>
      <c r="I1119" s="153">
        <v>0.26</v>
      </c>
      <c r="J1119" s="153">
        <v>638.78</v>
      </c>
      <c r="K1119" s="153">
        <v>0.0595</v>
      </c>
      <c r="L1119" s="153">
        <v>22.8136</v>
      </c>
      <c r="M1119" s="153">
        <v>750.0</v>
      </c>
    </row>
    <row r="1120">
      <c r="A1120" s="250">
        <v>46257.0</v>
      </c>
      <c r="B1120" s="153" t="s">
        <v>133</v>
      </c>
      <c r="C1120" s="153" t="s">
        <v>5</v>
      </c>
      <c r="D1120" s="153" t="s">
        <v>430</v>
      </c>
      <c r="E1120" s="153" t="s">
        <v>431</v>
      </c>
      <c r="F1120" s="153" t="s">
        <v>429</v>
      </c>
      <c r="G1120" s="153">
        <v>10729.0</v>
      </c>
      <c r="H1120" s="153">
        <v>1.0</v>
      </c>
      <c r="I1120" s="153">
        <v>0.01</v>
      </c>
      <c r="J1120" s="153">
        <v>1.0</v>
      </c>
      <c r="K1120" s="153">
        <v>1.0E-4</v>
      </c>
      <c r="L1120" s="153">
        <v>1.0</v>
      </c>
      <c r="M1120" s="153">
        <v>1.0</v>
      </c>
    </row>
    <row r="1121">
      <c r="A1121" s="250">
        <v>46257.0</v>
      </c>
      <c r="B1121" s="153" t="s">
        <v>133</v>
      </c>
      <c r="C1121" s="153" t="s">
        <v>5</v>
      </c>
      <c r="D1121" s="153" t="s">
        <v>430</v>
      </c>
      <c r="E1121" s="153" t="s">
        <v>432</v>
      </c>
      <c r="F1121" s="153" t="s">
        <v>429</v>
      </c>
      <c r="G1121" s="153">
        <v>10729.0</v>
      </c>
      <c r="H1121" s="153">
        <v>13.0</v>
      </c>
      <c r="I1121" s="153">
        <v>0.12</v>
      </c>
      <c r="J1121" s="153">
        <v>18.0</v>
      </c>
      <c r="K1121" s="153">
        <v>0.0017</v>
      </c>
      <c r="L1121" s="153">
        <v>1.3846</v>
      </c>
      <c r="M1121" s="153">
        <v>18.0</v>
      </c>
    </row>
    <row r="1122">
      <c r="A1122" s="250">
        <v>46257.0</v>
      </c>
      <c r="B1122" s="153" t="s">
        <v>133</v>
      </c>
      <c r="C1122" s="153" t="s">
        <v>5</v>
      </c>
      <c r="D1122" s="153" t="s">
        <v>430</v>
      </c>
      <c r="E1122" s="153" t="s">
        <v>433</v>
      </c>
      <c r="F1122" s="153" t="s">
        <v>429</v>
      </c>
      <c r="G1122" s="153">
        <v>10729.0</v>
      </c>
      <c r="H1122" s="153">
        <v>2.0</v>
      </c>
      <c r="I1122" s="153">
        <v>0.02</v>
      </c>
      <c r="J1122" s="153">
        <v>2.0</v>
      </c>
      <c r="K1122" s="153">
        <v>2.0E-4</v>
      </c>
      <c r="L1122" s="153">
        <v>1.0</v>
      </c>
      <c r="M1122" s="153">
        <v>2.0</v>
      </c>
    </row>
    <row r="1123">
      <c r="A1123" s="250">
        <v>46257.0</v>
      </c>
      <c r="B1123" s="153" t="s">
        <v>133</v>
      </c>
      <c r="C1123" s="153" t="s">
        <v>5</v>
      </c>
      <c r="D1123" s="153" t="s">
        <v>434</v>
      </c>
      <c r="E1123" s="153" t="s">
        <v>435</v>
      </c>
      <c r="F1123" s="153" t="s">
        <v>429</v>
      </c>
      <c r="G1123" s="153">
        <v>10729.0</v>
      </c>
      <c r="H1123" s="153">
        <v>28.0</v>
      </c>
      <c r="I1123" s="153">
        <v>0.26</v>
      </c>
      <c r="J1123" s="153">
        <v>28.0</v>
      </c>
      <c r="K1123" s="153">
        <v>0.0026</v>
      </c>
      <c r="L1123" s="153">
        <v>1.0</v>
      </c>
      <c r="M1123" s="153">
        <v>28.0</v>
      </c>
    </row>
    <row r="1124">
      <c r="A1124" s="250">
        <v>46257.0</v>
      </c>
      <c r="B1124" s="153" t="s">
        <v>133</v>
      </c>
      <c r="C1124" s="153" t="s">
        <v>5</v>
      </c>
      <c r="D1124" s="153" t="s">
        <v>434</v>
      </c>
      <c r="E1124" s="153" t="s">
        <v>436</v>
      </c>
      <c r="F1124" s="153" t="s">
        <v>429</v>
      </c>
      <c r="G1124" s="153">
        <v>10729.0</v>
      </c>
      <c r="H1124" s="153">
        <v>21.0</v>
      </c>
      <c r="I1124" s="153">
        <v>0.2</v>
      </c>
      <c r="J1124" s="153">
        <v>24.0</v>
      </c>
      <c r="K1124" s="153">
        <v>0.0022</v>
      </c>
      <c r="L1124" s="153">
        <v>1.1429</v>
      </c>
      <c r="M1124" s="153">
        <v>24.0</v>
      </c>
    </row>
    <row r="1125">
      <c r="A1125" s="250">
        <v>46257.0</v>
      </c>
      <c r="B1125" s="153" t="s">
        <v>133</v>
      </c>
      <c r="C1125" s="153" t="s">
        <v>5</v>
      </c>
      <c r="D1125" s="153" t="s">
        <v>438</v>
      </c>
      <c r="E1125" s="153" t="s">
        <v>439</v>
      </c>
      <c r="F1125" s="153" t="s">
        <v>440</v>
      </c>
      <c r="G1125" s="153">
        <v>10729.0</v>
      </c>
      <c r="H1125" s="153">
        <v>3.0</v>
      </c>
      <c r="I1125" s="153">
        <v>0.03</v>
      </c>
      <c r="J1125" s="153">
        <v>40.0</v>
      </c>
      <c r="K1125" s="153">
        <v>0.0037</v>
      </c>
      <c r="L1125" s="153">
        <v>13.3333</v>
      </c>
      <c r="M1125" s="153">
        <v>40.0</v>
      </c>
    </row>
    <row r="1126">
      <c r="A1126" s="250">
        <v>46257.0</v>
      </c>
      <c r="B1126" s="153" t="s">
        <v>133</v>
      </c>
      <c r="C1126" s="153" t="s">
        <v>5</v>
      </c>
      <c r="D1126" s="153" t="s">
        <v>444</v>
      </c>
      <c r="E1126" s="153" t="s">
        <v>445</v>
      </c>
      <c r="F1126" s="153" t="s">
        <v>440</v>
      </c>
      <c r="G1126" s="153">
        <v>10729.0</v>
      </c>
      <c r="H1126" s="153">
        <v>28.0</v>
      </c>
      <c r="I1126" s="153">
        <v>0.26</v>
      </c>
      <c r="J1126" s="153">
        <v>430.0</v>
      </c>
      <c r="K1126" s="153">
        <v>0.0401</v>
      </c>
      <c r="L1126" s="153">
        <v>15.3571</v>
      </c>
      <c r="M1126" s="153">
        <v>430.0</v>
      </c>
    </row>
    <row r="1127">
      <c r="A1127" s="250">
        <v>46257.0</v>
      </c>
      <c r="B1127" s="153" t="s">
        <v>134</v>
      </c>
      <c r="C1127" s="153" t="s">
        <v>5</v>
      </c>
      <c r="D1127" s="153" t="s">
        <v>424</v>
      </c>
      <c r="E1127" s="153" t="s">
        <v>425</v>
      </c>
      <c r="F1127" s="153" t="s">
        <v>426</v>
      </c>
      <c r="G1127" s="153">
        <v>8329.0</v>
      </c>
      <c r="H1127" s="153">
        <v>29.0</v>
      </c>
      <c r="I1127" s="153">
        <v>0.35</v>
      </c>
      <c r="J1127" s="153">
        <v>332.5</v>
      </c>
      <c r="K1127" s="153">
        <v>0.0399</v>
      </c>
      <c r="L1127" s="153">
        <v>11.4655</v>
      </c>
      <c r="M1127" s="153">
        <v>510.0</v>
      </c>
    </row>
    <row r="1128">
      <c r="A1128" s="250">
        <v>46257.0</v>
      </c>
      <c r="B1128" s="153" t="s">
        <v>134</v>
      </c>
      <c r="C1128" s="153" t="s">
        <v>5</v>
      </c>
      <c r="D1128" s="153" t="s">
        <v>427</v>
      </c>
      <c r="E1128" s="153" t="s">
        <v>428</v>
      </c>
      <c r="F1128" s="153" t="s">
        <v>429</v>
      </c>
      <c r="G1128" s="153">
        <v>8329.0</v>
      </c>
      <c r="H1128" s="153">
        <v>28.0</v>
      </c>
      <c r="I1128" s="153">
        <v>0.34</v>
      </c>
      <c r="J1128" s="153">
        <v>902.94</v>
      </c>
      <c r="K1128" s="153">
        <v>0.1084</v>
      </c>
      <c r="L1128" s="153">
        <v>32.2477</v>
      </c>
      <c r="M1128" s="153">
        <v>1420.0</v>
      </c>
    </row>
    <row r="1129">
      <c r="A1129" s="250">
        <v>46257.0</v>
      </c>
      <c r="B1129" s="153" t="s">
        <v>134</v>
      </c>
      <c r="C1129" s="153" t="s">
        <v>5</v>
      </c>
      <c r="D1129" s="153" t="s">
        <v>430</v>
      </c>
      <c r="E1129" s="153" t="s">
        <v>431</v>
      </c>
      <c r="F1129" s="153" t="s">
        <v>429</v>
      </c>
      <c r="G1129" s="153">
        <v>8329.0</v>
      </c>
      <c r="H1129" s="153">
        <v>5.0</v>
      </c>
      <c r="I1129" s="153">
        <v>0.06</v>
      </c>
      <c r="J1129" s="153">
        <v>7.0</v>
      </c>
      <c r="K1129" s="153">
        <v>8.0E-4</v>
      </c>
      <c r="L1129" s="153">
        <v>1.4</v>
      </c>
      <c r="M1129" s="153">
        <v>7.0</v>
      </c>
    </row>
    <row r="1130">
      <c r="A1130" s="250">
        <v>46257.0</v>
      </c>
      <c r="B1130" s="153" t="s">
        <v>134</v>
      </c>
      <c r="C1130" s="153" t="s">
        <v>5</v>
      </c>
      <c r="D1130" s="153" t="s">
        <v>430</v>
      </c>
      <c r="E1130" s="153" t="s">
        <v>432</v>
      </c>
      <c r="F1130" s="153" t="s">
        <v>429</v>
      </c>
      <c r="G1130" s="153">
        <v>8329.0</v>
      </c>
      <c r="H1130" s="153">
        <v>18.0</v>
      </c>
      <c r="I1130" s="153">
        <v>0.22</v>
      </c>
      <c r="J1130" s="153">
        <v>26.0</v>
      </c>
      <c r="K1130" s="153">
        <v>0.0031</v>
      </c>
      <c r="L1130" s="153">
        <v>1.4444</v>
      </c>
      <c r="M1130" s="153">
        <v>26.0</v>
      </c>
    </row>
    <row r="1131">
      <c r="A1131" s="250">
        <v>46257.0</v>
      </c>
      <c r="B1131" s="153" t="s">
        <v>134</v>
      </c>
      <c r="C1131" s="153" t="s">
        <v>5</v>
      </c>
      <c r="D1131" s="153" t="s">
        <v>430</v>
      </c>
      <c r="E1131" s="153" t="s">
        <v>433</v>
      </c>
      <c r="F1131" s="153" t="s">
        <v>429</v>
      </c>
      <c r="G1131" s="153">
        <v>8329.0</v>
      </c>
      <c r="H1131" s="153">
        <v>6.0</v>
      </c>
      <c r="I1131" s="153">
        <v>0.07</v>
      </c>
      <c r="J1131" s="153">
        <v>7.0</v>
      </c>
      <c r="K1131" s="153">
        <v>8.0E-4</v>
      </c>
      <c r="L1131" s="153">
        <v>1.1667</v>
      </c>
      <c r="M1131" s="153">
        <v>7.0</v>
      </c>
    </row>
    <row r="1132">
      <c r="A1132" s="250">
        <v>46257.0</v>
      </c>
      <c r="B1132" s="153" t="s">
        <v>134</v>
      </c>
      <c r="C1132" s="153" t="s">
        <v>5</v>
      </c>
      <c r="D1132" s="153" t="s">
        <v>434</v>
      </c>
      <c r="E1132" s="153" t="s">
        <v>435</v>
      </c>
      <c r="F1132" s="153" t="s">
        <v>429</v>
      </c>
      <c r="G1132" s="153">
        <v>8329.0</v>
      </c>
      <c r="H1132" s="153">
        <v>16.0</v>
      </c>
      <c r="I1132" s="153">
        <v>0.19</v>
      </c>
      <c r="J1132" s="153">
        <v>17.0</v>
      </c>
      <c r="K1132" s="153">
        <v>0.002</v>
      </c>
      <c r="L1132" s="153">
        <v>1.0625</v>
      </c>
      <c r="M1132" s="153">
        <v>17.0</v>
      </c>
    </row>
    <row r="1133">
      <c r="A1133" s="250">
        <v>46257.0</v>
      </c>
      <c r="B1133" s="153" t="s">
        <v>134</v>
      </c>
      <c r="C1133" s="153" t="s">
        <v>5</v>
      </c>
      <c r="D1133" s="153" t="s">
        <v>434</v>
      </c>
      <c r="E1133" s="153" t="s">
        <v>436</v>
      </c>
      <c r="F1133" s="153" t="s">
        <v>429</v>
      </c>
      <c r="G1133" s="153">
        <v>8329.0</v>
      </c>
      <c r="H1133" s="153">
        <v>13.0</v>
      </c>
      <c r="I1133" s="153">
        <v>0.16</v>
      </c>
      <c r="J1133" s="153">
        <v>14.0</v>
      </c>
      <c r="K1133" s="153">
        <v>0.0017</v>
      </c>
      <c r="L1133" s="153">
        <v>1.0769</v>
      </c>
      <c r="M1133" s="153">
        <v>14.0</v>
      </c>
    </row>
    <row r="1134">
      <c r="A1134" s="250">
        <v>46257.0</v>
      </c>
      <c r="B1134" s="153" t="s">
        <v>134</v>
      </c>
      <c r="C1134" s="153" t="s">
        <v>5</v>
      </c>
      <c r="D1134" s="153" t="s">
        <v>438</v>
      </c>
      <c r="E1134" s="153" t="s">
        <v>439</v>
      </c>
      <c r="F1134" s="153" t="s">
        <v>440</v>
      </c>
      <c r="G1134" s="153">
        <v>8329.0</v>
      </c>
      <c r="H1134" s="153">
        <v>2.0</v>
      </c>
      <c r="I1134" s="153">
        <v>0.02</v>
      </c>
      <c r="J1134" s="153">
        <v>30.0</v>
      </c>
      <c r="K1134" s="153">
        <v>0.0036</v>
      </c>
      <c r="L1134" s="153">
        <v>15.0</v>
      </c>
      <c r="M1134" s="153">
        <v>30.0</v>
      </c>
    </row>
    <row r="1135">
      <c r="A1135" s="250">
        <v>46257.0</v>
      </c>
      <c r="B1135" s="153" t="s">
        <v>134</v>
      </c>
      <c r="C1135" s="153" t="s">
        <v>5</v>
      </c>
      <c r="D1135" s="153" t="s">
        <v>441</v>
      </c>
      <c r="E1135" s="153" t="s">
        <v>442</v>
      </c>
      <c r="F1135" s="153" t="s">
        <v>440</v>
      </c>
      <c r="G1135" s="153">
        <v>8329.0</v>
      </c>
      <c r="H1135" s="153">
        <v>6.0</v>
      </c>
      <c r="I1135" s="153">
        <v>0.07</v>
      </c>
      <c r="J1135" s="153">
        <v>90.0</v>
      </c>
      <c r="K1135" s="153">
        <v>0.0108</v>
      </c>
      <c r="L1135" s="153">
        <v>15.0</v>
      </c>
      <c r="M1135" s="153">
        <v>90.0</v>
      </c>
    </row>
    <row r="1136">
      <c r="A1136" s="250">
        <v>46257.0</v>
      </c>
      <c r="B1136" s="153" t="s">
        <v>134</v>
      </c>
      <c r="C1136" s="153" t="s">
        <v>5</v>
      </c>
      <c r="D1136" s="153" t="s">
        <v>444</v>
      </c>
      <c r="E1136" s="153" t="s">
        <v>445</v>
      </c>
      <c r="F1136" s="153" t="s">
        <v>440</v>
      </c>
      <c r="G1136" s="153">
        <v>8329.0</v>
      </c>
      <c r="H1136" s="153">
        <v>26.0</v>
      </c>
      <c r="I1136" s="153">
        <v>0.31</v>
      </c>
      <c r="J1136" s="153">
        <v>555.0</v>
      </c>
      <c r="K1136" s="153">
        <v>0.0666</v>
      </c>
      <c r="L1136" s="153">
        <v>21.3462</v>
      </c>
      <c r="M1136" s="153">
        <v>555.0</v>
      </c>
    </row>
    <row r="1137">
      <c r="A1137" s="250">
        <v>46257.0</v>
      </c>
      <c r="B1137" s="153" t="s">
        <v>135</v>
      </c>
      <c r="C1137" s="153" t="s">
        <v>5</v>
      </c>
      <c r="D1137" s="153" t="s">
        <v>424</v>
      </c>
      <c r="E1137" s="153" t="s">
        <v>425</v>
      </c>
      <c r="F1137" s="153" t="s">
        <v>426</v>
      </c>
      <c r="G1137" s="153">
        <v>6259.0</v>
      </c>
      <c r="H1137" s="153">
        <v>12.0</v>
      </c>
      <c r="I1137" s="153">
        <v>0.19</v>
      </c>
      <c r="J1137" s="153">
        <v>120.0</v>
      </c>
      <c r="K1137" s="153">
        <v>0.0192</v>
      </c>
      <c r="L1137" s="153">
        <v>10.0</v>
      </c>
      <c r="M1137" s="153">
        <v>140.0</v>
      </c>
    </row>
    <row r="1138">
      <c r="A1138" s="250">
        <v>46257.0</v>
      </c>
      <c r="B1138" s="153" t="s">
        <v>135</v>
      </c>
      <c r="C1138" s="153" t="s">
        <v>5</v>
      </c>
      <c r="D1138" s="153" t="s">
        <v>427</v>
      </c>
      <c r="E1138" s="153" t="s">
        <v>428</v>
      </c>
      <c r="F1138" s="153" t="s">
        <v>429</v>
      </c>
      <c r="G1138" s="153">
        <v>6259.0</v>
      </c>
      <c r="H1138" s="153">
        <v>14.0</v>
      </c>
      <c r="I1138" s="153">
        <v>0.22</v>
      </c>
      <c r="J1138" s="153">
        <v>539.07</v>
      </c>
      <c r="K1138" s="153">
        <v>0.0861</v>
      </c>
      <c r="L1138" s="153">
        <v>38.5052</v>
      </c>
      <c r="M1138" s="153">
        <v>665.0</v>
      </c>
    </row>
    <row r="1139">
      <c r="A1139" s="250">
        <v>46257.0</v>
      </c>
      <c r="B1139" s="153" t="s">
        <v>135</v>
      </c>
      <c r="C1139" s="153" t="s">
        <v>5</v>
      </c>
      <c r="D1139" s="153" t="s">
        <v>430</v>
      </c>
      <c r="E1139" s="153" t="s">
        <v>431</v>
      </c>
      <c r="F1139" s="153" t="s">
        <v>429</v>
      </c>
      <c r="G1139" s="153">
        <v>6259.0</v>
      </c>
      <c r="H1139" s="153">
        <v>3.0</v>
      </c>
      <c r="I1139" s="153">
        <v>0.05</v>
      </c>
      <c r="J1139" s="153">
        <v>3.0</v>
      </c>
      <c r="K1139" s="153">
        <v>5.0E-4</v>
      </c>
      <c r="L1139" s="153">
        <v>1.0</v>
      </c>
      <c r="M1139" s="153">
        <v>3.0</v>
      </c>
    </row>
    <row r="1140">
      <c r="A1140" s="250">
        <v>46257.0</v>
      </c>
      <c r="B1140" s="153" t="s">
        <v>135</v>
      </c>
      <c r="C1140" s="153" t="s">
        <v>5</v>
      </c>
      <c r="D1140" s="153" t="s">
        <v>430</v>
      </c>
      <c r="E1140" s="153" t="s">
        <v>432</v>
      </c>
      <c r="F1140" s="153" t="s">
        <v>429</v>
      </c>
      <c r="G1140" s="153">
        <v>6259.0</v>
      </c>
      <c r="H1140" s="153">
        <v>7.0</v>
      </c>
      <c r="I1140" s="153">
        <v>0.11</v>
      </c>
      <c r="J1140" s="153">
        <v>13.0</v>
      </c>
      <c r="K1140" s="153">
        <v>0.0021</v>
      </c>
      <c r="L1140" s="153">
        <v>1.8571</v>
      </c>
      <c r="M1140" s="153">
        <v>13.0</v>
      </c>
    </row>
    <row r="1141">
      <c r="A1141" s="250">
        <v>46257.0</v>
      </c>
      <c r="B1141" s="153" t="s">
        <v>135</v>
      </c>
      <c r="C1141" s="153" t="s">
        <v>5</v>
      </c>
      <c r="D1141" s="153" t="s">
        <v>430</v>
      </c>
      <c r="E1141" s="153" t="s">
        <v>433</v>
      </c>
      <c r="F1141" s="153" t="s">
        <v>429</v>
      </c>
      <c r="G1141" s="153">
        <v>6259.0</v>
      </c>
      <c r="H1141" s="153">
        <v>3.0</v>
      </c>
      <c r="I1141" s="153">
        <v>0.05</v>
      </c>
      <c r="J1141" s="153">
        <v>3.0</v>
      </c>
      <c r="K1141" s="153">
        <v>5.0E-4</v>
      </c>
      <c r="L1141" s="153">
        <v>1.0</v>
      </c>
      <c r="M1141" s="153">
        <v>3.0</v>
      </c>
    </row>
    <row r="1142">
      <c r="A1142" s="250">
        <v>46257.0</v>
      </c>
      <c r="B1142" s="153" t="s">
        <v>135</v>
      </c>
      <c r="C1142" s="153" t="s">
        <v>5</v>
      </c>
      <c r="D1142" s="153" t="s">
        <v>434</v>
      </c>
      <c r="E1142" s="153" t="s">
        <v>435</v>
      </c>
      <c r="F1142" s="153" t="s">
        <v>429</v>
      </c>
      <c r="G1142" s="153">
        <v>6259.0</v>
      </c>
      <c r="H1142" s="153">
        <v>10.0</v>
      </c>
      <c r="I1142" s="153">
        <v>0.16</v>
      </c>
      <c r="J1142" s="153">
        <v>15.0</v>
      </c>
      <c r="K1142" s="153">
        <v>0.0024</v>
      </c>
      <c r="L1142" s="153">
        <v>1.5</v>
      </c>
      <c r="M1142" s="153">
        <v>15.0</v>
      </c>
    </row>
    <row r="1143">
      <c r="A1143" s="250">
        <v>46257.0</v>
      </c>
      <c r="B1143" s="153" t="s">
        <v>135</v>
      </c>
      <c r="C1143" s="153" t="s">
        <v>5</v>
      </c>
      <c r="D1143" s="153" t="s">
        <v>434</v>
      </c>
      <c r="E1143" s="153" t="s">
        <v>436</v>
      </c>
      <c r="F1143" s="153" t="s">
        <v>429</v>
      </c>
      <c r="G1143" s="153">
        <v>6259.0</v>
      </c>
      <c r="H1143" s="153">
        <v>8.0</v>
      </c>
      <c r="I1143" s="153">
        <v>0.13</v>
      </c>
      <c r="J1143" s="153">
        <v>9.0</v>
      </c>
      <c r="K1143" s="153">
        <v>0.0014</v>
      </c>
      <c r="L1143" s="153">
        <v>1.125</v>
      </c>
      <c r="M1143" s="153">
        <v>9.0</v>
      </c>
    </row>
    <row r="1144">
      <c r="A1144" s="250">
        <v>46257.0</v>
      </c>
      <c r="B1144" s="153" t="s">
        <v>135</v>
      </c>
      <c r="C1144" s="153" t="s">
        <v>5</v>
      </c>
      <c r="D1144" s="153" t="s">
        <v>434</v>
      </c>
      <c r="E1144" s="153" t="s">
        <v>437</v>
      </c>
      <c r="F1144" s="153" t="s">
        <v>429</v>
      </c>
      <c r="G1144" s="153">
        <v>6259.0</v>
      </c>
      <c r="H1144" s="153">
        <v>4.0</v>
      </c>
      <c r="I1144" s="153">
        <v>0.06</v>
      </c>
      <c r="J1144" s="153">
        <v>4.0</v>
      </c>
      <c r="K1144" s="153">
        <v>6.0E-4</v>
      </c>
      <c r="L1144" s="153">
        <v>1.0</v>
      </c>
      <c r="M1144" s="153">
        <v>4.0</v>
      </c>
    </row>
    <row r="1145">
      <c r="A1145" s="250">
        <v>46257.0</v>
      </c>
      <c r="B1145" s="153" t="s">
        <v>135</v>
      </c>
      <c r="C1145" s="153" t="s">
        <v>5</v>
      </c>
      <c r="D1145" s="153" t="s">
        <v>438</v>
      </c>
      <c r="E1145" s="153" t="s">
        <v>439</v>
      </c>
      <c r="F1145" s="153" t="s">
        <v>440</v>
      </c>
      <c r="G1145" s="153">
        <v>6259.0</v>
      </c>
      <c r="H1145" s="153">
        <v>4.0</v>
      </c>
      <c r="I1145" s="153">
        <v>0.06</v>
      </c>
      <c r="J1145" s="153">
        <v>60.0</v>
      </c>
      <c r="K1145" s="153">
        <v>0.0096</v>
      </c>
      <c r="L1145" s="153">
        <v>15.0</v>
      </c>
      <c r="M1145" s="153">
        <v>60.0</v>
      </c>
    </row>
    <row r="1146">
      <c r="A1146" s="250">
        <v>46257.0</v>
      </c>
      <c r="B1146" s="153" t="s">
        <v>135</v>
      </c>
      <c r="C1146" s="153" t="s">
        <v>5</v>
      </c>
      <c r="D1146" s="153" t="s">
        <v>441</v>
      </c>
      <c r="E1146" s="153" t="s">
        <v>442</v>
      </c>
      <c r="F1146" s="153" t="s">
        <v>440</v>
      </c>
      <c r="G1146" s="153">
        <v>6259.0</v>
      </c>
      <c r="H1146" s="153">
        <v>1.0</v>
      </c>
      <c r="I1146" s="153">
        <v>0.02</v>
      </c>
      <c r="J1146" s="153">
        <v>10.0</v>
      </c>
      <c r="K1146" s="153">
        <v>0.0016</v>
      </c>
      <c r="L1146" s="153">
        <v>10.0</v>
      </c>
      <c r="M1146" s="153">
        <v>10.0</v>
      </c>
    </row>
    <row r="1147">
      <c r="A1147" s="250">
        <v>46257.0</v>
      </c>
      <c r="B1147" s="153" t="s">
        <v>135</v>
      </c>
      <c r="C1147" s="153" t="s">
        <v>5</v>
      </c>
      <c r="D1147" s="153" t="s">
        <v>444</v>
      </c>
      <c r="E1147" s="153" t="s">
        <v>445</v>
      </c>
      <c r="F1147" s="153" t="s">
        <v>440</v>
      </c>
      <c r="G1147" s="153">
        <v>6259.0</v>
      </c>
      <c r="H1147" s="153">
        <v>14.0</v>
      </c>
      <c r="I1147" s="153">
        <v>0.22</v>
      </c>
      <c r="J1147" s="153">
        <v>350.0</v>
      </c>
      <c r="K1147" s="153">
        <v>0.0559</v>
      </c>
      <c r="L1147" s="153">
        <v>25.0</v>
      </c>
      <c r="M1147" s="153">
        <v>350.0</v>
      </c>
    </row>
    <row r="1148">
      <c r="A1148" s="250">
        <v>46257.0</v>
      </c>
      <c r="B1148" s="153" t="s">
        <v>136</v>
      </c>
      <c r="C1148" s="153" t="s">
        <v>5</v>
      </c>
      <c r="D1148" s="153" t="s">
        <v>424</v>
      </c>
      <c r="E1148" s="153" t="s">
        <v>425</v>
      </c>
      <c r="F1148" s="153" t="s">
        <v>426</v>
      </c>
      <c r="G1148" s="153">
        <v>3443.0</v>
      </c>
      <c r="H1148" s="153">
        <v>2.0</v>
      </c>
      <c r="I1148" s="153">
        <v>0.06</v>
      </c>
      <c r="J1148" s="153">
        <v>32.0</v>
      </c>
      <c r="K1148" s="153">
        <v>0.0093</v>
      </c>
      <c r="L1148" s="153">
        <v>16.0</v>
      </c>
      <c r="M1148" s="153">
        <v>40.0</v>
      </c>
    </row>
    <row r="1149">
      <c r="A1149" s="250">
        <v>46257.0</v>
      </c>
      <c r="B1149" s="153" t="s">
        <v>136</v>
      </c>
      <c r="C1149" s="153" t="s">
        <v>5</v>
      </c>
      <c r="D1149" s="153" t="s">
        <v>427</v>
      </c>
      <c r="E1149" s="153" t="s">
        <v>428</v>
      </c>
      <c r="F1149" s="153" t="s">
        <v>429</v>
      </c>
      <c r="G1149" s="153">
        <v>3443.0</v>
      </c>
      <c r="H1149" s="153">
        <v>5.0</v>
      </c>
      <c r="I1149" s="153">
        <v>0.15</v>
      </c>
      <c r="J1149" s="153">
        <v>579.53</v>
      </c>
      <c r="K1149" s="153">
        <v>0.1683</v>
      </c>
      <c r="L1149" s="153">
        <v>115.907</v>
      </c>
      <c r="M1149" s="153">
        <v>830.0</v>
      </c>
    </row>
    <row r="1150">
      <c r="A1150" s="250">
        <v>46257.0</v>
      </c>
      <c r="B1150" s="153" t="s">
        <v>136</v>
      </c>
      <c r="C1150" s="153" t="s">
        <v>5</v>
      </c>
      <c r="D1150" s="153" t="s">
        <v>430</v>
      </c>
      <c r="E1150" s="153" t="s">
        <v>431</v>
      </c>
      <c r="F1150" s="153" t="s">
        <v>429</v>
      </c>
      <c r="G1150" s="153">
        <v>3443.0</v>
      </c>
      <c r="H1150" s="153">
        <v>1.0</v>
      </c>
      <c r="I1150" s="153">
        <v>0.03</v>
      </c>
      <c r="J1150" s="153">
        <v>1.0</v>
      </c>
      <c r="K1150" s="153">
        <v>3.0E-4</v>
      </c>
      <c r="L1150" s="153">
        <v>1.0</v>
      </c>
      <c r="M1150" s="153">
        <v>1.0</v>
      </c>
    </row>
    <row r="1151">
      <c r="A1151" s="250">
        <v>46257.0</v>
      </c>
      <c r="B1151" s="153" t="s">
        <v>136</v>
      </c>
      <c r="C1151" s="153" t="s">
        <v>5</v>
      </c>
      <c r="D1151" s="153" t="s">
        <v>430</v>
      </c>
      <c r="E1151" s="153" t="s">
        <v>432</v>
      </c>
      <c r="F1151" s="153" t="s">
        <v>429</v>
      </c>
      <c r="G1151" s="153">
        <v>3443.0</v>
      </c>
      <c r="H1151" s="153">
        <v>6.0</v>
      </c>
      <c r="I1151" s="153">
        <v>0.17</v>
      </c>
      <c r="J1151" s="153">
        <v>7.0</v>
      </c>
      <c r="K1151" s="153">
        <v>0.002</v>
      </c>
      <c r="L1151" s="153">
        <v>1.1667</v>
      </c>
      <c r="M1151" s="153">
        <v>7.0</v>
      </c>
    </row>
    <row r="1152">
      <c r="A1152" s="250">
        <v>46257.0</v>
      </c>
      <c r="B1152" s="153" t="s">
        <v>136</v>
      </c>
      <c r="C1152" s="153" t="s">
        <v>5</v>
      </c>
      <c r="D1152" s="153" t="s">
        <v>430</v>
      </c>
      <c r="E1152" s="153" t="s">
        <v>433</v>
      </c>
      <c r="F1152" s="153" t="s">
        <v>429</v>
      </c>
      <c r="G1152" s="153">
        <v>3443.0</v>
      </c>
      <c r="H1152" s="153">
        <v>1.0</v>
      </c>
      <c r="I1152" s="153">
        <v>0.03</v>
      </c>
      <c r="J1152" s="153">
        <v>1.0</v>
      </c>
      <c r="K1152" s="153">
        <v>3.0E-4</v>
      </c>
      <c r="L1152" s="153">
        <v>1.0</v>
      </c>
      <c r="M1152" s="153">
        <v>1.0</v>
      </c>
    </row>
    <row r="1153">
      <c r="A1153" s="250">
        <v>46257.0</v>
      </c>
      <c r="B1153" s="153" t="s">
        <v>136</v>
      </c>
      <c r="C1153" s="153" t="s">
        <v>5</v>
      </c>
      <c r="D1153" s="153" t="s">
        <v>434</v>
      </c>
      <c r="E1153" s="153" t="s">
        <v>435</v>
      </c>
      <c r="F1153" s="153" t="s">
        <v>429</v>
      </c>
      <c r="G1153" s="153">
        <v>3443.0</v>
      </c>
      <c r="H1153" s="153">
        <v>1.0</v>
      </c>
      <c r="I1153" s="153">
        <v>0.03</v>
      </c>
      <c r="J1153" s="153">
        <v>1.0</v>
      </c>
      <c r="K1153" s="153">
        <v>3.0E-4</v>
      </c>
      <c r="L1153" s="153">
        <v>1.0</v>
      </c>
      <c r="M1153" s="153">
        <v>1.0</v>
      </c>
    </row>
    <row r="1154">
      <c r="A1154" s="250">
        <v>46257.0</v>
      </c>
      <c r="B1154" s="153" t="s">
        <v>136</v>
      </c>
      <c r="C1154" s="153" t="s">
        <v>5</v>
      </c>
      <c r="D1154" s="153" t="s">
        <v>441</v>
      </c>
      <c r="E1154" s="153" t="s">
        <v>442</v>
      </c>
      <c r="F1154" s="153" t="s">
        <v>440</v>
      </c>
      <c r="G1154" s="153">
        <v>3443.0</v>
      </c>
      <c r="H1154" s="153">
        <v>1.0</v>
      </c>
      <c r="I1154" s="153">
        <v>0.03</v>
      </c>
      <c r="J1154" s="153">
        <v>10.0</v>
      </c>
      <c r="K1154" s="153">
        <v>0.0029</v>
      </c>
      <c r="L1154" s="153">
        <v>10.0</v>
      </c>
      <c r="M1154" s="153">
        <v>10.0</v>
      </c>
    </row>
    <row r="1155">
      <c r="A1155" s="250">
        <v>46257.0</v>
      </c>
      <c r="B1155" s="153" t="s">
        <v>136</v>
      </c>
      <c r="C1155" s="153" t="s">
        <v>5</v>
      </c>
      <c r="D1155" s="153" t="s">
        <v>444</v>
      </c>
      <c r="E1155" s="153" t="s">
        <v>445</v>
      </c>
      <c r="F1155" s="153" t="s">
        <v>440</v>
      </c>
      <c r="G1155" s="153">
        <v>3443.0</v>
      </c>
      <c r="H1155" s="153">
        <v>1.0</v>
      </c>
      <c r="I1155" s="153">
        <v>0.03</v>
      </c>
      <c r="J1155" s="153">
        <v>30.0</v>
      </c>
      <c r="K1155" s="153">
        <v>0.0087</v>
      </c>
      <c r="L1155" s="153">
        <v>30.0</v>
      </c>
      <c r="M1155" s="153">
        <v>30.0</v>
      </c>
    </row>
    <row r="1156">
      <c r="A1156" s="250">
        <v>46258.0</v>
      </c>
      <c r="B1156" s="153" t="s">
        <v>423</v>
      </c>
      <c r="C1156" s="153" t="s">
        <v>5</v>
      </c>
      <c r="D1156" s="153" t="s">
        <v>424</v>
      </c>
      <c r="E1156" s="153" t="s">
        <v>425</v>
      </c>
      <c r="F1156" s="153" t="s">
        <v>426</v>
      </c>
      <c r="G1156" s="153">
        <v>6763.0</v>
      </c>
      <c r="H1156" s="153">
        <v>31.0</v>
      </c>
      <c r="I1156" s="153">
        <v>0.46</v>
      </c>
      <c r="J1156" s="153">
        <v>306.8</v>
      </c>
      <c r="K1156" s="153">
        <v>0.0454</v>
      </c>
      <c r="L1156" s="153">
        <v>9.8968</v>
      </c>
      <c r="M1156" s="153">
        <v>560.0</v>
      </c>
    </row>
    <row r="1157">
      <c r="A1157" s="250">
        <v>46258.0</v>
      </c>
      <c r="B1157" s="153" t="s">
        <v>423</v>
      </c>
      <c r="C1157" s="153" t="s">
        <v>5</v>
      </c>
      <c r="D1157" s="153" t="s">
        <v>427</v>
      </c>
      <c r="E1157" s="153" t="s">
        <v>428</v>
      </c>
      <c r="F1157" s="153" t="s">
        <v>429</v>
      </c>
      <c r="G1157" s="153">
        <v>6763.0</v>
      </c>
      <c r="H1157" s="153">
        <v>21.0</v>
      </c>
      <c r="I1157" s="153">
        <v>0.31</v>
      </c>
      <c r="J1157" s="153">
        <v>1499.62</v>
      </c>
      <c r="K1157" s="153">
        <v>0.2217</v>
      </c>
      <c r="L1157" s="153">
        <v>71.4106</v>
      </c>
      <c r="M1157" s="153">
        <v>1560.0</v>
      </c>
    </row>
    <row r="1158">
      <c r="A1158" s="250">
        <v>46258.0</v>
      </c>
      <c r="B1158" s="153" t="s">
        <v>423</v>
      </c>
      <c r="C1158" s="153" t="s">
        <v>5</v>
      </c>
      <c r="D1158" s="153" t="s">
        <v>430</v>
      </c>
      <c r="E1158" s="153" t="s">
        <v>431</v>
      </c>
      <c r="F1158" s="153" t="s">
        <v>429</v>
      </c>
      <c r="G1158" s="153">
        <v>6763.0</v>
      </c>
      <c r="H1158" s="153">
        <v>5.0</v>
      </c>
      <c r="I1158" s="153">
        <v>0.07</v>
      </c>
      <c r="J1158" s="153">
        <v>5.0</v>
      </c>
      <c r="K1158" s="153">
        <v>7.0E-4</v>
      </c>
      <c r="L1158" s="153">
        <v>1.0</v>
      </c>
      <c r="M1158" s="153">
        <v>5.0</v>
      </c>
    </row>
    <row r="1159">
      <c r="A1159" s="250">
        <v>46258.0</v>
      </c>
      <c r="B1159" s="153" t="s">
        <v>423</v>
      </c>
      <c r="C1159" s="153" t="s">
        <v>5</v>
      </c>
      <c r="D1159" s="153" t="s">
        <v>430</v>
      </c>
      <c r="E1159" s="153" t="s">
        <v>433</v>
      </c>
      <c r="F1159" s="153" t="s">
        <v>429</v>
      </c>
      <c r="G1159" s="153">
        <v>6763.0</v>
      </c>
      <c r="H1159" s="153">
        <v>8.0</v>
      </c>
      <c r="I1159" s="153">
        <v>0.12</v>
      </c>
      <c r="J1159" s="153">
        <v>9.0</v>
      </c>
      <c r="K1159" s="153">
        <v>0.0013</v>
      </c>
      <c r="L1159" s="153">
        <v>1.125</v>
      </c>
      <c r="M1159" s="153">
        <v>9.0</v>
      </c>
    </row>
    <row r="1160">
      <c r="A1160" s="250">
        <v>46258.0</v>
      </c>
      <c r="B1160" s="153" t="s">
        <v>423</v>
      </c>
      <c r="C1160" s="153" t="s">
        <v>5</v>
      </c>
      <c r="D1160" s="153" t="s">
        <v>434</v>
      </c>
      <c r="E1160" s="153" t="s">
        <v>435</v>
      </c>
      <c r="F1160" s="153" t="s">
        <v>429</v>
      </c>
      <c r="G1160" s="153">
        <v>6763.0</v>
      </c>
      <c r="H1160" s="153">
        <v>33.0</v>
      </c>
      <c r="I1160" s="153">
        <v>0.49</v>
      </c>
      <c r="J1160" s="153">
        <v>52.0</v>
      </c>
      <c r="K1160" s="153">
        <v>0.0077</v>
      </c>
      <c r="L1160" s="153">
        <v>1.5758</v>
      </c>
      <c r="M1160" s="153">
        <v>52.0</v>
      </c>
    </row>
    <row r="1161">
      <c r="A1161" s="250">
        <v>46258.0</v>
      </c>
      <c r="B1161" s="153" t="s">
        <v>423</v>
      </c>
      <c r="C1161" s="153" t="s">
        <v>5</v>
      </c>
      <c r="D1161" s="153" t="s">
        <v>434</v>
      </c>
      <c r="E1161" s="153" t="s">
        <v>436</v>
      </c>
      <c r="F1161" s="153" t="s">
        <v>429</v>
      </c>
      <c r="G1161" s="153">
        <v>6763.0</v>
      </c>
      <c r="H1161" s="153">
        <v>21.0</v>
      </c>
      <c r="I1161" s="153">
        <v>0.31</v>
      </c>
      <c r="J1161" s="153">
        <v>40.0</v>
      </c>
      <c r="K1161" s="153">
        <v>0.0059</v>
      </c>
      <c r="L1161" s="153">
        <v>1.9048</v>
      </c>
      <c r="M1161" s="153">
        <v>40.0</v>
      </c>
    </row>
    <row r="1162">
      <c r="A1162" s="250">
        <v>46258.0</v>
      </c>
      <c r="B1162" s="153" t="s">
        <v>423</v>
      </c>
      <c r="C1162" s="153" t="s">
        <v>5</v>
      </c>
      <c r="D1162" s="153" t="s">
        <v>434</v>
      </c>
      <c r="E1162" s="153" t="s">
        <v>437</v>
      </c>
      <c r="F1162" s="153" t="s">
        <v>429</v>
      </c>
      <c r="G1162" s="153">
        <v>6763.0</v>
      </c>
      <c r="H1162" s="153">
        <v>3.0</v>
      </c>
      <c r="I1162" s="153">
        <v>0.04</v>
      </c>
      <c r="J1162" s="153">
        <v>3.0</v>
      </c>
      <c r="K1162" s="153">
        <v>4.0E-4</v>
      </c>
      <c r="L1162" s="153">
        <v>1.0</v>
      </c>
      <c r="M1162" s="153">
        <v>3.0</v>
      </c>
    </row>
    <row r="1163">
      <c r="A1163" s="250">
        <v>46258.0</v>
      </c>
      <c r="B1163" s="153" t="s">
        <v>423</v>
      </c>
      <c r="C1163" s="153" t="s">
        <v>5</v>
      </c>
      <c r="D1163" s="153" t="s">
        <v>441</v>
      </c>
      <c r="E1163" s="153" t="s">
        <v>442</v>
      </c>
      <c r="F1163" s="153" t="s">
        <v>440</v>
      </c>
      <c r="G1163" s="153">
        <v>6763.0</v>
      </c>
      <c r="H1163" s="153">
        <v>3.0</v>
      </c>
      <c r="I1163" s="153">
        <v>0.04</v>
      </c>
      <c r="J1163" s="153">
        <v>30.0</v>
      </c>
      <c r="K1163" s="153">
        <v>0.0044</v>
      </c>
      <c r="L1163" s="153">
        <v>10.0</v>
      </c>
      <c r="M1163" s="153">
        <v>30.0</v>
      </c>
    </row>
    <row r="1164">
      <c r="A1164" s="250">
        <v>46258.0</v>
      </c>
      <c r="B1164" s="153" t="s">
        <v>423</v>
      </c>
      <c r="C1164" s="153" t="s">
        <v>5</v>
      </c>
      <c r="D1164" s="153" t="s">
        <v>444</v>
      </c>
      <c r="E1164" s="153" t="s">
        <v>445</v>
      </c>
      <c r="F1164" s="153" t="s">
        <v>440</v>
      </c>
      <c r="G1164" s="153">
        <v>6763.0</v>
      </c>
      <c r="H1164" s="153">
        <v>22.0</v>
      </c>
      <c r="I1164" s="153">
        <v>0.33</v>
      </c>
      <c r="J1164" s="153">
        <v>715.0</v>
      </c>
      <c r="K1164" s="153">
        <v>0.1057</v>
      </c>
      <c r="L1164" s="153">
        <v>32.5</v>
      </c>
      <c r="M1164" s="153">
        <v>715.0</v>
      </c>
    </row>
    <row r="1165">
      <c r="A1165" s="250">
        <v>46258.0</v>
      </c>
      <c r="B1165" s="153" t="s">
        <v>133</v>
      </c>
      <c r="C1165" s="153" t="s">
        <v>5</v>
      </c>
      <c r="D1165" s="153" t="s">
        <v>424</v>
      </c>
      <c r="E1165" s="153" t="s">
        <v>425</v>
      </c>
      <c r="F1165" s="153" t="s">
        <v>426</v>
      </c>
      <c r="G1165" s="153">
        <v>10914.0</v>
      </c>
      <c r="H1165" s="153">
        <v>3535.0</v>
      </c>
      <c r="I1165" s="153">
        <v>32.39</v>
      </c>
      <c r="J1165" s="153">
        <v>39075.74</v>
      </c>
      <c r="K1165" s="153">
        <v>3.5803</v>
      </c>
      <c r="L1165" s="153">
        <v>11.054</v>
      </c>
      <c r="M1165" s="153">
        <v>46210.0</v>
      </c>
    </row>
    <row r="1166">
      <c r="A1166" s="250">
        <v>46258.0</v>
      </c>
      <c r="B1166" s="153" t="s">
        <v>133</v>
      </c>
      <c r="C1166" s="153" t="s">
        <v>5</v>
      </c>
      <c r="D1166" s="153" t="s">
        <v>427</v>
      </c>
      <c r="E1166" s="153" t="s">
        <v>428</v>
      </c>
      <c r="F1166" s="153" t="s">
        <v>429</v>
      </c>
      <c r="G1166" s="153">
        <v>10914.0</v>
      </c>
      <c r="H1166" s="153">
        <v>2152.0</v>
      </c>
      <c r="I1166" s="153">
        <v>19.72</v>
      </c>
      <c r="J1166" s="153">
        <v>62959.65</v>
      </c>
      <c r="K1166" s="153">
        <v>5.7687</v>
      </c>
      <c r="L1166" s="153">
        <v>29.2563</v>
      </c>
      <c r="M1166" s="153">
        <v>69140.0</v>
      </c>
    </row>
    <row r="1167">
      <c r="A1167" s="250">
        <v>46258.0</v>
      </c>
      <c r="B1167" s="153" t="s">
        <v>133</v>
      </c>
      <c r="C1167" s="153" t="s">
        <v>5</v>
      </c>
      <c r="D1167" s="153" t="s">
        <v>430</v>
      </c>
      <c r="E1167" s="153" t="s">
        <v>431</v>
      </c>
      <c r="F1167" s="153" t="s">
        <v>429</v>
      </c>
      <c r="G1167" s="153">
        <v>10914.0</v>
      </c>
      <c r="H1167" s="153">
        <v>14.0</v>
      </c>
      <c r="I1167" s="153">
        <v>0.13</v>
      </c>
      <c r="J1167" s="153">
        <v>14.0</v>
      </c>
      <c r="K1167" s="153">
        <v>0.0013</v>
      </c>
      <c r="L1167" s="153">
        <v>1.0</v>
      </c>
      <c r="M1167" s="153">
        <v>14.0</v>
      </c>
    </row>
    <row r="1168">
      <c r="A1168" s="250">
        <v>46258.0</v>
      </c>
      <c r="B1168" s="153" t="s">
        <v>133</v>
      </c>
      <c r="C1168" s="153" t="s">
        <v>5</v>
      </c>
      <c r="D1168" s="153" t="s">
        <v>430</v>
      </c>
      <c r="E1168" s="153" t="s">
        <v>432</v>
      </c>
      <c r="F1168" s="153" t="s">
        <v>429</v>
      </c>
      <c r="G1168" s="153">
        <v>10914.0</v>
      </c>
      <c r="H1168" s="153">
        <v>16.0</v>
      </c>
      <c r="I1168" s="153">
        <v>0.15</v>
      </c>
      <c r="J1168" s="153">
        <v>21.0</v>
      </c>
      <c r="K1168" s="153">
        <v>0.0019</v>
      </c>
      <c r="L1168" s="153">
        <v>1.3125</v>
      </c>
      <c r="M1168" s="153">
        <v>21.0</v>
      </c>
    </row>
    <row r="1169">
      <c r="A1169" s="250">
        <v>46258.0</v>
      </c>
      <c r="B1169" s="153" t="s">
        <v>133</v>
      </c>
      <c r="C1169" s="153" t="s">
        <v>5</v>
      </c>
      <c r="D1169" s="153" t="s">
        <v>430</v>
      </c>
      <c r="E1169" s="153" t="s">
        <v>433</v>
      </c>
      <c r="F1169" s="153" t="s">
        <v>429</v>
      </c>
      <c r="G1169" s="153">
        <v>10914.0</v>
      </c>
      <c r="H1169" s="153">
        <v>88.0</v>
      </c>
      <c r="I1169" s="153">
        <v>0.81</v>
      </c>
      <c r="J1169" s="153">
        <v>97.0</v>
      </c>
      <c r="K1169" s="153">
        <v>0.0089</v>
      </c>
      <c r="L1169" s="153">
        <v>1.1023</v>
      </c>
      <c r="M1169" s="153">
        <v>97.0</v>
      </c>
    </row>
    <row r="1170">
      <c r="A1170" s="250">
        <v>46258.0</v>
      </c>
      <c r="B1170" s="153" t="s">
        <v>133</v>
      </c>
      <c r="C1170" s="153" t="s">
        <v>5</v>
      </c>
      <c r="D1170" s="153" t="s">
        <v>434</v>
      </c>
      <c r="E1170" s="153" t="s">
        <v>435</v>
      </c>
      <c r="F1170" s="153" t="s">
        <v>429</v>
      </c>
      <c r="G1170" s="153">
        <v>10914.0</v>
      </c>
      <c r="H1170" s="153">
        <v>4008.0</v>
      </c>
      <c r="I1170" s="153">
        <v>36.72</v>
      </c>
      <c r="J1170" s="153">
        <v>5269.0</v>
      </c>
      <c r="K1170" s="153">
        <v>0.4828</v>
      </c>
      <c r="L1170" s="153">
        <v>1.3146</v>
      </c>
      <c r="M1170" s="153">
        <v>5269.0</v>
      </c>
    </row>
    <row r="1171">
      <c r="A1171" s="250">
        <v>46258.0</v>
      </c>
      <c r="B1171" s="153" t="s">
        <v>133</v>
      </c>
      <c r="C1171" s="153" t="s">
        <v>5</v>
      </c>
      <c r="D1171" s="153" t="s">
        <v>434</v>
      </c>
      <c r="E1171" s="153" t="s">
        <v>436</v>
      </c>
      <c r="F1171" s="153" t="s">
        <v>429</v>
      </c>
      <c r="G1171" s="153">
        <v>10914.0</v>
      </c>
      <c r="H1171" s="153">
        <v>1804.0</v>
      </c>
      <c r="I1171" s="153">
        <v>16.53</v>
      </c>
      <c r="J1171" s="153">
        <v>2753.0</v>
      </c>
      <c r="K1171" s="153">
        <v>0.2522</v>
      </c>
      <c r="L1171" s="153">
        <v>1.5261</v>
      </c>
      <c r="M1171" s="153">
        <v>2753.0</v>
      </c>
    </row>
    <row r="1172">
      <c r="A1172" s="250">
        <v>46258.0</v>
      </c>
      <c r="B1172" s="153" t="s">
        <v>133</v>
      </c>
      <c r="C1172" s="153" t="s">
        <v>5</v>
      </c>
      <c r="D1172" s="153" t="s">
        <v>434</v>
      </c>
      <c r="E1172" s="153" t="s">
        <v>437</v>
      </c>
      <c r="F1172" s="153" t="s">
        <v>429</v>
      </c>
      <c r="G1172" s="153">
        <v>10914.0</v>
      </c>
      <c r="H1172" s="153">
        <v>7.0</v>
      </c>
      <c r="I1172" s="153">
        <v>0.06</v>
      </c>
      <c r="J1172" s="153">
        <v>8.0</v>
      </c>
      <c r="K1172" s="153">
        <v>7.0E-4</v>
      </c>
      <c r="L1172" s="153">
        <v>1.1429</v>
      </c>
      <c r="M1172" s="153">
        <v>8.0</v>
      </c>
    </row>
    <row r="1173">
      <c r="A1173" s="250">
        <v>46258.0</v>
      </c>
      <c r="B1173" s="153" t="s">
        <v>133</v>
      </c>
      <c r="C1173" s="153" t="s">
        <v>5</v>
      </c>
      <c r="D1173" s="153" t="s">
        <v>438</v>
      </c>
      <c r="E1173" s="153" t="s">
        <v>439</v>
      </c>
      <c r="F1173" s="153" t="s">
        <v>440</v>
      </c>
      <c r="G1173" s="153">
        <v>10914.0</v>
      </c>
      <c r="H1173" s="153">
        <v>3.0</v>
      </c>
      <c r="I1173" s="153">
        <v>0.03</v>
      </c>
      <c r="J1173" s="153">
        <v>30.0</v>
      </c>
      <c r="K1173" s="153">
        <v>0.0027</v>
      </c>
      <c r="L1173" s="153">
        <v>10.0</v>
      </c>
      <c r="M1173" s="153">
        <v>30.0</v>
      </c>
    </row>
    <row r="1174">
      <c r="A1174" s="250">
        <v>46258.0</v>
      </c>
      <c r="B1174" s="153" t="s">
        <v>133</v>
      </c>
      <c r="C1174" s="153" t="s">
        <v>5</v>
      </c>
      <c r="D1174" s="153" t="s">
        <v>441</v>
      </c>
      <c r="E1174" s="153" t="s">
        <v>442</v>
      </c>
      <c r="F1174" s="153" t="s">
        <v>440</v>
      </c>
      <c r="G1174" s="153">
        <v>10914.0</v>
      </c>
      <c r="H1174" s="153">
        <v>1.0</v>
      </c>
      <c r="I1174" s="153">
        <v>0.01</v>
      </c>
      <c r="J1174" s="153">
        <v>10.0</v>
      </c>
      <c r="K1174" s="153">
        <v>9.0E-4</v>
      </c>
      <c r="L1174" s="153">
        <v>10.0</v>
      </c>
      <c r="M1174" s="153">
        <v>10.0</v>
      </c>
    </row>
    <row r="1175">
      <c r="A1175" s="250">
        <v>46258.0</v>
      </c>
      <c r="B1175" s="153" t="s">
        <v>133</v>
      </c>
      <c r="C1175" s="153" t="s">
        <v>5</v>
      </c>
      <c r="D1175" s="153" t="s">
        <v>444</v>
      </c>
      <c r="E1175" s="153" t="s">
        <v>445</v>
      </c>
      <c r="F1175" s="153" t="s">
        <v>440</v>
      </c>
      <c r="G1175" s="153">
        <v>10914.0</v>
      </c>
      <c r="H1175" s="153">
        <v>2505.0</v>
      </c>
      <c r="I1175" s="153">
        <v>22.95</v>
      </c>
      <c r="J1175" s="153">
        <v>49725.0</v>
      </c>
      <c r="K1175" s="153">
        <v>4.5561</v>
      </c>
      <c r="L1175" s="153">
        <v>19.8503</v>
      </c>
      <c r="M1175" s="153">
        <v>49725.0</v>
      </c>
    </row>
    <row r="1176">
      <c r="A1176" s="250">
        <v>46258.0</v>
      </c>
      <c r="B1176" s="153" t="s">
        <v>134</v>
      </c>
      <c r="C1176" s="153" t="s">
        <v>4</v>
      </c>
      <c r="D1176" s="153" t="s">
        <v>424</v>
      </c>
      <c r="E1176" s="153" t="s">
        <v>425</v>
      </c>
      <c r="F1176" s="153" t="s">
        <v>426</v>
      </c>
      <c r="G1176" s="153">
        <v>8968.0</v>
      </c>
      <c r="H1176" s="153">
        <v>1.0</v>
      </c>
      <c r="I1176" s="153">
        <v>0.01</v>
      </c>
      <c r="J1176" s="153">
        <v>20.0</v>
      </c>
      <c r="K1176" s="153">
        <v>0.0022</v>
      </c>
      <c r="L1176" s="153">
        <v>20.0</v>
      </c>
      <c r="M1176" s="153">
        <v>20.0</v>
      </c>
    </row>
    <row r="1177">
      <c r="A1177" s="250">
        <v>46258.0</v>
      </c>
      <c r="B1177" s="153" t="s">
        <v>134</v>
      </c>
      <c r="C1177" s="153" t="s">
        <v>4</v>
      </c>
      <c r="D1177" s="153" t="s">
        <v>427</v>
      </c>
      <c r="E1177" s="153" t="s">
        <v>428</v>
      </c>
      <c r="F1177" s="153" t="s">
        <v>429</v>
      </c>
      <c r="G1177" s="153">
        <v>8968.0</v>
      </c>
      <c r="H1177" s="153">
        <v>1.0</v>
      </c>
      <c r="I1177" s="153">
        <v>0.01</v>
      </c>
      <c r="J1177" s="153">
        <v>50.0</v>
      </c>
      <c r="K1177" s="153">
        <v>0.0056</v>
      </c>
      <c r="L1177" s="153">
        <v>50.0</v>
      </c>
      <c r="M1177" s="153">
        <v>50.0</v>
      </c>
    </row>
    <row r="1178">
      <c r="A1178" s="250">
        <v>46258.0</v>
      </c>
      <c r="B1178" s="153" t="s">
        <v>134</v>
      </c>
      <c r="C1178" s="153" t="s">
        <v>4</v>
      </c>
      <c r="D1178" s="153" t="s">
        <v>430</v>
      </c>
      <c r="E1178" s="153" t="s">
        <v>433</v>
      </c>
      <c r="F1178" s="153" t="s">
        <v>429</v>
      </c>
      <c r="G1178" s="153">
        <v>8968.0</v>
      </c>
      <c r="H1178" s="153">
        <v>1.0</v>
      </c>
      <c r="I1178" s="153">
        <v>0.01</v>
      </c>
      <c r="J1178" s="153">
        <v>1.0</v>
      </c>
      <c r="K1178" s="153">
        <v>1.0E-4</v>
      </c>
      <c r="L1178" s="153">
        <v>1.0</v>
      </c>
      <c r="M1178" s="153">
        <v>1.0</v>
      </c>
    </row>
    <row r="1179">
      <c r="A1179" s="250">
        <v>46258.0</v>
      </c>
      <c r="B1179" s="153" t="s">
        <v>134</v>
      </c>
      <c r="C1179" s="153" t="s">
        <v>4</v>
      </c>
      <c r="D1179" s="153" t="s">
        <v>434</v>
      </c>
      <c r="E1179" s="153" t="s">
        <v>436</v>
      </c>
      <c r="F1179" s="153" t="s">
        <v>429</v>
      </c>
      <c r="G1179" s="153">
        <v>8968.0</v>
      </c>
      <c r="H1179" s="153">
        <v>1.0</v>
      </c>
      <c r="I1179" s="153">
        <v>0.01</v>
      </c>
      <c r="J1179" s="153">
        <v>1.0</v>
      </c>
      <c r="K1179" s="153">
        <v>1.0E-4</v>
      </c>
      <c r="L1179" s="153">
        <v>1.0</v>
      </c>
      <c r="M1179" s="153">
        <v>1.0</v>
      </c>
    </row>
    <row r="1180">
      <c r="A1180" s="250">
        <v>46258.0</v>
      </c>
      <c r="B1180" s="153" t="s">
        <v>134</v>
      </c>
      <c r="C1180" s="153" t="s">
        <v>5</v>
      </c>
      <c r="D1180" s="153" t="s">
        <v>424</v>
      </c>
      <c r="E1180" s="153" t="s">
        <v>425</v>
      </c>
      <c r="F1180" s="153" t="s">
        <v>426</v>
      </c>
      <c r="G1180" s="153">
        <v>9117.0</v>
      </c>
      <c r="H1180" s="153">
        <v>4452.0</v>
      </c>
      <c r="I1180" s="153">
        <v>48.83</v>
      </c>
      <c r="J1180" s="153">
        <v>68073.63</v>
      </c>
      <c r="K1180" s="153">
        <v>7.4667</v>
      </c>
      <c r="L1180" s="153">
        <v>15.2906</v>
      </c>
      <c r="M1180" s="153">
        <v>92730.0</v>
      </c>
    </row>
    <row r="1181">
      <c r="A1181" s="250">
        <v>46258.0</v>
      </c>
      <c r="B1181" s="153" t="s">
        <v>134</v>
      </c>
      <c r="C1181" s="153" t="s">
        <v>5</v>
      </c>
      <c r="D1181" s="153" t="s">
        <v>427</v>
      </c>
      <c r="E1181" s="153" t="s">
        <v>428</v>
      </c>
      <c r="F1181" s="153" t="s">
        <v>429</v>
      </c>
      <c r="G1181" s="153">
        <v>9117.0</v>
      </c>
      <c r="H1181" s="153">
        <v>3695.0</v>
      </c>
      <c r="I1181" s="153">
        <v>40.53</v>
      </c>
      <c r="J1181" s="153">
        <v>206986.23</v>
      </c>
      <c r="K1181" s="153">
        <v>22.7033</v>
      </c>
      <c r="L1181" s="153">
        <v>56.0179</v>
      </c>
      <c r="M1181" s="153">
        <v>229690.0</v>
      </c>
    </row>
    <row r="1182">
      <c r="A1182" s="250">
        <v>46258.0</v>
      </c>
      <c r="B1182" s="153" t="s">
        <v>134</v>
      </c>
      <c r="C1182" s="153" t="s">
        <v>5</v>
      </c>
      <c r="D1182" s="153" t="s">
        <v>430</v>
      </c>
      <c r="E1182" s="153" t="s">
        <v>431</v>
      </c>
      <c r="F1182" s="153" t="s">
        <v>429</v>
      </c>
      <c r="G1182" s="153">
        <v>9117.0</v>
      </c>
      <c r="H1182" s="153">
        <v>326.0</v>
      </c>
      <c r="I1182" s="153">
        <v>3.58</v>
      </c>
      <c r="J1182" s="153">
        <v>350.0</v>
      </c>
      <c r="K1182" s="153">
        <v>0.0384</v>
      </c>
      <c r="L1182" s="153">
        <v>1.0736</v>
      </c>
      <c r="M1182" s="153">
        <v>350.0</v>
      </c>
    </row>
    <row r="1183">
      <c r="A1183" s="250">
        <v>46258.0</v>
      </c>
      <c r="B1183" s="153" t="s">
        <v>134</v>
      </c>
      <c r="C1183" s="153" t="s">
        <v>5</v>
      </c>
      <c r="D1183" s="153" t="s">
        <v>430</v>
      </c>
      <c r="E1183" s="153" t="s">
        <v>432</v>
      </c>
      <c r="F1183" s="153" t="s">
        <v>429</v>
      </c>
      <c r="G1183" s="153">
        <v>9117.0</v>
      </c>
      <c r="H1183" s="153">
        <v>11.0</v>
      </c>
      <c r="I1183" s="153">
        <v>0.12</v>
      </c>
      <c r="J1183" s="153">
        <v>27.0</v>
      </c>
      <c r="K1183" s="153">
        <v>0.003</v>
      </c>
      <c r="L1183" s="153">
        <v>2.4545</v>
      </c>
      <c r="M1183" s="153">
        <v>27.0</v>
      </c>
    </row>
    <row r="1184">
      <c r="A1184" s="250">
        <v>46258.0</v>
      </c>
      <c r="B1184" s="153" t="s">
        <v>134</v>
      </c>
      <c r="C1184" s="153" t="s">
        <v>5</v>
      </c>
      <c r="D1184" s="153" t="s">
        <v>430</v>
      </c>
      <c r="E1184" s="153" t="s">
        <v>433</v>
      </c>
      <c r="F1184" s="153" t="s">
        <v>429</v>
      </c>
      <c r="G1184" s="153">
        <v>9117.0</v>
      </c>
      <c r="H1184" s="153">
        <v>896.0</v>
      </c>
      <c r="I1184" s="153">
        <v>9.83</v>
      </c>
      <c r="J1184" s="153">
        <v>980.0</v>
      </c>
      <c r="K1184" s="153">
        <v>0.1075</v>
      </c>
      <c r="L1184" s="153">
        <v>1.0938</v>
      </c>
      <c r="M1184" s="153">
        <v>980.0</v>
      </c>
    </row>
    <row r="1185">
      <c r="A1185" s="250">
        <v>46258.0</v>
      </c>
      <c r="B1185" s="153" t="s">
        <v>134</v>
      </c>
      <c r="C1185" s="153" t="s">
        <v>5</v>
      </c>
      <c r="D1185" s="153" t="s">
        <v>434</v>
      </c>
      <c r="E1185" s="153" t="s">
        <v>435</v>
      </c>
      <c r="F1185" s="153" t="s">
        <v>429</v>
      </c>
      <c r="G1185" s="153">
        <v>9117.0</v>
      </c>
      <c r="H1185" s="153">
        <v>4732.0</v>
      </c>
      <c r="I1185" s="153">
        <v>51.9</v>
      </c>
      <c r="J1185" s="153">
        <v>7920.0</v>
      </c>
      <c r="K1185" s="153">
        <v>0.8687</v>
      </c>
      <c r="L1185" s="153">
        <v>1.6737</v>
      </c>
      <c r="M1185" s="153">
        <v>7920.0</v>
      </c>
    </row>
    <row r="1186">
      <c r="A1186" s="250">
        <v>46258.0</v>
      </c>
      <c r="B1186" s="153" t="s">
        <v>134</v>
      </c>
      <c r="C1186" s="153" t="s">
        <v>5</v>
      </c>
      <c r="D1186" s="153" t="s">
        <v>434</v>
      </c>
      <c r="E1186" s="153" t="s">
        <v>436</v>
      </c>
      <c r="F1186" s="153" t="s">
        <v>429</v>
      </c>
      <c r="G1186" s="153">
        <v>9117.0</v>
      </c>
      <c r="H1186" s="153">
        <v>3437.0</v>
      </c>
      <c r="I1186" s="153">
        <v>37.7</v>
      </c>
      <c r="J1186" s="153">
        <v>6684.0</v>
      </c>
      <c r="K1186" s="153">
        <v>0.7331</v>
      </c>
      <c r="L1186" s="153">
        <v>1.9447</v>
      </c>
      <c r="M1186" s="153">
        <v>6684.0</v>
      </c>
    </row>
    <row r="1187">
      <c r="A1187" s="250">
        <v>46258.0</v>
      </c>
      <c r="B1187" s="153" t="s">
        <v>134</v>
      </c>
      <c r="C1187" s="153" t="s">
        <v>5</v>
      </c>
      <c r="D1187" s="153" t="s">
        <v>434</v>
      </c>
      <c r="E1187" s="153" t="s">
        <v>437</v>
      </c>
      <c r="F1187" s="153" t="s">
        <v>429</v>
      </c>
      <c r="G1187" s="153">
        <v>9117.0</v>
      </c>
      <c r="H1187" s="153">
        <v>227.0</v>
      </c>
      <c r="I1187" s="153">
        <v>2.49</v>
      </c>
      <c r="J1187" s="153">
        <v>284.0</v>
      </c>
      <c r="K1187" s="153">
        <v>0.0312</v>
      </c>
      <c r="L1187" s="153">
        <v>1.2511</v>
      </c>
      <c r="M1187" s="153">
        <v>284.0</v>
      </c>
    </row>
    <row r="1188">
      <c r="A1188" s="250">
        <v>46258.0</v>
      </c>
      <c r="B1188" s="153" t="s">
        <v>134</v>
      </c>
      <c r="C1188" s="153" t="s">
        <v>5</v>
      </c>
      <c r="D1188" s="153" t="s">
        <v>438</v>
      </c>
      <c r="E1188" s="153" t="s">
        <v>439</v>
      </c>
      <c r="F1188" s="153" t="s">
        <v>440</v>
      </c>
      <c r="G1188" s="153">
        <v>9117.0</v>
      </c>
      <c r="H1188" s="153">
        <v>3.0</v>
      </c>
      <c r="I1188" s="153">
        <v>0.03</v>
      </c>
      <c r="J1188" s="153">
        <v>40.0</v>
      </c>
      <c r="K1188" s="153">
        <v>0.0044</v>
      </c>
      <c r="L1188" s="153">
        <v>13.3333</v>
      </c>
      <c r="M1188" s="153">
        <v>40.0</v>
      </c>
    </row>
    <row r="1189">
      <c r="A1189" s="250">
        <v>46258.0</v>
      </c>
      <c r="B1189" s="153" t="s">
        <v>134</v>
      </c>
      <c r="C1189" s="153" t="s">
        <v>5</v>
      </c>
      <c r="D1189" s="153" t="s">
        <v>446</v>
      </c>
      <c r="E1189" s="153" t="s">
        <v>447</v>
      </c>
      <c r="F1189" s="153" t="s">
        <v>429</v>
      </c>
      <c r="G1189" s="153">
        <v>9117.0</v>
      </c>
      <c r="H1189" s="153">
        <v>1.0</v>
      </c>
      <c r="I1189" s="153">
        <v>0.01</v>
      </c>
      <c r="J1189" s="153">
        <v>5.0</v>
      </c>
      <c r="K1189" s="153">
        <v>5.0E-4</v>
      </c>
      <c r="L1189" s="153">
        <v>5.0</v>
      </c>
      <c r="M1189" s="153">
        <v>10.0</v>
      </c>
    </row>
    <row r="1190">
      <c r="A1190" s="250">
        <v>46258.0</v>
      </c>
      <c r="B1190" s="153" t="s">
        <v>134</v>
      </c>
      <c r="C1190" s="153" t="s">
        <v>5</v>
      </c>
      <c r="D1190" s="153" t="s">
        <v>441</v>
      </c>
      <c r="E1190" s="153" t="s">
        <v>442</v>
      </c>
      <c r="F1190" s="153" t="s">
        <v>440</v>
      </c>
      <c r="G1190" s="153">
        <v>9117.0</v>
      </c>
      <c r="H1190" s="153">
        <v>111.0</v>
      </c>
      <c r="I1190" s="153">
        <v>1.22</v>
      </c>
      <c r="J1190" s="153">
        <v>1280.0</v>
      </c>
      <c r="K1190" s="153">
        <v>0.1404</v>
      </c>
      <c r="L1190" s="153">
        <v>11.5315</v>
      </c>
      <c r="M1190" s="153">
        <v>1280.0</v>
      </c>
    </row>
    <row r="1191">
      <c r="A1191" s="250">
        <v>46258.0</v>
      </c>
      <c r="B1191" s="153" t="s">
        <v>134</v>
      </c>
      <c r="C1191" s="153" t="s">
        <v>5</v>
      </c>
      <c r="D1191" s="153" t="s">
        <v>444</v>
      </c>
      <c r="E1191" s="153" t="s">
        <v>445</v>
      </c>
      <c r="F1191" s="153" t="s">
        <v>440</v>
      </c>
      <c r="G1191" s="153">
        <v>9117.0</v>
      </c>
      <c r="H1191" s="153">
        <v>3954.0</v>
      </c>
      <c r="I1191" s="153">
        <v>43.37</v>
      </c>
      <c r="J1191" s="153">
        <v>109720.0</v>
      </c>
      <c r="K1191" s="153">
        <v>12.0347</v>
      </c>
      <c r="L1191" s="153">
        <v>27.7491</v>
      </c>
      <c r="M1191" s="153">
        <v>109720.0</v>
      </c>
    </row>
    <row r="1192">
      <c r="A1192" s="250">
        <v>46258.0</v>
      </c>
      <c r="B1192" s="153" t="s">
        <v>135</v>
      </c>
      <c r="C1192" s="153" t="s">
        <v>5</v>
      </c>
      <c r="D1192" s="153" t="s">
        <v>424</v>
      </c>
      <c r="E1192" s="153" t="s">
        <v>425</v>
      </c>
      <c r="F1192" s="153" t="s">
        <v>426</v>
      </c>
      <c r="G1192" s="153">
        <v>6916.0</v>
      </c>
      <c r="H1192" s="153">
        <v>4080.0</v>
      </c>
      <c r="I1192" s="153">
        <v>58.99</v>
      </c>
      <c r="J1192" s="153">
        <v>71778.45</v>
      </c>
      <c r="K1192" s="153">
        <v>10.3786</v>
      </c>
      <c r="L1192" s="153">
        <v>17.5928</v>
      </c>
      <c r="M1192" s="153">
        <v>125310.0</v>
      </c>
    </row>
    <row r="1193">
      <c r="A1193" s="250">
        <v>46258.0</v>
      </c>
      <c r="B1193" s="153" t="s">
        <v>135</v>
      </c>
      <c r="C1193" s="153" t="s">
        <v>5</v>
      </c>
      <c r="D1193" s="153" t="s">
        <v>427</v>
      </c>
      <c r="E1193" s="153" t="s">
        <v>428</v>
      </c>
      <c r="F1193" s="153" t="s">
        <v>429</v>
      </c>
      <c r="G1193" s="153">
        <v>6916.0</v>
      </c>
      <c r="H1193" s="153">
        <v>3639.0</v>
      </c>
      <c r="I1193" s="153">
        <v>52.62</v>
      </c>
      <c r="J1193" s="153">
        <v>313671.72</v>
      </c>
      <c r="K1193" s="153">
        <v>45.3545</v>
      </c>
      <c r="L1193" s="153">
        <v>86.1972</v>
      </c>
      <c r="M1193" s="153">
        <v>354950.0</v>
      </c>
    </row>
    <row r="1194">
      <c r="A1194" s="250">
        <v>46258.0</v>
      </c>
      <c r="B1194" s="153" t="s">
        <v>135</v>
      </c>
      <c r="C1194" s="153" t="s">
        <v>5</v>
      </c>
      <c r="D1194" s="153" t="s">
        <v>430</v>
      </c>
      <c r="E1194" s="153" t="s">
        <v>431</v>
      </c>
      <c r="F1194" s="153" t="s">
        <v>429</v>
      </c>
      <c r="G1194" s="153">
        <v>6916.0</v>
      </c>
      <c r="H1194" s="153">
        <v>1163.0</v>
      </c>
      <c r="I1194" s="153">
        <v>16.82</v>
      </c>
      <c r="J1194" s="153">
        <v>1253.0</v>
      </c>
      <c r="K1194" s="153">
        <v>0.1812</v>
      </c>
      <c r="L1194" s="153">
        <v>1.0774</v>
      </c>
      <c r="M1194" s="153">
        <v>1253.0</v>
      </c>
    </row>
    <row r="1195">
      <c r="A1195" s="250">
        <v>46258.0</v>
      </c>
      <c r="B1195" s="153" t="s">
        <v>135</v>
      </c>
      <c r="C1195" s="153" t="s">
        <v>5</v>
      </c>
      <c r="D1195" s="153" t="s">
        <v>430</v>
      </c>
      <c r="E1195" s="153" t="s">
        <v>432</v>
      </c>
      <c r="F1195" s="153" t="s">
        <v>429</v>
      </c>
      <c r="G1195" s="153">
        <v>6916.0</v>
      </c>
      <c r="H1195" s="153">
        <v>7.0</v>
      </c>
      <c r="I1195" s="153">
        <v>0.1</v>
      </c>
      <c r="J1195" s="153">
        <v>11.0</v>
      </c>
      <c r="K1195" s="153">
        <v>0.0016</v>
      </c>
      <c r="L1195" s="153">
        <v>1.5714</v>
      </c>
      <c r="M1195" s="153">
        <v>11.0</v>
      </c>
    </row>
    <row r="1196">
      <c r="A1196" s="250">
        <v>46258.0</v>
      </c>
      <c r="B1196" s="153" t="s">
        <v>135</v>
      </c>
      <c r="C1196" s="153" t="s">
        <v>5</v>
      </c>
      <c r="D1196" s="153" t="s">
        <v>430</v>
      </c>
      <c r="E1196" s="153" t="s">
        <v>433</v>
      </c>
      <c r="F1196" s="153" t="s">
        <v>429</v>
      </c>
      <c r="G1196" s="153">
        <v>6916.0</v>
      </c>
      <c r="H1196" s="153">
        <v>1906.0</v>
      </c>
      <c r="I1196" s="153">
        <v>27.56</v>
      </c>
      <c r="J1196" s="153">
        <v>2164.0</v>
      </c>
      <c r="K1196" s="153">
        <v>0.3129</v>
      </c>
      <c r="L1196" s="153">
        <v>1.1354</v>
      </c>
      <c r="M1196" s="153">
        <v>2164.0</v>
      </c>
    </row>
    <row r="1197">
      <c r="A1197" s="250">
        <v>46258.0</v>
      </c>
      <c r="B1197" s="153" t="s">
        <v>135</v>
      </c>
      <c r="C1197" s="153" t="s">
        <v>5</v>
      </c>
      <c r="D1197" s="153" t="s">
        <v>434</v>
      </c>
      <c r="E1197" s="153" t="s">
        <v>435</v>
      </c>
      <c r="F1197" s="153" t="s">
        <v>429</v>
      </c>
      <c r="G1197" s="153">
        <v>6916.0</v>
      </c>
      <c r="H1197" s="153">
        <v>4211.0</v>
      </c>
      <c r="I1197" s="153">
        <v>60.89</v>
      </c>
      <c r="J1197" s="153">
        <v>7794.0</v>
      </c>
      <c r="K1197" s="153">
        <v>1.127</v>
      </c>
      <c r="L1197" s="153">
        <v>1.8509</v>
      </c>
      <c r="M1197" s="153">
        <v>7794.0</v>
      </c>
    </row>
    <row r="1198">
      <c r="A1198" s="250">
        <v>46258.0</v>
      </c>
      <c r="B1198" s="153" t="s">
        <v>135</v>
      </c>
      <c r="C1198" s="153" t="s">
        <v>5</v>
      </c>
      <c r="D1198" s="153" t="s">
        <v>434</v>
      </c>
      <c r="E1198" s="153" t="s">
        <v>436</v>
      </c>
      <c r="F1198" s="153" t="s">
        <v>429</v>
      </c>
      <c r="G1198" s="153">
        <v>6916.0</v>
      </c>
      <c r="H1198" s="153">
        <v>3499.0</v>
      </c>
      <c r="I1198" s="153">
        <v>50.59</v>
      </c>
      <c r="J1198" s="153">
        <v>7632.0</v>
      </c>
      <c r="K1198" s="153">
        <v>1.1035</v>
      </c>
      <c r="L1198" s="153">
        <v>2.1812</v>
      </c>
      <c r="M1198" s="153">
        <v>7632.0</v>
      </c>
    </row>
    <row r="1199">
      <c r="A1199" s="250">
        <v>46258.0</v>
      </c>
      <c r="B1199" s="153" t="s">
        <v>135</v>
      </c>
      <c r="C1199" s="153" t="s">
        <v>5</v>
      </c>
      <c r="D1199" s="153" t="s">
        <v>434</v>
      </c>
      <c r="E1199" s="153" t="s">
        <v>437</v>
      </c>
      <c r="F1199" s="153" t="s">
        <v>429</v>
      </c>
      <c r="G1199" s="153">
        <v>6916.0</v>
      </c>
      <c r="H1199" s="153">
        <v>982.0</v>
      </c>
      <c r="I1199" s="153">
        <v>14.2</v>
      </c>
      <c r="J1199" s="153">
        <v>1392.0</v>
      </c>
      <c r="K1199" s="153">
        <v>0.2013</v>
      </c>
      <c r="L1199" s="153">
        <v>1.4175</v>
      </c>
      <c r="M1199" s="153">
        <v>1392.0</v>
      </c>
    </row>
    <row r="1200">
      <c r="A1200" s="250">
        <v>46258.0</v>
      </c>
      <c r="B1200" s="153" t="s">
        <v>135</v>
      </c>
      <c r="C1200" s="153" t="s">
        <v>5</v>
      </c>
      <c r="D1200" s="153" t="s">
        <v>441</v>
      </c>
      <c r="E1200" s="153" t="s">
        <v>442</v>
      </c>
      <c r="F1200" s="153" t="s">
        <v>440</v>
      </c>
      <c r="G1200" s="153">
        <v>6916.0</v>
      </c>
      <c r="H1200" s="153">
        <v>649.0</v>
      </c>
      <c r="I1200" s="153">
        <v>9.38</v>
      </c>
      <c r="J1200" s="153">
        <v>7140.0</v>
      </c>
      <c r="K1200" s="153">
        <v>1.0324</v>
      </c>
      <c r="L1200" s="153">
        <v>11.0015</v>
      </c>
      <c r="M1200" s="153">
        <v>7140.0</v>
      </c>
    </row>
    <row r="1201">
      <c r="A1201" s="250">
        <v>46258.0</v>
      </c>
      <c r="B1201" s="153" t="s">
        <v>135</v>
      </c>
      <c r="C1201" s="153" t="s">
        <v>5</v>
      </c>
      <c r="D1201" s="153" t="s">
        <v>441</v>
      </c>
      <c r="E1201" s="153" t="s">
        <v>443</v>
      </c>
      <c r="F1201" s="153" t="s">
        <v>440</v>
      </c>
      <c r="G1201" s="153">
        <v>6916.0</v>
      </c>
      <c r="H1201" s="153">
        <v>2.0</v>
      </c>
      <c r="I1201" s="153">
        <v>0.03</v>
      </c>
      <c r="J1201" s="153">
        <v>30.0</v>
      </c>
      <c r="K1201" s="153">
        <v>0.0043</v>
      </c>
      <c r="L1201" s="153">
        <v>15.0</v>
      </c>
      <c r="M1201" s="153">
        <v>30.0</v>
      </c>
    </row>
    <row r="1202">
      <c r="A1202" s="250">
        <v>46258.0</v>
      </c>
      <c r="B1202" s="153" t="s">
        <v>135</v>
      </c>
      <c r="C1202" s="153" t="s">
        <v>5</v>
      </c>
      <c r="D1202" s="153" t="s">
        <v>444</v>
      </c>
      <c r="E1202" s="153" t="s">
        <v>445</v>
      </c>
      <c r="F1202" s="153" t="s">
        <v>440</v>
      </c>
      <c r="G1202" s="153">
        <v>6916.0</v>
      </c>
      <c r="H1202" s="153">
        <v>3813.0</v>
      </c>
      <c r="I1202" s="153">
        <v>55.13</v>
      </c>
      <c r="J1202" s="153">
        <v>145210.0</v>
      </c>
      <c r="K1202" s="153">
        <v>20.9962</v>
      </c>
      <c r="L1202" s="153">
        <v>38.0829</v>
      </c>
      <c r="M1202" s="153">
        <v>145210.0</v>
      </c>
    </row>
    <row r="1203">
      <c r="A1203" s="250">
        <v>46258.0</v>
      </c>
      <c r="B1203" s="153" t="s">
        <v>136</v>
      </c>
      <c r="C1203" s="153" t="s">
        <v>5</v>
      </c>
      <c r="D1203" s="153" t="s">
        <v>424</v>
      </c>
      <c r="E1203" s="153" t="s">
        <v>425</v>
      </c>
      <c r="F1203" s="153" t="s">
        <v>426</v>
      </c>
      <c r="G1203" s="153">
        <v>3703.0</v>
      </c>
      <c r="H1203" s="153">
        <v>2476.0</v>
      </c>
      <c r="I1203" s="153">
        <v>66.86</v>
      </c>
      <c r="J1203" s="153">
        <v>49870.75</v>
      </c>
      <c r="K1203" s="153">
        <v>13.4677</v>
      </c>
      <c r="L1203" s="153">
        <v>20.1417</v>
      </c>
      <c r="M1203" s="153">
        <v>129830.0</v>
      </c>
    </row>
    <row r="1204">
      <c r="A1204" s="250">
        <v>46258.0</v>
      </c>
      <c r="B1204" s="153" t="s">
        <v>136</v>
      </c>
      <c r="C1204" s="153" t="s">
        <v>5</v>
      </c>
      <c r="D1204" s="153" t="s">
        <v>427</v>
      </c>
      <c r="E1204" s="153" t="s">
        <v>428</v>
      </c>
      <c r="F1204" s="153" t="s">
        <v>429</v>
      </c>
      <c r="G1204" s="153">
        <v>3703.0</v>
      </c>
      <c r="H1204" s="153">
        <v>2350.0</v>
      </c>
      <c r="I1204" s="153">
        <v>63.46</v>
      </c>
      <c r="J1204" s="153">
        <v>322869.0</v>
      </c>
      <c r="K1204" s="153">
        <v>87.1912</v>
      </c>
      <c r="L1204" s="153">
        <v>137.3911</v>
      </c>
      <c r="M1204" s="153">
        <v>367945.0</v>
      </c>
    </row>
    <row r="1205">
      <c r="A1205" s="250">
        <v>46258.0</v>
      </c>
      <c r="B1205" s="153" t="s">
        <v>136</v>
      </c>
      <c r="C1205" s="153" t="s">
        <v>5</v>
      </c>
      <c r="D1205" s="153" t="s">
        <v>430</v>
      </c>
      <c r="E1205" s="153" t="s">
        <v>431</v>
      </c>
      <c r="F1205" s="153" t="s">
        <v>429</v>
      </c>
      <c r="G1205" s="153">
        <v>3703.0</v>
      </c>
      <c r="H1205" s="153">
        <v>1483.0</v>
      </c>
      <c r="I1205" s="153">
        <v>40.05</v>
      </c>
      <c r="J1205" s="153">
        <v>1600.0</v>
      </c>
      <c r="K1205" s="153">
        <v>0.4321</v>
      </c>
      <c r="L1205" s="153">
        <v>1.0789</v>
      </c>
      <c r="M1205" s="153">
        <v>1600.0</v>
      </c>
    </row>
    <row r="1206">
      <c r="A1206" s="250">
        <v>46258.0</v>
      </c>
      <c r="B1206" s="153" t="s">
        <v>136</v>
      </c>
      <c r="C1206" s="153" t="s">
        <v>5</v>
      </c>
      <c r="D1206" s="153" t="s">
        <v>430</v>
      </c>
      <c r="E1206" s="153" t="s">
        <v>432</v>
      </c>
      <c r="F1206" s="153" t="s">
        <v>429</v>
      </c>
      <c r="G1206" s="153">
        <v>3703.0</v>
      </c>
      <c r="H1206" s="153">
        <v>4.0</v>
      </c>
      <c r="I1206" s="153">
        <v>0.11</v>
      </c>
      <c r="J1206" s="153">
        <v>7.0</v>
      </c>
      <c r="K1206" s="153">
        <v>0.0019</v>
      </c>
      <c r="L1206" s="153">
        <v>1.75</v>
      </c>
      <c r="M1206" s="153">
        <v>7.0</v>
      </c>
    </row>
    <row r="1207">
      <c r="A1207" s="250">
        <v>46258.0</v>
      </c>
      <c r="B1207" s="153" t="s">
        <v>136</v>
      </c>
      <c r="C1207" s="153" t="s">
        <v>5</v>
      </c>
      <c r="D1207" s="153" t="s">
        <v>430</v>
      </c>
      <c r="E1207" s="153" t="s">
        <v>433</v>
      </c>
      <c r="F1207" s="153" t="s">
        <v>429</v>
      </c>
      <c r="G1207" s="153">
        <v>3703.0</v>
      </c>
      <c r="H1207" s="153">
        <v>1791.0</v>
      </c>
      <c r="I1207" s="153">
        <v>48.37</v>
      </c>
      <c r="J1207" s="153">
        <v>2214.0</v>
      </c>
      <c r="K1207" s="153">
        <v>0.5979</v>
      </c>
      <c r="L1207" s="153">
        <v>1.2362</v>
      </c>
      <c r="M1207" s="153">
        <v>2214.0</v>
      </c>
    </row>
    <row r="1208">
      <c r="A1208" s="250">
        <v>46258.0</v>
      </c>
      <c r="B1208" s="153" t="s">
        <v>136</v>
      </c>
      <c r="C1208" s="153" t="s">
        <v>5</v>
      </c>
      <c r="D1208" s="153" t="s">
        <v>434</v>
      </c>
      <c r="E1208" s="153" t="s">
        <v>435</v>
      </c>
      <c r="F1208" s="153" t="s">
        <v>429</v>
      </c>
      <c r="G1208" s="153">
        <v>3703.0</v>
      </c>
      <c r="H1208" s="153">
        <v>2515.0</v>
      </c>
      <c r="I1208" s="153">
        <v>67.92</v>
      </c>
      <c r="J1208" s="153">
        <v>5076.0</v>
      </c>
      <c r="K1208" s="153">
        <v>1.3708</v>
      </c>
      <c r="L1208" s="153">
        <v>2.0183</v>
      </c>
      <c r="M1208" s="153">
        <v>5076.0</v>
      </c>
    </row>
    <row r="1209">
      <c r="A1209" s="250">
        <v>46258.0</v>
      </c>
      <c r="B1209" s="153" t="s">
        <v>136</v>
      </c>
      <c r="C1209" s="153" t="s">
        <v>5</v>
      </c>
      <c r="D1209" s="153" t="s">
        <v>434</v>
      </c>
      <c r="E1209" s="153" t="s">
        <v>436</v>
      </c>
      <c r="F1209" s="153" t="s">
        <v>429</v>
      </c>
      <c r="G1209" s="153">
        <v>3703.0</v>
      </c>
      <c r="H1209" s="153">
        <v>2312.0</v>
      </c>
      <c r="I1209" s="153">
        <v>62.44</v>
      </c>
      <c r="J1209" s="153">
        <v>5403.0</v>
      </c>
      <c r="K1209" s="153">
        <v>1.4591</v>
      </c>
      <c r="L1209" s="153">
        <v>2.3369</v>
      </c>
      <c r="M1209" s="153">
        <v>5403.0</v>
      </c>
    </row>
    <row r="1210">
      <c r="A1210" s="250">
        <v>46258.0</v>
      </c>
      <c r="B1210" s="153" t="s">
        <v>136</v>
      </c>
      <c r="C1210" s="153" t="s">
        <v>5</v>
      </c>
      <c r="D1210" s="153" t="s">
        <v>434</v>
      </c>
      <c r="E1210" s="153" t="s">
        <v>437</v>
      </c>
      <c r="F1210" s="153" t="s">
        <v>429</v>
      </c>
      <c r="G1210" s="153">
        <v>3703.0</v>
      </c>
      <c r="H1210" s="153">
        <v>1381.0</v>
      </c>
      <c r="I1210" s="153">
        <v>37.29</v>
      </c>
      <c r="J1210" s="153">
        <v>2362.0</v>
      </c>
      <c r="K1210" s="153">
        <v>0.6379</v>
      </c>
      <c r="L1210" s="153">
        <v>1.7104</v>
      </c>
      <c r="M1210" s="153">
        <v>2362.0</v>
      </c>
    </row>
    <row r="1211">
      <c r="A1211" s="250">
        <v>46258.0</v>
      </c>
      <c r="B1211" s="153" t="s">
        <v>136</v>
      </c>
      <c r="C1211" s="153" t="s">
        <v>5</v>
      </c>
      <c r="D1211" s="153" t="s">
        <v>438</v>
      </c>
      <c r="E1211" s="153" t="s">
        <v>439</v>
      </c>
      <c r="F1211" s="153" t="s">
        <v>440</v>
      </c>
      <c r="G1211" s="153">
        <v>3703.0</v>
      </c>
      <c r="H1211" s="153">
        <v>1.0</v>
      </c>
      <c r="I1211" s="153">
        <v>0.03</v>
      </c>
      <c r="J1211" s="153">
        <v>10.0</v>
      </c>
      <c r="K1211" s="153">
        <v>0.0027</v>
      </c>
      <c r="L1211" s="153">
        <v>10.0</v>
      </c>
      <c r="M1211" s="153">
        <v>10.0</v>
      </c>
    </row>
    <row r="1212">
      <c r="A1212" s="250">
        <v>46258.0</v>
      </c>
      <c r="B1212" s="153" t="s">
        <v>136</v>
      </c>
      <c r="C1212" s="153" t="s">
        <v>5</v>
      </c>
      <c r="D1212" s="153" t="s">
        <v>441</v>
      </c>
      <c r="E1212" s="153" t="s">
        <v>442</v>
      </c>
      <c r="F1212" s="153" t="s">
        <v>440</v>
      </c>
      <c r="G1212" s="153">
        <v>3703.0</v>
      </c>
      <c r="H1212" s="153">
        <v>1164.0</v>
      </c>
      <c r="I1212" s="153">
        <v>31.43</v>
      </c>
      <c r="J1212" s="153">
        <v>13280.0</v>
      </c>
      <c r="K1212" s="153">
        <v>3.5863</v>
      </c>
      <c r="L1212" s="153">
        <v>11.4089</v>
      </c>
      <c r="M1212" s="153">
        <v>13280.0</v>
      </c>
    </row>
    <row r="1213">
      <c r="A1213" s="250">
        <v>46258.0</v>
      </c>
      <c r="B1213" s="153" t="s">
        <v>136</v>
      </c>
      <c r="C1213" s="153" t="s">
        <v>5</v>
      </c>
      <c r="D1213" s="153" t="s">
        <v>441</v>
      </c>
      <c r="E1213" s="153" t="s">
        <v>443</v>
      </c>
      <c r="F1213" s="153" t="s">
        <v>440</v>
      </c>
      <c r="G1213" s="153">
        <v>3703.0</v>
      </c>
      <c r="H1213" s="153">
        <v>18.0</v>
      </c>
      <c r="I1213" s="153">
        <v>0.49</v>
      </c>
      <c r="J1213" s="153">
        <v>240.0</v>
      </c>
      <c r="K1213" s="153">
        <v>0.0648</v>
      </c>
      <c r="L1213" s="153">
        <v>13.3333</v>
      </c>
      <c r="M1213" s="153">
        <v>240.0</v>
      </c>
    </row>
    <row r="1214">
      <c r="A1214" s="250">
        <v>46258.0</v>
      </c>
      <c r="B1214" s="153" t="s">
        <v>136</v>
      </c>
      <c r="C1214" s="153" t="s">
        <v>5</v>
      </c>
      <c r="D1214" s="153" t="s">
        <v>444</v>
      </c>
      <c r="E1214" s="153" t="s">
        <v>445</v>
      </c>
      <c r="F1214" s="153" t="s">
        <v>440</v>
      </c>
      <c r="G1214" s="153">
        <v>3703.0</v>
      </c>
      <c r="H1214" s="153">
        <v>2408.0</v>
      </c>
      <c r="I1214" s="153">
        <v>65.03</v>
      </c>
      <c r="J1214" s="153">
        <v>124220.0</v>
      </c>
      <c r="K1214" s="153">
        <v>33.5458</v>
      </c>
      <c r="L1214" s="153">
        <v>51.5864</v>
      </c>
      <c r="M1214" s="153">
        <v>124220.0</v>
      </c>
    </row>
    <row r="1215">
      <c r="A1215" s="250">
        <v>46258.0</v>
      </c>
      <c r="B1215" s="153" t="s">
        <v>137</v>
      </c>
      <c r="C1215" s="153" t="s">
        <v>5</v>
      </c>
      <c r="D1215" s="153" t="s">
        <v>424</v>
      </c>
      <c r="E1215" s="153" t="s">
        <v>425</v>
      </c>
      <c r="F1215" s="153" t="s">
        <v>426</v>
      </c>
      <c r="G1215" s="153">
        <v>520.0</v>
      </c>
      <c r="H1215" s="153">
        <v>348.0</v>
      </c>
      <c r="I1215" s="153">
        <v>66.92</v>
      </c>
      <c r="J1215" s="153">
        <v>13396.49</v>
      </c>
      <c r="K1215" s="153">
        <v>25.7625</v>
      </c>
      <c r="L1215" s="153">
        <v>38.4956</v>
      </c>
      <c r="M1215" s="153">
        <v>43110.0</v>
      </c>
    </row>
    <row r="1216">
      <c r="A1216" s="250">
        <v>46258.0</v>
      </c>
      <c r="B1216" s="153" t="s">
        <v>137</v>
      </c>
      <c r="C1216" s="153" t="s">
        <v>5</v>
      </c>
      <c r="D1216" s="153" t="s">
        <v>427</v>
      </c>
      <c r="E1216" s="153" t="s">
        <v>428</v>
      </c>
      <c r="F1216" s="153" t="s">
        <v>429</v>
      </c>
      <c r="G1216" s="153">
        <v>520.0</v>
      </c>
      <c r="H1216" s="153">
        <v>343.0</v>
      </c>
      <c r="I1216" s="153">
        <v>65.96</v>
      </c>
      <c r="J1216" s="153">
        <v>93997.14</v>
      </c>
      <c r="K1216" s="153">
        <v>180.7637</v>
      </c>
      <c r="L1216" s="153">
        <v>274.0441</v>
      </c>
      <c r="M1216" s="153">
        <v>105860.0</v>
      </c>
    </row>
    <row r="1217">
      <c r="A1217" s="250">
        <v>46258.0</v>
      </c>
      <c r="B1217" s="153" t="s">
        <v>137</v>
      </c>
      <c r="C1217" s="153" t="s">
        <v>5</v>
      </c>
      <c r="D1217" s="153" t="s">
        <v>430</v>
      </c>
      <c r="E1217" s="153" t="s">
        <v>431</v>
      </c>
      <c r="F1217" s="153" t="s">
        <v>429</v>
      </c>
      <c r="G1217" s="153">
        <v>520.0</v>
      </c>
      <c r="H1217" s="153">
        <v>301.0</v>
      </c>
      <c r="I1217" s="153">
        <v>57.88</v>
      </c>
      <c r="J1217" s="153">
        <v>331.0</v>
      </c>
      <c r="K1217" s="153">
        <v>0.6365</v>
      </c>
      <c r="L1217" s="153">
        <v>1.0997</v>
      </c>
      <c r="M1217" s="153">
        <v>331.0</v>
      </c>
    </row>
    <row r="1218">
      <c r="A1218" s="250">
        <v>46258.0</v>
      </c>
      <c r="B1218" s="153" t="s">
        <v>137</v>
      </c>
      <c r="C1218" s="153" t="s">
        <v>5</v>
      </c>
      <c r="D1218" s="153" t="s">
        <v>430</v>
      </c>
      <c r="E1218" s="153" t="s">
        <v>433</v>
      </c>
      <c r="F1218" s="153" t="s">
        <v>429</v>
      </c>
      <c r="G1218" s="153">
        <v>520.0</v>
      </c>
      <c r="H1218" s="153">
        <v>319.0</v>
      </c>
      <c r="I1218" s="153">
        <v>61.35</v>
      </c>
      <c r="J1218" s="153">
        <v>547.0</v>
      </c>
      <c r="K1218" s="153">
        <v>1.0519</v>
      </c>
      <c r="L1218" s="153">
        <v>1.7147</v>
      </c>
      <c r="M1218" s="153">
        <v>547.0</v>
      </c>
    </row>
    <row r="1219">
      <c r="A1219" s="250">
        <v>46258.0</v>
      </c>
      <c r="B1219" s="153" t="s">
        <v>137</v>
      </c>
      <c r="C1219" s="153" t="s">
        <v>5</v>
      </c>
      <c r="D1219" s="153" t="s">
        <v>434</v>
      </c>
      <c r="E1219" s="153" t="s">
        <v>435</v>
      </c>
      <c r="F1219" s="153" t="s">
        <v>429</v>
      </c>
      <c r="G1219" s="153">
        <v>520.0</v>
      </c>
      <c r="H1219" s="153">
        <v>348.0</v>
      </c>
      <c r="I1219" s="153">
        <v>66.92</v>
      </c>
      <c r="J1219" s="153">
        <v>886.0</v>
      </c>
      <c r="K1219" s="153">
        <v>1.7038</v>
      </c>
      <c r="L1219" s="153">
        <v>2.546</v>
      </c>
      <c r="M1219" s="153">
        <v>886.0</v>
      </c>
    </row>
    <row r="1220">
      <c r="A1220" s="250">
        <v>46258.0</v>
      </c>
      <c r="B1220" s="153" t="s">
        <v>137</v>
      </c>
      <c r="C1220" s="153" t="s">
        <v>5</v>
      </c>
      <c r="D1220" s="153" t="s">
        <v>434</v>
      </c>
      <c r="E1220" s="153" t="s">
        <v>436</v>
      </c>
      <c r="F1220" s="153" t="s">
        <v>429</v>
      </c>
      <c r="G1220" s="153">
        <v>520.0</v>
      </c>
      <c r="H1220" s="153">
        <v>343.0</v>
      </c>
      <c r="I1220" s="153">
        <v>65.96</v>
      </c>
      <c r="J1220" s="153">
        <v>892.0</v>
      </c>
      <c r="K1220" s="153">
        <v>1.7154</v>
      </c>
      <c r="L1220" s="153">
        <v>2.6006</v>
      </c>
      <c r="M1220" s="153">
        <v>892.0</v>
      </c>
    </row>
    <row r="1221">
      <c r="A1221" s="250">
        <v>46258.0</v>
      </c>
      <c r="B1221" s="153" t="s">
        <v>137</v>
      </c>
      <c r="C1221" s="153" t="s">
        <v>5</v>
      </c>
      <c r="D1221" s="153" t="s">
        <v>434</v>
      </c>
      <c r="E1221" s="153" t="s">
        <v>437</v>
      </c>
      <c r="F1221" s="153" t="s">
        <v>429</v>
      </c>
      <c r="G1221" s="153">
        <v>520.0</v>
      </c>
      <c r="H1221" s="153">
        <v>297.0</v>
      </c>
      <c r="I1221" s="153">
        <v>57.12</v>
      </c>
      <c r="J1221" s="153">
        <v>680.0</v>
      </c>
      <c r="K1221" s="153">
        <v>1.3077</v>
      </c>
      <c r="L1221" s="153">
        <v>2.2896</v>
      </c>
      <c r="M1221" s="153">
        <v>680.0</v>
      </c>
    </row>
    <row r="1222">
      <c r="A1222" s="250">
        <v>46258.0</v>
      </c>
      <c r="B1222" s="153" t="s">
        <v>137</v>
      </c>
      <c r="C1222" s="153" t="s">
        <v>5</v>
      </c>
      <c r="D1222" s="153" t="s">
        <v>441</v>
      </c>
      <c r="E1222" s="153" t="s">
        <v>442</v>
      </c>
      <c r="F1222" s="153" t="s">
        <v>440</v>
      </c>
      <c r="G1222" s="153">
        <v>520.0</v>
      </c>
      <c r="H1222" s="153">
        <v>287.0</v>
      </c>
      <c r="I1222" s="153">
        <v>55.19</v>
      </c>
      <c r="J1222" s="153">
        <v>3310.0</v>
      </c>
      <c r="K1222" s="153">
        <v>6.3654</v>
      </c>
      <c r="L1222" s="153">
        <v>11.5331</v>
      </c>
      <c r="M1222" s="153">
        <v>3310.0</v>
      </c>
    </row>
    <row r="1223">
      <c r="A1223" s="250">
        <v>46258.0</v>
      </c>
      <c r="B1223" s="153" t="s">
        <v>137</v>
      </c>
      <c r="C1223" s="153" t="s">
        <v>5</v>
      </c>
      <c r="D1223" s="153" t="s">
        <v>441</v>
      </c>
      <c r="E1223" s="153" t="s">
        <v>443</v>
      </c>
      <c r="F1223" s="153" t="s">
        <v>440</v>
      </c>
      <c r="G1223" s="153">
        <v>520.0</v>
      </c>
      <c r="H1223" s="153">
        <v>38.0</v>
      </c>
      <c r="I1223" s="153">
        <v>7.31</v>
      </c>
      <c r="J1223" s="153">
        <v>430.0</v>
      </c>
      <c r="K1223" s="153">
        <v>0.8269</v>
      </c>
      <c r="L1223" s="153">
        <v>11.3158</v>
      </c>
      <c r="M1223" s="153">
        <v>430.0</v>
      </c>
    </row>
    <row r="1224">
      <c r="A1224" s="250">
        <v>46258.0</v>
      </c>
      <c r="B1224" s="153" t="s">
        <v>137</v>
      </c>
      <c r="C1224" s="153" t="s">
        <v>5</v>
      </c>
      <c r="D1224" s="153" t="s">
        <v>444</v>
      </c>
      <c r="E1224" s="153" t="s">
        <v>445</v>
      </c>
      <c r="F1224" s="153" t="s">
        <v>440</v>
      </c>
      <c r="G1224" s="153">
        <v>520.0</v>
      </c>
      <c r="H1224" s="153">
        <v>345.0</v>
      </c>
      <c r="I1224" s="153">
        <v>66.35</v>
      </c>
      <c r="J1224" s="153">
        <v>26850.0</v>
      </c>
      <c r="K1224" s="153">
        <v>51.6346</v>
      </c>
      <c r="L1224" s="153">
        <v>77.8261</v>
      </c>
      <c r="M1224" s="153">
        <v>26850.0</v>
      </c>
    </row>
    <row r="1225">
      <c r="A1225" s="250">
        <v>46259.0</v>
      </c>
      <c r="B1225" s="153" t="s">
        <v>423</v>
      </c>
      <c r="C1225" s="153" t="s">
        <v>5</v>
      </c>
      <c r="D1225" s="153" t="s">
        <v>424</v>
      </c>
      <c r="E1225" s="153" t="s">
        <v>425</v>
      </c>
      <c r="F1225" s="153" t="s">
        <v>426</v>
      </c>
      <c r="G1225" s="153">
        <v>7762.0</v>
      </c>
      <c r="H1225" s="153">
        <v>394.0</v>
      </c>
      <c r="I1225" s="153">
        <v>5.08</v>
      </c>
      <c r="J1225" s="153">
        <v>12360.33</v>
      </c>
      <c r="K1225" s="153">
        <v>1.5924</v>
      </c>
      <c r="L1225" s="153">
        <v>31.3714</v>
      </c>
      <c r="M1225" s="153">
        <v>38350.0</v>
      </c>
    </row>
    <row r="1226">
      <c r="A1226" s="250">
        <v>46259.0</v>
      </c>
      <c r="B1226" s="153" t="s">
        <v>423</v>
      </c>
      <c r="C1226" s="153" t="s">
        <v>5</v>
      </c>
      <c r="D1226" s="153" t="s">
        <v>427</v>
      </c>
      <c r="E1226" s="153" t="s">
        <v>428</v>
      </c>
      <c r="F1226" s="153" t="s">
        <v>429</v>
      </c>
      <c r="G1226" s="153">
        <v>7762.0</v>
      </c>
      <c r="H1226" s="153">
        <v>426.0</v>
      </c>
      <c r="I1226" s="153">
        <v>5.49</v>
      </c>
      <c r="J1226" s="153">
        <v>71067.9</v>
      </c>
      <c r="K1226" s="153">
        <v>9.1559</v>
      </c>
      <c r="L1226" s="153">
        <v>166.826</v>
      </c>
      <c r="M1226" s="153">
        <v>80135.0</v>
      </c>
    </row>
    <row r="1227">
      <c r="A1227" s="250">
        <v>46259.0</v>
      </c>
      <c r="B1227" s="153" t="s">
        <v>423</v>
      </c>
      <c r="C1227" s="153" t="s">
        <v>5</v>
      </c>
      <c r="D1227" s="153" t="s">
        <v>430</v>
      </c>
      <c r="E1227" s="153" t="s">
        <v>431</v>
      </c>
      <c r="F1227" s="153" t="s">
        <v>429</v>
      </c>
      <c r="G1227" s="153">
        <v>7762.0</v>
      </c>
      <c r="H1227" s="153">
        <v>140.0</v>
      </c>
      <c r="I1227" s="153">
        <v>1.8</v>
      </c>
      <c r="J1227" s="153">
        <v>156.0</v>
      </c>
      <c r="K1227" s="153">
        <v>0.0201</v>
      </c>
      <c r="L1227" s="153">
        <v>1.1143</v>
      </c>
      <c r="M1227" s="153">
        <v>156.0</v>
      </c>
    </row>
    <row r="1228">
      <c r="A1228" s="250">
        <v>46259.0</v>
      </c>
      <c r="B1228" s="153" t="s">
        <v>423</v>
      </c>
      <c r="C1228" s="153" t="s">
        <v>5</v>
      </c>
      <c r="D1228" s="153" t="s">
        <v>430</v>
      </c>
      <c r="E1228" s="153" t="s">
        <v>432</v>
      </c>
      <c r="F1228" s="153" t="s">
        <v>429</v>
      </c>
      <c r="G1228" s="153">
        <v>7762.0</v>
      </c>
      <c r="H1228" s="153">
        <v>2.0</v>
      </c>
      <c r="I1228" s="153">
        <v>0.03</v>
      </c>
      <c r="J1228" s="153">
        <v>2.0</v>
      </c>
      <c r="K1228" s="153">
        <v>3.0E-4</v>
      </c>
      <c r="L1228" s="153">
        <v>1.0</v>
      </c>
      <c r="M1228" s="153">
        <v>2.0</v>
      </c>
    </row>
    <row r="1229">
      <c r="A1229" s="250">
        <v>46259.0</v>
      </c>
      <c r="B1229" s="153" t="s">
        <v>423</v>
      </c>
      <c r="C1229" s="153" t="s">
        <v>5</v>
      </c>
      <c r="D1229" s="153" t="s">
        <v>430</v>
      </c>
      <c r="E1229" s="153" t="s">
        <v>433</v>
      </c>
      <c r="F1229" s="153" t="s">
        <v>429</v>
      </c>
      <c r="G1229" s="153">
        <v>7762.0</v>
      </c>
      <c r="H1229" s="153">
        <v>251.0</v>
      </c>
      <c r="I1229" s="153">
        <v>3.23</v>
      </c>
      <c r="J1229" s="153">
        <v>308.0</v>
      </c>
      <c r="K1229" s="153">
        <v>0.0397</v>
      </c>
      <c r="L1229" s="153">
        <v>1.2271</v>
      </c>
      <c r="M1229" s="153">
        <v>308.0</v>
      </c>
    </row>
    <row r="1230">
      <c r="A1230" s="250">
        <v>46259.0</v>
      </c>
      <c r="B1230" s="153" t="s">
        <v>423</v>
      </c>
      <c r="C1230" s="153" t="s">
        <v>5</v>
      </c>
      <c r="D1230" s="153" t="s">
        <v>434</v>
      </c>
      <c r="E1230" s="153" t="s">
        <v>435</v>
      </c>
      <c r="F1230" s="153" t="s">
        <v>429</v>
      </c>
      <c r="G1230" s="153">
        <v>7762.0</v>
      </c>
      <c r="H1230" s="153">
        <v>310.0</v>
      </c>
      <c r="I1230" s="153">
        <v>3.99</v>
      </c>
      <c r="J1230" s="153">
        <v>586.0</v>
      </c>
      <c r="K1230" s="153">
        <v>0.0755</v>
      </c>
      <c r="L1230" s="153">
        <v>1.8903</v>
      </c>
      <c r="M1230" s="153">
        <v>586.0</v>
      </c>
    </row>
    <row r="1231">
      <c r="A1231" s="250">
        <v>46259.0</v>
      </c>
      <c r="B1231" s="153" t="s">
        <v>423</v>
      </c>
      <c r="C1231" s="153" t="s">
        <v>5</v>
      </c>
      <c r="D1231" s="153" t="s">
        <v>434</v>
      </c>
      <c r="E1231" s="153" t="s">
        <v>436</v>
      </c>
      <c r="F1231" s="153" t="s">
        <v>429</v>
      </c>
      <c r="G1231" s="153">
        <v>7762.0</v>
      </c>
      <c r="H1231" s="153">
        <v>265.0</v>
      </c>
      <c r="I1231" s="153">
        <v>3.41</v>
      </c>
      <c r="J1231" s="153">
        <v>540.0</v>
      </c>
      <c r="K1231" s="153">
        <v>0.0696</v>
      </c>
      <c r="L1231" s="153">
        <v>2.0377</v>
      </c>
      <c r="M1231" s="153">
        <v>540.0</v>
      </c>
    </row>
    <row r="1232">
      <c r="A1232" s="250">
        <v>46259.0</v>
      </c>
      <c r="B1232" s="153" t="s">
        <v>423</v>
      </c>
      <c r="C1232" s="153" t="s">
        <v>5</v>
      </c>
      <c r="D1232" s="153" t="s">
        <v>434</v>
      </c>
      <c r="E1232" s="153" t="s">
        <v>437</v>
      </c>
      <c r="F1232" s="153" t="s">
        <v>429</v>
      </c>
      <c r="G1232" s="153">
        <v>7762.0</v>
      </c>
      <c r="H1232" s="153">
        <v>203.0</v>
      </c>
      <c r="I1232" s="153">
        <v>2.62</v>
      </c>
      <c r="J1232" s="153">
        <v>347.0</v>
      </c>
      <c r="K1232" s="153">
        <v>0.0447</v>
      </c>
      <c r="L1232" s="153">
        <v>1.7094</v>
      </c>
      <c r="M1232" s="153">
        <v>347.0</v>
      </c>
    </row>
    <row r="1233">
      <c r="A1233" s="250">
        <v>46259.0</v>
      </c>
      <c r="B1233" s="153" t="s">
        <v>423</v>
      </c>
      <c r="C1233" s="153" t="s">
        <v>5</v>
      </c>
      <c r="D1233" s="153" t="s">
        <v>438</v>
      </c>
      <c r="E1233" s="153" t="s">
        <v>439</v>
      </c>
      <c r="F1233" s="153" t="s">
        <v>440</v>
      </c>
      <c r="G1233" s="153">
        <v>7762.0</v>
      </c>
      <c r="H1233" s="153">
        <v>1.0</v>
      </c>
      <c r="I1233" s="153">
        <v>0.01</v>
      </c>
      <c r="J1233" s="153">
        <v>10.0</v>
      </c>
      <c r="K1233" s="153">
        <v>0.0013</v>
      </c>
      <c r="L1233" s="153">
        <v>10.0</v>
      </c>
      <c r="M1233" s="153">
        <v>10.0</v>
      </c>
    </row>
    <row r="1234">
      <c r="A1234" s="250">
        <v>46259.0</v>
      </c>
      <c r="B1234" s="153" t="s">
        <v>423</v>
      </c>
      <c r="C1234" s="153" t="s">
        <v>5</v>
      </c>
      <c r="D1234" s="153" t="s">
        <v>441</v>
      </c>
      <c r="E1234" s="153" t="s">
        <v>442</v>
      </c>
      <c r="F1234" s="153" t="s">
        <v>440</v>
      </c>
      <c r="G1234" s="153">
        <v>7762.0</v>
      </c>
      <c r="H1234" s="153">
        <v>106.0</v>
      </c>
      <c r="I1234" s="153">
        <v>1.37</v>
      </c>
      <c r="J1234" s="153">
        <v>1180.0</v>
      </c>
      <c r="K1234" s="153">
        <v>0.152</v>
      </c>
      <c r="L1234" s="153">
        <v>11.1321</v>
      </c>
      <c r="M1234" s="153">
        <v>1180.0</v>
      </c>
    </row>
    <row r="1235">
      <c r="A1235" s="250">
        <v>46259.0</v>
      </c>
      <c r="B1235" s="153" t="s">
        <v>423</v>
      </c>
      <c r="C1235" s="153" t="s">
        <v>5</v>
      </c>
      <c r="D1235" s="153" t="s">
        <v>441</v>
      </c>
      <c r="E1235" s="153" t="s">
        <v>443</v>
      </c>
      <c r="F1235" s="153" t="s">
        <v>440</v>
      </c>
      <c r="G1235" s="153">
        <v>7762.0</v>
      </c>
      <c r="H1235" s="153">
        <v>59.0</v>
      </c>
      <c r="I1235" s="153">
        <v>0.76</v>
      </c>
      <c r="J1235" s="153">
        <v>660.0</v>
      </c>
      <c r="K1235" s="153">
        <v>0.085</v>
      </c>
      <c r="L1235" s="153">
        <v>11.1864</v>
      </c>
      <c r="M1235" s="153">
        <v>660.0</v>
      </c>
    </row>
    <row r="1236">
      <c r="A1236" s="250">
        <v>46259.0</v>
      </c>
      <c r="B1236" s="153" t="s">
        <v>423</v>
      </c>
      <c r="C1236" s="153" t="s">
        <v>5</v>
      </c>
      <c r="D1236" s="153" t="s">
        <v>444</v>
      </c>
      <c r="E1236" s="153" t="s">
        <v>445</v>
      </c>
      <c r="F1236" s="153" t="s">
        <v>440</v>
      </c>
      <c r="G1236" s="153">
        <v>7762.0</v>
      </c>
      <c r="H1236" s="153">
        <v>353.0</v>
      </c>
      <c r="I1236" s="153">
        <v>4.55</v>
      </c>
      <c r="J1236" s="153">
        <v>17650.0</v>
      </c>
      <c r="K1236" s="153">
        <v>2.2739</v>
      </c>
      <c r="L1236" s="153">
        <v>50.0</v>
      </c>
      <c r="M1236" s="153">
        <v>17650.0</v>
      </c>
    </row>
    <row r="1237">
      <c r="A1237" s="250">
        <v>46259.0</v>
      </c>
      <c r="B1237" s="153" t="s">
        <v>133</v>
      </c>
      <c r="C1237" s="153" t="s">
        <v>5</v>
      </c>
      <c r="D1237" s="153" t="s">
        <v>424</v>
      </c>
      <c r="E1237" s="153" t="s">
        <v>425</v>
      </c>
      <c r="F1237" s="153" t="s">
        <v>426</v>
      </c>
      <c r="G1237" s="153">
        <v>11864.0</v>
      </c>
      <c r="H1237" s="153">
        <v>5053.0</v>
      </c>
      <c r="I1237" s="153">
        <v>42.59</v>
      </c>
      <c r="J1237" s="153">
        <v>58440.92</v>
      </c>
      <c r="K1237" s="153">
        <v>4.9259</v>
      </c>
      <c r="L1237" s="153">
        <v>11.5656</v>
      </c>
      <c r="M1237" s="153">
        <v>70030.0</v>
      </c>
    </row>
    <row r="1238">
      <c r="A1238" s="250">
        <v>46259.0</v>
      </c>
      <c r="B1238" s="153" t="s">
        <v>133</v>
      </c>
      <c r="C1238" s="153" t="s">
        <v>5</v>
      </c>
      <c r="D1238" s="153" t="s">
        <v>427</v>
      </c>
      <c r="E1238" s="153" t="s">
        <v>428</v>
      </c>
      <c r="F1238" s="153" t="s">
        <v>429</v>
      </c>
      <c r="G1238" s="153">
        <v>11864.0</v>
      </c>
      <c r="H1238" s="153">
        <v>3975.0</v>
      </c>
      <c r="I1238" s="153">
        <v>33.5</v>
      </c>
      <c r="J1238" s="153">
        <v>126866.43</v>
      </c>
      <c r="K1238" s="153">
        <v>10.6934</v>
      </c>
      <c r="L1238" s="153">
        <v>31.9161</v>
      </c>
      <c r="M1238" s="153">
        <v>140710.0</v>
      </c>
    </row>
    <row r="1239">
      <c r="A1239" s="250">
        <v>46259.0</v>
      </c>
      <c r="B1239" s="153" t="s">
        <v>133</v>
      </c>
      <c r="C1239" s="153" t="s">
        <v>5</v>
      </c>
      <c r="D1239" s="153" t="s">
        <v>430</v>
      </c>
      <c r="E1239" s="153" t="s">
        <v>431</v>
      </c>
      <c r="F1239" s="153" t="s">
        <v>429</v>
      </c>
      <c r="G1239" s="153">
        <v>11864.0</v>
      </c>
      <c r="H1239" s="153">
        <v>66.0</v>
      </c>
      <c r="I1239" s="153">
        <v>0.56</v>
      </c>
      <c r="J1239" s="153">
        <v>69.0</v>
      </c>
      <c r="K1239" s="153">
        <v>0.0058</v>
      </c>
      <c r="L1239" s="153">
        <v>1.0455</v>
      </c>
      <c r="M1239" s="153">
        <v>69.0</v>
      </c>
    </row>
    <row r="1240">
      <c r="A1240" s="250">
        <v>46259.0</v>
      </c>
      <c r="B1240" s="153" t="s">
        <v>133</v>
      </c>
      <c r="C1240" s="153" t="s">
        <v>5</v>
      </c>
      <c r="D1240" s="153" t="s">
        <v>430</v>
      </c>
      <c r="E1240" s="153" t="s">
        <v>432</v>
      </c>
      <c r="F1240" s="153" t="s">
        <v>429</v>
      </c>
      <c r="G1240" s="153">
        <v>11864.0</v>
      </c>
      <c r="H1240" s="153">
        <v>5.0</v>
      </c>
      <c r="I1240" s="153">
        <v>0.04</v>
      </c>
      <c r="J1240" s="153">
        <v>6.0</v>
      </c>
      <c r="K1240" s="153">
        <v>5.0E-4</v>
      </c>
      <c r="L1240" s="153">
        <v>1.2</v>
      </c>
      <c r="M1240" s="153">
        <v>6.0</v>
      </c>
    </row>
    <row r="1241">
      <c r="A1241" s="250">
        <v>46259.0</v>
      </c>
      <c r="B1241" s="153" t="s">
        <v>133</v>
      </c>
      <c r="C1241" s="153" t="s">
        <v>5</v>
      </c>
      <c r="D1241" s="153" t="s">
        <v>430</v>
      </c>
      <c r="E1241" s="153" t="s">
        <v>433</v>
      </c>
      <c r="F1241" s="153" t="s">
        <v>429</v>
      </c>
      <c r="G1241" s="153">
        <v>11864.0</v>
      </c>
      <c r="H1241" s="153">
        <v>348.0</v>
      </c>
      <c r="I1241" s="153">
        <v>2.93</v>
      </c>
      <c r="J1241" s="153">
        <v>368.0</v>
      </c>
      <c r="K1241" s="153">
        <v>0.031</v>
      </c>
      <c r="L1241" s="153">
        <v>1.0575</v>
      </c>
      <c r="M1241" s="153">
        <v>368.0</v>
      </c>
    </row>
    <row r="1242">
      <c r="A1242" s="250">
        <v>46259.0</v>
      </c>
      <c r="B1242" s="153" t="s">
        <v>133</v>
      </c>
      <c r="C1242" s="153" t="s">
        <v>5</v>
      </c>
      <c r="D1242" s="153" t="s">
        <v>434</v>
      </c>
      <c r="E1242" s="153" t="s">
        <v>435</v>
      </c>
      <c r="F1242" s="153" t="s">
        <v>429</v>
      </c>
      <c r="G1242" s="153">
        <v>11864.0</v>
      </c>
      <c r="H1242" s="153">
        <v>5675.0</v>
      </c>
      <c r="I1242" s="153">
        <v>47.83</v>
      </c>
      <c r="J1242" s="153">
        <v>7021.0</v>
      </c>
      <c r="K1242" s="153">
        <v>0.5918</v>
      </c>
      <c r="L1242" s="153">
        <v>1.2372</v>
      </c>
      <c r="M1242" s="153">
        <v>7021.0</v>
      </c>
    </row>
    <row r="1243">
      <c r="A1243" s="250">
        <v>46259.0</v>
      </c>
      <c r="B1243" s="153" t="s">
        <v>133</v>
      </c>
      <c r="C1243" s="153" t="s">
        <v>5</v>
      </c>
      <c r="D1243" s="153" t="s">
        <v>434</v>
      </c>
      <c r="E1243" s="153" t="s">
        <v>436</v>
      </c>
      <c r="F1243" s="153" t="s">
        <v>429</v>
      </c>
      <c r="G1243" s="153">
        <v>11864.0</v>
      </c>
      <c r="H1243" s="153">
        <v>3298.0</v>
      </c>
      <c r="I1243" s="153">
        <v>27.8</v>
      </c>
      <c r="J1243" s="153">
        <v>4866.0</v>
      </c>
      <c r="K1243" s="153">
        <v>0.4101</v>
      </c>
      <c r="L1243" s="153">
        <v>1.4754</v>
      </c>
      <c r="M1243" s="153">
        <v>4866.0</v>
      </c>
    </row>
    <row r="1244">
      <c r="A1244" s="250">
        <v>46259.0</v>
      </c>
      <c r="B1244" s="153" t="s">
        <v>133</v>
      </c>
      <c r="C1244" s="153" t="s">
        <v>5</v>
      </c>
      <c r="D1244" s="153" t="s">
        <v>434</v>
      </c>
      <c r="E1244" s="153" t="s">
        <v>437</v>
      </c>
      <c r="F1244" s="153" t="s">
        <v>429</v>
      </c>
      <c r="G1244" s="153">
        <v>11864.0</v>
      </c>
      <c r="H1244" s="153">
        <v>47.0</v>
      </c>
      <c r="I1244" s="153">
        <v>0.4</v>
      </c>
      <c r="J1244" s="153">
        <v>55.0</v>
      </c>
      <c r="K1244" s="153">
        <v>0.0046</v>
      </c>
      <c r="L1244" s="153">
        <v>1.1702</v>
      </c>
      <c r="M1244" s="153">
        <v>55.0</v>
      </c>
    </row>
    <row r="1245">
      <c r="A1245" s="250">
        <v>46259.0</v>
      </c>
      <c r="B1245" s="153" t="s">
        <v>133</v>
      </c>
      <c r="C1245" s="153" t="s">
        <v>5</v>
      </c>
      <c r="D1245" s="153" t="s">
        <v>438</v>
      </c>
      <c r="E1245" s="153" t="s">
        <v>439</v>
      </c>
      <c r="F1245" s="153" t="s">
        <v>440</v>
      </c>
      <c r="G1245" s="153">
        <v>11864.0</v>
      </c>
      <c r="H1245" s="153">
        <v>1.0</v>
      </c>
      <c r="I1245" s="153">
        <v>0.01</v>
      </c>
      <c r="J1245" s="153">
        <v>10.0</v>
      </c>
      <c r="K1245" s="153">
        <v>8.0E-4</v>
      </c>
      <c r="L1245" s="153">
        <v>10.0</v>
      </c>
      <c r="M1245" s="153">
        <v>10.0</v>
      </c>
    </row>
    <row r="1246">
      <c r="A1246" s="250">
        <v>46259.0</v>
      </c>
      <c r="B1246" s="153" t="s">
        <v>133</v>
      </c>
      <c r="C1246" s="153" t="s">
        <v>5</v>
      </c>
      <c r="D1246" s="153" t="s">
        <v>441</v>
      </c>
      <c r="E1246" s="153" t="s">
        <v>442</v>
      </c>
      <c r="F1246" s="153" t="s">
        <v>440</v>
      </c>
      <c r="G1246" s="153">
        <v>11864.0</v>
      </c>
      <c r="H1246" s="153">
        <v>18.0</v>
      </c>
      <c r="I1246" s="153">
        <v>0.15</v>
      </c>
      <c r="J1246" s="153">
        <v>200.0</v>
      </c>
      <c r="K1246" s="153">
        <v>0.0169</v>
      </c>
      <c r="L1246" s="153">
        <v>11.1111</v>
      </c>
      <c r="M1246" s="153">
        <v>200.0</v>
      </c>
    </row>
    <row r="1247">
      <c r="A1247" s="250">
        <v>46259.0</v>
      </c>
      <c r="B1247" s="153" t="s">
        <v>133</v>
      </c>
      <c r="C1247" s="153" t="s">
        <v>5</v>
      </c>
      <c r="D1247" s="153" t="s">
        <v>444</v>
      </c>
      <c r="E1247" s="153" t="s">
        <v>445</v>
      </c>
      <c r="F1247" s="153" t="s">
        <v>440</v>
      </c>
      <c r="G1247" s="153">
        <v>11864.0</v>
      </c>
      <c r="H1247" s="153">
        <v>4152.0</v>
      </c>
      <c r="I1247" s="153">
        <v>35.0</v>
      </c>
      <c r="J1247" s="153">
        <v>78235.0</v>
      </c>
      <c r="K1247" s="153">
        <v>6.5943</v>
      </c>
      <c r="L1247" s="153">
        <v>18.8427</v>
      </c>
      <c r="M1247" s="153">
        <v>78235.0</v>
      </c>
    </row>
    <row r="1248">
      <c r="A1248" s="250">
        <v>46259.0</v>
      </c>
      <c r="B1248" s="153" t="s">
        <v>134</v>
      </c>
      <c r="C1248" s="153" t="s">
        <v>5</v>
      </c>
      <c r="D1248" s="153" t="s">
        <v>424</v>
      </c>
      <c r="E1248" s="153" t="s">
        <v>425</v>
      </c>
      <c r="F1248" s="153" t="s">
        <v>426</v>
      </c>
      <c r="G1248" s="153">
        <v>9425.0</v>
      </c>
      <c r="H1248" s="153">
        <v>5369.0</v>
      </c>
      <c r="I1248" s="153">
        <v>56.97</v>
      </c>
      <c r="J1248" s="153">
        <v>86516.4</v>
      </c>
      <c r="K1248" s="153">
        <v>9.1795</v>
      </c>
      <c r="L1248" s="153">
        <v>16.1141</v>
      </c>
      <c r="M1248" s="153">
        <v>114170.0</v>
      </c>
    </row>
    <row r="1249">
      <c r="A1249" s="250">
        <v>46259.0</v>
      </c>
      <c r="B1249" s="153" t="s">
        <v>134</v>
      </c>
      <c r="C1249" s="153" t="s">
        <v>5</v>
      </c>
      <c r="D1249" s="153" t="s">
        <v>427</v>
      </c>
      <c r="E1249" s="153" t="s">
        <v>428</v>
      </c>
      <c r="F1249" s="153" t="s">
        <v>429</v>
      </c>
      <c r="G1249" s="153">
        <v>9425.0</v>
      </c>
      <c r="H1249" s="153">
        <v>5159.0</v>
      </c>
      <c r="I1249" s="153">
        <v>54.74</v>
      </c>
      <c r="J1249" s="153">
        <v>293461.46</v>
      </c>
      <c r="K1249" s="153">
        <v>31.1365</v>
      </c>
      <c r="L1249" s="153">
        <v>56.8834</v>
      </c>
      <c r="M1249" s="153">
        <v>329370.0</v>
      </c>
    </row>
    <row r="1250">
      <c r="A1250" s="250">
        <v>46259.0</v>
      </c>
      <c r="B1250" s="153" t="s">
        <v>134</v>
      </c>
      <c r="C1250" s="153" t="s">
        <v>5</v>
      </c>
      <c r="D1250" s="153" t="s">
        <v>430</v>
      </c>
      <c r="E1250" s="153" t="s">
        <v>431</v>
      </c>
      <c r="F1250" s="153" t="s">
        <v>429</v>
      </c>
      <c r="G1250" s="153">
        <v>9425.0</v>
      </c>
      <c r="H1250" s="153">
        <v>1012.0</v>
      </c>
      <c r="I1250" s="153">
        <v>10.74</v>
      </c>
      <c r="J1250" s="153">
        <v>1095.0</v>
      </c>
      <c r="K1250" s="153">
        <v>0.1162</v>
      </c>
      <c r="L1250" s="153">
        <v>1.082</v>
      </c>
      <c r="M1250" s="153">
        <v>1095.0</v>
      </c>
    </row>
    <row r="1251">
      <c r="A1251" s="250">
        <v>46259.0</v>
      </c>
      <c r="B1251" s="153" t="s">
        <v>134</v>
      </c>
      <c r="C1251" s="153" t="s">
        <v>5</v>
      </c>
      <c r="D1251" s="153" t="s">
        <v>430</v>
      </c>
      <c r="E1251" s="153" t="s">
        <v>432</v>
      </c>
      <c r="F1251" s="153" t="s">
        <v>429</v>
      </c>
      <c r="G1251" s="153">
        <v>9425.0</v>
      </c>
      <c r="H1251" s="153">
        <v>15.0</v>
      </c>
      <c r="I1251" s="153">
        <v>0.16</v>
      </c>
      <c r="J1251" s="153">
        <v>32.0</v>
      </c>
      <c r="K1251" s="153">
        <v>0.0034</v>
      </c>
      <c r="L1251" s="153">
        <v>2.1333</v>
      </c>
      <c r="M1251" s="153">
        <v>32.0</v>
      </c>
    </row>
    <row r="1252">
      <c r="A1252" s="250">
        <v>46259.0</v>
      </c>
      <c r="B1252" s="153" t="s">
        <v>134</v>
      </c>
      <c r="C1252" s="153" t="s">
        <v>5</v>
      </c>
      <c r="D1252" s="153" t="s">
        <v>430</v>
      </c>
      <c r="E1252" s="153" t="s">
        <v>433</v>
      </c>
      <c r="F1252" s="153" t="s">
        <v>429</v>
      </c>
      <c r="G1252" s="153">
        <v>9425.0</v>
      </c>
      <c r="H1252" s="153">
        <v>1884.0</v>
      </c>
      <c r="I1252" s="153">
        <v>19.99</v>
      </c>
      <c r="J1252" s="153">
        <v>2076.0</v>
      </c>
      <c r="K1252" s="153">
        <v>0.2203</v>
      </c>
      <c r="L1252" s="153">
        <v>1.1019</v>
      </c>
      <c r="M1252" s="153">
        <v>2076.0</v>
      </c>
    </row>
    <row r="1253">
      <c r="A1253" s="250">
        <v>46259.0</v>
      </c>
      <c r="B1253" s="153" t="s">
        <v>134</v>
      </c>
      <c r="C1253" s="153" t="s">
        <v>5</v>
      </c>
      <c r="D1253" s="153" t="s">
        <v>434</v>
      </c>
      <c r="E1253" s="153" t="s">
        <v>435</v>
      </c>
      <c r="F1253" s="153" t="s">
        <v>429</v>
      </c>
      <c r="G1253" s="153">
        <v>9425.0</v>
      </c>
      <c r="H1253" s="153">
        <v>5017.0</v>
      </c>
      <c r="I1253" s="153">
        <v>53.23</v>
      </c>
      <c r="J1253" s="153">
        <v>7796.0</v>
      </c>
      <c r="K1253" s="153">
        <v>0.8272</v>
      </c>
      <c r="L1253" s="153">
        <v>1.5539</v>
      </c>
      <c r="M1253" s="153">
        <v>7796.0</v>
      </c>
    </row>
    <row r="1254">
      <c r="A1254" s="250">
        <v>46259.0</v>
      </c>
      <c r="B1254" s="153" t="s">
        <v>134</v>
      </c>
      <c r="C1254" s="153" t="s">
        <v>5</v>
      </c>
      <c r="D1254" s="153" t="s">
        <v>434</v>
      </c>
      <c r="E1254" s="153" t="s">
        <v>436</v>
      </c>
      <c r="F1254" s="153" t="s">
        <v>429</v>
      </c>
      <c r="G1254" s="153">
        <v>9425.0</v>
      </c>
      <c r="H1254" s="153">
        <v>4189.0</v>
      </c>
      <c r="I1254" s="153">
        <v>44.45</v>
      </c>
      <c r="J1254" s="153">
        <v>7762.0</v>
      </c>
      <c r="K1254" s="153">
        <v>0.8236</v>
      </c>
      <c r="L1254" s="153">
        <v>1.8529</v>
      </c>
      <c r="M1254" s="153">
        <v>7762.0</v>
      </c>
    </row>
    <row r="1255">
      <c r="A1255" s="250">
        <v>46259.0</v>
      </c>
      <c r="B1255" s="153" t="s">
        <v>134</v>
      </c>
      <c r="C1255" s="153" t="s">
        <v>5</v>
      </c>
      <c r="D1255" s="153" t="s">
        <v>434</v>
      </c>
      <c r="E1255" s="153" t="s">
        <v>437</v>
      </c>
      <c r="F1255" s="153" t="s">
        <v>429</v>
      </c>
      <c r="G1255" s="153">
        <v>9425.0</v>
      </c>
      <c r="H1255" s="153">
        <v>878.0</v>
      </c>
      <c r="I1255" s="153">
        <v>9.32</v>
      </c>
      <c r="J1255" s="153">
        <v>1090.0</v>
      </c>
      <c r="K1255" s="153">
        <v>0.1156</v>
      </c>
      <c r="L1255" s="153">
        <v>1.2415</v>
      </c>
      <c r="M1255" s="153">
        <v>1090.0</v>
      </c>
    </row>
    <row r="1256">
      <c r="A1256" s="250">
        <v>46259.0</v>
      </c>
      <c r="B1256" s="153" t="s">
        <v>134</v>
      </c>
      <c r="C1256" s="153" t="s">
        <v>5</v>
      </c>
      <c r="D1256" s="153" t="s">
        <v>438</v>
      </c>
      <c r="E1256" s="153" t="s">
        <v>439</v>
      </c>
      <c r="F1256" s="153" t="s">
        <v>440</v>
      </c>
      <c r="G1256" s="153">
        <v>9425.0</v>
      </c>
      <c r="H1256" s="153">
        <v>4.0</v>
      </c>
      <c r="I1256" s="153">
        <v>0.04</v>
      </c>
      <c r="J1256" s="153">
        <v>100.0</v>
      </c>
      <c r="K1256" s="153">
        <v>0.0106</v>
      </c>
      <c r="L1256" s="153">
        <v>25.0</v>
      </c>
      <c r="M1256" s="153">
        <v>100.0</v>
      </c>
    </row>
    <row r="1257">
      <c r="A1257" s="250">
        <v>46259.0</v>
      </c>
      <c r="B1257" s="153" t="s">
        <v>134</v>
      </c>
      <c r="C1257" s="153" t="s">
        <v>5</v>
      </c>
      <c r="D1257" s="153" t="s">
        <v>441</v>
      </c>
      <c r="E1257" s="153" t="s">
        <v>442</v>
      </c>
      <c r="F1257" s="153" t="s">
        <v>440</v>
      </c>
      <c r="G1257" s="153">
        <v>9425.0</v>
      </c>
      <c r="H1257" s="153">
        <v>513.0</v>
      </c>
      <c r="I1257" s="153">
        <v>5.44</v>
      </c>
      <c r="J1257" s="153">
        <v>5730.0</v>
      </c>
      <c r="K1257" s="153">
        <v>0.608</v>
      </c>
      <c r="L1257" s="153">
        <v>11.1696</v>
      </c>
      <c r="M1257" s="153">
        <v>5730.0</v>
      </c>
    </row>
    <row r="1258">
      <c r="A1258" s="250">
        <v>46259.0</v>
      </c>
      <c r="B1258" s="153" t="s">
        <v>134</v>
      </c>
      <c r="C1258" s="153" t="s">
        <v>5</v>
      </c>
      <c r="D1258" s="153" t="s">
        <v>441</v>
      </c>
      <c r="E1258" s="153" t="s">
        <v>443</v>
      </c>
      <c r="F1258" s="153" t="s">
        <v>440</v>
      </c>
      <c r="G1258" s="153">
        <v>9425.0</v>
      </c>
      <c r="H1258" s="153">
        <v>2.0</v>
      </c>
      <c r="I1258" s="153">
        <v>0.02</v>
      </c>
      <c r="J1258" s="153">
        <v>20.0</v>
      </c>
      <c r="K1258" s="153">
        <v>0.0021</v>
      </c>
      <c r="L1258" s="153">
        <v>10.0</v>
      </c>
      <c r="M1258" s="153">
        <v>20.0</v>
      </c>
    </row>
    <row r="1259">
      <c r="A1259" s="250">
        <v>46259.0</v>
      </c>
      <c r="B1259" s="153" t="s">
        <v>134</v>
      </c>
      <c r="C1259" s="153" t="s">
        <v>5</v>
      </c>
      <c r="D1259" s="153" t="s">
        <v>444</v>
      </c>
      <c r="E1259" s="153" t="s">
        <v>445</v>
      </c>
      <c r="F1259" s="153" t="s">
        <v>440</v>
      </c>
      <c r="G1259" s="153">
        <v>9425.0</v>
      </c>
      <c r="H1259" s="153">
        <v>5143.0</v>
      </c>
      <c r="I1259" s="153">
        <v>54.57</v>
      </c>
      <c r="J1259" s="153">
        <v>141365.0</v>
      </c>
      <c r="K1259" s="153">
        <v>14.9989</v>
      </c>
      <c r="L1259" s="153">
        <v>27.4869</v>
      </c>
      <c r="M1259" s="153">
        <v>141365.0</v>
      </c>
    </row>
    <row r="1260">
      <c r="A1260" s="250">
        <v>46259.0</v>
      </c>
      <c r="B1260" s="153" t="s">
        <v>135</v>
      </c>
      <c r="C1260" s="153" t="s">
        <v>5</v>
      </c>
      <c r="D1260" s="153" t="s">
        <v>424</v>
      </c>
      <c r="E1260" s="153" t="s">
        <v>425</v>
      </c>
      <c r="F1260" s="153" t="s">
        <v>426</v>
      </c>
      <c r="G1260" s="153">
        <v>6893.0</v>
      </c>
      <c r="H1260" s="153">
        <v>4223.0</v>
      </c>
      <c r="I1260" s="153">
        <v>61.27</v>
      </c>
      <c r="J1260" s="153">
        <v>81637.39</v>
      </c>
      <c r="K1260" s="153">
        <v>11.8435</v>
      </c>
      <c r="L1260" s="153">
        <v>19.3316</v>
      </c>
      <c r="M1260" s="153">
        <v>141150.0</v>
      </c>
    </row>
    <row r="1261">
      <c r="A1261" s="250">
        <v>46259.0</v>
      </c>
      <c r="B1261" s="153" t="s">
        <v>135</v>
      </c>
      <c r="C1261" s="153" t="s">
        <v>5</v>
      </c>
      <c r="D1261" s="153" t="s">
        <v>427</v>
      </c>
      <c r="E1261" s="153" t="s">
        <v>428</v>
      </c>
      <c r="F1261" s="153" t="s">
        <v>429</v>
      </c>
      <c r="G1261" s="153">
        <v>6893.0</v>
      </c>
      <c r="H1261" s="153">
        <v>4286.0</v>
      </c>
      <c r="I1261" s="153">
        <v>62.18</v>
      </c>
      <c r="J1261" s="153">
        <v>376713.3</v>
      </c>
      <c r="K1261" s="153">
        <v>54.6516</v>
      </c>
      <c r="L1261" s="153">
        <v>87.8939</v>
      </c>
      <c r="M1261" s="153">
        <v>429525.0</v>
      </c>
    </row>
    <row r="1262">
      <c r="A1262" s="250">
        <v>46259.0</v>
      </c>
      <c r="B1262" s="153" t="s">
        <v>135</v>
      </c>
      <c r="C1262" s="153" t="s">
        <v>5</v>
      </c>
      <c r="D1262" s="153" t="s">
        <v>430</v>
      </c>
      <c r="E1262" s="153" t="s">
        <v>431</v>
      </c>
      <c r="F1262" s="153" t="s">
        <v>429</v>
      </c>
      <c r="G1262" s="153">
        <v>6893.0</v>
      </c>
      <c r="H1262" s="153">
        <v>1870.0</v>
      </c>
      <c r="I1262" s="153">
        <v>27.13</v>
      </c>
      <c r="J1262" s="153">
        <v>2035.0</v>
      </c>
      <c r="K1262" s="153">
        <v>0.2952</v>
      </c>
      <c r="L1262" s="153">
        <v>1.0882</v>
      </c>
      <c r="M1262" s="153">
        <v>2035.0</v>
      </c>
    </row>
    <row r="1263">
      <c r="A1263" s="250">
        <v>46259.0</v>
      </c>
      <c r="B1263" s="153" t="s">
        <v>135</v>
      </c>
      <c r="C1263" s="153" t="s">
        <v>5</v>
      </c>
      <c r="D1263" s="153" t="s">
        <v>430</v>
      </c>
      <c r="E1263" s="153" t="s">
        <v>432</v>
      </c>
      <c r="F1263" s="153" t="s">
        <v>429</v>
      </c>
      <c r="G1263" s="153">
        <v>6893.0</v>
      </c>
      <c r="H1263" s="153">
        <v>7.0</v>
      </c>
      <c r="I1263" s="153">
        <v>0.1</v>
      </c>
      <c r="J1263" s="153">
        <v>12.0</v>
      </c>
      <c r="K1263" s="153">
        <v>0.0017</v>
      </c>
      <c r="L1263" s="153">
        <v>1.7143</v>
      </c>
      <c r="M1263" s="153">
        <v>12.0</v>
      </c>
    </row>
    <row r="1264">
      <c r="A1264" s="250">
        <v>46259.0</v>
      </c>
      <c r="B1264" s="153" t="s">
        <v>135</v>
      </c>
      <c r="C1264" s="153" t="s">
        <v>5</v>
      </c>
      <c r="D1264" s="153" t="s">
        <v>430</v>
      </c>
      <c r="E1264" s="153" t="s">
        <v>433</v>
      </c>
      <c r="F1264" s="153" t="s">
        <v>429</v>
      </c>
      <c r="G1264" s="153">
        <v>6893.0</v>
      </c>
      <c r="H1264" s="153">
        <v>2322.0</v>
      </c>
      <c r="I1264" s="153">
        <v>33.69</v>
      </c>
      <c r="J1264" s="153">
        <v>2619.0</v>
      </c>
      <c r="K1264" s="153">
        <v>0.38</v>
      </c>
      <c r="L1264" s="153">
        <v>1.1279</v>
      </c>
      <c r="M1264" s="153">
        <v>2619.0</v>
      </c>
    </row>
    <row r="1265">
      <c r="A1265" s="250">
        <v>46259.0</v>
      </c>
      <c r="B1265" s="153" t="s">
        <v>135</v>
      </c>
      <c r="C1265" s="153" t="s">
        <v>5</v>
      </c>
      <c r="D1265" s="153" t="s">
        <v>434</v>
      </c>
      <c r="E1265" s="153" t="s">
        <v>435</v>
      </c>
      <c r="F1265" s="153" t="s">
        <v>429</v>
      </c>
      <c r="G1265" s="153">
        <v>6893.0</v>
      </c>
      <c r="H1265" s="153">
        <v>3358.0</v>
      </c>
      <c r="I1265" s="153">
        <v>48.72</v>
      </c>
      <c r="J1265" s="153">
        <v>5709.0</v>
      </c>
      <c r="K1265" s="153">
        <v>0.8282</v>
      </c>
      <c r="L1265" s="153">
        <v>1.7001</v>
      </c>
      <c r="M1265" s="153">
        <v>5709.0</v>
      </c>
    </row>
    <row r="1266">
      <c r="A1266" s="250">
        <v>46259.0</v>
      </c>
      <c r="B1266" s="153" t="s">
        <v>135</v>
      </c>
      <c r="C1266" s="153" t="s">
        <v>5</v>
      </c>
      <c r="D1266" s="153" t="s">
        <v>434</v>
      </c>
      <c r="E1266" s="153" t="s">
        <v>436</v>
      </c>
      <c r="F1266" s="153" t="s">
        <v>429</v>
      </c>
      <c r="G1266" s="153">
        <v>6893.0</v>
      </c>
      <c r="H1266" s="153">
        <v>3044.0</v>
      </c>
      <c r="I1266" s="153">
        <v>44.16</v>
      </c>
      <c r="J1266" s="153">
        <v>6168.0</v>
      </c>
      <c r="K1266" s="153">
        <v>0.8948</v>
      </c>
      <c r="L1266" s="153">
        <v>2.0263</v>
      </c>
      <c r="M1266" s="153">
        <v>6168.0</v>
      </c>
    </row>
    <row r="1267">
      <c r="A1267" s="250">
        <v>46259.0</v>
      </c>
      <c r="B1267" s="153" t="s">
        <v>135</v>
      </c>
      <c r="C1267" s="153" t="s">
        <v>5</v>
      </c>
      <c r="D1267" s="153" t="s">
        <v>434</v>
      </c>
      <c r="E1267" s="153" t="s">
        <v>437</v>
      </c>
      <c r="F1267" s="153" t="s">
        <v>429</v>
      </c>
      <c r="G1267" s="153">
        <v>6893.0</v>
      </c>
      <c r="H1267" s="153">
        <v>2090.0</v>
      </c>
      <c r="I1267" s="153">
        <v>30.32</v>
      </c>
      <c r="J1267" s="153">
        <v>2913.0</v>
      </c>
      <c r="K1267" s="153">
        <v>0.4226</v>
      </c>
      <c r="L1267" s="153">
        <v>1.3938</v>
      </c>
      <c r="M1267" s="153">
        <v>2913.0</v>
      </c>
    </row>
    <row r="1268">
      <c r="A1268" s="250">
        <v>46259.0</v>
      </c>
      <c r="B1268" s="153" t="s">
        <v>135</v>
      </c>
      <c r="C1268" s="153" t="s">
        <v>5</v>
      </c>
      <c r="D1268" s="153" t="s">
        <v>438</v>
      </c>
      <c r="E1268" s="153" t="s">
        <v>439</v>
      </c>
      <c r="F1268" s="153" t="s">
        <v>440</v>
      </c>
      <c r="G1268" s="153">
        <v>6893.0</v>
      </c>
      <c r="H1268" s="153">
        <v>1.0</v>
      </c>
      <c r="I1268" s="153">
        <v>0.01</v>
      </c>
      <c r="J1268" s="153">
        <v>10.0</v>
      </c>
      <c r="K1268" s="153">
        <v>0.0015</v>
      </c>
      <c r="L1268" s="153">
        <v>10.0</v>
      </c>
      <c r="M1268" s="153">
        <v>10.0</v>
      </c>
    </row>
    <row r="1269">
      <c r="A1269" s="250">
        <v>46259.0</v>
      </c>
      <c r="B1269" s="153" t="s">
        <v>135</v>
      </c>
      <c r="C1269" s="153" t="s">
        <v>5</v>
      </c>
      <c r="D1269" s="153" t="s">
        <v>441</v>
      </c>
      <c r="E1269" s="153" t="s">
        <v>442</v>
      </c>
      <c r="F1269" s="153" t="s">
        <v>440</v>
      </c>
      <c r="G1269" s="153">
        <v>6893.0</v>
      </c>
      <c r="H1269" s="153">
        <v>1490.0</v>
      </c>
      <c r="I1269" s="153">
        <v>21.62</v>
      </c>
      <c r="J1269" s="153">
        <v>17040.0</v>
      </c>
      <c r="K1269" s="153">
        <v>2.4721</v>
      </c>
      <c r="L1269" s="153">
        <v>11.4362</v>
      </c>
      <c r="M1269" s="153">
        <v>17040.0</v>
      </c>
    </row>
    <row r="1270">
      <c r="A1270" s="250">
        <v>46259.0</v>
      </c>
      <c r="B1270" s="153" t="s">
        <v>135</v>
      </c>
      <c r="C1270" s="153" t="s">
        <v>5</v>
      </c>
      <c r="D1270" s="153" t="s">
        <v>441</v>
      </c>
      <c r="E1270" s="153" t="s">
        <v>443</v>
      </c>
      <c r="F1270" s="153" t="s">
        <v>440</v>
      </c>
      <c r="G1270" s="153">
        <v>6893.0</v>
      </c>
      <c r="H1270" s="153">
        <v>7.0</v>
      </c>
      <c r="I1270" s="153">
        <v>0.1</v>
      </c>
      <c r="J1270" s="153">
        <v>70.0</v>
      </c>
      <c r="K1270" s="153">
        <v>0.0102</v>
      </c>
      <c r="L1270" s="153">
        <v>10.0</v>
      </c>
      <c r="M1270" s="153">
        <v>70.0</v>
      </c>
    </row>
    <row r="1271">
      <c r="A1271" s="250">
        <v>46259.0</v>
      </c>
      <c r="B1271" s="153" t="s">
        <v>135</v>
      </c>
      <c r="C1271" s="153" t="s">
        <v>5</v>
      </c>
      <c r="D1271" s="153" t="s">
        <v>444</v>
      </c>
      <c r="E1271" s="153" t="s">
        <v>445</v>
      </c>
      <c r="F1271" s="153" t="s">
        <v>440</v>
      </c>
      <c r="G1271" s="153">
        <v>6893.0</v>
      </c>
      <c r="H1271" s="153">
        <v>4162.0</v>
      </c>
      <c r="I1271" s="153">
        <v>60.38</v>
      </c>
      <c r="J1271" s="153">
        <v>145720.0</v>
      </c>
      <c r="K1271" s="153">
        <v>21.1403</v>
      </c>
      <c r="L1271" s="153">
        <v>35.012</v>
      </c>
      <c r="M1271" s="153">
        <v>145720.0</v>
      </c>
    </row>
    <row r="1272">
      <c r="A1272" s="250">
        <v>46259.0</v>
      </c>
      <c r="B1272" s="153" t="s">
        <v>136</v>
      </c>
      <c r="C1272" s="153" t="s">
        <v>5</v>
      </c>
      <c r="D1272" s="153" t="s">
        <v>424</v>
      </c>
      <c r="E1272" s="153" t="s">
        <v>425</v>
      </c>
      <c r="F1272" s="153" t="s">
        <v>426</v>
      </c>
      <c r="G1272" s="153">
        <v>3699.0</v>
      </c>
      <c r="H1272" s="153">
        <v>2790.0</v>
      </c>
      <c r="I1272" s="153">
        <v>75.43</v>
      </c>
      <c r="J1272" s="153">
        <v>67116.03</v>
      </c>
      <c r="K1272" s="153">
        <v>18.1444</v>
      </c>
      <c r="L1272" s="153">
        <v>24.0559</v>
      </c>
      <c r="M1272" s="153">
        <v>185480.0</v>
      </c>
    </row>
    <row r="1273">
      <c r="A1273" s="250">
        <v>46259.0</v>
      </c>
      <c r="B1273" s="153" t="s">
        <v>136</v>
      </c>
      <c r="C1273" s="153" t="s">
        <v>5</v>
      </c>
      <c r="D1273" s="153" t="s">
        <v>427</v>
      </c>
      <c r="E1273" s="153" t="s">
        <v>428</v>
      </c>
      <c r="F1273" s="153" t="s">
        <v>429</v>
      </c>
      <c r="G1273" s="153">
        <v>3699.0</v>
      </c>
      <c r="H1273" s="153">
        <v>2798.0</v>
      </c>
      <c r="I1273" s="153">
        <v>75.64</v>
      </c>
      <c r="J1273" s="153">
        <v>394427.34</v>
      </c>
      <c r="K1273" s="153">
        <v>106.6308</v>
      </c>
      <c r="L1273" s="153">
        <v>140.9676</v>
      </c>
      <c r="M1273" s="153">
        <v>453390.0</v>
      </c>
    </row>
    <row r="1274">
      <c r="A1274" s="250">
        <v>46259.0</v>
      </c>
      <c r="B1274" s="153" t="s">
        <v>136</v>
      </c>
      <c r="C1274" s="153" t="s">
        <v>5</v>
      </c>
      <c r="D1274" s="153" t="s">
        <v>430</v>
      </c>
      <c r="E1274" s="153" t="s">
        <v>431</v>
      </c>
      <c r="F1274" s="153" t="s">
        <v>429</v>
      </c>
      <c r="G1274" s="153">
        <v>3699.0</v>
      </c>
      <c r="H1274" s="153">
        <v>1260.0</v>
      </c>
      <c r="I1274" s="153">
        <v>34.06</v>
      </c>
      <c r="J1274" s="153">
        <v>1347.0</v>
      </c>
      <c r="K1274" s="153">
        <v>0.3642</v>
      </c>
      <c r="L1274" s="153">
        <v>1.069</v>
      </c>
      <c r="M1274" s="153">
        <v>1347.0</v>
      </c>
    </row>
    <row r="1275">
      <c r="A1275" s="250">
        <v>46259.0</v>
      </c>
      <c r="B1275" s="153" t="s">
        <v>136</v>
      </c>
      <c r="C1275" s="153" t="s">
        <v>5</v>
      </c>
      <c r="D1275" s="153" t="s">
        <v>430</v>
      </c>
      <c r="E1275" s="153" t="s">
        <v>432</v>
      </c>
      <c r="F1275" s="153" t="s">
        <v>429</v>
      </c>
      <c r="G1275" s="153">
        <v>3699.0</v>
      </c>
      <c r="H1275" s="153">
        <v>2.0</v>
      </c>
      <c r="I1275" s="153">
        <v>0.05</v>
      </c>
      <c r="J1275" s="153">
        <v>2.0</v>
      </c>
      <c r="K1275" s="153">
        <v>5.0E-4</v>
      </c>
      <c r="L1275" s="153">
        <v>1.0</v>
      </c>
      <c r="M1275" s="153">
        <v>2.0</v>
      </c>
    </row>
    <row r="1276">
      <c r="A1276" s="250">
        <v>46259.0</v>
      </c>
      <c r="B1276" s="153" t="s">
        <v>136</v>
      </c>
      <c r="C1276" s="153" t="s">
        <v>5</v>
      </c>
      <c r="D1276" s="153" t="s">
        <v>430</v>
      </c>
      <c r="E1276" s="153" t="s">
        <v>433</v>
      </c>
      <c r="F1276" s="153" t="s">
        <v>429</v>
      </c>
      <c r="G1276" s="153">
        <v>3699.0</v>
      </c>
      <c r="H1276" s="153">
        <v>1827.0</v>
      </c>
      <c r="I1276" s="153">
        <v>49.39</v>
      </c>
      <c r="J1276" s="153">
        <v>2236.0</v>
      </c>
      <c r="K1276" s="153">
        <v>0.6045</v>
      </c>
      <c r="L1276" s="153">
        <v>1.2239</v>
      </c>
      <c r="M1276" s="153">
        <v>2236.0</v>
      </c>
    </row>
    <row r="1277">
      <c r="A1277" s="250">
        <v>46259.0</v>
      </c>
      <c r="B1277" s="153" t="s">
        <v>136</v>
      </c>
      <c r="C1277" s="153" t="s">
        <v>5</v>
      </c>
      <c r="D1277" s="153" t="s">
        <v>434</v>
      </c>
      <c r="E1277" s="153" t="s">
        <v>435</v>
      </c>
      <c r="F1277" s="153" t="s">
        <v>429</v>
      </c>
      <c r="G1277" s="153">
        <v>3699.0</v>
      </c>
      <c r="H1277" s="153">
        <v>2054.0</v>
      </c>
      <c r="I1277" s="153">
        <v>55.53</v>
      </c>
      <c r="J1277" s="153">
        <v>3922.0</v>
      </c>
      <c r="K1277" s="153">
        <v>1.0603</v>
      </c>
      <c r="L1277" s="153">
        <v>1.9094</v>
      </c>
      <c r="M1277" s="153">
        <v>3922.0</v>
      </c>
    </row>
    <row r="1278">
      <c r="A1278" s="250">
        <v>46259.0</v>
      </c>
      <c r="B1278" s="153" t="s">
        <v>136</v>
      </c>
      <c r="C1278" s="153" t="s">
        <v>5</v>
      </c>
      <c r="D1278" s="153" t="s">
        <v>434</v>
      </c>
      <c r="E1278" s="153" t="s">
        <v>436</v>
      </c>
      <c r="F1278" s="153" t="s">
        <v>429</v>
      </c>
      <c r="G1278" s="153">
        <v>3699.0</v>
      </c>
      <c r="H1278" s="153">
        <v>1673.0</v>
      </c>
      <c r="I1278" s="153">
        <v>45.23</v>
      </c>
      <c r="J1278" s="153">
        <v>3732.0</v>
      </c>
      <c r="K1278" s="153">
        <v>1.0089</v>
      </c>
      <c r="L1278" s="153">
        <v>2.2307</v>
      </c>
      <c r="M1278" s="153">
        <v>3732.0</v>
      </c>
    </row>
    <row r="1279">
      <c r="A1279" s="250">
        <v>46259.0</v>
      </c>
      <c r="B1279" s="153" t="s">
        <v>136</v>
      </c>
      <c r="C1279" s="153" t="s">
        <v>5</v>
      </c>
      <c r="D1279" s="153" t="s">
        <v>434</v>
      </c>
      <c r="E1279" s="153" t="s">
        <v>437</v>
      </c>
      <c r="F1279" s="153" t="s">
        <v>429</v>
      </c>
      <c r="G1279" s="153">
        <v>3699.0</v>
      </c>
      <c r="H1279" s="153">
        <v>1782.0</v>
      </c>
      <c r="I1279" s="153">
        <v>48.18</v>
      </c>
      <c r="J1279" s="153">
        <v>2787.0</v>
      </c>
      <c r="K1279" s="153">
        <v>0.7534</v>
      </c>
      <c r="L1279" s="153">
        <v>1.564</v>
      </c>
      <c r="M1279" s="153">
        <v>2787.0</v>
      </c>
    </row>
    <row r="1280">
      <c r="A1280" s="250">
        <v>46259.0</v>
      </c>
      <c r="B1280" s="153" t="s">
        <v>136</v>
      </c>
      <c r="C1280" s="153" t="s">
        <v>5</v>
      </c>
      <c r="D1280" s="153" t="s">
        <v>441</v>
      </c>
      <c r="E1280" s="153" t="s">
        <v>442</v>
      </c>
      <c r="F1280" s="153" t="s">
        <v>440</v>
      </c>
      <c r="G1280" s="153">
        <v>3699.0</v>
      </c>
      <c r="H1280" s="153">
        <v>1180.0</v>
      </c>
      <c r="I1280" s="153">
        <v>31.9</v>
      </c>
      <c r="J1280" s="153">
        <v>13660.0</v>
      </c>
      <c r="K1280" s="153">
        <v>3.6929</v>
      </c>
      <c r="L1280" s="153">
        <v>11.5763</v>
      </c>
      <c r="M1280" s="153">
        <v>13660.0</v>
      </c>
    </row>
    <row r="1281">
      <c r="A1281" s="250">
        <v>46259.0</v>
      </c>
      <c r="B1281" s="153" t="s">
        <v>136</v>
      </c>
      <c r="C1281" s="153" t="s">
        <v>5</v>
      </c>
      <c r="D1281" s="153" t="s">
        <v>441</v>
      </c>
      <c r="E1281" s="153" t="s">
        <v>443</v>
      </c>
      <c r="F1281" s="153" t="s">
        <v>440</v>
      </c>
      <c r="G1281" s="153">
        <v>3699.0</v>
      </c>
      <c r="H1281" s="153">
        <v>140.0</v>
      </c>
      <c r="I1281" s="153">
        <v>3.78</v>
      </c>
      <c r="J1281" s="153">
        <v>1780.0</v>
      </c>
      <c r="K1281" s="153">
        <v>0.4812</v>
      </c>
      <c r="L1281" s="153">
        <v>12.7143</v>
      </c>
      <c r="M1281" s="153">
        <v>1780.0</v>
      </c>
    </row>
    <row r="1282">
      <c r="A1282" s="250">
        <v>46259.0</v>
      </c>
      <c r="B1282" s="153" t="s">
        <v>136</v>
      </c>
      <c r="C1282" s="153" t="s">
        <v>5</v>
      </c>
      <c r="D1282" s="153" t="s">
        <v>444</v>
      </c>
      <c r="E1282" s="153" t="s">
        <v>445</v>
      </c>
      <c r="F1282" s="153" t="s">
        <v>440</v>
      </c>
      <c r="G1282" s="153">
        <v>3699.0</v>
      </c>
      <c r="H1282" s="153">
        <v>2508.0</v>
      </c>
      <c r="I1282" s="153">
        <v>67.8</v>
      </c>
      <c r="J1282" s="153">
        <v>116705.0</v>
      </c>
      <c r="K1282" s="153">
        <v>31.5504</v>
      </c>
      <c r="L1282" s="153">
        <v>46.5331</v>
      </c>
      <c r="M1282" s="153">
        <v>116705.0</v>
      </c>
    </row>
    <row r="1283">
      <c r="A1283" s="250">
        <v>46259.0</v>
      </c>
      <c r="B1283" s="153" t="s">
        <v>137</v>
      </c>
      <c r="C1283" s="153" t="s">
        <v>5</v>
      </c>
      <c r="D1283" s="153" t="s">
        <v>424</v>
      </c>
      <c r="E1283" s="153" t="s">
        <v>425</v>
      </c>
      <c r="F1283" s="153" t="s">
        <v>426</v>
      </c>
      <c r="G1283" s="153">
        <v>520.0</v>
      </c>
      <c r="H1283" s="153">
        <v>447.0</v>
      </c>
      <c r="I1283" s="153">
        <v>85.96</v>
      </c>
      <c r="J1283" s="153">
        <v>20746.17</v>
      </c>
      <c r="K1283" s="153">
        <v>39.8965</v>
      </c>
      <c r="L1283" s="153">
        <v>46.412</v>
      </c>
      <c r="M1283" s="153">
        <v>75030.0</v>
      </c>
    </row>
    <row r="1284">
      <c r="A1284" s="250">
        <v>46259.0</v>
      </c>
      <c r="B1284" s="153" t="s">
        <v>137</v>
      </c>
      <c r="C1284" s="153" t="s">
        <v>5</v>
      </c>
      <c r="D1284" s="153" t="s">
        <v>427</v>
      </c>
      <c r="E1284" s="153" t="s">
        <v>428</v>
      </c>
      <c r="F1284" s="153" t="s">
        <v>429</v>
      </c>
      <c r="G1284" s="153">
        <v>520.0</v>
      </c>
      <c r="H1284" s="153">
        <v>454.0</v>
      </c>
      <c r="I1284" s="153">
        <v>87.31</v>
      </c>
      <c r="J1284" s="153">
        <v>127156.38</v>
      </c>
      <c r="K1284" s="153">
        <v>244.5315</v>
      </c>
      <c r="L1284" s="153">
        <v>280.0801</v>
      </c>
      <c r="M1284" s="153">
        <v>144450.0</v>
      </c>
    </row>
    <row r="1285">
      <c r="A1285" s="250">
        <v>46259.0</v>
      </c>
      <c r="B1285" s="153" t="s">
        <v>137</v>
      </c>
      <c r="C1285" s="153" t="s">
        <v>5</v>
      </c>
      <c r="D1285" s="153" t="s">
        <v>430</v>
      </c>
      <c r="E1285" s="153" t="s">
        <v>431</v>
      </c>
      <c r="F1285" s="153" t="s">
        <v>429</v>
      </c>
      <c r="G1285" s="153">
        <v>520.0</v>
      </c>
      <c r="H1285" s="153">
        <v>280.0</v>
      </c>
      <c r="I1285" s="153">
        <v>53.85</v>
      </c>
      <c r="J1285" s="153">
        <v>310.0</v>
      </c>
      <c r="K1285" s="153">
        <v>0.5962</v>
      </c>
      <c r="L1285" s="153">
        <v>1.1071</v>
      </c>
      <c r="M1285" s="153">
        <v>310.0</v>
      </c>
    </row>
    <row r="1286">
      <c r="A1286" s="250">
        <v>46259.0</v>
      </c>
      <c r="B1286" s="153" t="s">
        <v>137</v>
      </c>
      <c r="C1286" s="153" t="s">
        <v>5</v>
      </c>
      <c r="D1286" s="153" t="s">
        <v>430</v>
      </c>
      <c r="E1286" s="153" t="s">
        <v>433</v>
      </c>
      <c r="F1286" s="153" t="s">
        <v>429</v>
      </c>
      <c r="G1286" s="153">
        <v>520.0</v>
      </c>
      <c r="H1286" s="153">
        <v>394.0</v>
      </c>
      <c r="I1286" s="153">
        <v>75.77</v>
      </c>
      <c r="J1286" s="153">
        <v>539.0</v>
      </c>
      <c r="K1286" s="153">
        <v>1.0365</v>
      </c>
      <c r="L1286" s="153">
        <v>1.368</v>
      </c>
      <c r="M1286" s="153">
        <v>539.0</v>
      </c>
    </row>
    <row r="1287">
      <c r="A1287" s="250">
        <v>46259.0</v>
      </c>
      <c r="B1287" s="153" t="s">
        <v>137</v>
      </c>
      <c r="C1287" s="153" t="s">
        <v>5</v>
      </c>
      <c r="D1287" s="153" t="s">
        <v>434</v>
      </c>
      <c r="E1287" s="153" t="s">
        <v>435</v>
      </c>
      <c r="F1287" s="153" t="s">
        <v>429</v>
      </c>
      <c r="G1287" s="153">
        <v>520.0</v>
      </c>
      <c r="H1287" s="153">
        <v>382.0</v>
      </c>
      <c r="I1287" s="153">
        <v>73.46</v>
      </c>
      <c r="J1287" s="153">
        <v>838.0</v>
      </c>
      <c r="K1287" s="153">
        <v>1.6115</v>
      </c>
      <c r="L1287" s="153">
        <v>2.1937</v>
      </c>
      <c r="M1287" s="153">
        <v>838.0</v>
      </c>
    </row>
    <row r="1288">
      <c r="A1288" s="250">
        <v>46259.0</v>
      </c>
      <c r="B1288" s="153" t="s">
        <v>137</v>
      </c>
      <c r="C1288" s="153" t="s">
        <v>5</v>
      </c>
      <c r="D1288" s="153" t="s">
        <v>434</v>
      </c>
      <c r="E1288" s="153" t="s">
        <v>436</v>
      </c>
      <c r="F1288" s="153" t="s">
        <v>429</v>
      </c>
      <c r="G1288" s="153">
        <v>520.0</v>
      </c>
      <c r="H1288" s="153">
        <v>350.0</v>
      </c>
      <c r="I1288" s="153">
        <v>67.31</v>
      </c>
      <c r="J1288" s="153">
        <v>802.0</v>
      </c>
      <c r="K1288" s="153">
        <v>1.5423</v>
      </c>
      <c r="L1288" s="153">
        <v>2.2914</v>
      </c>
      <c r="M1288" s="153">
        <v>802.0</v>
      </c>
    </row>
    <row r="1289">
      <c r="A1289" s="250">
        <v>46259.0</v>
      </c>
      <c r="B1289" s="153" t="s">
        <v>137</v>
      </c>
      <c r="C1289" s="153" t="s">
        <v>5</v>
      </c>
      <c r="D1289" s="153" t="s">
        <v>434</v>
      </c>
      <c r="E1289" s="153" t="s">
        <v>437</v>
      </c>
      <c r="F1289" s="153" t="s">
        <v>429</v>
      </c>
      <c r="G1289" s="153">
        <v>520.0</v>
      </c>
      <c r="H1289" s="153">
        <v>307.0</v>
      </c>
      <c r="I1289" s="153">
        <v>59.04</v>
      </c>
      <c r="J1289" s="153">
        <v>615.0</v>
      </c>
      <c r="K1289" s="153">
        <v>1.1827</v>
      </c>
      <c r="L1289" s="153">
        <v>2.0033</v>
      </c>
      <c r="M1289" s="153">
        <v>615.0</v>
      </c>
    </row>
    <row r="1290">
      <c r="A1290" s="250">
        <v>46259.0</v>
      </c>
      <c r="B1290" s="153" t="s">
        <v>137</v>
      </c>
      <c r="C1290" s="153" t="s">
        <v>5</v>
      </c>
      <c r="D1290" s="153" t="s">
        <v>441</v>
      </c>
      <c r="E1290" s="153" t="s">
        <v>442</v>
      </c>
      <c r="F1290" s="153" t="s">
        <v>440</v>
      </c>
      <c r="G1290" s="153">
        <v>520.0</v>
      </c>
      <c r="H1290" s="153">
        <v>203.0</v>
      </c>
      <c r="I1290" s="153">
        <v>39.04</v>
      </c>
      <c r="J1290" s="153">
        <v>2260.0</v>
      </c>
      <c r="K1290" s="153">
        <v>4.3462</v>
      </c>
      <c r="L1290" s="153">
        <v>11.133</v>
      </c>
      <c r="M1290" s="153">
        <v>2260.0</v>
      </c>
    </row>
    <row r="1291">
      <c r="A1291" s="250">
        <v>46259.0</v>
      </c>
      <c r="B1291" s="153" t="s">
        <v>137</v>
      </c>
      <c r="C1291" s="153" t="s">
        <v>5</v>
      </c>
      <c r="D1291" s="153" t="s">
        <v>441</v>
      </c>
      <c r="E1291" s="153" t="s">
        <v>443</v>
      </c>
      <c r="F1291" s="153" t="s">
        <v>440</v>
      </c>
      <c r="G1291" s="153">
        <v>520.0</v>
      </c>
      <c r="H1291" s="153">
        <v>142.0</v>
      </c>
      <c r="I1291" s="153">
        <v>27.31</v>
      </c>
      <c r="J1291" s="153">
        <v>1840.0</v>
      </c>
      <c r="K1291" s="153">
        <v>3.5385</v>
      </c>
      <c r="L1291" s="153">
        <v>12.9577</v>
      </c>
      <c r="M1291" s="153">
        <v>1840.0</v>
      </c>
    </row>
    <row r="1292">
      <c r="A1292" s="250">
        <v>46259.0</v>
      </c>
      <c r="B1292" s="153" t="s">
        <v>137</v>
      </c>
      <c r="C1292" s="153" t="s">
        <v>5</v>
      </c>
      <c r="D1292" s="153" t="s">
        <v>444</v>
      </c>
      <c r="E1292" s="153" t="s">
        <v>445</v>
      </c>
      <c r="F1292" s="153" t="s">
        <v>440</v>
      </c>
      <c r="G1292" s="153">
        <v>520.0</v>
      </c>
      <c r="H1292" s="153">
        <v>428.0</v>
      </c>
      <c r="I1292" s="153">
        <v>82.31</v>
      </c>
      <c r="J1292" s="153">
        <v>28840.0</v>
      </c>
      <c r="K1292" s="153">
        <v>55.4615</v>
      </c>
      <c r="L1292" s="153">
        <v>67.3832</v>
      </c>
      <c r="M1292" s="153">
        <v>28840.0</v>
      </c>
    </row>
    <row r="1293">
      <c r="A1293" s="250">
        <v>46260.0</v>
      </c>
      <c r="B1293" s="153" t="s">
        <v>423</v>
      </c>
      <c r="C1293" s="153" t="s">
        <v>5</v>
      </c>
      <c r="D1293" s="153" t="s">
        <v>424</v>
      </c>
      <c r="E1293" s="153" t="s">
        <v>425</v>
      </c>
      <c r="F1293" s="153" t="s">
        <v>426</v>
      </c>
      <c r="G1293" s="153">
        <v>8468.0</v>
      </c>
      <c r="H1293" s="153">
        <v>789.0</v>
      </c>
      <c r="I1293" s="153">
        <v>9.32</v>
      </c>
      <c r="J1293" s="153">
        <v>27878.17</v>
      </c>
      <c r="K1293" s="153">
        <v>3.2922</v>
      </c>
      <c r="L1293" s="153">
        <v>35.3336</v>
      </c>
      <c r="M1293" s="153">
        <v>97260.0</v>
      </c>
    </row>
    <row r="1294">
      <c r="A1294" s="250">
        <v>46260.0</v>
      </c>
      <c r="B1294" s="153" t="s">
        <v>423</v>
      </c>
      <c r="C1294" s="153" t="s">
        <v>5</v>
      </c>
      <c r="D1294" s="153" t="s">
        <v>427</v>
      </c>
      <c r="E1294" s="153" t="s">
        <v>428</v>
      </c>
      <c r="F1294" s="153" t="s">
        <v>429</v>
      </c>
      <c r="G1294" s="153">
        <v>8468.0</v>
      </c>
      <c r="H1294" s="153">
        <v>853.0</v>
      </c>
      <c r="I1294" s="153">
        <v>10.07</v>
      </c>
      <c r="J1294" s="153">
        <v>162460.77</v>
      </c>
      <c r="K1294" s="153">
        <v>19.1853</v>
      </c>
      <c r="L1294" s="153">
        <v>190.4581</v>
      </c>
      <c r="M1294" s="153">
        <v>185785.0</v>
      </c>
    </row>
    <row r="1295">
      <c r="A1295" s="250">
        <v>46260.0</v>
      </c>
      <c r="B1295" s="153" t="s">
        <v>423</v>
      </c>
      <c r="C1295" s="153" t="s">
        <v>5</v>
      </c>
      <c r="D1295" s="153" t="s">
        <v>430</v>
      </c>
      <c r="E1295" s="153" t="s">
        <v>431</v>
      </c>
      <c r="F1295" s="153" t="s">
        <v>429</v>
      </c>
      <c r="G1295" s="153">
        <v>8468.0</v>
      </c>
      <c r="H1295" s="153">
        <v>227.0</v>
      </c>
      <c r="I1295" s="153">
        <v>2.68</v>
      </c>
      <c r="J1295" s="153">
        <v>244.0</v>
      </c>
      <c r="K1295" s="153">
        <v>0.0288</v>
      </c>
      <c r="L1295" s="153">
        <v>1.0749</v>
      </c>
      <c r="M1295" s="153">
        <v>244.0</v>
      </c>
    </row>
    <row r="1296">
      <c r="A1296" s="250">
        <v>46260.0</v>
      </c>
      <c r="B1296" s="153" t="s">
        <v>423</v>
      </c>
      <c r="C1296" s="153" t="s">
        <v>5</v>
      </c>
      <c r="D1296" s="153" t="s">
        <v>430</v>
      </c>
      <c r="E1296" s="153" t="s">
        <v>432</v>
      </c>
      <c r="F1296" s="153" t="s">
        <v>429</v>
      </c>
      <c r="G1296" s="153">
        <v>8468.0</v>
      </c>
      <c r="H1296" s="153">
        <v>1.0</v>
      </c>
      <c r="I1296" s="153">
        <v>0.01</v>
      </c>
      <c r="J1296" s="153">
        <v>1.0</v>
      </c>
      <c r="K1296" s="153">
        <v>1.0E-4</v>
      </c>
      <c r="L1296" s="153">
        <v>1.0</v>
      </c>
      <c r="M1296" s="153">
        <v>1.0</v>
      </c>
    </row>
    <row r="1297">
      <c r="A1297" s="250">
        <v>46260.0</v>
      </c>
      <c r="B1297" s="153" t="s">
        <v>423</v>
      </c>
      <c r="C1297" s="153" t="s">
        <v>5</v>
      </c>
      <c r="D1297" s="153" t="s">
        <v>430</v>
      </c>
      <c r="E1297" s="153" t="s">
        <v>433</v>
      </c>
      <c r="F1297" s="153" t="s">
        <v>429</v>
      </c>
      <c r="G1297" s="153">
        <v>8468.0</v>
      </c>
      <c r="H1297" s="153">
        <v>473.0</v>
      </c>
      <c r="I1297" s="153">
        <v>5.59</v>
      </c>
      <c r="J1297" s="153">
        <v>588.0</v>
      </c>
      <c r="K1297" s="153">
        <v>0.0694</v>
      </c>
      <c r="L1297" s="153">
        <v>1.2431</v>
      </c>
      <c r="M1297" s="153">
        <v>588.0</v>
      </c>
    </row>
    <row r="1298">
      <c r="A1298" s="250">
        <v>46260.0</v>
      </c>
      <c r="B1298" s="153" t="s">
        <v>423</v>
      </c>
      <c r="C1298" s="153" t="s">
        <v>5</v>
      </c>
      <c r="D1298" s="153" t="s">
        <v>434</v>
      </c>
      <c r="E1298" s="153" t="s">
        <v>435</v>
      </c>
      <c r="F1298" s="153" t="s">
        <v>429</v>
      </c>
      <c r="G1298" s="153">
        <v>8468.0</v>
      </c>
      <c r="H1298" s="153">
        <v>445.0</v>
      </c>
      <c r="I1298" s="153">
        <v>5.26</v>
      </c>
      <c r="J1298" s="153">
        <v>797.0</v>
      </c>
      <c r="K1298" s="153">
        <v>0.0941</v>
      </c>
      <c r="L1298" s="153">
        <v>1.791</v>
      </c>
      <c r="M1298" s="153">
        <v>797.0</v>
      </c>
    </row>
    <row r="1299">
      <c r="A1299" s="250">
        <v>46260.0</v>
      </c>
      <c r="B1299" s="153" t="s">
        <v>423</v>
      </c>
      <c r="C1299" s="153" t="s">
        <v>5</v>
      </c>
      <c r="D1299" s="153" t="s">
        <v>434</v>
      </c>
      <c r="E1299" s="153" t="s">
        <v>436</v>
      </c>
      <c r="F1299" s="153" t="s">
        <v>429</v>
      </c>
      <c r="G1299" s="153">
        <v>8468.0</v>
      </c>
      <c r="H1299" s="153">
        <v>328.0</v>
      </c>
      <c r="I1299" s="153">
        <v>3.87</v>
      </c>
      <c r="J1299" s="153">
        <v>637.0</v>
      </c>
      <c r="K1299" s="153">
        <v>0.0752</v>
      </c>
      <c r="L1299" s="153">
        <v>1.9421</v>
      </c>
      <c r="M1299" s="153">
        <v>637.0</v>
      </c>
    </row>
    <row r="1300">
      <c r="A1300" s="250">
        <v>46260.0</v>
      </c>
      <c r="B1300" s="153" t="s">
        <v>423</v>
      </c>
      <c r="C1300" s="153" t="s">
        <v>5</v>
      </c>
      <c r="D1300" s="153" t="s">
        <v>434</v>
      </c>
      <c r="E1300" s="153" t="s">
        <v>437</v>
      </c>
      <c r="F1300" s="153" t="s">
        <v>429</v>
      </c>
      <c r="G1300" s="153">
        <v>8468.0</v>
      </c>
      <c r="H1300" s="153">
        <v>445.0</v>
      </c>
      <c r="I1300" s="153">
        <v>5.26</v>
      </c>
      <c r="J1300" s="153">
        <v>709.0</v>
      </c>
      <c r="K1300" s="153">
        <v>0.0837</v>
      </c>
      <c r="L1300" s="153">
        <v>1.5933</v>
      </c>
      <c r="M1300" s="153">
        <v>709.0</v>
      </c>
    </row>
    <row r="1301">
      <c r="A1301" s="250">
        <v>46260.0</v>
      </c>
      <c r="B1301" s="153" t="s">
        <v>423</v>
      </c>
      <c r="C1301" s="153" t="s">
        <v>5</v>
      </c>
      <c r="D1301" s="153" t="s">
        <v>441</v>
      </c>
      <c r="E1301" s="153" t="s">
        <v>442</v>
      </c>
      <c r="F1301" s="153" t="s">
        <v>440</v>
      </c>
      <c r="G1301" s="153">
        <v>8468.0</v>
      </c>
      <c r="H1301" s="153">
        <v>169.0</v>
      </c>
      <c r="I1301" s="153">
        <v>2.0</v>
      </c>
      <c r="J1301" s="153">
        <v>1960.0</v>
      </c>
      <c r="K1301" s="153">
        <v>0.2315</v>
      </c>
      <c r="L1301" s="153">
        <v>11.5976</v>
      </c>
      <c r="M1301" s="153">
        <v>1960.0</v>
      </c>
    </row>
    <row r="1302">
      <c r="A1302" s="250">
        <v>46260.0</v>
      </c>
      <c r="B1302" s="153" t="s">
        <v>423</v>
      </c>
      <c r="C1302" s="153" t="s">
        <v>5</v>
      </c>
      <c r="D1302" s="153" t="s">
        <v>441</v>
      </c>
      <c r="E1302" s="153" t="s">
        <v>443</v>
      </c>
      <c r="F1302" s="153" t="s">
        <v>440</v>
      </c>
      <c r="G1302" s="153">
        <v>8468.0</v>
      </c>
      <c r="H1302" s="153">
        <v>186.0</v>
      </c>
      <c r="I1302" s="153">
        <v>2.2</v>
      </c>
      <c r="J1302" s="153">
        <v>2210.0</v>
      </c>
      <c r="K1302" s="153">
        <v>0.261</v>
      </c>
      <c r="L1302" s="153">
        <v>11.8817</v>
      </c>
      <c r="M1302" s="153">
        <v>2210.0</v>
      </c>
    </row>
    <row r="1303">
      <c r="A1303" s="250">
        <v>46260.0</v>
      </c>
      <c r="B1303" s="153" t="s">
        <v>423</v>
      </c>
      <c r="C1303" s="153" t="s">
        <v>5</v>
      </c>
      <c r="D1303" s="153" t="s">
        <v>444</v>
      </c>
      <c r="E1303" s="153" t="s">
        <v>445</v>
      </c>
      <c r="F1303" s="153" t="s">
        <v>440</v>
      </c>
      <c r="G1303" s="153">
        <v>8468.0</v>
      </c>
      <c r="H1303" s="153">
        <v>637.0</v>
      </c>
      <c r="I1303" s="153">
        <v>7.52</v>
      </c>
      <c r="J1303" s="153">
        <v>31545.0</v>
      </c>
      <c r="K1303" s="153">
        <v>3.7252</v>
      </c>
      <c r="L1303" s="153">
        <v>49.5212</v>
      </c>
      <c r="M1303" s="153">
        <v>31545.0</v>
      </c>
    </row>
    <row r="1304">
      <c r="A1304" s="250">
        <v>46260.0</v>
      </c>
      <c r="B1304" s="153" t="s">
        <v>133</v>
      </c>
      <c r="C1304" s="153" t="s">
        <v>5</v>
      </c>
      <c r="D1304" s="153" t="s">
        <v>424</v>
      </c>
      <c r="E1304" s="153" t="s">
        <v>425</v>
      </c>
      <c r="F1304" s="153" t="s">
        <v>426</v>
      </c>
      <c r="G1304" s="153">
        <v>11595.0</v>
      </c>
      <c r="H1304" s="153">
        <v>4586.0</v>
      </c>
      <c r="I1304" s="153">
        <v>39.55</v>
      </c>
      <c r="J1304" s="153">
        <v>59392.81</v>
      </c>
      <c r="K1304" s="153">
        <v>5.1223</v>
      </c>
      <c r="L1304" s="153">
        <v>12.9509</v>
      </c>
      <c r="M1304" s="153">
        <v>70730.0</v>
      </c>
    </row>
    <row r="1305">
      <c r="A1305" s="250">
        <v>46260.0</v>
      </c>
      <c r="B1305" s="153" t="s">
        <v>133</v>
      </c>
      <c r="C1305" s="153" t="s">
        <v>5</v>
      </c>
      <c r="D1305" s="153" t="s">
        <v>427</v>
      </c>
      <c r="E1305" s="153" t="s">
        <v>428</v>
      </c>
      <c r="F1305" s="153" t="s">
        <v>429</v>
      </c>
      <c r="G1305" s="153">
        <v>11595.0</v>
      </c>
      <c r="H1305" s="153">
        <v>4574.0</v>
      </c>
      <c r="I1305" s="153">
        <v>39.45</v>
      </c>
      <c r="J1305" s="153">
        <v>163709.56</v>
      </c>
      <c r="K1305" s="153">
        <v>14.119</v>
      </c>
      <c r="L1305" s="153">
        <v>35.7913</v>
      </c>
      <c r="M1305" s="153">
        <v>181805.0</v>
      </c>
    </row>
    <row r="1306">
      <c r="A1306" s="250">
        <v>46260.0</v>
      </c>
      <c r="B1306" s="153" t="s">
        <v>133</v>
      </c>
      <c r="C1306" s="153" t="s">
        <v>5</v>
      </c>
      <c r="D1306" s="153" t="s">
        <v>430</v>
      </c>
      <c r="E1306" s="153" t="s">
        <v>431</v>
      </c>
      <c r="F1306" s="153" t="s">
        <v>429</v>
      </c>
      <c r="G1306" s="153">
        <v>11595.0</v>
      </c>
      <c r="H1306" s="153">
        <v>211.0</v>
      </c>
      <c r="I1306" s="153">
        <v>1.82</v>
      </c>
      <c r="J1306" s="153">
        <v>227.0</v>
      </c>
      <c r="K1306" s="153">
        <v>0.0196</v>
      </c>
      <c r="L1306" s="153">
        <v>1.0758</v>
      </c>
      <c r="M1306" s="153">
        <v>227.0</v>
      </c>
    </row>
    <row r="1307">
      <c r="A1307" s="250">
        <v>46260.0</v>
      </c>
      <c r="B1307" s="153" t="s">
        <v>133</v>
      </c>
      <c r="C1307" s="153" t="s">
        <v>5</v>
      </c>
      <c r="D1307" s="153" t="s">
        <v>430</v>
      </c>
      <c r="E1307" s="153" t="s">
        <v>432</v>
      </c>
      <c r="F1307" s="153" t="s">
        <v>429</v>
      </c>
      <c r="G1307" s="153">
        <v>11595.0</v>
      </c>
      <c r="H1307" s="153">
        <v>7.0</v>
      </c>
      <c r="I1307" s="153">
        <v>0.06</v>
      </c>
      <c r="J1307" s="153">
        <v>9.0</v>
      </c>
      <c r="K1307" s="153">
        <v>8.0E-4</v>
      </c>
      <c r="L1307" s="153">
        <v>1.2857</v>
      </c>
      <c r="M1307" s="153">
        <v>9.0</v>
      </c>
    </row>
    <row r="1308">
      <c r="A1308" s="250">
        <v>46260.0</v>
      </c>
      <c r="B1308" s="153" t="s">
        <v>133</v>
      </c>
      <c r="C1308" s="153" t="s">
        <v>5</v>
      </c>
      <c r="D1308" s="153" t="s">
        <v>430</v>
      </c>
      <c r="E1308" s="153" t="s">
        <v>433</v>
      </c>
      <c r="F1308" s="153" t="s">
        <v>429</v>
      </c>
      <c r="G1308" s="153">
        <v>11595.0</v>
      </c>
      <c r="H1308" s="153">
        <v>767.0</v>
      </c>
      <c r="I1308" s="153">
        <v>6.61</v>
      </c>
      <c r="J1308" s="153">
        <v>834.0</v>
      </c>
      <c r="K1308" s="153">
        <v>0.0719</v>
      </c>
      <c r="L1308" s="153">
        <v>1.0874</v>
      </c>
      <c r="M1308" s="153">
        <v>834.0</v>
      </c>
    </row>
    <row r="1309">
      <c r="A1309" s="250">
        <v>46260.0</v>
      </c>
      <c r="B1309" s="153" t="s">
        <v>133</v>
      </c>
      <c r="C1309" s="153" t="s">
        <v>5</v>
      </c>
      <c r="D1309" s="153" t="s">
        <v>434</v>
      </c>
      <c r="E1309" s="153" t="s">
        <v>435</v>
      </c>
      <c r="F1309" s="153" t="s">
        <v>429</v>
      </c>
      <c r="G1309" s="153">
        <v>11595.0</v>
      </c>
      <c r="H1309" s="153">
        <v>5018.0</v>
      </c>
      <c r="I1309" s="153">
        <v>43.28</v>
      </c>
      <c r="J1309" s="153">
        <v>6086.0</v>
      </c>
      <c r="K1309" s="153">
        <v>0.5249</v>
      </c>
      <c r="L1309" s="153">
        <v>1.2128</v>
      </c>
      <c r="M1309" s="153">
        <v>6086.0</v>
      </c>
    </row>
    <row r="1310">
      <c r="A1310" s="250">
        <v>46260.0</v>
      </c>
      <c r="B1310" s="153" t="s">
        <v>133</v>
      </c>
      <c r="C1310" s="153" t="s">
        <v>5</v>
      </c>
      <c r="D1310" s="153" t="s">
        <v>434</v>
      </c>
      <c r="E1310" s="153" t="s">
        <v>436</v>
      </c>
      <c r="F1310" s="153" t="s">
        <v>429</v>
      </c>
      <c r="G1310" s="153">
        <v>11595.0</v>
      </c>
      <c r="H1310" s="153">
        <v>3617.0</v>
      </c>
      <c r="I1310" s="153">
        <v>31.19</v>
      </c>
      <c r="J1310" s="153">
        <v>5295.0</v>
      </c>
      <c r="K1310" s="153">
        <v>0.4567</v>
      </c>
      <c r="L1310" s="153">
        <v>1.4639</v>
      </c>
      <c r="M1310" s="153">
        <v>5295.0</v>
      </c>
    </row>
    <row r="1311">
      <c r="A1311" s="250">
        <v>46260.0</v>
      </c>
      <c r="B1311" s="153" t="s">
        <v>133</v>
      </c>
      <c r="C1311" s="153" t="s">
        <v>5</v>
      </c>
      <c r="D1311" s="153" t="s">
        <v>434</v>
      </c>
      <c r="E1311" s="153" t="s">
        <v>437</v>
      </c>
      <c r="F1311" s="153" t="s">
        <v>429</v>
      </c>
      <c r="G1311" s="153">
        <v>11595.0</v>
      </c>
      <c r="H1311" s="153">
        <v>140.0</v>
      </c>
      <c r="I1311" s="153">
        <v>1.21</v>
      </c>
      <c r="J1311" s="153">
        <v>159.0</v>
      </c>
      <c r="K1311" s="153">
        <v>0.0137</v>
      </c>
      <c r="L1311" s="153">
        <v>1.1357</v>
      </c>
      <c r="M1311" s="153">
        <v>159.0</v>
      </c>
    </row>
    <row r="1312">
      <c r="A1312" s="250">
        <v>46260.0</v>
      </c>
      <c r="B1312" s="153" t="s">
        <v>133</v>
      </c>
      <c r="C1312" s="153" t="s">
        <v>5</v>
      </c>
      <c r="D1312" s="153" t="s">
        <v>438</v>
      </c>
      <c r="E1312" s="153" t="s">
        <v>439</v>
      </c>
      <c r="F1312" s="153" t="s">
        <v>440</v>
      </c>
      <c r="G1312" s="153">
        <v>11595.0</v>
      </c>
      <c r="H1312" s="153">
        <v>2.0</v>
      </c>
      <c r="I1312" s="153">
        <v>0.02</v>
      </c>
      <c r="J1312" s="153">
        <v>20.0</v>
      </c>
      <c r="K1312" s="153">
        <v>0.0017</v>
      </c>
      <c r="L1312" s="153">
        <v>10.0</v>
      </c>
      <c r="M1312" s="153">
        <v>20.0</v>
      </c>
    </row>
    <row r="1313">
      <c r="A1313" s="250">
        <v>46260.0</v>
      </c>
      <c r="B1313" s="153" t="s">
        <v>133</v>
      </c>
      <c r="C1313" s="153" t="s">
        <v>5</v>
      </c>
      <c r="D1313" s="153" t="s">
        <v>441</v>
      </c>
      <c r="E1313" s="153" t="s">
        <v>442</v>
      </c>
      <c r="F1313" s="153" t="s">
        <v>440</v>
      </c>
      <c r="G1313" s="153">
        <v>11595.0</v>
      </c>
      <c r="H1313" s="153">
        <v>62.0</v>
      </c>
      <c r="I1313" s="153">
        <v>0.53</v>
      </c>
      <c r="J1313" s="153">
        <v>630.0</v>
      </c>
      <c r="K1313" s="153">
        <v>0.0543</v>
      </c>
      <c r="L1313" s="153">
        <v>10.1613</v>
      </c>
      <c r="M1313" s="153">
        <v>630.0</v>
      </c>
    </row>
    <row r="1314">
      <c r="A1314" s="250">
        <v>46260.0</v>
      </c>
      <c r="B1314" s="153" t="s">
        <v>133</v>
      </c>
      <c r="C1314" s="153" t="s">
        <v>5</v>
      </c>
      <c r="D1314" s="153" t="s">
        <v>444</v>
      </c>
      <c r="E1314" s="153" t="s">
        <v>445</v>
      </c>
      <c r="F1314" s="153" t="s">
        <v>440</v>
      </c>
      <c r="G1314" s="153">
        <v>11595.0</v>
      </c>
      <c r="H1314" s="153">
        <v>4383.0</v>
      </c>
      <c r="I1314" s="153">
        <v>37.8</v>
      </c>
      <c r="J1314" s="153">
        <v>85670.0</v>
      </c>
      <c r="K1314" s="153">
        <v>7.3885</v>
      </c>
      <c r="L1314" s="153">
        <v>19.546</v>
      </c>
      <c r="M1314" s="153">
        <v>85670.0</v>
      </c>
    </row>
    <row r="1315">
      <c r="A1315" s="250">
        <v>46260.0</v>
      </c>
      <c r="B1315" s="153" t="s">
        <v>134</v>
      </c>
      <c r="C1315" s="153" t="s">
        <v>5</v>
      </c>
      <c r="D1315" s="153" t="s">
        <v>424</v>
      </c>
      <c r="E1315" s="153" t="s">
        <v>425</v>
      </c>
      <c r="F1315" s="153" t="s">
        <v>426</v>
      </c>
      <c r="G1315" s="153">
        <v>9262.0</v>
      </c>
      <c r="H1315" s="153">
        <v>4483.0</v>
      </c>
      <c r="I1315" s="153">
        <v>48.4</v>
      </c>
      <c r="J1315" s="153">
        <v>78230.23</v>
      </c>
      <c r="K1315" s="153">
        <v>8.4464</v>
      </c>
      <c r="L1315" s="153">
        <v>17.4504</v>
      </c>
      <c r="M1315" s="153">
        <v>109320.0</v>
      </c>
    </row>
    <row r="1316">
      <c r="A1316" s="250">
        <v>46260.0</v>
      </c>
      <c r="B1316" s="153" t="s">
        <v>134</v>
      </c>
      <c r="C1316" s="153" t="s">
        <v>5</v>
      </c>
      <c r="D1316" s="153" t="s">
        <v>427</v>
      </c>
      <c r="E1316" s="153" t="s">
        <v>428</v>
      </c>
      <c r="F1316" s="153" t="s">
        <v>429</v>
      </c>
      <c r="G1316" s="153">
        <v>9262.0</v>
      </c>
      <c r="H1316" s="153">
        <v>4782.0</v>
      </c>
      <c r="I1316" s="153">
        <v>51.63</v>
      </c>
      <c r="J1316" s="153">
        <v>297652.01</v>
      </c>
      <c r="K1316" s="153">
        <v>32.1369</v>
      </c>
      <c r="L1316" s="153">
        <v>62.2443</v>
      </c>
      <c r="M1316" s="153">
        <v>343465.0</v>
      </c>
    </row>
    <row r="1317">
      <c r="A1317" s="250">
        <v>46260.0</v>
      </c>
      <c r="B1317" s="153" t="s">
        <v>134</v>
      </c>
      <c r="C1317" s="153" t="s">
        <v>5</v>
      </c>
      <c r="D1317" s="153" t="s">
        <v>430</v>
      </c>
      <c r="E1317" s="153" t="s">
        <v>431</v>
      </c>
      <c r="F1317" s="153" t="s">
        <v>429</v>
      </c>
      <c r="G1317" s="153">
        <v>9262.0</v>
      </c>
      <c r="H1317" s="153">
        <v>1680.0</v>
      </c>
      <c r="I1317" s="153">
        <v>18.14</v>
      </c>
      <c r="J1317" s="153">
        <v>1814.0</v>
      </c>
      <c r="K1317" s="153">
        <v>0.1959</v>
      </c>
      <c r="L1317" s="153">
        <v>1.0798</v>
      </c>
      <c r="M1317" s="153">
        <v>1814.0</v>
      </c>
    </row>
    <row r="1318">
      <c r="A1318" s="250">
        <v>46260.0</v>
      </c>
      <c r="B1318" s="153" t="s">
        <v>134</v>
      </c>
      <c r="C1318" s="153" t="s">
        <v>5</v>
      </c>
      <c r="D1318" s="153" t="s">
        <v>430</v>
      </c>
      <c r="E1318" s="153" t="s">
        <v>432</v>
      </c>
      <c r="F1318" s="153" t="s">
        <v>429</v>
      </c>
      <c r="G1318" s="153">
        <v>9262.0</v>
      </c>
      <c r="H1318" s="153">
        <v>5.0</v>
      </c>
      <c r="I1318" s="153">
        <v>0.05</v>
      </c>
      <c r="J1318" s="153">
        <v>27.0</v>
      </c>
      <c r="K1318" s="153">
        <v>0.0029</v>
      </c>
      <c r="L1318" s="153">
        <v>5.4</v>
      </c>
      <c r="M1318" s="153">
        <v>27.0</v>
      </c>
    </row>
    <row r="1319">
      <c r="A1319" s="250">
        <v>46260.0</v>
      </c>
      <c r="B1319" s="153" t="s">
        <v>134</v>
      </c>
      <c r="C1319" s="153" t="s">
        <v>5</v>
      </c>
      <c r="D1319" s="153" t="s">
        <v>430</v>
      </c>
      <c r="E1319" s="153" t="s">
        <v>433</v>
      </c>
      <c r="F1319" s="153" t="s">
        <v>429</v>
      </c>
      <c r="G1319" s="153">
        <v>9262.0</v>
      </c>
      <c r="H1319" s="153">
        <v>2205.0</v>
      </c>
      <c r="I1319" s="153">
        <v>23.81</v>
      </c>
      <c r="J1319" s="153">
        <v>2489.0</v>
      </c>
      <c r="K1319" s="153">
        <v>0.2687</v>
      </c>
      <c r="L1319" s="153">
        <v>1.1288</v>
      </c>
      <c r="M1319" s="153">
        <v>2489.0</v>
      </c>
    </row>
    <row r="1320">
      <c r="A1320" s="250">
        <v>46260.0</v>
      </c>
      <c r="B1320" s="153" t="s">
        <v>134</v>
      </c>
      <c r="C1320" s="153" t="s">
        <v>5</v>
      </c>
      <c r="D1320" s="153" t="s">
        <v>434</v>
      </c>
      <c r="E1320" s="153" t="s">
        <v>435</v>
      </c>
      <c r="F1320" s="153" t="s">
        <v>429</v>
      </c>
      <c r="G1320" s="153">
        <v>9262.0</v>
      </c>
      <c r="H1320" s="153">
        <v>3564.0</v>
      </c>
      <c r="I1320" s="153">
        <v>38.48</v>
      </c>
      <c r="J1320" s="153">
        <v>5267.0</v>
      </c>
      <c r="K1320" s="153">
        <v>0.5687</v>
      </c>
      <c r="L1320" s="153">
        <v>1.4778</v>
      </c>
      <c r="M1320" s="153">
        <v>5267.0</v>
      </c>
    </row>
    <row r="1321">
      <c r="A1321" s="250">
        <v>46260.0</v>
      </c>
      <c r="B1321" s="153" t="s">
        <v>134</v>
      </c>
      <c r="C1321" s="153" t="s">
        <v>5</v>
      </c>
      <c r="D1321" s="153" t="s">
        <v>434</v>
      </c>
      <c r="E1321" s="153" t="s">
        <v>436</v>
      </c>
      <c r="F1321" s="153" t="s">
        <v>429</v>
      </c>
      <c r="G1321" s="153">
        <v>9262.0</v>
      </c>
      <c r="H1321" s="153">
        <v>3325.0</v>
      </c>
      <c r="I1321" s="153">
        <v>35.9</v>
      </c>
      <c r="J1321" s="153">
        <v>6053.0</v>
      </c>
      <c r="K1321" s="153">
        <v>0.6535</v>
      </c>
      <c r="L1321" s="153">
        <v>1.8205</v>
      </c>
      <c r="M1321" s="153">
        <v>6053.0</v>
      </c>
    </row>
    <row r="1322">
      <c r="A1322" s="250">
        <v>46260.0</v>
      </c>
      <c r="B1322" s="153" t="s">
        <v>134</v>
      </c>
      <c r="C1322" s="153" t="s">
        <v>5</v>
      </c>
      <c r="D1322" s="153" t="s">
        <v>434</v>
      </c>
      <c r="E1322" s="153" t="s">
        <v>437</v>
      </c>
      <c r="F1322" s="153" t="s">
        <v>429</v>
      </c>
      <c r="G1322" s="153">
        <v>9262.0</v>
      </c>
      <c r="H1322" s="153">
        <v>1649.0</v>
      </c>
      <c r="I1322" s="153">
        <v>17.8</v>
      </c>
      <c r="J1322" s="153">
        <v>2065.0</v>
      </c>
      <c r="K1322" s="153">
        <v>0.223</v>
      </c>
      <c r="L1322" s="153">
        <v>1.2523</v>
      </c>
      <c r="M1322" s="153">
        <v>2065.0</v>
      </c>
    </row>
    <row r="1323">
      <c r="A1323" s="250">
        <v>46260.0</v>
      </c>
      <c r="B1323" s="153" t="s">
        <v>134</v>
      </c>
      <c r="C1323" s="153" t="s">
        <v>5</v>
      </c>
      <c r="D1323" s="153" t="s">
        <v>438</v>
      </c>
      <c r="E1323" s="153" t="s">
        <v>439</v>
      </c>
      <c r="F1323" s="153" t="s">
        <v>440</v>
      </c>
      <c r="G1323" s="153">
        <v>9262.0</v>
      </c>
      <c r="H1323" s="153">
        <v>1.0</v>
      </c>
      <c r="I1323" s="153">
        <v>0.01</v>
      </c>
      <c r="J1323" s="153">
        <v>120.0</v>
      </c>
      <c r="K1323" s="153">
        <v>0.013</v>
      </c>
      <c r="L1323" s="153">
        <v>120.0</v>
      </c>
      <c r="M1323" s="153">
        <v>120.0</v>
      </c>
    </row>
    <row r="1324">
      <c r="A1324" s="250">
        <v>46260.0</v>
      </c>
      <c r="B1324" s="153" t="s">
        <v>134</v>
      </c>
      <c r="C1324" s="153" t="s">
        <v>5</v>
      </c>
      <c r="D1324" s="153" t="s">
        <v>441</v>
      </c>
      <c r="E1324" s="153" t="s">
        <v>442</v>
      </c>
      <c r="F1324" s="153" t="s">
        <v>440</v>
      </c>
      <c r="G1324" s="153">
        <v>9262.0</v>
      </c>
      <c r="H1324" s="153">
        <v>1103.0</v>
      </c>
      <c r="I1324" s="153">
        <v>11.91</v>
      </c>
      <c r="J1324" s="153">
        <v>12230.0</v>
      </c>
      <c r="K1324" s="153">
        <v>1.3204</v>
      </c>
      <c r="L1324" s="153">
        <v>11.0879</v>
      </c>
      <c r="M1324" s="153">
        <v>12230.0</v>
      </c>
    </row>
    <row r="1325">
      <c r="A1325" s="250">
        <v>46260.0</v>
      </c>
      <c r="B1325" s="153" t="s">
        <v>134</v>
      </c>
      <c r="C1325" s="153" t="s">
        <v>5</v>
      </c>
      <c r="D1325" s="153" t="s">
        <v>441</v>
      </c>
      <c r="E1325" s="153" t="s">
        <v>443</v>
      </c>
      <c r="F1325" s="153" t="s">
        <v>440</v>
      </c>
      <c r="G1325" s="153">
        <v>9262.0</v>
      </c>
      <c r="H1325" s="153">
        <v>5.0</v>
      </c>
      <c r="I1325" s="153">
        <v>0.05</v>
      </c>
      <c r="J1325" s="153">
        <v>50.0</v>
      </c>
      <c r="K1325" s="153">
        <v>0.0054</v>
      </c>
      <c r="L1325" s="153">
        <v>10.0</v>
      </c>
      <c r="M1325" s="153">
        <v>50.0</v>
      </c>
    </row>
    <row r="1326">
      <c r="A1326" s="250">
        <v>46260.0</v>
      </c>
      <c r="B1326" s="153" t="s">
        <v>134</v>
      </c>
      <c r="C1326" s="153" t="s">
        <v>5</v>
      </c>
      <c r="D1326" s="153" t="s">
        <v>444</v>
      </c>
      <c r="E1326" s="153" t="s">
        <v>445</v>
      </c>
      <c r="F1326" s="153" t="s">
        <v>440</v>
      </c>
      <c r="G1326" s="153">
        <v>9262.0</v>
      </c>
      <c r="H1326" s="153">
        <v>4696.0</v>
      </c>
      <c r="I1326" s="153">
        <v>50.7</v>
      </c>
      <c r="J1326" s="153">
        <v>135400.0</v>
      </c>
      <c r="K1326" s="153">
        <v>14.6189</v>
      </c>
      <c r="L1326" s="153">
        <v>28.833</v>
      </c>
      <c r="M1326" s="153">
        <v>135400.0</v>
      </c>
    </row>
    <row r="1327">
      <c r="A1327" s="250">
        <v>46260.0</v>
      </c>
      <c r="B1327" s="153" t="s">
        <v>135</v>
      </c>
      <c r="C1327" s="153" t="s">
        <v>5</v>
      </c>
      <c r="D1327" s="153" t="s">
        <v>424</v>
      </c>
      <c r="E1327" s="153" t="s">
        <v>425</v>
      </c>
      <c r="F1327" s="153" t="s">
        <v>426</v>
      </c>
      <c r="G1327" s="153">
        <v>6511.0</v>
      </c>
      <c r="H1327" s="153">
        <v>3436.0</v>
      </c>
      <c r="I1327" s="153">
        <v>52.77</v>
      </c>
      <c r="J1327" s="153">
        <v>74093.06</v>
      </c>
      <c r="K1327" s="153">
        <v>11.3797</v>
      </c>
      <c r="L1327" s="153">
        <v>21.5638</v>
      </c>
      <c r="M1327" s="153">
        <v>148330.0</v>
      </c>
    </row>
    <row r="1328">
      <c r="A1328" s="250">
        <v>46260.0</v>
      </c>
      <c r="B1328" s="153" t="s">
        <v>135</v>
      </c>
      <c r="C1328" s="153" t="s">
        <v>5</v>
      </c>
      <c r="D1328" s="153" t="s">
        <v>427</v>
      </c>
      <c r="E1328" s="153" t="s">
        <v>428</v>
      </c>
      <c r="F1328" s="153" t="s">
        <v>429</v>
      </c>
      <c r="G1328" s="153">
        <v>6511.0</v>
      </c>
      <c r="H1328" s="153">
        <v>3777.0</v>
      </c>
      <c r="I1328" s="153">
        <v>58.01</v>
      </c>
      <c r="J1328" s="153">
        <v>373076.32</v>
      </c>
      <c r="K1328" s="153">
        <v>57.2994</v>
      </c>
      <c r="L1328" s="153">
        <v>98.7758</v>
      </c>
      <c r="M1328" s="153">
        <v>434590.0</v>
      </c>
    </row>
    <row r="1329">
      <c r="A1329" s="250">
        <v>46260.0</v>
      </c>
      <c r="B1329" s="153" t="s">
        <v>135</v>
      </c>
      <c r="C1329" s="153" t="s">
        <v>5</v>
      </c>
      <c r="D1329" s="153" t="s">
        <v>430</v>
      </c>
      <c r="E1329" s="153" t="s">
        <v>431</v>
      </c>
      <c r="F1329" s="153" t="s">
        <v>429</v>
      </c>
      <c r="G1329" s="153">
        <v>6511.0</v>
      </c>
      <c r="H1329" s="153">
        <v>1680.0</v>
      </c>
      <c r="I1329" s="153">
        <v>25.8</v>
      </c>
      <c r="J1329" s="153">
        <v>1817.0</v>
      </c>
      <c r="K1329" s="153">
        <v>0.2791</v>
      </c>
      <c r="L1329" s="153">
        <v>1.0815</v>
      </c>
      <c r="M1329" s="153">
        <v>1817.0</v>
      </c>
    </row>
    <row r="1330">
      <c r="A1330" s="250">
        <v>46260.0</v>
      </c>
      <c r="B1330" s="153" t="s">
        <v>135</v>
      </c>
      <c r="C1330" s="153" t="s">
        <v>5</v>
      </c>
      <c r="D1330" s="153" t="s">
        <v>430</v>
      </c>
      <c r="E1330" s="153" t="s">
        <v>432</v>
      </c>
      <c r="F1330" s="153" t="s">
        <v>429</v>
      </c>
      <c r="G1330" s="153">
        <v>6511.0</v>
      </c>
      <c r="H1330" s="153">
        <v>6.0</v>
      </c>
      <c r="I1330" s="153">
        <v>0.09</v>
      </c>
      <c r="J1330" s="153">
        <v>15.0</v>
      </c>
      <c r="K1330" s="153">
        <v>0.0023</v>
      </c>
      <c r="L1330" s="153">
        <v>2.5</v>
      </c>
      <c r="M1330" s="153">
        <v>15.0</v>
      </c>
    </row>
    <row r="1331">
      <c r="A1331" s="250">
        <v>46260.0</v>
      </c>
      <c r="B1331" s="153" t="s">
        <v>135</v>
      </c>
      <c r="C1331" s="153" t="s">
        <v>5</v>
      </c>
      <c r="D1331" s="153" t="s">
        <v>430</v>
      </c>
      <c r="E1331" s="153" t="s">
        <v>433</v>
      </c>
      <c r="F1331" s="153" t="s">
        <v>429</v>
      </c>
      <c r="G1331" s="153">
        <v>6511.0</v>
      </c>
      <c r="H1331" s="153">
        <v>2032.0</v>
      </c>
      <c r="I1331" s="153">
        <v>31.21</v>
      </c>
      <c r="J1331" s="153">
        <v>2344.0</v>
      </c>
      <c r="K1331" s="153">
        <v>0.36</v>
      </c>
      <c r="L1331" s="153">
        <v>1.1535</v>
      </c>
      <c r="M1331" s="153">
        <v>2344.0</v>
      </c>
    </row>
    <row r="1332">
      <c r="A1332" s="250">
        <v>46260.0</v>
      </c>
      <c r="B1332" s="153" t="s">
        <v>135</v>
      </c>
      <c r="C1332" s="153" t="s">
        <v>5</v>
      </c>
      <c r="D1332" s="153" t="s">
        <v>434</v>
      </c>
      <c r="E1332" s="153" t="s">
        <v>435</v>
      </c>
      <c r="F1332" s="153" t="s">
        <v>429</v>
      </c>
      <c r="G1332" s="153">
        <v>6511.0</v>
      </c>
      <c r="H1332" s="153">
        <v>2123.0</v>
      </c>
      <c r="I1332" s="153">
        <v>32.61</v>
      </c>
      <c r="J1332" s="153">
        <v>3535.0</v>
      </c>
      <c r="K1332" s="153">
        <v>0.5429</v>
      </c>
      <c r="L1332" s="153">
        <v>1.6651</v>
      </c>
      <c r="M1332" s="153">
        <v>3535.0</v>
      </c>
    </row>
    <row r="1333">
      <c r="A1333" s="250">
        <v>46260.0</v>
      </c>
      <c r="B1333" s="153" t="s">
        <v>135</v>
      </c>
      <c r="C1333" s="153" t="s">
        <v>5</v>
      </c>
      <c r="D1333" s="153" t="s">
        <v>434</v>
      </c>
      <c r="E1333" s="153" t="s">
        <v>436</v>
      </c>
      <c r="F1333" s="153" t="s">
        <v>429</v>
      </c>
      <c r="G1333" s="153">
        <v>6511.0</v>
      </c>
      <c r="H1333" s="153">
        <v>1950.0</v>
      </c>
      <c r="I1333" s="153">
        <v>29.95</v>
      </c>
      <c r="J1333" s="153">
        <v>3988.0</v>
      </c>
      <c r="K1333" s="153">
        <v>0.6125</v>
      </c>
      <c r="L1333" s="153">
        <v>2.0451</v>
      </c>
      <c r="M1333" s="153">
        <v>3988.0</v>
      </c>
    </row>
    <row r="1334">
      <c r="A1334" s="250">
        <v>46260.0</v>
      </c>
      <c r="B1334" s="153" t="s">
        <v>135</v>
      </c>
      <c r="C1334" s="153" t="s">
        <v>5</v>
      </c>
      <c r="D1334" s="153" t="s">
        <v>434</v>
      </c>
      <c r="E1334" s="153" t="s">
        <v>437</v>
      </c>
      <c r="F1334" s="153" t="s">
        <v>429</v>
      </c>
      <c r="G1334" s="153">
        <v>6511.0</v>
      </c>
      <c r="H1334" s="153">
        <v>2469.0</v>
      </c>
      <c r="I1334" s="153">
        <v>37.92</v>
      </c>
      <c r="J1334" s="153">
        <v>3303.0</v>
      </c>
      <c r="K1334" s="153">
        <v>0.5073</v>
      </c>
      <c r="L1334" s="153">
        <v>1.3378</v>
      </c>
      <c r="M1334" s="153">
        <v>3303.0</v>
      </c>
    </row>
    <row r="1335">
      <c r="A1335" s="250">
        <v>46260.0</v>
      </c>
      <c r="B1335" s="153" t="s">
        <v>135</v>
      </c>
      <c r="C1335" s="153" t="s">
        <v>5</v>
      </c>
      <c r="D1335" s="153" t="s">
        <v>438</v>
      </c>
      <c r="E1335" s="153" t="s">
        <v>439</v>
      </c>
      <c r="F1335" s="153" t="s">
        <v>440</v>
      </c>
      <c r="G1335" s="153">
        <v>6511.0</v>
      </c>
      <c r="H1335" s="153">
        <v>3.0</v>
      </c>
      <c r="I1335" s="153">
        <v>0.05</v>
      </c>
      <c r="J1335" s="153">
        <v>60.0</v>
      </c>
      <c r="K1335" s="153">
        <v>0.0092</v>
      </c>
      <c r="L1335" s="153">
        <v>20.0</v>
      </c>
      <c r="M1335" s="153">
        <v>60.0</v>
      </c>
    </row>
    <row r="1336">
      <c r="A1336" s="250">
        <v>46260.0</v>
      </c>
      <c r="B1336" s="153" t="s">
        <v>135</v>
      </c>
      <c r="C1336" s="153" t="s">
        <v>5</v>
      </c>
      <c r="D1336" s="153" t="s">
        <v>441</v>
      </c>
      <c r="E1336" s="153" t="s">
        <v>442</v>
      </c>
      <c r="F1336" s="153" t="s">
        <v>440</v>
      </c>
      <c r="G1336" s="153">
        <v>6511.0</v>
      </c>
      <c r="H1336" s="153">
        <v>1569.0</v>
      </c>
      <c r="I1336" s="153">
        <v>24.1</v>
      </c>
      <c r="J1336" s="153">
        <v>17960.0</v>
      </c>
      <c r="K1336" s="153">
        <v>2.7584</v>
      </c>
      <c r="L1336" s="153">
        <v>11.4468</v>
      </c>
      <c r="M1336" s="153">
        <v>17960.0</v>
      </c>
    </row>
    <row r="1337">
      <c r="A1337" s="250">
        <v>46260.0</v>
      </c>
      <c r="B1337" s="153" t="s">
        <v>135</v>
      </c>
      <c r="C1337" s="153" t="s">
        <v>5</v>
      </c>
      <c r="D1337" s="153" t="s">
        <v>441</v>
      </c>
      <c r="E1337" s="153" t="s">
        <v>443</v>
      </c>
      <c r="F1337" s="153" t="s">
        <v>440</v>
      </c>
      <c r="G1337" s="153">
        <v>6511.0</v>
      </c>
      <c r="H1337" s="153">
        <v>25.0</v>
      </c>
      <c r="I1337" s="153">
        <v>0.38</v>
      </c>
      <c r="J1337" s="153">
        <v>290.0</v>
      </c>
      <c r="K1337" s="153">
        <v>0.0445</v>
      </c>
      <c r="L1337" s="153">
        <v>11.6</v>
      </c>
      <c r="M1337" s="153">
        <v>290.0</v>
      </c>
    </row>
    <row r="1338">
      <c r="A1338" s="250">
        <v>46260.0</v>
      </c>
      <c r="B1338" s="153" t="s">
        <v>135</v>
      </c>
      <c r="C1338" s="153" t="s">
        <v>5</v>
      </c>
      <c r="D1338" s="153" t="s">
        <v>444</v>
      </c>
      <c r="E1338" s="153" t="s">
        <v>445</v>
      </c>
      <c r="F1338" s="153" t="s">
        <v>440</v>
      </c>
      <c r="G1338" s="153">
        <v>6511.0</v>
      </c>
      <c r="H1338" s="153">
        <v>3302.0</v>
      </c>
      <c r="I1338" s="153">
        <v>50.71</v>
      </c>
      <c r="J1338" s="153">
        <v>119110.0</v>
      </c>
      <c r="K1338" s="153">
        <v>18.2937</v>
      </c>
      <c r="L1338" s="153">
        <v>36.0721</v>
      </c>
      <c r="M1338" s="153">
        <v>119110.0</v>
      </c>
    </row>
    <row r="1339">
      <c r="A1339" s="250">
        <v>46260.0</v>
      </c>
      <c r="B1339" s="153" t="s">
        <v>136</v>
      </c>
      <c r="C1339" s="153" t="s">
        <v>5</v>
      </c>
      <c r="D1339" s="153" t="s">
        <v>424</v>
      </c>
      <c r="E1339" s="153" t="s">
        <v>425</v>
      </c>
      <c r="F1339" s="153" t="s">
        <v>426</v>
      </c>
      <c r="G1339" s="153">
        <v>3623.0</v>
      </c>
      <c r="H1339" s="153">
        <v>2441.0</v>
      </c>
      <c r="I1339" s="153">
        <v>67.38</v>
      </c>
      <c r="J1339" s="153">
        <v>78248.45</v>
      </c>
      <c r="K1339" s="153">
        <v>21.5977</v>
      </c>
      <c r="L1339" s="153">
        <v>32.0559</v>
      </c>
      <c r="M1339" s="153">
        <v>251640.0</v>
      </c>
    </row>
    <row r="1340">
      <c r="A1340" s="250">
        <v>46260.0</v>
      </c>
      <c r="B1340" s="153" t="s">
        <v>136</v>
      </c>
      <c r="C1340" s="153" t="s">
        <v>5</v>
      </c>
      <c r="D1340" s="153" t="s">
        <v>427</v>
      </c>
      <c r="E1340" s="153" t="s">
        <v>428</v>
      </c>
      <c r="F1340" s="153" t="s">
        <v>429</v>
      </c>
      <c r="G1340" s="153">
        <v>3623.0</v>
      </c>
      <c r="H1340" s="153">
        <v>2491.0</v>
      </c>
      <c r="I1340" s="153">
        <v>68.76</v>
      </c>
      <c r="J1340" s="153">
        <v>430328.88</v>
      </c>
      <c r="K1340" s="153">
        <v>118.7769</v>
      </c>
      <c r="L1340" s="153">
        <v>172.7535</v>
      </c>
      <c r="M1340" s="153">
        <v>502320.0</v>
      </c>
    </row>
    <row r="1341">
      <c r="A1341" s="250">
        <v>46260.0</v>
      </c>
      <c r="B1341" s="153" t="s">
        <v>136</v>
      </c>
      <c r="C1341" s="153" t="s">
        <v>5</v>
      </c>
      <c r="D1341" s="153" t="s">
        <v>430</v>
      </c>
      <c r="E1341" s="153" t="s">
        <v>431</v>
      </c>
      <c r="F1341" s="153" t="s">
        <v>429</v>
      </c>
      <c r="G1341" s="153">
        <v>3623.0</v>
      </c>
      <c r="H1341" s="153">
        <v>1010.0</v>
      </c>
      <c r="I1341" s="153">
        <v>27.88</v>
      </c>
      <c r="J1341" s="153">
        <v>1081.0</v>
      </c>
      <c r="K1341" s="153">
        <v>0.2984</v>
      </c>
      <c r="L1341" s="153">
        <v>1.0703</v>
      </c>
      <c r="M1341" s="153">
        <v>1081.0</v>
      </c>
    </row>
    <row r="1342">
      <c r="A1342" s="250">
        <v>46260.0</v>
      </c>
      <c r="B1342" s="153" t="s">
        <v>136</v>
      </c>
      <c r="C1342" s="153" t="s">
        <v>5</v>
      </c>
      <c r="D1342" s="153" t="s">
        <v>430</v>
      </c>
      <c r="E1342" s="153" t="s">
        <v>432</v>
      </c>
      <c r="F1342" s="153" t="s">
        <v>429</v>
      </c>
      <c r="G1342" s="153">
        <v>3623.0</v>
      </c>
      <c r="H1342" s="153">
        <v>1.0</v>
      </c>
      <c r="I1342" s="153">
        <v>0.03</v>
      </c>
      <c r="J1342" s="153">
        <v>1.0</v>
      </c>
      <c r="K1342" s="153">
        <v>3.0E-4</v>
      </c>
      <c r="L1342" s="153">
        <v>1.0</v>
      </c>
      <c r="M1342" s="153">
        <v>1.0</v>
      </c>
    </row>
    <row r="1343">
      <c r="A1343" s="250">
        <v>46260.0</v>
      </c>
      <c r="B1343" s="153" t="s">
        <v>136</v>
      </c>
      <c r="C1343" s="153" t="s">
        <v>5</v>
      </c>
      <c r="D1343" s="153" t="s">
        <v>430</v>
      </c>
      <c r="E1343" s="153" t="s">
        <v>433</v>
      </c>
      <c r="F1343" s="153" t="s">
        <v>429</v>
      </c>
      <c r="G1343" s="153">
        <v>3623.0</v>
      </c>
      <c r="H1343" s="153">
        <v>1681.0</v>
      </c>
      <c r="I1343" s="153">
        <v>46.4</v>
      </c>
      <c r="J1343" s="153">
        <v>2077.0</v>
      </c>
      <c r="K1343" s="153">
        <v>0.5733</v>
      </c>
      <c r="L1343" s="153">
        <v>1.2356</v>
      </c>
      <c r="M1343" s="153">
        <v>2077.0</v>
      </c>
    </row>
    <row r="1344">
      <c r="A1344" s="250">
        <v>46260.0</v>
      </c>
      <c r="B1344" s="153" t="s">
        <v>136</v>
      </c>
      <c r="C1344" s="153" t="s">
        <v>5</v>
      </c>
      <c r="D1344" s="153" t="s">
        <v>434</v>
      </c>
      <c r="E1344" s="153" t="s">
        <v>435</v>
      </c>
      <c r="F1344" s="153" t="s">
        <v>429</v>
      </c>
      <c r="G1344" s="153">
        <v>3623.0</v>
      </c>
      <c r="H1344" s="153">
        <v>1516.0</v>
      </c>
      <c r="I1344" s="153">
        <v>41.84</v>
      </c>
      <c r="J1344" s="153">
        <v>2960.0</v>
      </c>
      <c r="K1344" s="153">
        <v>0.817</v>
      </c>
      <c r="L1344" s="153">
        <v>1.9525</v>
      </c>
      <c r="M1344" s="153">
        <v>2960.0</v>
      </c>
    </row>
    <row r="1345">
      <c r="A1345" s="250">
        <v>46260.0</v>
      </c>
      <c r="B1345" s="153" t="s">
        <v>136</v>
      </c>
      <c r="C1345" s="153" t="s">
        <v>5</v>
      </c>
      <c r="D1345" s="153" t="s">
        <v>434</v>
      </c>
      <c r="E1345" s="153" t="s">
        <v>436</v>
      </c>
      <c r="F1345" s="153" t="s">
        <v>429</v>
      </c>
      <c r="G1345" s="153">
        <v>3623.0</v>
      </c>
      <c r="H1345" s="153">
        <v>1163.0</v>
      </c>
      <c r="I1345" s="153">
        <v>32.1</v>
      </c>
      <c r="J1345" s="153">
        <v>2565.0</v>
      </c>
      <c r="K1345" s="153">
        <v>0.708</v>
      </c>
      <c r="L1345" s="153">
        <v>2.2055</v>
      </c>
      <c r="M1345" s="153">
        <v>2565.0</v>
      </c>
    </row>
    <row r="1346">
      <c r="A1346" s="250">
        <v>46260.0</v>
      </c>
      <c r="B1346" s="153" t="s">
        <v>136</v>
      </c>
      <c r="C1346" s="153" t="s">
        <v>5</v>
      </c>
      <c r="D1346" s="153" t="s">
        <v>434</v>
      </c>
      <c r="E1346" s="153" t="s">
        <v>437</v>
      </c>
      <c r="F1346" s="153" t="s">
        <v>429</v>
      </c>
      <c r="G1346" s="153">
        <v>3623.0</v>
      </c>
      <c r="H1346" s="153">
        <v>1596.0</v>
      </c>
      <c r="I1346" s="153">
        <v>44.05</v>
      </c>
      <c r="J1346" s="153">
        <v>2604.0</v>
      </c>
      <c r="K1346" s="153">
        <v>0.7187</v>
      </c>
      <c r="L1346" s="153">
        <v>1.6316</v>
      </c>
      <c r="M1346" s="153">
        <v>2604.0</v>
      </c>
    </row>
    <row r="1347">
      <c r="A1347" s="250">
        <v>46260.0</v>
      </c>
      <c r="B1347" s="153" t="s">
        <v>136</v>
      </c>
      <c r="C1347" s="153" t="s">
        <v>5</v>
      </c>
      <c r="D1347" s="153" t="s">
        <v>441</v>
      </c>
      <c r="E1347" s="153" t="s">
        <v>442</v>
      </c>
      <c r="F1347" s="153" t="s">
        <v>440</v>
      </c>
      <c r="G1347" s="153">
        <v>3623.0</v>
      </c>
      <c r="H1347" s="153">
        <v>915.0</v>
      </c>
      <c r="I1347" s="153">
        <v>25.26</v>
      </c>
      <c r="J1347" s="153">
        <v>10550.0</v>
      </c>
      <c r="K1347" s="153">
        <v>2.912</v>
      </c>
      <c r="L1347" s="153">
        <v>11.5301</v>
      </c>
      <c r="M1347" s="153">
        <v>10550.0</v>
      </c>
    </row>
    <row r="1348">
      <c r="A1348" s="250">
        <v>46260.0</v>
      </c>
      <c r="B1348" s="153" t="s">
        <v>136</v>
      </c>
      <c r="C1348" s="153" t="s">
        <v>5</v>
      </c>
      <c r="D1348" s="153" t="s">
        <v>441</v>
      </c>
      <c r="E1348" s="153" t="s">
        <v>443</v>
      </c>
      <c r="F1348" s="153" t="s">
        <v>440</v>
      </c>
      <c r="G1348" s="153">
        <v>3623.0</v>
      </c>
      <c r="H1348" s="153">
        <v>410.0</v>
      </c>
      <c r="I1348" s="153">
        <v>11.32</v>
      </c>
      <c r="J1348" s="153">
        <v>5110.0</v>
      </c>
      <c r="K1348" s="153">
        <v>1.4104</v>
      </c>
      <c r="L1348" s="153">
        <v>12.4634</v>
      </c>
      <c r="M1348" s="153">
        <v>5110.0</v>
      </c>
    </row>
    <row r="1349">
      <c r="A1349" s="250">
        <v>46260.0</v>
      </c>
      <c r="B1349" s="153" t="s">
        <v>136</v>
      </c>
      <c r="C1349" s="153" t="s">
        <v>5</v>
      </c>
      <c r="D1349" s="153" t="s">
        <v>444</v>
      </c>
      <c r="E1349" s="153" t="s">
        <v>445</v>
      </c>
      <c r="F1349" s="153" t="s">
        <v>440</v>
      </c>
      <c r="G1349" s="153">
        <v>3623.0</v>
      </c>
      <c r="H1349" s="153">
        <v>2064.0</v>
      </c>
      <c r="I1349" s="153">
        <v>56.97</v>
      </c>
      <c r="J1349" s="153">
        <v>106455.0</v>
      </c>
      <c r="K1349" s="153">
        <v>29.3831</v>
      </c>
      <c r="L1349" s="153">
        <v>51.577</v>
      </c>
      <c r="M1349" s="153">
        <v>106455.0</v>
      </c>
    </row>
    <row r="1350">
      <c r="A1350" s="250">
        <v>46260.0</v>
      </c>
      <c r="B1350" s="153" t="s">
        <v>137</v>
      </c>
      <c r="C1350" s="153" t="s">
        <v>5</v>
      </c>
      <c r="D1350" s="153" t="s">
        <v>424</v>
      </c>
      <c r="E1350" s="153" t="s">
        <v>425</v>
      </c>
      <c r="F1350" s="153" t="s">
        <v>426</v>
      </c>
      <c r="G1350" s="153">
        <v>500.0</v>
      </c>
      <c r="H1350" s="153">
        <v>358.0</v>
      </c>
      <c r="I1350" s="153">
        <v>71.6</v>
      </c>
      <c r="J1350" s="153">
        <v>22602.26</v>
      </c>
      <c r="K1350" s="153">
        <v>45.2045</v>
      </c>
      <c r="L1350" s="153">
        <v>63.1348</v>
      </c>
      <c r="M1350" s="153">
        <v>84640.0</v>
      </c>
    </row>
    <row r="1351">
      <c r="A1351" s="250">
        <v>46260.0</v>
      </c>
      <c r="B1351" s="153" t="s">
        <v>137</v>
      </c>
      <c r="C1351" s="153" t="s">
        <v>5</v>
      </c>
      <c r="D1351" s="153" t="s">
        <v>427</v>
      </c>
      <c r="E1351" s="153" t="s">
        <v>428</v>
      </c>
      <c r="F1351" s="153" t="s">
        <v>429</v>
      </c>
      <c r="G1351" s="153">
        <v>500.0</v>
      </c>
      <c r="H1351" s="153">
        <v>417.0</v>
      </c>
      <c r="I1351" s="153">
        <v>83.4</v>
      </c>
      <c r="J1351" s="153">
        <v>160083.37</v>
      </c>
      <c r="K1351" s="153">
        <v>320.1667</v>
      </c>
      <c r="L1351" s="153">
        <v>383.893</v>
      </c>
      <c r="M1351" s="153">
        <v>186845.0</v>
      </c>
    </row>
    <row r="1352">
      <c r="A1352" s="250">
        <v>46260.0</v>
      </c>
      <c r="B1352" s="153" t="s">
        <v>137</v>
      </c>
      <c r="C1352" s="153" t="s">
        <v>5</v>
      </c>
      <c r="D1352" s="153" t="s">
        <v>430</v>
      </c>
      <c r="E1352" s="153" t="s">
        <v>431</v>
      </c>
      <c r="F1352" s="153" t="s">
        <v>429</v>
      </c>
      <c r="G1352" s="153">
        <v>500.0</v>
      </c>
      <c r="H1352" s="153">
        <v>246.0</v>
      </c>
      <c r="I1352" s="153">
        <v>49.2</v>
      </c>
      <c r="J1352" s="153">
        <v>270.0</v>
      </c>
      <c r="K1352" s="153">
        <v>0.54</v>
      </c>
      <c r="L1352" s="153">
        <v>1.0976</v>
      </c>
      <c r="M1352" s="153">
        <v>270.0</v>
      </c>
    </row>
    <row r="1353">
      <c r="A1353" s="250">
        <v>46260.0</v>
      </c>
      <c r="B1353" s="153" t="s">
        <v>137</v>
      </c>
      <c r="C1353" s="153" t="s">
        <v>5</v>
      </c>
      <c r="D1353" s="153" t="s">
        <v>430</v>
      </c>
      <c r="E1353" s="153" t="s">
        <v>433</v>
      </c>
      <c r="F1353" s="153" t="s">
        <v>429</v>
      </c>
      <c r="G1353" s="153">
        <v>500.0</v>
      </c>
      <c r="H1353" s="153">
        <v>331.0</v>
      </c>
      <c r="I1353" s="153">
        <v>66.2</v>
      </c>
      <c r="J1353" s="153">
        <v>448.0</v>
      </c>
      <c r="K1353" s="153">
        <v>0.896</v>
      </c>
      <c r="L1353" s="153">
        <v>1.3535</v>
      </c>
      <c r="M1353" s="153">
        <v>448.0</v>
      </c>
    </row>
    <row r="1354">
      <c r="A1354" s="250">
        <v>46260.0</v>
      </c>
      <c r="B1354" s="153" t="s">
        <v>137</v>
      </c>
      <c r="C1354" s="153" t="s">
        <v>5</v>
      </c>
      <c r="D1354" s="153" t="s">
        <v>434</v>
      </c>
      <c r="E1354" s="153" t="s">
        <v>435</v>
      </c>
      <c r="F1354" s="153" t="s">
        <v>429</v>
      </c>
      <c r="G1354" s="153">
        <v>500.0</v>
      </c>
      <c r="H1354" s="153">
        <v>225.0</v>
      </c>
      <c r="I1354" s="153">
        <v>45.0</v>
      </c>
      <c r="J1354" s="153">
        <v>509.0</v>
      </c>
      <c r="K1354" s="153">
        <v>1.018</v>
      </c>
      <c r="L1354" s="153">
        <v>2.2622</v>
      </c>
      <c r="M1354" s="153">
        <v>509.0</v>
      </c>
    </row>
    <row r="1355">
      <c r="A1355" s="250">
        <v>46260.0</v>
      </c>
      <c r="B1355" s="153" t="s">
        <v>137</v>
      </c>
      <c r="C1355" s="153" t="s">
        <v>5</v>
      </c>
      <c r="D1355" s="153" t="s">
        <v>434</v>
      </c>
      <c r="E1355" s="153" t="s">
        <v>436</v>
      </c>
      <c r="F1355" s="153" t="s">
        <v>429</v>
      </c>
      <c r="G1355" s="153">
        <v>500.0</v>
      </c>
      <c r="H1355" s="153">
        <v>236.0</v>
      </c>
      <c r="I1355" s="153">
        <v>47.2</v>
      </c>
      <c r="J1355" s="153">
        <v>574.0</v>
      </c>
      <c r="K1355" s="153">
        <v>1.148</v>
      </c>
      <c r="L1355" s="153">
        <v>2.4322</v>
      </c>
      <c r="M1355" s="153">
        <v>574.0</v>
      </c>
    </row>
    <row r="1356">
      <c r="A1356" s="250">
        <v>46260.0</v>
      </c>
      <c r="B1356" s="153" t="s">
        <v>137</v>
      </c>
      <c r="C1356" s="153" t="s">
        <v>5</v>
      </c>
      <c r="D1356" s="153" t="s">
        <v>434</v>
      </c>
      <c r="E1356" s="153" t="s">
        <v>437</v>
      </c>
      <c r="F1356" s="153" t="s">
        <v>429</v>
      </c>
      <c r="G1356" s="153">
        <v>500.0</v>
      </c>
      <c r="H1356" s="153">
        <v>311.0</v>
      </c>
      <c r="I1356" s="153">
        <v>62.2</v>
      </c>
      <c r="J1356" s="153">
        <v>733.0</v>
      </c>
      <c r="K1356" s="153">
        <v>1.466</v>
      </c>
      <c r="L1356" s="153">
        <v>2.3569</v>
      </c>
      <c r="M1356" s="153">
        <v>733.0</v>
      </c>
    </row>
    <row r="1357">
      <c r="A1357" s="250">
        <v>46260.0</v>
      </c>
      <c r="B1357" s="153" t="s">
        <v>137</v>
      </c>
      <c r="C1357" s="153" t="s">
        <v>5</v>
      </c>
      <c r="D1357" s="153" t="s">
        <v>441</v>
      </c>
      <c r="E1357" s="153" t="s">
        <v>442</v>
      </c>
      <c r="F1357" s="153" t="s">
        <v>440</v>
      </c>
      <c r="G1357" s="153">
        <v>500.0</v>
      </c>
      <c r="H1357" s="153">
        <v>124.0</v>
      </c>
      <c r="I1357" s="153">
        <v>24.8</v>
      </c>
      <c r="J1357" s="153">
        <v>1400.0</v>
      </c>
      <c r="K1357" s="153">
        <v>2.8</v>
      </c>
      <c r="L1357" s="153">
        <v>11.2903</v>
      </c>
      <c r="M1357" s="153">
        <v>1400.0</v>
      </c>
    </row>
    <row r="1358">
      <c r="A1358" s="250">
        <v>46260.0</v>
      </c>
      <c r="B1358" s="153" t="s">
        <v>137</v>
      </c>
      <c r="C1358" s="153" t="s">
        <v>5</v>
      </c>
      <c r="D1358" s="153" t="s">
        <v>441</v>
      </c>
      <c r="E1358" s="153" t="s">
        <v>443</v>
      </c>
      <c r="F1358" s="153" t="s">
        <v>440</v>
      </c>
      <c r="G1358" s="153">
        <v>500.0</v>
      </c>
      <c r="H1358" s="153">
        <v>132.0</v>
      </c>
      <c r="I1358" s="153">
        <v>26.4</v>
      </c>
      <c r="J1358" s="153">
        <v>1650.0</v>
      </c>
      <c r="K1358" s="153">
        <v>3.3</v>
      </c>
      <c r="L1358" s="153">
        <v>12.5</v>
      </c>
      <c r="M1358" s="153">
        <v>1650.0</v>
      </c>
    </row>
    <row r="1359">
      <c r="A1359" s="250">
        <v>46260.0</v>
      </c>
      <c r="B1359" s="153" t="s">
        <v>137</v>
      </c>
      <c r="C1359" s="153" t="s">
        <v>5</v>
      </c>
      <c r="D1359" s="153" t="s">
        <v>444</v>
      </c>
      <c r="E1359" s="153" t="s">
        <v>445</v>
      </c>
      <c r="F1359" s="153" t="s">
        <v>440</v>
      </c>
      <c r="G1359" s="153">
        <v>500.0</v>
      </c>
      <c r="H1359" s="153">
        <v>383.0</v>
      </c>
      <c r="I1359" s="153">
        <v>76.6</v>
      </c>
      <c r="J1359" s="153">
        <v>30205.0</v>
      </c>
      <c r="K1359" s="153">
        <v>60.41</v>
      </c>
      <c r="L1359" s="153">
        <v>78.8642</v>
      </c>
      <c r="M1359" s="153">
        <v>30205.0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4.43" defaultRowHeight="15.0"/>
  <sheetData>
    <row r="1">
      <c r="A1" s="233" t="s">
        <v>286</v>
      </c>
      <c r="B1" s="233" t="s">
        <v>287</v>
      </c>
      <c r="C1" s="233" t="s">
        <v>448</v>
      </c>
      <c r="D1" s="233" t="s">
        <v>288</v>
      </c>
      <c r="E1" s="233" t="s">
        <v>289</v>
      </c>
      <c r="F1" s="233" t="s">
        <v>290</v>
      </c>
      <c r="G1" s="233" t="s">
        <v>291</v>
      </c>
      <c r="H1" s="233" t="s">
        <v>292</v>
      </c>
      <c r="I1" s="233" t="s">
        <v>293</v>
      </c>
      <c r="J1" s="233" t="s">
        <v>294</v>
      </c>
      <c r="K1" s="233" t="s">
        <v>295</v>
      </c>
      <c r="L1" s="233" t="s">
        <v>296</v>
      </c>
      <c r="M1" s="233" t="s">
        <v>297</v>
      </c>
      <c r="N1" s="233" t="s">
        <v>298</v>
      </c>
      <c r="O1" s="233" t="s">
        <v>299</v>
      </c>
      <c r="P1" s="233" t="s">
        <v>300</v>
      </c>
      <c r="Q1" s="233" t="s">
        <v>301</v>
      </c>
      <c r="R1" s="233" t="s">
        <v>302</v>
      </c>
      <c r="S1" s="233" t="s">
        <v>303</v>
      </c>
      <c r="T1" s="233" t="s">
        <v>304</v>
      </c>
      <c r="U1" s="233" t="s">
        <v>305</v>
      </c>
      <c r="V1" s="233" t="s">
        <v>306</v>
      </c>
      <c r="W1" s="233" t="s">
        <v>307</v>
      </c>
      <c r="X1" s="233" t="s">
        <v>308</v>
      </c>
      <c r="Y1" s="233" t="s">
        <v>309</v>
      </c>
      <c r="Z1" s="233" t="s">
        <v>310</v>
      </c>
      <c r="AA1" s="233" t="s">
        <v>311</v>
      </c>
      <c r="AB1" s="233" t="s">
        <v>312</v>
      </c>
      <c r="AC1" s="233" t="s">
        <v>313</v>
      </c>
      <c r="AD1" s="233" t="s">
        <v>314</v>
      </c>
      <c r="AE1" s="233" t="s">
        <v>315</v>
      </c>
      <c r="AF1" s="233" t="s">
        <v>316</v>
      </c>
      <c r="AG1" s="233" t="s">
        <v>317</v>
      </c>
      <c r="AH1" s="233" t="s">
        <v>318</v>
      </c>
      <c r="AI1" s="233" t="s">
        <v>319</v>
      </c>
      <c r="AJ1" s="233" t="s">
        <v>320</v>
      </c>
      <c r="AK1" s="233" t="s">
        <v>321</v>
      </c>
      <c r="AL1" s="233" t="s">
        <v>322</v>
      </c>
      <c r="AM1" s="233" t="s">
        <v>323</v>
      </c>
      <c r="AN1" s="233" t="s">
        <v>324</v>
      </c>
      <c r="AO1" s="233" t="s">
        <v>325</v>
      </c>
      <c r="AP1" s="233" t="s">
        <v>326</v>
      </c>
      <c r="AQ1" s="233" t="s">
        <v>327</v>
      </c>
      <c r="AR1" s="233" t="s">
        <v>328</v>
      </c>
      <c r="AS1" s="233" t="s">
        <v>329</v>
      </c>
      <c r="AT1" s="233" t="s">
        <v>330</v>
      </c>
      <c r="AU1" s="233" t="s">
        <v>331</v>
      </c>
      <c r="AV1" s="234" t="s">
        <v>332</v>
      </c>
      <c r="AW1" s="234" t="s">
        <v>333</v>
      </c>
      <c r="AX1" s="234" t="s">
        <v>334</v>
      </c>
      <c r="AY1" s="234" t="s">
        <v>335</v>
      </c>
      <c r="AZ1" s="234" t="s">
        <v>336</v>
      </c>
      <c r="BA1" s="234" t="s">
        <v>337</v>
      </c>
      <c r="BB1" s="234" t="s">
        <v>338</v>
      </c>
      <c r="BC1" s="234" t="s">
        <v>339</v>
      </c>
      <c r="BD1" s="234" t="s">
        <v>340</v>
      </c>
      <c r="BE1" s="234" t="s">
        <v>341</v>
      </c>
      <c r="BF1" s="234" t="s">
        <v>342</v>
      </c>
      <c r="BG1" s="234" t="s">
        <v>343</v>
      </c>
      <c r="BH1" s="234" t="s">
        <v>344</v>
      </c>
      <c r="BI1" s="234" t="s">
        <v>345</v>
      </c>
      <c r="BJ1" s="234" t="s">
        <v>346</v>
      </c>
      <c r="BK1" s="234" t="s">
        <v>347</v>
      </c>
      <c r="BL1" s="234" t="s">
        <v>348</v>
      </c>
      <c r="BM1" s="234" t="s">
        <v>349</v>
      </c>
      <c r="BN1" s="234" t="s">
        <v>350</v>
      </c>
      <c r="BO1" s="234" t="s">
        <v>351</v>
      </c>
      <c r="BP1" s="234" t="s">
        <v>352</v>
      </c>
      <c r="BQ1" s="234" t="s">
        <v>353</v>
      </c>
      <c r="BR1" s="234" t="s">
        <v>354</v>
      </c>
      <c r="BS1" s="234" t="s">
        <v>355</v>
      </c>
      <c r="BT1" s="234" t="s">
        <v>356</v>
      </c>
      <c r="BU1" s="234" t="s">
        <v>357</v>
      </c>
      <c r="BV1" s="234" t="s">
        <v>358</v>
      </c>
      <c r="BW1" s="234" t="s">
        <v>359</v>
      </c>
      <c r="BX1" s="234" t="s">
        <v>360</v>
      </c>
      <c r="BY1" s="234" t="s">
        <v>361</v>
      </c>
      <c r="BZ1" s="234" t="s">
        <v>362</v>
      </c>
      <c r="CA1" s="234" t="s">
        <v>363</v>
      </c>
      <c r="CB1" s="234" t="s">
        <v>364</v>
      </c>
      <c r="CC1" s="234" t="s">
        <v>365</v>
      </c>
      <c r="CD1" s="234" t="s">
        <v>366</v>
      </c>
      <c r="CE1" s="234" t="s">
        <v>367</v>
      </c>
      <c r="CF1" s="234" t="s">
        <v>368</v>
      </c>
      <c r="CG1" s="234" t="s">
        <v>369</v>
      </c>
      <c r="CH1" s="234" t="s">
        <v>370</v>
      </c>
      <c r="CI1" s="234" t="s">
        <v>371</v>
      </c>
      <c r="CJ1" s="234" t="s">
        <v>372</v>
      </c>
      <c r="CK1" s="234" t="s">
        <v>373</v>
      </c>
      <c r="CL1" s="234" t="s">
        <v>374</v>
      </c>
      <c r="CM1" s="234" t="s">
        <v>375</v>
      </c>
      <c r="CN1" s="234" t="s">
        <v>376</v>
      </c>
      <c r="CO1" s="234" t="s">
        <v>377</v>
      </c>
      <c r="CP1" s="234" t="s">
        <v>378</v>
      </c>
      <c r="CQ1" s="234" t="s">
        <v>379</v>
      </c>
      <c r="CR1" s="234" t="s">
        <v>380</v>
      </c>
      <c r="CS1" s="234" t="s">
        <v>381</v>
      </c>
      <c r="CT1" s="234" t="s">
        <v>382</v>
      </c>
      <c r="CU1" s="234" t="s">
        <v>383</v>
      </c>
      <c r="CV1" s="234" t="s">
        <v>384</v>
      </c>
      <c r="CW1" s="234" t="s">
        <v>385</v>
      </c>
      <c r="CX1" s="234" t="s">
        <v>386</v>
      </c>
      <c r="CY1" s="234" t="s">
        <v>387</v>
      </c>
      <c r="CZ1" s="234" t="s">
        <v>388</v>
      </c>
      <c r="DA1" s="234" t="s">
        <v>389</v>
      </c>
      <c r="DB1" s="234" t="s">
        <v>390</v>
      </c>
      <c r="DC1" s="234" t="s">
        <v>391</v>
      </c>
      <c r="DD1" s="234" t="s">
        <v>392</v>
      </c>
      <c r="DE1" s="234" t="s">
        <v>393</v>
      </c>
      <c r="DF1" s="234" t="s">
        <v>394</v>
      </c>
      <c r="DG1" s="234" t="s">
        <v>395</v>
      </c>
      <c r="DH1" s="234" t="s">
        <v>396</v>
      </c>
      <c r="DI1" s="234" t="s">
        <v>397</v>
      </c>
      <c r="DJ1" s="234" t="s">
        <v>398</v>
      </c>
      <c r="DK1" s="234" t="s">
        <v>399</v>
      </c>
      <c r="DL1" s="234" t="s">
        <v>400</v>
      </c>
      <c r="DM1" s="234" t="s">
        <v>401</v>
      </c>
      <c r="DN1" s="234" t="s">
        <v>402</v>
      </c>
      <c r="DO1" s="234" t="s">
        <v>449</v>
      </c>
      <c r="DP1" s="234" t="s">
        <v>450</v>
      </c>
      <c r="DQ1" s="234" t="s">
        <v>451</v>
      </c>
      <c r="DR1" s="234" t="s">
        <v>452</v>
      </c>
      <c r="DS1" s="234" t="s">
        <v>453</v>
      </c>
      <c r="DT1" s="234" t="s">
        <v>454</v>
      </c>
      <c r="DU1" s="234" t="s">
        <v>455</v>
      </c>
      <c r="DV1" s="234" t="s">
        <v>456</v>
      </c>
      <c r="DW1" s="234" t="s">
        <v>457</v>
      </c>
      <c r="DX1" s="234" t="s">
        <v>458</v>
      </c>
      <c r="DY1" s="234" t="s">
        <v>459</v>
      </c>
      <c r="DZ1" s="234" t="s">
        <v>460</v>
      </c>
      <c r="EA1" s="234" t="s">
        <v>461</v>
      </c>
    </row>
    <row r="2">
      <c r="A2" s="236" t="s">
        <v>4</v>
      </c>
      <c r="B2" s="236" t="s">
        <v>423</v>
      </c>
      <c r="C2" s="236" t="b">
        <v>0</v>
      </c>
      <c r="D2" s="236">
        <v>27159.0</v>
      </c>
      <c r="E2" s="236">
        <v>20.25</v>
      </c>
      <c r="F2" s="236">
        <v>3422.13</v>
      </c>
      <c r="G2" s="236">
        <v>0.0919</v>
      </c>
      <c r="H2" s="236">
        <v>0.8</v>
      </c>
      <c r="I2" s="236">
        <v>15.7702</v>
      </c>
      <c r="J2" s="236">
        <v>17.31</v>
      </c>
      <c r="K2" s="236">
        <v>9.2581</v>
      </c>
      <c r="L2" s="236">
        <v>5.9098</v>
      </c>
      <c r="M2" s="236">
        <v>0.6382</v>
      </c>
      <c r="N2" s="236">
        <v>0.475</v>
      </c>
      <c r="O2" s="236">
        <v>0.2264</v>
      </c>
      <c r="P2" s="236">
        <v>1.567</v>
      </c>
      <c r="Q2" s="236">
        <v>47.6666</v>
      </c>
      <c r="R2" s="236">
        <v>47.5638</v>
      </c>
      <c r="S2" s="236">
        <v>0.1028</v>
      </c>
      <c r="T2" s="236">
        <v>7.0212</v>
      </c>
      <c r="U2" s="236">
        <v>40.6454</v>
      </c>
      <c r="V2" s="236">
        <v>35.1753</v>
      </c>
      <c r="W2" s="236">
        <v>3.799</v>
      </c>
      <c r="X2" s="236">
        <v>14.73</v>
      </c>
      <c r="Y2" s="236">
        <v>190.0</v>
      </c>
      <c r="Z2" s="236">
        <v>562.0</v>
      </c>
      <c r="AA2" s="236">
        <v>4873.0</v>
      </c>
      <c r="AB2" s="236">
        <v>50.1721</v>
      </c>
      <c r="AC2" s="236">
        <v>0.5098</v>
      </c>
      <c r="AD2" s="237"/>
      <c r="AE2" s="237"/>
      <c r="AF2" s="237"/>
      <c r="AG2" s="237"/>
      <c r="AH2" s="237"/>
      <c r="AI2" s="236">
        <v>0.0</v>
      </c>
      <c r="AJ2" s="236">
        <v>0.0</v>
      </c>
      <c r="AK2" s="236">
        <v>0.0</v>
      </c>
      <c r="AL2" s="236">
        <v>0.5158</v>
      </c>
      <c r="AM2" s="237"/>
      <c r="AQ2" s="153">
        <v>1.6695</v>
      </c>
      <c r="AR2" s="153">
        <v>0.0941</v>
      </c>
      <c r="AS2" s="153">
        <v>1.5754</v>
      </c>
      <c r="AT2" s="153">
        <v>1.2335</v>
      </c>
      <c r="AU2" s="153">
        <v>0.1332</v>
      </c>
      <c r="AV2" s="153">
        <v>27159.0</v>
      </c>
      <c r="AW2" s="153">
        <v>0.0</v>
      </c>
      <c r="AX2" s="153">
        <v>10.7874</v>
      </c>
      <c r="AY2" s="153">
        <v>27.1734</v>
      </c>
      <c r="AZ2" s="153">
        <v>2.5023</v>
      </c>
      <c r="BA2" s="153">
        <v>7.0212</v>
      </c>
      <c r="BB2" s="153">
        <v>0.1871</v>
      </c>
      <c r="BD2" s="153">
        <v>30160.0</v>
      </c>
      <c r="BE2" s="153">
        <v>0.7941</v>
      </c>
      <c r="BF2" s="153">
        <v>0.0418</v>
      </c>
      <c r="BG2" s="153">
        <v>0.7523</v>
      </c>
      <c r="BH2" s="153">
        <v>0.6335</v>
      </c>
      <c r="BI2" s="153">
        <v>0.0742</v>
      </c>
      <c r="BJ2" s="153">
        <v>0.8754</v>
      </c>
      <c r="BK2" s="153">
        <v>0.0524</v>
      </c>
      <c r="BL2" s="153">
        <v>0.8231</v>
      </c>
      <c r="BM2" s="153">
        <v>0.6</v>
      </c>
      <c r="BN2" s="153">
        <v>0.0655</v>
      </c>
      <c r="BO2" s="153">
        <v>0.2865</v>
      </c>
      <c r="BP2" s="153">
        <v>0.0143</v>
      </c>
      <c r="BQ2" s="153">
        <v>0.2722</v>
      </c>
      <c r="BR2" s="153">
        <v>0.2452</v>
      </c>
      <c r="BS2" s="153">
        <v>0.3071</v>
      </c>
      <c r="BT2" s="153">
        <v>0.0134</v>
      </c>
      <c r="BU2" s="153">
        <v>0.2937</v>
      </c>
      <c r="BV2" s="153">
        <v>0.2315</v>
      </c>
      <c r="BW2" s="153">
        <v>0.2004</v>
      </c>
      <c r="BX2" s="153">
        <v>0.014</v>
      </c>
      <c r="BY2" s="153">
        <v>0.1864</v>
      </c>
      <c r="BZ2" s="153">
        <v>0.1568</v>
      </c>
      <c r="CA2" s="153">
        <v>0.1627</v>
      </c>
      <c r="CB2" s="153">
        <v>0.0138</v>
      </c>
      <c r="CC2" s="153">
        <v>0.1489</v>
      </c>
      <c r="CD2" s="153">
        <v>0.1354</v>
      </c>
      <c r="CE2" s="153">
        <v>0.4025</v>
      </c>
      <c r="CF2" s="153">
        <v>0.0216</v>
      </c>
      <c r="CG2" s="153">
        <v>0.3809</v>
      </c>
      <c r="CH2" s="153">
        <v>0.2427</v>
      </c>
      <c r="CI2" s="153">
        <v>0.3101</v>
      </c>
      <c r="CJ2" s="153">
        <v>0.017</v>
      </c>
      <c r="CK2" s="153">
        <v>0.2932</v>
      </c>
      <c r="CL2" s="153">
        <v>0.2219</v>
      </c>
      <c r="CM2" s="153">
        <v>137.5898</v>
      </c>
      <c r="CN2" s="153">
        <v>15.8</v>
      </c>
      <c r="CO2" s="153">
        <v>870.86</v>
      </c>
      <c r="CP2" s="153">
        <v>132.0392</v>
      </c>
      <c r="CQ2" s="153">
        <v>0.0</v>
      </c>
      <c r="CR2" s="153">
        <v>2.9336</v>
      </c>
      <c r="CS2" s="153">
        <v>2.6155</v>
      </c>
      <c r="CT2" s="153">
        <v>0.0</v>
      </c>
      <c r="CV2" s="153">
        <v>0.0</v>
      </c>
      <c r="CW2" s="153">
        <v>47.6666</v>
      </c>
      <c r="CX2" s="153">
        <v>0.0</v>
      </c>
      <c r="CY2" s="153">
        <v>0.0</v>
      </c>
      <c r="CZ2" s="153">
        <v>35.2689</v>
      </c>
      <c r="DA2" s="153">
        <v>1.3603</v>
      </c>
      <c r="DB2" s="153">
        <v>33.9113</v>
      </c>
      <c r="DC2" s="153">
        <v>30.8068</v>
      </c>
      <c r="DD2" s="153">
        <v>0.5592</v>
      </c>
      <c r="DE2" s="153">
        <v>30.2464</v>
      </c>
      <c r="DF2" s="153">
        <v>2.0632</v>
      </c>
      <c r="DG2" s="153">
        <v>0.2638</v>
      </c>
      <c r="DH2" s="153">
        <v>1.7956</v>
      </c>
      <c r="DI2" s="153">
        <v>1.6414</v>
      </c>
      <c r="DJ2" s="153">
        <v>0.2638</v>
      </c>
      <c r="DK2" s="153">
        <v>1.3745</v>
      </c>
      <c r="DL2" s="153">
        <v>0.7607</v>
      </c>
      <c r="DM2" s="153">
        <v>0.2638</v>
      </c>
      <c r="DN2" s="153">
        <v>0.4934</v>
      </c>
      <c r="DO2" s="153">
        <v>37219.0</v>
      </c>
      <c r="DP2" s="250">
        <v>46255.0</v>
      </c>
      <c r="DQ2" s="250">
        <v>46260.0</v>
      </c>
      <c r="DR2" s="153">
        <v>6.0</v>
      </c>
      <c r="DS2" s="153">
        <v>217.0</v>
      </c>
      <c r="DT2" s="153">
        <v>0.126</v>
      </c>
      <c r="DU2" s="153">
        <v>193.0</v>
      </c>
      <c r="DV2" s="153">
        <v>199.0</v>
      </c>
      <c r="DW2" s="153">
        <v>0.0</v>
      </c>
      <c r="DX2" s="153">
        <v>65.32</v>
      </c>
      <c r="DY2" s="153">
        <v>188.55</v>
      </c>
      <c r="DZ2" s="153">
        <v>219919.0</v>
      </c>
      <c r="EA2" s="153">
        <v>344612.0</v>
      </c>
    </row>
    <row r="3">
      <c r="A3" s="236" t="s">
        <v>4</v>
      </c>
      <c r="B3" s="236" t="s">
        <v>133</v>
      </c>
      <c r="C3" s="236" t="b">
        <v>0</v>
      </c>
      <c r="D3" s="236">
        <v>31949.0</v>
      </c>
      <c r="E3" s="236">
        <v>28.39</v>
      </c>
      <c r="F3" s="236">
        <v>1483.5</v>
      </c>
      <c r="G3" s="236">
        <v>0.0284</v>
      </c>
      <c r="H3" s="236">
        <v>1.42</v>
      </c>
      <c r="I3" s="236">
        <v>3.2604</v>
      </c>
      <c r="J3" s="236">
        <v>22.4485</v>
      </c>
      <c r="K3" s="236">
        <v>11.6488</v>
      </c>
      <c r="L3" s="236">
        <v>5.2682</v>
      </c>
      <c r="M3" s="236">
        <v>0.4522</v>
      </c>
      <c r="N3" s="236">
        <v>0.6544</v>
      </c>
      <c r="O3" s="236">
        <v>0.3952</v>
      </c>
      <c r="P3" s="236">
        <v>2.2116</v>
      </c>
      <c r="Q3" s="236">
        <v>46.3586</v>
      </c>
      <c r="R3" s="236">
        <v>42.0459</v>
      </c>
      <c r="S3" s="236">
        <v>4.317</v>
      </c>
      <c r="T3" s="236">
        <v>2.1584</v>
      </c>
      <c r="U3" s="236">
        <v>44.2002</v>
      </c>
      <c r="V3" s="236">
        <v>44.9828</v>
      </c>
      <c r="W3" s="236">
        <v>3.8607</v>
      </c>
      <c r="X3" s="236">
        <v>4.66</v>
      </c>
      <c r="Y3" s="236">
        <v>171.0</v>
      </c>
      <c r="Z3" s="236">
        <v>341.0</v>
      </c>
      <c r="AA3" s="236">
        <v>1318.0</v>
      </c>
      <c r="AB3" s="236">
        <v>49.8786</v>
      </c>
      <c r="AC3" s="236">
        <v>0.5819</v>
      </c>
      <c r="AD3" s="236">
        <v>4.0603</v>
      </c>
      <c r="AE3" s="236">
        <v>1.0</v>
      </c>
      <c r="AF3" s="236">
        <v>3.0</v>
      </c>
      <c r="AG3" s="236">
        <v>5.0</v>
      </c>
      <c r="AH3" s="236">
        <v>8.0</v>
      </c>
      <c r="AI3" s="236">
        <v>74.7463</v>
      </c>
      <c r="AJ3" s="236">
        <v>34.1615</v>
      </c>
      <c r="AK3" s="236">
        <v>6.9474</v>
      </c>
      <c r="AL3" s="236">
        <v>0.4857</v>
      </c>
      <c r="AM3" s="237"/>
      <c r="AQ3" s="153">
        <v>3.2705</v>
      </c>
      <c r="AR3" s="153">
        <v>0.0458</v>
      </c>
      <c r="AS3" s="153">
        <v>3.2246</v>
      </c>
      <c r="AT3" s="153">
        <v>2.7298</v>
      </c>
      <c r="AU3" s="153">
        <v>0.2343</v>
      </c>
      <c r="AV3" s="153">
        <v>31949.0</v>
      </c>
      <c r="AW3" s="153">
        <v>0.0</v>
      </c>
      <c r="AX3" s="153">
        <v>21.2302</v>
      </c>
      <c r="AY3" s="153">
        <v>20.2722</v>
      </c>
      <c r="AZ3" s="153">
        <v>2.2282</v>
      </c>
      <c r="BA3" s="153">
        <v>2.1584</v>
      </c>
      <c r="BB3" s="153">
        <v>0.4681</v>
      </c>
      <c r="BC3" s="153">
        <v>17.0</v>
      </c>
      <c r="BD3" s="153">
        <v>20489.0</v>
      </c>
      <c r="BE3" s="153">
        <v>2.0764</v>
      </c>
      <c r="BF3" s="153">
        <v>0.0285</v>
      </c>
      <c r="BG3" s="153">
        <v>2.0479</v>
      </c>
      <c r="BH3" s="153">
        <v>1.5679</v>
      </c>
      <c r="BI3" s="153">
        <v>0.1352</v>
      </c>
      <c r="BJ3" s="153">
        <v>1.1941</v>
      </c>
      <c r="BK3" s="153">
        <v>0.0174</v>
      </c>
      <c r="BL3" s="153">
        <v>1.1767</v>
      </c>
      <c r="BM3" s="153">
        <v>1.162</v>
      </c>
      <c r="BN3" s="153">
        <v>0.0996</v>
      </c>
      <c r="BO3" s="153">
        <v>0.8324</v>
      </c>
      <c r="BP3" s="153">
        <v>0.0103</v>
      </c>
      <c r="BQ3" s="153">
        <v>0.822</v>
      </c>
      <c r="BR3" s="153">
        <v>0.6358</v>
      </c>
      <c r="BS3" s="153">
        <v>0.8449</v>
      </c>
      <c r="BT3" s="153">
        <v>0.0067</v>
      </c>
      <c r="BU3" s="153">
        <v>0.8382</v>
      </c>
      <c r="BV3" s="153">
        <v>0.5944</v>
      </c>
      <c r="BW3" s="153">
        <v>0.3991</v>
      </c>
      <c r="BX3" s="153">
        <v>0.0114</v>
      </c>
      <c r="BY3" s="153">
        <v>0.3877</v>
      </c>
      <c r="BZ3" s="153">
        <v>0.3377</v>
      </c>
      <c r="CA3" s="153">
        <v>0.2376</v>
      </c>
      <c r="CB3" s="153">
        <v>0.0039</v>
      </c>
      <c r="CC3" s="153">
        <v>0.2337</v>
      </c>
      <c r="CD3" s="153">
        <v>0.2351</v>
      </c>
      <c r="CE3" s="153">
        <v>0.5314</v>
      </c>
      <c r="CF3" s="153">
        <v>0.0069</v>
      </c>
      <c r="CG3" s="153">
        <v>0.5245</v>
      </c>
      <c r="CH3" s="153">
        <v>0.504</v>
      </c>
      <c r="CI3" s="153">
        <v>0.4251</v>
      </c>
      <c r="CJ3" s="153">
        <v>0.0066</v>
      </c>
      <c r="CK3" s="153">
        <v>0.4186</v>
      </c>
      <c r="CL3" s="153">
        <v>0.4228</v>
      </c>
      <c r="CM3" s="153">
        <v>124.7217</v>
      </c>
      <c r="CN3" s="153">
        <v>75.82</v>
      </c>
      <c r="CO3" s="153">
        <v>164.49</v>
      </c>
      <c r="CP3" s="153">
        <v>117.5452</v>
      </c>
      <c r="CQ3" s="153">
        <v>0.0</v>
      </c>
      <c r="CR3" s="153">
        <v>5.0783</v>
      </c>
      <c r="CS3" s="153">
        <v>2.0989</v>
      </c>
      <c r="CT3" s="153">
        <v>0.0</v>
      </c>
      <c r="CV3" s="153">
        <v>0.0</v>
      </c>
      <c r="CW3" s="153">
        <v>46.3586</v>
      </c>
      <c r="CX3" s="153">
        <v>0.0</v>
      </c>
      <c r="CY3" s="153">
        <v>0.0</v>
      </c>
      <c r="CZ3" s="153">
        <v>77.8685</v>
      </c>
      <c r="DA3" s="153">
        <v>0.5169</v>
      </c>
      <c r="DB3" s="153">
        <v>77.3495</v>
      </c>
      <c r="DC3" s="153">
        <v>71.4163</v>
      </c>
      <c r="DD3" s="153">
        <v>0.1464</v>
      </c>
      <c r="DE3" s="153">
        <v>71.2669</v>
      </c>
      <c r="DF3" s="153">
        <v>3.2788</v>
      </c>
      <c r="DG3" s="153">
        <v>0.1256</v>
      </c>
      <c r="DH3" s="153">
        <v>3.1582</v>
      </c>
      <c r="DI3" s="153">
        <v>2.6904</v>
      </c>
      <c r="DJ3" s="153">
        <v>0.1256</v>
      </c>
      <c r="DK3" s="153">
        <v>2.5699</v>
      </c>
      <c r="DL3" s="153">
        <v>0.4809</v>
      </c>
      <c r="DM3" s="153">
        <v>0.1256</v>
      </c>
      <c r="DN3" s="153">
        <v>0.3581</v>
      </c>
      <c r="DO3" s="153">
        <v>52186.0</v>
      </c>
      <c r="DP3" s="250">
        <v>46255.0</v>
      </c>
      <c r="DQ3" s="250">
        <v>46260.0</v>
      </c>
      <c r="DR3" s="153">
        <v>6.0</v>
      </c>
      <c r="DS3" s="153">
        <v>455.0</v>
      </c>
      <c r="DT3" s="153">
        <v>0.0464</v>
      </c>
      <c r="DU3" s="153">
        <v>154.0</v>
      </c>
      <c r="DV3" s="153">
        <v>198.0</v>
      </c>
      <c r="DW3" s="153">
        <v>0.0</v>
      </c>
      <c r="DX3" s="153">
        <v>75.72</v>
      </c>
      <c r="DY3" s="153">
        <v>203.72</v>
      </c>
      <c r="DZ3" s="153">
        <v>274933.0</v>
      </c>
      <c r="EA3" s="153">
        <v>608040.0</v>
      </c>
    </row>
    <row r="4">
      <c r="A4" s="236" t="s">
        <v>4</v>
      </c>
      <c r="B4" s="236" t="s">
        <v>134</v>
      </c>
      <c r="C4" s="236" t="b">
        <v>0</v>
      </c>
      <c r="D4" s="236">
        <v>22548.0</v>
      </c>
      <c r="E4" s="236">
        <v>22.45</v>
      </c>
      <c r="F4" s="236">
        <v>4052.57</v>
      </c>
      <c r="G4" s="236">
        <v>0.0982</v>
      </c>
      <c r="H4" s="236">
        <v>3.77</v>
      </c>
      <c r="I4" s="236">
        <v>4.7677</v>
      </c>
      <c r="J4" s="236">
        <v>45.1077</v>
      </c>
      <c r="K4" s="236">
        <v>24.3661</v>
      </c>
      <c r="L4" s="236">
        <v>13.8288</v>
      </c>
      <c r="M4" s="236">
        <v>0.5675</v>
      </c>
      <c r="N4" s="236">
        <v>0.5598</v>
      </c>
      <c r="O4" s="236">
        <v>0.3353</v>
      </c>
      <c r="P4" s="236">
        <v>1.7622</v>
      </c>
      <c r="Q4" s="236">
        <v>98.2614</v>
      </c>
      <c r="R4" s="236">
        <v>86.1728</v>
      </c>
      <c r="S4" s="236">
        <v>12.093</v>
      </c>
      <c r="T4" s="236">
        <v>7.5153</v>
      </c>
      <c r="U4" s="236">
        <v>90.7506</v>
      </c>
      <c r="V4" s="236">
        <v>101.6472</v>
      </c>
      <c r="W4" s="236">
        <v>4.1716</v>
      </c>
      <c r="X4" s="236">
        <v>7.65</v>
      </c>
      <c r="Y4" s="236">
        <v>134.0</v>
      </c>
      <c r="Z4" s="236">
        <v>375.0</v>
      </c>
      <c r="AA4" s="236">
        <v>1446.0</v>
      </c>
      <c r="AB4" s="236">
        <v>51.8564</v>
      </c>
      <c r="AC4" s="236">
        <v>0.6538</v>
      </c>
      <c r="AD4" s="236">
        <v>9.4596</v>
      </c>
      <c r="AE4" s="236">
        <v>4.0</v>
      </c>
      <c r="AF4" s="236">
        <v>8.0</v>
      </c>
      <c r="AG4" s="236">
        <v>13.0</v>
      </c>
      <c r="AH4" s="236">
        <v>19.0</v>
      </c>
      <c r="AI4" s="236">
        <v>64.9039</v>
      </c>
      <c r="AJ4" s="236">
        <v>26.416</v>
      </c>
      <c r="AK4" s="236">
        <v>3.5213</v>
      </c>
      <c r="AL4" s="236">
        <v>0.3331</v>
      </c>
      <c r="AM4" s="237"/>
      <c r="AQ4" s="153">
        <v>6.5195</v>
      </c>
      <c r="AR4" s="153">
        <v>0.1521</v>
      </c>
      <c r="AS4" s="153">
        <v>6.3675</v>
      </c>
      <c r="AT4" s="153">
        <v>5.781</v>
      </c>
      <c r="AU4" s="153">
        <v>0.2373</v>
      </c>
      <c r="AV4" s="153">
        <v>22548.0</v>
      </c>
      <c r="AW4" s="153">
        <v>0.0</v>
      </c>
      <c r="AX4" s="153">
        <v>40.2856</v>
      </c>
      <c r="AY4" s="153">
        <v>46.0838</v>
      </c>
      <c r="AZ4" s="153">
        <v>3.1388</v>
      </c>
      <c r="BA4" s="153">
        <v>7.5153</v>
      </c>
      <c r="BB4" s="153">
        <v>1.2388</v>
      </c>
      <c r="BC4" s="153">
        <v>34.0</v>
      </c>
      <c r="BD4" s="153">
        <v>21276.0</v>
      </c>
      <c r="BE4" s="153">
        <v>4.0184</v>
      </c>
      <c r="BF4" s="153">
        <v>0.0989</v>
      </c>
      <c r="BG4" s="153">
        <v>3.9195</v>
      </c>
      <c r="BH4" s="153">
        <v>3.2714</v>
      </c>
      <c r="BI4" s="153">
        <v>0.1348</v>
      </c>
      <c r="BJ4" s="153">
        <v>2.5011</v>
      </c>
      <c r="BK4" s="153">
        <v>0.0532</v>
      </c>
      <c r="BL4" s="153">
        <v>2.4479</v>
      </c>
      <c r="BM4" s="153">
        <v>2.5097</v>
      </c>
      <c r="BN4" s="153">
        <v>0.1032</v>
      </c>
      <c r="BO4" s="153">
        <v>1.5794</v>
      </c>
      <c r="BP4" s="153">
        <v>0.0308</v>
      </c>
      <c r="BQ4" s="153">
        <v>1.5486</v>
      </c>
      <c r="BR4" s="153">
        <v>1.2822</v>
      </c>
      <c r="BS4" s="153">
        <v>1.5635</v>
      </c>
      <c r="BT4" s="153">
        <v>0.0257</v>
      </c>
      <c r="BU4" s="153">
        <v>1.5378</v>
      </c>
      <c r="BV4" s="153">
        <v>1.2271</v>
      </c>
      <c r="BW4" s="153">
        <v>0.8755</v>
      </c>
      <c r="BX4" s="153">
        <v>0.0423</v>
      </c>
      <c r="BY4" s="153">
        <v>0.8332</v>
      </c>
      <c r="BZ4" s="153">
        <v>0.762</v>
      </c>
      <c r="CA4" s="153">
        <v>0.5188</v>
      </c>
      <c r="CB4" s="153">
        <v>0.0136</v>
      </c>
      <c r="CC4" s="153">
        <v>0.5052</v>
      </c>
      <c r="CD4" s="153">
        <v>0.5354</v>
      </c>
      <c r="CE4" s="153">
        <v>1.0325</v>
      </c>
      <c r="CF4" s="153">
        <v>0.0211</v>
      </c>
      <c r="CG4" s="153">
        <v>1.0114</v>
      </c>
      <c r="CH4" s="153">
        <v>1.0139</v>
      </c>
      <c r="CI4" s="153">
        <v>0.9499</v>
      </c>
      <c r="CJ4" s="153">
        <v>0.0186</v>
      </c>
      <c r="CK4" s="153">
        <v>0.9313</v>
      </c>
      <c r="CL4" s="153">
        <v>0.9604</v>
      </c>
      <c r="CM4" s="153">
        <v>257.7298</v>
      </c>
      <c r="CN4" s="153">
        <v>89.72</v>
      </c>
      <c r="CO4" s="153">
        <v>287.26</v>
      </c>
      <c r="CP4" s="153">
        <v>242.5884</v>
      </c>
      <c r="CQ4" s="153">
        <v>0.0014</v>
      </c>
      <c r="CR4" s="153">
        <v>6.6946</v>
      </c>
      <c r="CS4" s="153">
        <v>8.4468</v>
      </c>
      <c r="CT4" s="153">
        <v>0.0</v>
      </c>
      <c r="CV4" s="153">
        <v>0.0</v>
      </c>
      <c r="CW4" s="153">
        <v>98.2614</v>
      </c>
      <c r="CX4" s="153">
        <v>0.0</v>
      </c>
      <c r="CY4" s="153">
        <v>0.0014</v>
      </c>
      <c r="CZ4" s="153">
        <v>129.987</v>
      </c>
      <c r="DA4" s="153">
        <v>1.9285</v>
      </c>
      <c r="DB4" s="153">
        <v>128.0584</v>
      </c>
      <c r="DC4" s="153">
        <v>120.2746</v>
      </c>
      <c r="DD4" s="153">
        <v>0.5968</v>
      </c>
      <c r="DE4" s="153">
        <v>119.6792</v>
      </c>
      <c r="DF4" s="153">
        <v>4.6823</v>
      </c>
      <c r="DG4" s="153">
        <v>0.4444</v>
      </c>
      <c r="DH4" s="153">
        <v>4.2379</v>
      </c>
      <c r="DI4" s="153">
        <v>3.8711</v>
      </c>
      <c r="DJ4" s="153">
        <v>0.4444</v>
      </c>
      <c r="DK4" s="153">
        <v>3.4267</v>
      </c>
      <c r="DL4" s="153">
        <v>1.1597</v>
      </c>
      <c r="DM4" s="153">
        <v>0.4444</v>
      </c>
      <c r="DN4" s="153">
        <v>0.7168</v>
      </c>
      <c r="DO4" s="153">
        <v>41272.0</v>
      </c>
      <c r="DP4" s="250">
        <v>46255.0</v>
      </c>
      <c r="DQ4" s="250">
        <v>46260.0</v>
      </c>
      <c r="DR4" s="153">
        <v>6.0</v>
      </c>
      <c r="DS4" s="153">
        <v>850.0</v>
      </c>
      <c r="DT4" s="153">
        <v>0.1797</v>
      </c>
      <c r="DU4" s="153">
        <v>80.0</v>
      </c>
      <c r="DV4" s="153">
        <v>219.0</v>
      </c>
      <c r="DW4" s="153">
        <v>0.0</v>
      </c>
      <c r="DX4" s="153">
        <v>179.86</v>
      </c>
      <c r="DY4" s="153">
        <v>471.75</v>
      </c>
      <c r="DZ4" s="153">
        <v>570659.0</v>
      </c>
      <c r="EA4" s="153">
        <v>1005643.0</v>
      </c>
    </row>
    <row r="5">
      <c r="A5" s="236" t="s">
        <v>4</v>
      </c>
      <c r="B5" s="236" t="s">
        <v>135</v>
      </c>
      <c r="C5" s="236" t="b">
        <v>0</v>
      </c>
      <c r="D5" s="236">
        <v>15658.0</v>
      </c>
      <c r="E5" s="236">
        <v>17.53</v>
      </c>
      <c r="F5" s="236">
        <v>6915.24</v>
      </c>
      <c r="G5" s="236">
        <v>0.2146</v>
      </c>
      <c r="H5" s="236">
        <v>5.91</v>
      </c>
      <c r="I5" s="236">
        <v>7.4759</v>
      </c>
      <c r="J5" s="236">
        <v>68.7651</v>
      </c>
      <c r="K5" s="236">
        <v>39.0553</v>
      </c>
      <c r="L5" s="236">
        <v>26.0643</v>
      </c>
      <c r="M5" s="236">
        <v>0.6673</v>
      </c>
      <c r="N5" s="236">
        <v>0.4691</v>
      </c>
      <c r="O5" s="236">
        <v>0.2902</v>
      </c>
      <c r="P5" s="236">
        <v>1.4985</v>
      </c>
      <c r="Q5" s="236">
        <v>168.4599</v>
      </c>
      <c r="R5" s="236">
        <v>145.4102</v>
      </c>
      <c r="S5" s="236">
        <v>23.0511</v>
      </c>
      <c r="T5" s="236">
        <v>15.5469</v>
      </c>
      <c r="U5" s="236">
        <v>152.9125</v>
      </c>
      <c r="V5" s="236">
        <v>175.9318</v>
      </c>
      <c r="W5" s="236">
        <v>4.5048</v>
      </c>
      <c r="X5" s="236">
        <v>9.23</v>
      </c>
      <c r="Y5" s="236">
        <v>123.0</v>
      </c>
      <c r="Z5" s="236">
        <v>399.0</v>
      </c>
      <c r="AA5" s="236">
        <v>1279.0</v>
      </c>
      <c r="AB5" s="236">
        <v>53.7296</v>
      </c>
      <c r="AC5" s="236">
        <v>0.7351</v>
      </c>
      <c r="AD5" s="236">
        <v>16.6392</v>
      </c>
      <c r="AE5" s="236">
        <v>7.0</v>
      </c>
      <c r="AF5" s="236">
        <v>13.0</v>
      </c>
      <c r="AG5" s="236">
        <v>23.0</v>
      </c>
      <c r="AH5" s="236">
        <v>34.0</v>
      </c>
      <c r="AI5" s="236">
        <v>58.9197</v>
      </c>
      <c r="AJ5" s="236">
        <v>20.5199</v>
      </c>
      <c r="AK5" s="236">
        <v>4.9196</v>
      </c>
      <c r="AL5" s="236">
        <v>0.2546</v>
      </c>
      <c r="AM5" s="237"/>
      <c r="AQ5" s="153">
        <v>10.14</v>
      </c>
      <c r="AR5" s="153">
        <v>0.2666</v>
      </c>
      <c r="AS5" s="153">
        <v>9.8733</v>
      </c>
      <c r="AT5" s="153">
        <v>9.2969</v>
      </c>
      <c r="AU5" s="153">
        <v>0.2381</v>
      </c>
      <c r="AV5" s="153">
        <v>15658.0</v>
      </c>
      <c r="AW5" s="153">
        <v>0.0</v>
      </c>
      <c r="AX5" s="153">
        <v>65.9816</v>
      </c>
      <c r="AY5" s="153">
        <v>81.5307</v>
      </c>
      <c r="AZ5" s="153">
        <v>3.1028</v>
      </c>
      <c r="BA5" s="153">
        <v>15.5469</v>
      </c>
      <c r="BB5" s="153">
        <v>2.3003</v>
      </c>
      <c r="BC5" s="153">
        <v>61.0</v>
      </c>
      <c r="BD5" s="153">
        <v>17552.0</v>
      </c>
      <c r="BE5" s="153">
        <v>6.1457</v>
      </c>
      <c r="BF5" s="153">
        <v>0.1531</v>
      </c>
      <c r="BG5" s="153">
        <v>5.9926</v>
      </c>
      <c r="BH5" s="153">
        <v>5.0832</v>
      </c>
      <c r="BI5" s="153">
        <v>0.1302</v>
      </c>
      <c r="BJ5" s="153">
        <v>3.9943</v>
      </c>
      <c r="BK5" s="153">
        <v>0.1135</v>
      </c>
      <c r="BL5" s="153">
        <v>3.8808</v>
      </c>
      <c r="BM5" s="153">
        <v>4.2137</v>
      </c>
      <c r="BN5" s="153">
        <v>0.1079</v>
      </c>
      <c r="BO5" s="153">
        <v>2.2486</v>
      </c>
      <c r="BP5" s="153">
        <v>0.047</v>
      </c>
      <c r="BQ5" s="153">
        <v>2.2015</v>
      </c>
      <c r="BR5" s="153">
        <v>1.8683</v>
      </c>
      <c r="BS5" s="153">
        <v>2.3501</v>
      </c>
      <c r="BT5" s="153">
        <v>0.0474</v>
      </c>
      <c r="BU5" s="153">
        <v>2.3027</v>
      </c>
      <c r="BV5" s="153">
        <v>1.9102</v>
      </c>
      <c r="BW5" s="153">
        <v>1.547</v>
      </c>
      <c r="BX5" s="153">
        <v>0.0587</v>
      </c>
      <c r="BY5" s="153">
        <v>1.4883</v>
      </c>
      <c r="BZ5" s="153">
        <v>1.3047</v>
      </c>
      <c r="CA5" s="153">
        <v>0.9152</v>
      </c>
      <c r="CB5" s="153">
        <v>0.031</v>
      </c>
      <c r="CC5" s="153">
        <v>0.8842</v>
      </c>
      <c r="CD5" s="153">
        <v>1.062</v>
      </c>
      <c r="CE5" s="153">
        <v>1.4835</v>
      </c>
      <c r="CF5" s="153">
        <v>0.0438</v>
      </c>
      <c r="CG5" s="153">
        <v>1.4397</v>
      </c>
      <c r="CH5" s="153">
        <v>1.5093</v>
      </c>
      <c r="CI5" s="153">
        <v>1.5957</v>
      </c>
      <c r="CJ5" s="153">
        <v>0.0387</v>
      </c>
      <c r="CK5" s="153">
        <v>1.5569</v>
      </c>
      <c r="CL5" s="153">
        <v>1.6424</v>
      </c>
      <c r="CM5" s="153">
        <v>476.5798</v>
      </c>
      <c r="CN5" s="153">
        <v>95.92</v>
      </c>
      <c r="CO5" s="153">
        <v>496.85</v>
      </c>
      <c r="CP5" s="153">
        <v>454.1568</v>
      </c>
      <c r="CQ5" s="153">
        <v>0.0</v>
      </c>
      <c r="CR5" s="153">
        <v>8.2776</v>
      </c>
      <c r="CS5" s="153">
        <v>14.1453</v>
      </c>
      <c r="CT5" s="153">
        <v>0.0</v>
      </c>
      <c r="CV5" s="153">
        <v>0.0</v>
      </c>
      <c r="CW5" s="153">
        <v>168.4599</v>
      </c>
      <c r="CX5" s="153">
        <v>0.0</v>
      </c>
      <c r="CY5" s="153">
        <v>0.0</v>
      </c>
      <c r="CZ5" s="153">
        <v>191.1099</v>
      </c>
      <c r="DA5" s="153">
        <v>3.4168</v>
      </c>
      <c r="DB5" s="153">
        <v>187.6938</v>
      </c>
      <c r="DC5" s="153">
        <v>177.0957</v>
      </c>
      <c r="DD5" s="153">
        <v>1.1217</v>
      </c>
      <c r="DE5" s="153">
        <v>175.9734</v>
      </c>
      <c r="DF5" s="153">
        <v>7.2478</v>
      </c>
      <c r="DG5" s="153">
        <v>0.7651</v>
      </c>
      <c r="DH5" s="153">
        <v>6.4827</v>
      </c>
      <c r="DI5" s="153">
        <v>4.8558</v>
      </c>
      <c r="DJ5" s="153">
        <v>0.7651</v>
      </c>
      <c r="DK5" s="153">
        <v>4.0887</v>
      </c>
      <c r="DL5" s="153">
        <v>1.9107</v>
      </c>
      <c r="DM5" s="153">
        <v>0.7651</v>
      </c>
      <c r="DN5" s="153">
        <v>1.147</v>
      </c>
      <c r="DO5" s="153">
        <v>32231.0</v>
      </c>
      <c r="DP5" s="250">
        <v>46255.0</v>
      </c>
      <c r="DQ5" s="250">
        <v>46260.0</v>
      </c>
      <c r="DR5" s="153">
        <v>6.0</v>
      </c>
      <c r="DS5" s="153">
        <v>925.0</v>
      </c>
      <c r="DT5" s="153">
        <v>0.4416</v>
      </c>
      <c r="DU5" s="153">
        <v>65.0</v>
      </c>
      <c r="DV5" s="153">
        <v>257.0</v>
      </c>
      <c r="DW5" s="153">
        <v>0.0</v>
      </c>
      <c r="DX5" s="153">
        <v>346.76</v>
      </c>
      <c r="DY5" s="153">
        <v>981.01</v>
      </c>
      <c r="DZ5" s="153">
        <v>840024.0</v>
      </c>
      <c r="EA5" s="153">
        <v>1258761.0</v>
      </c>
    </row>
    <row r="6">
      <c r="A6" s="236" t="s">
        <v>4</v>
      </c>
      <c r="B6" s="236" t="s">
        <v>136</v>
      </c>
      <c r="C6" s="236" t="b">
        <v>0</v>
      </c>
      <c r="D6" s="236">
        <v>7577.0</v>
      </c>
      <c r="E6" s="236">
        <v>9.93</v>
      </c>
      <c r="F6" s="236">
        <v>8534.93</v>
      </c>
      <c r="G6" s="236">
        <v>0.4675</v>
      </c>
      <c r="H6" s="236">
        <v>9.19</v>
      </c>
      <c r="I6" s="236">
        <v>12.2628</v>
      </c>
      <c r="J6" s="236">
        <v>120.5326</v>
      </c>
      <c r="K6" s="236">
        <v>72.5156</v>
      </c>
      <c r="L6" s="236">
        <v>53.1367</v>
      </c>
      <c r="M6" s="236">
        <v>0.7328</v>
      </c>
      <c r="N6" s="236">
        <v>0.399</v>
      </c>
      <c r="O6" s="236">
        <v>0.2508</v>
      </c>
      <c r="P6" s="236">
        <v>1.3647</v>
      </c>
      <c r="Q6" s="236">
        <v>312.7207</v>
      </c>
      <c r="R6" s="236">
        <v>265.7596</v>
      </c>
      <c r="S6" s="236">
        <v>46.9617</v>
      </c>
      <c r="T6" s="236">
        <v>38.6441</v>
      </c>
      <c r="U6" s="236">
        <v>274.0766</v>
      </c>
      <c r="V6" s="236">
        <v>326.3091</v>
      </c>
      <c r="W6" s="236">
        <v>4.4999</v>
      </c>
      <c r="X6" s="236">
        <v>12.36</v>
      </c>
      <c r="Y6" s="236">
        <v>118.0</v>
      </c>
      <c r="Z6" s="236">
        <v>479.0</v>
      </c>
      <c r="AA6" s="236">
        <v>1624.0</v>
      </c>
      <c r="AB6" s="236">
        <v>55.6997</v>
      </c>
      <c r="AC6" s="236">
        <v>0.7821</v>
      </c>
      <c r="AD6" s="236">
        <v>30.5056</v>
      </c>
      <c r="AE6" s="236">
        <v>12.0</v>
      </c>
      <c r="AF6" s="236">
        <v>23.0</v>
      </c>
      <c r="AG6" s="236">
        <v>41.0</v>
      </c>
      <c r="AH6" s="236">
        <v>63.0</v>
      </c>
      <c r="AI6" s="236">
        <v>42.3599</v>
      </c>
      <c r="AJ6" s="236">
        <v>11.7636</v>
      </c>
      <c r="AK6" s="236">
        <v>2.4814</v>
      </c>
      <c r="AL6" s="236">
        <v>0.1755</v>
      </c>
      <c r="AM6" s="237"/>
      <c r="AQ6" s="153">
        <v>16.7868</v>
      </c>
      <c r="AR6" s="153">
        <v>0.499</v>
      </c>
      <c r="AS6" s="153">
        <v>16.2878</v>
      </c>
      <c r="AT6" s="153">
        <v>16.2839</v>
      </c>
      <c r="AU6" s="153">
        <v>0.2246</v>
      </c>
      <c r="AV6" s="153">
        <v>7577.0</v>
      </c>
      <c r="AW6" s="153">
        <v>0.0</v>
      </c>
      <c r="AX6" s="153">
        <v>119.9296</v>
      </c>
      <c r="AY6" s="153">
        <v>144.5647</v>
      </c>
      <c r="AZ6" s="153">
        <v>4.369</v>
      </c>
      <c r="BA6" s="153">
        <v>38.6381</v>
      </c>
      <c r="BB6" s="153">
        <v>5.2123</v>
      </c>
      <c r="BC6" s="153">
        <v>124.0</v>
      </c>
      <c r="BD6" s="153">
        <v>17695.0</v>
      </c>
      <c r="BE6" s="153">
        <v>9.7241</v>
      </c>
      <c r="BF6" s="153">
        <v>0.2219</v>
      </c>
      <c r="BG6" s="153">
        <v>9.5023</v>
      </c>
      <c r="BH6" s="153">
        <v>8.4508</v>
      </c>
      <c r="BI6" s="153">
        <v>0.1165</v>
      </c>
      <c r="BJ6" s="153">
        <v>7.0627</v>
      </c>
      <c r="BK6" s="153">
        <v>0.2772</v>
      </c>
      <c r="BL6" s="153">
        <v>6.7855</v>
      </c>
      <c r="BM6" s="153">
        <v>7.8331</v>
      </c>
      <c r="BN6" s="153">
        <v>0.108</v>
      </c>
      <c r="BO6" s="153">
        <v>3.4209</v>
      </c>
      <c r="BP6" s="153">
        <v>0.07</v>
      </c>
      <c r="BQ6" s="153">
        <v>3.3509</v>
      </c>
      <c r="BR6" s="153">
        <v>2.9916</v>
      </c>
      <c r="BS6" s="153">
        <v>3.5735</v>
      </c>
      <c r="BT6" s="153">
        <v>0.0725</v>
      </c>
      <c r="BU6" s="153">
        <v>3.501</v>
      </c>
      <c r="BV6" s="153">
        <v>3.1041</v>
      </c>
      <c r="BW6" s="153">
        <v>2.7297</v>
      </c>
      <c r="BX6" s="153">
        <v>0.0794</v>
      </c>
      <c r="BY6" s="153">
        <v>2.6503</v>
      </c>
      <c r="BZ6" s="153">
        <v>2.3551</v>
      </c>
      <c r="CA6" s="153">
        <v>1.873</v>
      </c>
      <c r="CB6" s="153">
        <v>0.0795</v>
      </c>
      <c r="CC6" s="153">
        <v>1.7935</v>
      </c>
      <c r="CD6" s="153">
        <v>2.3131</v>
      </c>
      <c r="CE6" s="153">
        <v>2.3486</v>
      </c>
      <c r="CF6" s="153">
        <v>0.108</v>
      </c>
      <c r="CG6" s="153">
        <v>2.2406</v>
      </c>
      <c r="CH6" s="153">
        <v>2.4128</v>
      </c>
      <c r="CI6" s="153">
        <v>2.8411</v>
      </c>
      <c r="CJ6" s="153">
        <v>0.0897</v>
      </c>
      <c r="CK6" s="153">
        <v>2.7514</v>
      </c>
      <c r="CL6" s="153">
        <v>3.1072</v>
      </c>
      <c r="CM6" s="153">
        <v>935.1776</v>
      </c>
      <c r="CN6" s="153">
        <v>98.93</v>
      </c>
      <c r="CO6" s="153">
        <v>945.26</v>
      </c>
      <c r="CP6" s="153">
        <v>904.1588</v>
      </c>
      <c r="CQ6" s="153">
        <v>0.0</v>
      </c>
      <c r="CR6" s="153">
        <v>10.6338</v>
      </c>
      <c r="CS6" s="153">
        <v>20.3854</v>
      </c>
      <c r="CT6" s="153">
        <v>0.0</v>
      </c>
      <c r="CV6" s="153">
        <v>0.0</v>
      </c>
      <c r="CW6" s="153">
        <v>312.7207</v>
      </c>
      <c r="CX6" s="153">
        <v>0.0</v>
      </c>
      <c r="CY6" s="153">
        <v>0.0</v>
      </c>
      <c r="CZ6" s="153">
        <v>312.2096</v>
      </c>
      <c r="DA6" s="153">
        <v>6.1767</v>
      </c>
      <c r="DB6" s="153">
        <v>306.0313</v>
      </c>
      <c r="DC6" s="153">
        <v>291.1171</v>
      </c>
      <c r="DD6" s="153">
        <v>2.4397</v>
      </c>
      <c r="DE6" s="153">
        <v>288.6794</v>
      </c>
      <c r="DF6" s="153">
        <v>10.385</v>
      </c>
      <c r="DG6" s="153">
        <v>1.2462</v>
      </c>
      <c r="DH6" s="153">
        <v>9.1388</v>
      </c>
      <c r="DI6" s="153">
        <v>7.5733</v>
      </c>
      <c r="DJ6" s="153">
        <v>1.2462</v>
      </c>
      <c r="DK6" s="153">
        <v>6.3272</v>
      </c>
      <c r="DL6" s="153">
        <v>3.1326</v>
      </c>
      <c r="DM6" s="153">
        <v>1.2462</v>
      </c>
      <c r="DN6" s="153">
        <v>1.8845</v>
      </c>
      <c r="DO6" s="153">
        <v>18255.0</v>
      </c>
      <c r="DP6" s="250">
        <v>46255.0</v>
      </c>
      <c r="DQ6" s="250">
        <v>46260.0</v>
      </c>
      <c r="DR6" s="153">
        <v>6.0</v>
      </c>
      <c r="DS6" s="153">
        <v>696.0</v>
      </c>
      <c r="DT6" s="153">
        <v>1.1264</v>
      </c>
      <c r="DU6" s="153">
        <v>49.0</v>
      </c>
      <c r="DV6" s="153">
        <v>318.0</v>
      </c>
      <c r="DW6" s="153">
        <v>0.0</v>
      </c>
      <c r="DX6" s="153">
        <v>753.43</v>
      </c>
      <c r="DY6" s="153">
        <v>2253.09</v>
      </c>
      <c r="DZ6" s="153">
        <v>969992.0</v>
      </c>
      <c r="EA6" s="153">
        <v>1323755.0</v>
      </c>
    </row>
    <row r="7">
      <c r="A7" s="236" t="s">
        <v>4</v>
      </c>
      <c r="B7" s="236" t="s">
        <v>137</v>
      </c>
      <c r="C7" s="236" t="b">
        <v>0</v>
      </c>
      <c r="D7" s="236">
        <v>1181.0</v>
      </c>
      <c r="E7" s="236">
        <v>1.45</v>
      </c>
      <c r="F7" s="236">
        <v>3131.81</v>
      </c>
      <c r="G7" s="236">
        <v>1.1721</v>
      </c>
      <c r="H7" s="236">
        <v>12.19</v>
      </c>
      <c r="I7" s="236">
        <v>21.7487</v>
      </c>
      <c r="J7" s="236">
        <v>247.7976</v>
      </c>
      <c r="K7" s="236">
        <v>164.671</v>
      </c>
      <c r="L7" s="236">
        <v>128.4122</v>
      </c>
      <c r="M7" s="236">
        <v>0.7798</v>
      </c>
      <c r="N7" s="236">
        <v>0.325</v>
      </c>
      <c r="O7" s="236">
        <v>0.2031</v>
      </c>
      <c r="P7" s="236">
        <v>1.2824</v>
      </c>
      <c r="Q7" s="236">
        <v>592.9609</v>
      </c>
      <c r="R7" s="236">
        <v>469.8742</v>
      </c>
      <c r="S7" s="236">
        <v>123.086</v>
      </c>
      <c r="T7" s="236">
        <v>86.2472</v>
      </c>
      <c r="U7" s="236">
        <v>506.7144</v>
      </c>
      <c r="V7" s="236">
        <v>617.5514</v>
      </c>
      <c r="W7" s="236">
        <v>3.7502</v>
      </c>
      <c r="X7" s="236">
        <v>14.55</v>
      </c>
      <c r="Y7" s="236">
        <v>114.0</v>
      </c>
      <c r="Z7" s="236">
        <v>557.0</v>
      </c>
      <c r="AA7" s="236">
        <v>1850.0</v>
      </c>
      <c r="AB7" s="236">
        <v>57.5447</v>
      </c>
      <c r="AC7" s="236">
        <v>0.8127</v>
      </c>
      <c r="AD7" s="236">
        <v>57.7938</v>
      </c>
      <c r="AE7" s="236">
        <v>23.0</v>
      </c>
      <c r="AF7" s="236">
        <v>41.0</v>
      </c>
      <c r="AG7" s="236">
        <v>75.0</v>
      </c>
      <c r="AH7" s="236">
        <v>126.0</v>
      </c>
      <c r="AI7" s="236">
        <v>22.9796</v>
      </c>
      <c r="AJ7" s="236">
        <v>4.7894</v>
      </c>
      <c r="AK7" s="236">
        <v>0.6743</v>
      </c>
      <c r="AL7" s="236">
        <v>0.0979</v>
      </c>
      <c r="AM7" s="237"/>
      <c r="AQ7" s="153">
        <v>34.0019</v>
      </c>
      <c r="AR7" s="153">
        <v>1.2878</v>
      </c>
      <c r="AS7" s="153">
        <v>32.7141</v>
      </c>
      <c r="AT7" s="153">
        <v>32.854</v>
      </c>
      <c r="AU7" s="153">
        <v>0.1995</v>
      </c>
      <c r="AV7" s="153">
        <v>1181.0</v>
      </c>
      <c r="AW7" s="153">
        <v>0.0</v>
      </c>
      <c r="AX7" s="153">
        <v>281.271</v>
      </c>
      <c r="AY7" s="153">
        <v>204.2155</v>
      </c>
      <c r="AZ7" s="153">
        <v>7.3239</v>
      </c>
      <c r="BA7" s="153">
        <v>86.2472</v>
      </c>
      <c r="BB7" s="153">
        <v>13.9011</v>
      </c>
      <c r="BC7" s="153">
        <v>250.0</v>
      </c>
      <c r="BD7" s="153">
        <v>17718.0</v>
      </c>
      <c r="BE7" s="153">
        <v>19.8032</v>
      </c>
      <c r="BF7" s="153">
        <v>0.6467</v>
      </c>
      <c r="BG7" s="153">
        <v>19.1564</v>
      </c>
      <c r="BH7" s="153">
        <v>16.7642</v>
      </c>
      <c r="BI7" s="153">
        <v>0.1019</v>
      </c>
      <c r="BJ7" s="153">
        <v>14.1987</v>
      </c>
      <c r="BK7" s="153">
        <v>0.6411</v>
      </c>
      <c r="BL7" s="153">
        <v>13.5576</v>
      </c>
      <c r="BM7" s="153">
        <v>16.0898</v>
      </c>
      <c r="BN7" s="153">
        <v>0.0978</v>
      </c>
      <c r="BO7" s="153">
        <v>6.8697</v>
      </c>
      <c r="BP7" s="153">
        <v>0.1931</v>
      </c>
      <c r="BQ7" s="153">
        <v>6.6767</v>
      </c>
      <c r="BR7" s="153">
        <v>5.8727</v>
      </c>
      <c r="BS7" s="153">
        <v>7.286</v>
      </c>
      <c r="BT7" s="153">
        <v>0.2122</v>
      </c>
      <c r="BU7" s="153">
        <v>7.0737</v>
      </c>
      <c r="BV7" s="153">
        <v>6.073</v>
      </c>
      <c r="BW7" s="153">
        <v>5.6474</v>
      </c>
      <c r="BX7" s="153">
        <v>0.2414</v>
      </c>
      <c r="BY7" s="153">
        <v>5.406</v>
      </c>
      <c r="BZ7" s="153">
        <v>4.8185</v>
      </c>
      <c r="CA7" s="153">
        <v>4.0543</v>
      </c>
      <c r="CB7" s="153">
        <v>0.183</v>
      </c>
      <c r="CC7" s="153">
        <v>3.8713</v>
      </c>
      <c r="CD7" s="153">
        <v>4.3772</v>
      </c>
      <c r="CE7" s="153">
        <v>4.4592</v>
      </c>
      <c r="CF7" s="153">
        <v>0.2459</v>
      </c>
      <c r="CG7" s="153">
        <v>4.2133</v>
      </c>
      <c r="CH7" s="153">
        <v>4.531</v>
      </c>
      <c r="CI7" s="153">
        <v>5.6853</v>
      </c>
      <c r="CJ7" s="153">
        <v>0.2122</v>
      </c>
      <c r="CK7" s="153">
        <v>5.473</v>
      </c>
      <c r="CL7" s="153">
        <v>7.1815</v>
      </c>
      <c r="CM7" s="153">
        <v>2045.5633</v>
      </c>
      <c r="CN7" s="153">
        <v>99.78</v>
      </c>
      <c r="CO7" s="153">
        <v>2050.17</v>
      </c>
      <c r="CP7" s="153">
        <v>2004.2921</v>
      </c>
      <c r="CQ7" s="153">
        <v>0.0</v>
      </c>
      <c r="CR7" s="153">
        <v>15.9658</v>
      </c>
      <c r="CS7" s="153">
        <v>25.3054</v>
      </c>
      <c r="CT7" s="153">
        <v>0.0</v>
      </c>
      <c r="CV7" s="153">
        <v>0.0</v>
      </c>
      <c r="CW7" s="153">
        <v>592.9609</v>
      </c>
      <c r="CX7" s="153">
        <v>0.0</v>
      </c>
      <c r="CY7" s="153">
        <v>0.0</v>
      </c>
      <c r="CZ7" s="153">
        <v>594.0401</v>
      </c>
      <c r="DA7" s="153">
        <v>9.6183</v>
      </c>
      <c r="DB7" s="153">
        <v>584.4217</v>
      </c>
      <c r="DC7" s="153">
        <v>566.7628</v>
      </c>
      <c r="DD7" s="153">
        <v>5.3049</v>
      </c>
      <c r="DE7" s="153">
        <v>561.4601</v>
      </c>
      <c r="DF7" s="153">
        <v>12.657</v>
      </c>
      <c r="DG7" s="153">
        <v>1.4385</v>
      </c>
      <c r="DH7" s="153">
        <v>11.2206</v>
      </c>
      <c r="DI7" s="153">
        <v>10.098</v>
      </c>
      <c r="DJ7" s="153">
        <v>1.4385</v>
      </c>
      <c r="DK7" s="153">
        <v>8.6616</v>
      </c>
      <c r="DL7" s="153">
        <v>4.5187</v>
      </c>
      <c r="DM7" s="153">
        <v>1.4385</v>
      </c>
      <c r="DN7" s="153">
        <v>3.0816</v>
      </c>
      <c r="DO7" s="153">
        <v>2672.0</v>
      </c>
      <c r="DP7" s="250">
        <v>46255.0</v>
      </c>
      <c r="DQ7" s="250">
        <v>46260.0</v>
      </c>
      <c r="DR7" s="153">
        <v>6.0</v>
      </c>
      <c r="DS7" s="153">
        <v>144.0</v>
      </c>
      <c r="DT7" s="153">
        <v>2.6518</v>
      </c>
      <c r="DU7" s="153">
        <v>31.0</v>
      </c>
      <c r="DV7" s="153">
        <v>401.0</v>
      </c>
      <c r="DW7" s="153">
        <v>0.0</v>
      </c>
      <c r="DX7" s="153">
        <v>1341.57</v>
      </c>
      <c r="DY7" s="153">
        <v>4628.07</v>
      </c>
      <c r="DZ7" s="153">
        <v>343115.0</v>
      </c>
      <c r="EA7" s="153">
        <v>439999.0</v>
      </c>
    </row>
    <row r="8">
      <c r="A8" s="236" t="s">
        <v>5</v>
      </c>
      <c r="B8" s="236" t="s">
        <v>423</v>
      </c>
      <c r="C8" s="236" t="b">
        <v>0</v>
      </c>
      <c r="D8" s="236">
        <v>26906.0</v>
      </c>
      <c r="E8" s="236">
        <v>20.21</v>
      </c>
      <c r="F8" s="236">
        <v>3941.97</v>
      </c>
      <c r="G8" s="236">
        <v>0.1069</v>
      </c>
      <c r="H8" s="236">
        <v>0.77</v>
      </c>
      <c r="I8" s="236">
        <v>19.1358</v>
      </c>
      <c r="J8" s="236">
        <v>18.6427</v>
      </c>
      <c r="K8" s="236">
        <v>9.9052</v>
      </c>
      <c r="L8" s="236">
        <v>6.5726</v>
      </c>
      <c r="M8" s="236">
        <v>0.6636</v>
      </c>
      <c r="N8" s="236">
        <v>0.4585</v>
      </c>
      <c r="O8" s="236">
        <v>0.2257</v>
      </c>
      <c r="P8" s="236">
        <v>1.5069</v>
      </c>
      <c r="Q8" s="236">
        <v>56.2569</v>
      </c>
      <c r="R8" s="236">
        <v>56.1828</v>
      </c>
      <c r="S8" s="236">
        <v>0.0741</v>
      </c>
      <c r="T8" s="236">
        <v>8.0334</v>
      </c>
      <c r="U8" s="236">
        <v>48.2216</v>
      </c>
      <c r="V8" s="236">
        <v>42.4943</v>
      </c>
      <c r="W8" s="236">
        <v>4.2903</v>
      </c>
      <c r="X8" s="236">
        <v>14.28</v>
      </c>
      <c r="Y8" s="236">
        <v>195.0</v>
      </c>
      <c r="Z8" s="236">
        <v>477.0</v>
      </c>
      <c r="AA8" s="236">
        <v>4480.0</v>
      </c>
      <c r="AB8" s="236">
        <v>49.7684</v>
      </c>
      <c r="AC8" s="236">
        <v>0.5014</v>
      </c>
      <c r="AD8" s="237"/>
      <c r="AE8" s="237"/>
      <c r="AF8" s="237"/>
      <c r="AG8" s="237"/>
      <c r="AH8" s="237"/>
      <c r="AI8" s="236">
        <v>0.0</v>
      </c>
      <c r="AJ8" s="236">
        <v>0.0</v>
      </c>
      <c r="AK8" s="236">
        <v>0.0</v>
      </c>
      <c r="AL8" s="236">
        <v>0.5234</v>
      </c>
      <c r="AM8" s="236">
        <v>7.0198</v>
      </c>
      <c r="AN8" s="153">
        <v>7.0198</v>
      </c>
      <c r="AO8" s="153">
        <v>4.4242</v>
      </c>
      <c r="AP8" s="153">
        <v>2.4991</v>
      </c>
      <c r="AQ8" s="153">
        <v>1.8877</v>
      </c>
      <c r="AR8" s="153">
        <v>0.095</v>
      </c>
      <c r="AS8" s="153">
        <v>1.7927</v>
      </c>
      <c r="AT8" s="153">
        <v>1.3845</v>
      </c>
      <c r="AU8" s="153">
        <v>0.1398</v>
      </c>
      <c r="AV8" s="153">
        <v>26906.0</v>
      </c>
      <c r="AW8" s="153">
        <v>0.0</v>
      </c>
      <c r="AX8" s="153">
        <v>9.252</v>
      </c>
      <c r="AY8" s="153">
        <v>36.1914</v>
      </c>
      <c r="AZ8" s="153">
        <v>2.5871</v>
      </c>
      <c r="BA8" s="153">
        <v>8.0334</v>
      </c>
      <c r="BB8" s="153">
        <v>0.1898</v>
      </c>
      <c r="BD8" s="153">
        <v>28292.0</v>
      </c>
      <c r="BE8" s="153">
        <v>0.9199</v>
      </c>
      <c r="BF8" s="153">
        <v>0.0398</v>
      </c>
      <c r="BG8" s="153">
        <v>0.8802</v>
      </c>
      <c r="BH8" s="153">
        <v>0.7043</v>
      </c>
      <c r="BI8" s="153">
        <v>0.0775</v>
      </c>
      <c r="BJ8" s="153">
        <v>0.9677</v>
      </c>
      <c r="BK8" s="153">
        <v>0.0552</v>
      </c>
      <c r="BL8" s="153">
        <v>0.9126</v>
      </c>
      <c r="BM8" s="153">
        <v>0.6802</v>
      </c>
      <c r="BN8" s="153">
        <v>0.0693</v>
      </c>
      <c r="BO8" s="153">
        <v>0.3441</v>
      </c>
      <c r="BP8" s="153">
        <v>0.0137</v>
      </c>
      <c r="BQ8" s="153">
        <v>0.3304</v>
      </c>
      <c r="BR8" s="153">
        <v>0.2737</v>
      </c>
      <c r="BS8" s="153">
        <v>0.3467</v>
      </c>
      <c r="BT8" s="153">
        <v>0.013</v>
      </c>
      <c r="BU8" s="153">
        <v>0.3337</v>
      </c>
      <c r="BV8" s="153">
        <v>0.2557</v>
      </c>
      <c r="BW8" s="153">
        <v>0.2291</v>
      </c>
      <c r="BX8" s="153">
        <v>0.013</v>
      </c>
      <c r="BY8" s="153">
        <v>0.216</v>
      </c>
      <c r="BZ8" s="153">
        <v>0.1749</v>
      </c>
      <c r="CA8" s="153">
        <v>0.1983</v>
      </c>
      <c r="CB8" s="153">
        <v>0.0142</v>
      </c>
      <c r="CC8" s="153">
        <v>0.1841</v>
      </c>
      <c r="CD8" s="153">
        <v>0.1553</v>
      </c>
      <c r="CE8" s="153">
        <v>0.4195</v>
      </c>
      <c r="CF8" s="153">
        <v>0.0227</v>
      </c>
      <c r="CG8" s="153">
        <v>0.3968</v>
      </c>
      <c r="CH8" s="153">
        <v>0.2623</v>
      </c>
      <c r="CI8" s="153">
        <v>0.3499</v>
      </c>
      <c r="CJ8" s="153">
        <v>0.0184</v>
      </c>
      <c r="CK8" s="153">
        <v>0.3316</v>
      </c>
      <c r="CL8" s="153">
        <v>0.2626</v>
      </c>
      <c r="CM8" s="153">
        <v>136.7134</v>
      </c>
      <c r="CN8" s="153">
        <v>16.72</v>
      </c>
      <c r="CO8" s="153">
        <v>817.83</v>
      </c>
      <c r="CP8" s="153">
        <v>123.525</v>
      </c>
      <c r="CQ8" s="153">
        <v>6.5478</v>
      </c>
      <c r="CR8" s="153">
        <v>2.9022</v>
      </c>
      <c r="CS8" s="153">
        <v>3.7372</v>
      </c>
      <c r="CT8" s="153">
        <v>0.0</v>
      </c>
      <c r="CV8" s="153">
        <v>2.5933</v>
      </c>
      <c r="CW8" s="153">
        <v>58.8456</v>
      </c>
      <c r="CX8" s="153">
        <v>0.879</v>
      </c>
      <c r="CY8" s="153">
        <v>7.4268</v>
      </c>
      <c r="CZ8" s="153">
        <v>36.7529</v>
      </c>
      <c r="DA8" s="153">
        <v>1.1728</v>
      </c>
      <c r="DB8" s="153">
        <v>35.5765</v>
      </c>
      <c r="DC8" s="153">
        <v>31.8296</v>
      </c>
      <c r="DD8" s="153">
        <v>0.5743</v>
      </c>
      <c r="DE8" s="153">
        <v>31.2554</v>
      </c>
      <c r="DF8" s="153">
        <v>2.2651</v>
      </c>
      <c r="DG8" s="153">
        <v>0.202</v>
      </c>
      <c r="DH8" s="153">
        <v>2.0647</v>
      </c>
      <c r="DI8" s="153">
        <v>1.8315</v>
      </c>
      <c r="DJ8" s="153">
        <v>0.202</v>
      </c>
      <c r="DK8" s="153">
        <v>1.6283</v>
      </c>
      <c r="DL8" s="153">
        <v>0.8259</v>
      </c>
      <c r="DM8" s="153">
        <v>0.202</v>
      </c>
      <c r="DN8" s="153">
        <v>0.6282</v>
      </c>
      <c r="DO8" s="153">
        <v>36892.0</v>
      </c>
      <c r="DP8" s="250">
        <v>46255.0</v>
      </c>
      <c r="DQ8" s="250">
        <v>46260.0</v>
      </c>
      <c r="DR8" s="153">
        <v>6.0</v>
      </c>
      <c r="DS8" s="153">
        <v>206.0</v>
      </c>
      <c r="DT8" s="153">
        <v>0.1465</v>
      </c>
      <c r="DU8" s="153">
        <v>188.0</v>
      </c>
      <c r="DV8" s="153">
        <v>201.0</v>
      </c>
      <c r="DW8" s="153">
        <v>5158.0</v>
      </c>
      <c r="DX8" s="153">
        <v>77.14</v>
      </c>
      <c r="DY8" s="153">
        <v>187.45</v>
      </c>
      <c r="DZ8" s="153">
        <v>242478.0</v>
      </c>
      <c r="EA8" s="153">
        <v>365402.0</v>
      </c>
    </row>
    <row r="9">
      <c r="A9" s="236" t="s">
        <v>5</v>
      </c>
      <c r="B9" s="236" t="s">
        <v>133</v>
      </c>
      <c r="C9" s="236" t="b">
        <v>0</v>
      </c>
      <c r="D9" s="236">
        <v>32023.0</v>
      </c>
      <c r="E9" s="236">
        <v>28.61</v>
      </c>
      <c r="F9" s="236">
        <v>1360.84</v>
      </c>
      <c r="G9" s="236">
        <v>0.0261</v>
      </c>
      <c r="H9" s="236">
        <v>1.44</v>
      </c>
      <c r="I9" s="236">
        <v>2.9455</v>
      </c>
      <c r="J9" s="236">
        <v>22.3362</v>
      </c>
      <c r="K9" s="236">
        <v>11.407</v>
      </c>
      <c r="L9" s="236">
        <v>5.2101</v>
      </c>
      <c r="M9" s="236">
        <v>0.4568</v>
      </c>
      <c r="N9" s="236">
        <v>0.6483</v>
      </c>
      <c r="O9" s="236">
        <v>0.3836</v>
      </c>
      <c r="P9" s="236">
        <v>2.1894</v>
      </c>
      <c r="Q9" s="236">
        <v>44.9696</v>
      </c>
      <c r="R9" s="236">
        <v>41.3353</v>
      </c>
      <c r="S9" s="236">
        <v>3.6352</v>
      </c>
      <c r="T9" s="236">
        <v>2.1126</v>
      </c>
      <c r="U9" s="236">
        <v>42.857</v>
      </c>
      <c r="V9" s="236">
        <v>43.7692</v>
      </c>
      <c r="W9" s="236">
        <v>3.8377</v>
      </c>
      <c r="X9" s="236">
        <v>4.7</v>
      </c>
      <c r="Y9" s="236">
        <v>173.0</v>
      </c>
      <c r="Z9" s="236">
        <v>330.0</v>
      </c>
      <c r="AA9" s="236">
        <v>1407.0</v>
      </c>
      <c r="AB9" s="236">
        <v>49.9622</v>
      </c>
      <c r="AC9" s="236">
        <v>0.5913</v>
      </c>
      <c r="AD9" s="236">
        <v>4.0755</v>
      </c>
      <c r="AE9" s="236">
        <v>1.0</v>
      </c>
      <c r="AF9" s="236">
        <v>3.0</v>
      </c>
      <c r="AG9" s="236">
        <v>5.0</v>
      </c>
      <c r="AH9" s="236">
        <v>9.0</v>
      </c>
      <c r="AI9" s="236">
        <v>74.5514</v>
      </c>
      <c r="AJ9" s="236">
        <v>34.2212</v>
      </c>
      <c r="AK9" s="236">
        <v>7.1777</v>
      </c>
      <c r="AL9" s="236">
        <v>0.4848</v>
      </c>
      <c r="AM9" s="236">
        <v>36.0083</v>
      </c>
      <c r="AN9" s="153">
        <v>36.0083</v>
      </c>
      <c r="AO9" s="153">
        <v>17.5723</v>
      </c>
      <c r="AP9" s="153">
        <v>5.5049</v>
      </c>
      <c r="AQ9" s="153">
        <v>3.4209</v>
      </c>
      <c r="AR9" s="153">
        <v>0.0424</v>
      </c>
      <c r="AS9" s="153">
        <v>3.3786</v>
      </c>
      <c r="AT9" s="153">
        <v>2.7589</v>
      </c>
      <c r="AU9" s="153">
        <v>0.2419</v>
      </c>
      <c r="AV9" s="153">
        <v>32023.0</v>
      </c>
      <c r="AW9" s="153">
        <v>0.0</v>
      </c>
      <c r="AX9" s="153">
        <v>18.3463</v>
      </c>
      <c r="AY9" s="153">
        <v>21.9252</v>
      </c>
      <c r="AZ9" s="153">
        <v>2.098</v>
      </c>
      <c r="BA9" s="153">
        <v>2.1104</v>
      </c>
      <c r="BB9" s="153">
        <v>0.4947</v>
      </c>
      <c r="BC9" s="153">
        <v>17.0</v>
      </c>
      <c r="BD9" s="153">
        <v>20206.0</v>
      </c>
      <c r="BE9" s="153">
        <v>2.3867</v>
      </c>
      <c r="BF9" s="153">
        <v>0.0256</v>
      </c>
      <c r="BG9" s="153">
        <v>2.3612</v>
      </c>
      <c r="BH9" s="153">
        <v>1.6481</v>
      </c>
      <c r="BI9" s="153">
        <v>0.1449</v>
      </c>
      <c r="BJ9" s="153">
        <v>1.0342</v>
      </c>
      <c r="BK9" s="153">
        <v>0.0168</v>
      </c>
      <c r="BL9" s="153">
        <v>1.0174</v>
      </c>
      <c r="BM9" s="153">
        <v>1.1108</v>
      </c>
      <c r="BN9" s="153">
        <v>0.0976</v>
      </c>
      <c r="BO9" s="153">
        <v>1.0815</v>
      </c>
      <c r="BP9" s="153">
        <v>0.0109</v>
      </c>
      <c r="BQ9" s="153">
        <v>1.0705</v>
      </c>
      <c r="BR9" s="153">
        <v>0.7107</v>
      </c>
      <c r="BS9" s="153">
        <v>0.9914</v>
      </c>
      <c r="BT9" s="153">
        <v>0.006</v>
      </c>
      <c r="BU9" s="153">
        <v>0.9854</v>
      </c>
      <c r="BV9" s="153">
        <v>0.6456</v>
      </c>
      <c r="BW9" s="153">
        <v>0.3138</v>
      </c>
      <c r="BX9" s="153">
        <v>0.0086</v>
      </c>
      <c r="BY9" s="153">
        <v>0.3052</v>
      </c>
      <c r="BZ9" s="153">
        <v>0.2918</v>
      </c>
      <c r="CA9" s="153">
        <v>0.1671</v>
      </c>
      <c r="CB9" s="153">
        <v>0.0035</v>
      </c>
      <c r="CC9" s="153">
        <v>0.1635</v>
      </c>
      <c r="CD9" s="153">
        <v>0.1906</v>
      </c>
      <c r="CE9" s="153">
        <v>0.4763</v>
      </c>
      <c r="CF9" s="153">
        <v>0.007</v>
      </c>
      <c r="CG9" s="153">
        <v>0.4694</v>
      </c>
      <c r="CH9" s="153">
        <v>0.5202</v>
      </c>
      <c r="CI9" s="153">
        <v>0.3908</v>
      </c>
      <c r="CJ9" s="153">
        <v>0.0063</v>
      </c>
      <c r="CK9" s="153">
        <v>0.3845</v>
      </c>
      <c r="CL9" s="153">
        <v>0.4</v>
      </c>
      <c r="CM9" s="153">
        <v>114.0175</v>
      </c>
      <c r="CN9" s="153">
        <v>75.49</v>
      </c>
      <c r="CO9" s="153">
        <v>151.04</v>
      </c>
      <c r="CP9" s="153">
        <v>100.1826</v>
      </c>
      <c r="CQ9" s="153">
        <v>6.9832</v>
      </c>
      <c r="CR9" s="153">
        <v>4.8008</v>
      </c>
      <c r="CS9" s="153">
        <v>2.0508</v>
      </c>
      <c r="CT9" s="153">
        <v>0.0</v>
      </c>
      <c r="CV9" s="153">
        <v>0.5772</v>
      </c>
      <c r="CW9" s="153">
        <v>45.5491</v>
      </c>
      <c r="CX9" s="153">
        <v>0.7322</v>
      </c>
      <c r="CY9" s="153">
        <v>7.7169</v>
      </c>
      <c r="CZ9" s="153">
        <v>80.5274</v>
      </c>
      <c r="DA9" s="153">
        <v>0.6259</v>
      </c>
      <c r="DB9" s="153">
        <v>79.9001</v>
      </c>
      <c r="DC9" s="153">
        <v>74.0182</v>
      </c>
      <c r="DD9" s="153">
        <v>0.1905</v>
      </c>
      <c r="DE9" s="153">
        <v>73.8312</v>
      </c>
      <c r="DF9" s="153">
        <v>3.3221</v>
      </c>
      <c r="DG9" s="153">
        <v>0.1468</v>
      </c>
      <c r="DH9" s="153">
        <v>3.1753</v>
      </c>
      <c r="DI9" s="153">
        <v>2.6578</v>
      </c>
      <c r="DJ9" s="153">
        <v>0.1468</v>
      </c>
      <c r="DK9" s="153">
        <v>2.511</v>
      </c>
      <c r="DL9" s="153">
        <v>0.5279</v>
      </c>
      <c r="DM9" s="153">
        <v>0.1468</v>
      </c>
      <c r="DN9" s="153">
        <v>0.3826</v>
      </c>
      <c r="DO9" s="153">
        <v>52224.0</v>
      </c>
      <c r="DP9" s="250">
        <v>46255.0</v>
      </c>
      <c r="DQ9" s="250">
        <v>46260.0</v>
      </c>
      <c r="DR9" s="153">
        <v>6.0</v>
      </c>
      <c r="DS9" s="153">
        <v>462.0</v>
      </c>
      <c r="DT9" s="153">
        <v>0.0425</v>
      </c>
      <c r="DU9" s="153">
        <v>148.0</v>
      </c>
      <c r="DV9" s="153">
        <v>201.0</v>
      </c>
      <c r="DW9" s="153">
        <v>6031.0</v>
      </c>
      <c r="DX9" s="153">
        <v>73.34</v>
      </c>
      <c r="DY9" s="153">
        <v>185.94</v>
      </c>
      <c r="DZ9" s="153">
        <v>272051.0</v>
      </c>
      <c r="EA9" s="153">
        <v>595618.0</v>
      </c>
    </row>
    <row r="10">
      <c r="A10" s="236" t="s">
        <v>5</v>
      </c>
      <c r="B10" s="236" t="s">
        <v>134</v>
      </c>
      <c r="C10" s="236" t="b">
        <v>0</v>
      </c>
      <c r="D10" s="236">
        <v>22634.0</v>
      </c>
      <c r="E10" s="236">
        <v>22.83</v>
      </c>
      <c r="F10" s="236">
        <v>4051.34</v>
      </c>
      <c r="G10" s="236">
        <v>0.0972</v>
      </c>
      <c r="H10" s="236">
        <v>4.02</v>
      </c>
      <c r="I10" s="236">
        <v>4.4471</v>
      </c>
      <c r="J10" s="236">
        <v>46.3889</v>
      </c>
      <c r="K10" s="236">
        <v>24.8974</v>
      </c>
      <c r="L10" s="236">
        <v>13.8143</v>
      </c>
      <c r="M10" s="236">
        <v>0.5549</v>
      </c>
      <c r="N10" s="236">
        <v>0.5673</v>
      </c>
      <c r="O10" s="236">
        <v>0.3334</v>
      </c>
      <c r="P10" s="236">
        <v>1.8022</v>
      </c>
      <c r="Q10" s="258">
        <v>94.9316</v>
      </c>
      <c r="R10" s="236">
        <v>84.7758</v>
      </c>
      <c r="S10" s="236">
        <v>10.1587</v>
      </c>
      <c r="T10" s="236">
        <v>7.3548</v>
      </c>
      <c r="U10" s="236">
        <v>87.576</v>
      </c>
      <c r="V10" s="236">
        <v>96.6609</v>
      </c>
      <c r="W10" s="236">
        <v>3.8825</v>
      </c>
      <c r="X10" s="236">
        <v>7.75</v>
      </c>
      <c r="Y10" s="236">
        <v>128.0</v>
      </c>
      <c r="Z10" s="236">
        <v>334.0</v>
      </c>
      <c r="AA10" s="236">
        <v>1177.0</v>
      </c>
      <c r="AB10" s="236">
        <v>51.6681</v>
      </c>
      <c r="AC10" s="236">
        <v>0.6502</v>
      </c>
      <c r="AD10" s="236">
        <v>9.4651</v>
      </c>
      <c r="AE10" s="236">
        <v>4.0</v>
      </c>
      <c r="AF10" s="236">
        <v>8.0</v>
      </c>
      <c r="AG10" s="236">
        <v>13.0</v>
      </c>
      <c r="AH10" s="236">
        <v>19.0</v>
      </c>
      <c r="AI10" s="236">
        <v>64.6069</v>
      </c>
      <c r="AJ10" s="236">
        <v>26.3195</v>
      </c>
      <c r="AK10" s="236">
        <v>3.6386</v>
      </c>
      <c r="AL10" s="236">
        <v>0.3273</v>
      </c>
      <c r="AM10" s="236">
        <v>44.0787</v>
      </c>
      <c r="AN10" s="153">
        <v>44.0787</v>
      </c>
      <c r="AO10" s="153">
        <v>25.4806</v>
      </c>
      <c r="AP10" s="153">
        <v>11.7202</v>
      </c>
      <c r="AQ10" s="153">
        <v>6.5314</v>
      </c>
      <c r="AR10" s="153">
        <v>0.1212</v>
      </c>
      <c r="AS10" s="153">
        <v>6.4102</v>
      </c>
      <c r="AT10" s="153">
        <v>5.6779</v>
      </c>
      <c r="AU10" s="153">
        <v>0.2281</v>
      </c>
      <c r="AV10" s="153">
        <v>22634.0</v>
      </c>
      <c r="AW10" s="153">
        <v>0.0</v>
      </c>
      <c r="AX10" s="153">
        <v>35.6558</v>
      </c>
      <c r="AY10" s="153">
        <v>47.7595</v>
      </c>
      <c r="AZ10" s="153">
        <v>2.9918</v>
      </c>
      <c r="BA10" s="153">
        <v>7.3526</v>
      </c>
      <c r="BB10" s="153">
        <v>1.1691</v>
      </c>
      <c r="BC10" s="153">
        <v>35.0</v>
      </c>
      <c r="BD10" s="153">
        <v>19108.0</v>
      </c>
      <c r="BE10" s="153">
        <v>4.2963</v>
      </c>
      <c r="BF10" s="153">
        <v>0.0702</v>
      </c>
      <c r="BG10" s="153">
        <v>4.2261</v>
      </c>
      <c r="BH10" s="153">
        <v>3.3052</v>
      </c>
      <c r="BI10" s="153">
        <v>0.1329</v>
      </c>
      <c r="BJ10" s="153">
        <v>2.2351</v>
      </c>
      <c r="BK10" s="153">
        <v>0.051</v>
      </c>
      <c r="BL10" s="153">
        <v>2.1841</v>
      </c>
      <c r="BM10" s="153">
        <v>2.3726</v>
      </c>
      <c r="BN10" s="153">
        <v>0.0954</v>
      </c>
      <c r="BO10" s="153">
        <v>1.8009</v>
      </c>
      <c r="BP10" s="153">
        <v>0.0287</v>
      </c>
      <c r="BQ10" s="153">
        <v>1.7723</v>
      </c>
      <c r="BR10" s="153">
        <v>1.3608</v>
      </c>
      <c r="BS10" s="153">
        <v>1.7646</v>
      </c>
      <c r="BT10" s="153">
        <v>0.0181</v>
      </c>
      <c r="BU10" s="153">
        <v>1.7465</v>
      </c>
      <c r="BV10" s="153">
        <v>1.2796</v>
      </c>
      <c r="BW10" s="153">
        <v>0.7307</v>
      </c>
      <c r="BX10" s="153">
        <v>0.0234</v>
      </c>
      <c r="BY10" s="153">
        <v>0.7072</v>
      </c>
      <c r="BZ10" s="153">
        <v>0.6649</v>
      </c>
      <c r="CA10" s="153">
        <v>0.4202</v>
      </c>
      <c r="CB10" s="153">
        <v>0.0126</v>
      </c>
      <c r="CC10" s="153">
        <v>0.4075</v>
      </c>
      <c r="CD10" s="153">
        <v>0.4726</v>
      </c>
      <c r="CE10" s="153">
        <v>0.9048</v>
      </c>
      <c r="CF10" s="153">
        <v>0.0216</v>
      </c>
      <c r="CG10" s="153">
        <v>0.8832</v>
      </c>
      <c r="CH10" s="153">
        <v>0.9934</v>
      </c>
      <c r="CI10" s="153">
        <v>0.9102</v>
      </c>
      <c r="CJ10" s="153">
        <v>0.0168</v>
      </c>
      <c r="CK10" s="153">
        <v>0.8934</v>
      </c>
      <c r="CL10" s="153">
        <v>0.9065</v>
      </c>
      <c r="CM10" s="153">
        <v>239.8867</v>
      </c>
      <c r="CN10" s="153">
        <v>89.57</v>
      </c>
      <c r="CO10" s="153">
        <v>267.82</v>
      </c>
      <c r="CP10" s="153">
        <v>205.3184</v>
      </c>
      <c r="CQ10" s="153">
        <v>19.5957</v>
      </c>
      <c r="CR10" s="153">
        <v>6.3406</v>
      </c>
      <c r="CS10" s="153">
        <v>8.6327</v>
      </c>
      <c r="CT10" s="153">
        <v>0.0</v>
      </c>
      <c r="CV10" s="153">
        <v>2.0047</v>
      </c>
      <c r="CW10" s="153">
        <v>96.9363</v>
      </c>
      <c r="CX10" s="153">
        <v>2.5202</v>
      </c>
      <c r="CY10" s="153">
        <v>22.1173</v>
      </c>
      <c r="CZ10" s="153">
        <v>139.079</v>
      </c>
      <c r="DA10" s="153">
        <v>1.987</v>
      </c>
      <c r="DB10" s="153">
        <v>137.0948</v>
      </c>
      <c r="DC10" s="153">
        <v>128.1598</v>
      </c>
      <c r="DD10" s="153">
        <v>0.5897</v>
      </c>
      <c r="DE10" s="153">
        <v>127.5722</v>
      </c>
      <c r="DF10" s="153">
        <v>5.646</v>
      </c>
      <c r="DG10" s="153">
        <v>0.4639</v>
      </c>
      <c r="DH10" s="153">
        <v>5.1821</v>
      </c>
      <c r="DI10" s="153">
        <v>4.1768</v>
      </c>
      <c r="DJ10" s="153">
        <v>0.4639</v>
      </c>
      <c r="DK10" s="153">
        <v>3.7088</v>
      </c>
      <c r="DL10" s="153">
        <v>1.0978</v>
      </c>
      <c r="DM10" s="153">
        <v>0.4639</v>
      </c>
      <c r="DN10" s="153">
        <v>0.631</v>
      </c>
      <c r="DO10" s="153">
        <v>41673.0</v>
      </c>
      <c r="DP10" s="250">
        <v>46255.0</v>
      </c>
      <c r="DQ10" s="250">
        <v>46260.0</v>
      </c>
      <c r="DR10" s="153">
        <v>6.0</v>
      </c>
      <c r="DS10" s="153">
        <v>911.0</v>
      </c>
      <c r="DT10" s="153">
        <v>0.179</v>
      </c>
      <c r="DU10" s="153">
        <v>80.0</v>
      </c>
      <c r="DV10" s="153">
        <v>211.0</v>
      </c>
      <c r="DW10" s="153">
        <v>9907.0</v>
      </c>
      <c r="DX10" s="153">
        <v>174.78</v>
      </c>
      <c r="DY10" s="153">
        <v>441.67</v>
      </c>
      <c r="DZ10" s="153">
        <v>575687.0</v>
      </c>
      <c r="EA10" s="153">
        <v>1037527.0</v>
      </c>
    </row>
    <row r="11">
      <c r="A11" s="236" t="s">
        <v>5</v>
      </c>
      <c r="B11" s="236" t="s">
        <v>135</v>
      </c>
      <c r="C11" s="236" t="b">
        <v>0</v>
      </c>
      <c r="D11" s="236">
        <v>15829.0</v>
      </c>
      <c r="E11" s="236">
        <v>17.51</v>
      </c>
      <c r="F11" s="236">
        <v>6219.38</v>
      </c>
      <c r="G11" s="236">
        <v>0.1946</v>
      </c>
      <c r="H11" s="236">
        <v>5.65</v>
      </c>
      <c r="I11" s="236">
        <v>6.9568</v>
      </c>
      <c r="J11" s="236">
        <v>71.8226</v>
      </c>
      <c r="K11" s="236">
        <v>40.5856</v>
      </c>
      <c r="L11" s="236">
        <v>26.451</v>
      </c>
      <c r="M11" s="236">
        <v>0.6517</v>
      </c>
      <c r="N11" s="236">
        <v>0.4812</v>
      </c>
      <c r="O11" s="236">
        <v>0.2915</v>
      </c>
      <c r="P11" s="236">
        <v>1.5344</v>
      </c>
      <c r="Q11" s="236">
        <v>172.8713</v>
      </c>
      <c r="R11" s="236">
        <v>153.375</v>
      </c>
      <c r="S11" s="236">
        <v>19.4942</v>
      </c>
      <c r="T11" s="236">
        <v>13.6664</v>
      </c>
      <c r="U11" s="236">
        <v>159.2084</v>
      </c>
      <c r="V11" s="236">
        <v>178.1448</v>
      </c>
      <c r="W11" s="236">
        <v>4.3895</v>
      </c>
      <c r="X11" s="236">
        <v>7.91</v>
      </c>
      <c r="Y11" s="236">
        <v>127.0</v>
      </c>
      <c r="Z11" s="236">
        <v>365.0</v>
      </c>
      <c r="AA11" s="236">
        <v>1227.0</v>
      </c>
      <c r="AB11" s="236">
        <v>53.5249</v>
      </c>
      <c r="AC11" s="236">
        <v>0.7176</v>
      </c>
      <c r="AD11" s="236">
        <v>16.6629</v>
      </c>
      <c r="AE11" s="236">
        <v>7.0</v>
      </c>
      <c r="AF11" s="236">
        <v>13.0</v>
      </c>
      <c r="AG11" s="236">
        <v>23.0</v>
      </c>
      <c r="AH11" s="236">
        <v>34.0</v>
      </c>
      <c r="AI11" s="236">
        <v>58.9808</v>
      </c>
      <c r="AJ11" s="236">
        <v>20.5798</v>
      </c>
      <c r="AK11" s="236">
        <v>4.9847</v>
      </c>
      <c r="AL11" s="236">
        <v>0.2554</v>
      </c>
      <c r="AM11" s="236">
        <v>45.2027</v>
      </c>
      <c r="AN11" s="153">
        <v>45.2027</v>
      </c>
      <c r="AO11" s="153">
        <v>24.547</v>
      </c>
      <c r="AP11" s="153">
        <v>12.1224</v>
      </c>
      <c r="AQ11" s="153">
        <v>9.6967</v>
      </c>
      <c r="AR11" s="153">
        <v>0.2338</v>
      </c>
      <c r="AS11" s="153">
        <v>9.4628</v>
      </c>
      <c r="AT11" s="153">
        <v>8.4409</v>
      </c>
      <c r="AU11" s="153">
        <v>0.208</v>
      </c>
      <c r="AV11" s="153">
        <v>15829.0</v>
      </c>
      <c r="AW11" s="153">
        <v>0.0</v>
      </c>
      <c r="AX11" s="153">
        <v>59.991</v>
      </c>
      <c r="AY11" s="153">
        <v>93.7638</v>
      </c>
      <c r="AZ11" s="153">
        <v>3.2803</v>
      </c>
      <c r="BA11" s="153">
        <v>13.6664</v>
      </c>
      <c r="BB11" s="153">
        <v>2.1748</v>
      </c>
      <c r="BC11" s="153">
        <v>62.0</v>
      </c>
      <c r="BD11" s="153">
        <v>16168.0</v>
      </c>
      <c r="BE11" s="153">
        <v>6.163</v>
      </c>
      <c r="BF11" s="153">
        <v>0.1345</v>
      </c>
      <c r="BG11" s="153">
        <v>6.0285</v>
      </c>
      <c r="BH11" s="153">
        <v>4.7257</v>
      </c>
      <c r="BI11" s="153">
        <v>0.1161</v>
      </c>
      <c r="BJ11" s="153">
        <v>3.5337</v>
      </c>
      <c r="BK11" s="153">
        <v>0.0994</v>
      </c>
      <c r="BL11" s="153">
        <v>3.4343</v>
      </c>
      <c r="BM11" s="153">
        <v>3.7153</v>
      </c>
      <c r="BN11" s="153">
        <v>0.0916</v>
      </c>
      <c r="BO11" s="153">
        <v>2.3297</v>
      </c>
      <c r="BP11" s="153">
        <v>0.0418</v>
      </c>
      <c r="BQ11" s="153">
        <v>2.2879</v>
      </c>
      <c r="BR11" s="153">
        <v>1.8013</v>
      </c>
      <c r="BS11" s="153">
        <v>2.421</v>
      </c>
      <c r="BT11" s="153">
        <v>0.043</v>
      </c>
      <c r="BU11" s="153">
        <v>2.3779</v>
      </c>
      <c r="BV11" s="153">
        <v>1.8058</v>
      </c>
      <c r="BW11" s="153">
        <v>1.4122</v>
      </c>
      <c r="BX11" s="153">
        <v>0.0495</v>
      </c>
      <c r="BY11" s="153">
        <v>1.3627</v>
      </c>
      <c r="BZ11" s="153">
        <v>1.1186</v>
      </c>
      <c r="CA11" s="153">
        <v>0.7466</v>
      </c>
      <c r="CB11" s="153">
        <v>0.0259</v>
      </c>
      <c r="CC11" s="153">
        <v>0.7207</v>
      </c>
      <c r="CD11" s="153">
        <v>0.7938</v>
      </c>
      <c r="CE11" s="153">
        <v>1.2369</v>
      </c>
      <c r="CF11" s="153">
        <v>0.04</v>
      </c>
      <c r="CG11" s="153">
        <v>1.1969</v>
      </c>
      <c r="CH11" s="153">
        <v>1.3836</v>
      </c>
      <c r="CI11" s="153">
        <v>1.5501</v>
      </c>
      <c r="CJ11" s="153">
        <v>0.0335</v>
      </c>
      <c r="CK11" s="153">
        <v>1.5167</v>
      </c>
      <c r="CL11" s="153">
        <v>1.5379</v>
      </c>
      <c r="CM11" s="153">
        <v>443.006</v>
      </c>
      <c r="CN11" s="153">
        <v>95.54</v>
      </c>
      <c r="CO11" s="153">
        <v>463.66</v>
      </c>
      <c r="CP11" s="153">
        <v>384.9241</v>
      </c>
      <c r="CQ11" s="153">
        <v>33.7737</v>
      </c>
      <c r="CR11" s="153">
        <v>7.8</v>
      </c>
      <c r="CS11" s="153">
        <v>16.5067</v>
      </c>
      <c r="CT11" s="153">
        <v>0.0</v>
      </c>
      <c r="CV11" s="153">
        <v>5.863</v>
      </c>
      <c r="CW11" s="153">
        <v>178.7349</v>
      </c>
      <c r="CX11" s="153">
        <v>4.8767</v>
      </c>
      <c r="CY11" s="153">
        <v>38.6504</v>
      </c>
      <c r="CZ11" s="153">
        <v>207.8821</v>
      </c>
      <c r="DA11" s="153">
        <v>2.968</v>
      </c>
      <c r="DB11" s="153">
        <v>204.9126</v>
      </c>
      <c r="DC11" s="153">
        <v>190.9965</v>
      </c>
      <c r="DD11" s="153">
        <v>0.9556</v>
      </c>
      <c r="DE11" s="153">
        <v>190.0404</v>
      </c>
      <c r="DF11" s="153">
        <v>9.0452</v>
      </c>
      <c r="DG11" s="153">
        <v>0.6717</v>
      </c>
      <c r="DH11" s="153">
        <v>8.372</v>
      </c>
      <c r="DI11" s="153">
        <v>5.7174</v>
      </c>
      <c r="DJ11" s="153">
        <v>0.6717</v>
      </c>
      <c r="DK11" s="153">
        <v>5.0442</v>
      </c>
      <c r="DL11" s="153">
        <v>2.1286</v>
      </c>
      <c r="DM11" s="153">
        <v>0.6717</v>
      </c>
      <c r="DN11" s="153">
        <v>1.4561</v>
      </c>
      <c r="DO11" s="153">
        <v>31954.0</v>
      </c>
      <c r="DP11" s="250">
        <v>46255.0</v>
      </c>
      <c r="DQ11" s="250">
        <v>46260.0</v>
      </c>
      <c r="DR11" s="153">
        <v>6.0</v>
      </c>
      <c r="DS11" s="153">
        <v>894.0</v>
      </c>
      <c r="DT11" s="153">
        <v>0.3929</v>
      </c>
      <c r="DU11" s="153">
        <v>65.0</v>
      </c>
      <c r="DV11" s="153">
        <v>250.0</v>
      </c>
      <c r="DW11" s="153">
        <v>13392.0</v>
      </c>
      <c r="DX11" s="153">
        <v>348.98</v>
      </c>
      <c r="DY11" s="153">
        <v>894.3</v>
      </c>
      <c r="DZ11" s="153">
        <v>845177.0</v>
      </c>
      <c r="EA11" s="153">
        <v>1296838.0</v>
      </c>
    </row>
    <row r="12">
      <c r="A12" s="236" t="s">
        <v>5</v>
      </c>
      <c r="B12" s="236" t="s">
        <v>136</v>
      </c>
      <c r="C12" s="236" t="b">
        <v>0</v>
      </c>
      <c r="D12" s="236">
        <v>7379.0</v>
      </c>
      <c r="E12" s="236">
        <v>9.51</v>
      </c>
      <c r="F12" s="236">
        <v>8769.3</v>
      </c>
      <c r="G12" s="236">
        <v>0.505</v>
      </c>
      <c r="H12" s="236">
        <v>8.74</v>
      </c>
      <c r="I12" s="236">
        <v>13.5958</v>
      </c>
      <c r="J12" s="236">
        <v>122.7715</v>
      </c>
      <c r="K12" s="236">
        <v>74.4601</v>
      </c>
      <c r="L12" s="236">
        <v>54.2297</v>
      </c>
      <c r="M12" s="236">
        <v>0.7283</v>
      </c>
      <c r="N12" s="236">
        <v>0.403</v>
      </c>
      <c r="O12" s="236">
        <v>0.2509</v>
      </c>
      <c r="P12" s="236">
        <v>1.373</v>
      </c>
      <c r="Q12" s="236">
        <v>339.1089</v>
      </c>
      <c r="R12" s="236">
        <v>299.018</v>
      </c>
      <c r="S12" s="236">
        <v>40.0909</v>
      </c>
      <c r="T12" s="236">
        <v>38.8945</v>
      </c>
      <c r="U12" s="236">
        <v>300.2158</v>
      </c>
      <c r="V12" s="236">
        <v>356.5725</v>
      </c>
      <c r="W12" s="236">
        <v>4.7889</v>
      </c>
      <c r="X12" s="236">
        <v>11.47</v>
      </c>
      <c r="Y12" s="236">
        <v>119.0</v>
      </c>
      <c r="Z12" s="236">
        <v>420.0</v>
      </c>
      <c r="AA12" s="236">
        <v>1288.0</v>
      </c>
      <c r="AB12" s="236">
        <v>55.5358</v>
      </c>
      <c r="AC12" s="236">
        <v>0.771</v>
      </c>
      <c r="AD12" s="236">
        <v>30.6073</v>
      </c>
      <c r="AE12" s="236">
        <v>12.0</v>
      </c>
      <c r="AF12" s="236">
        <v>23.0</v>
      </c>
      <c r="AG12" s="236">
        <v>42.0</v>
      </c>
      <c r="AH12" s="236">
        <v>63.0</v>
      </c>
      <c r="AI12" s="236">
        <v>42.673</v>
      </c>
      <c r="AJ12" s="236">
        <v>11.7779</v>
      </c>
      <c r="AK12" s="236">
        <v>2.4061</v>
      </c>
      <c r="AL12" s="236">
        <v>0.1675</v>
      </c>
      <c r="AM12" s="236">
        <v>42.9644</v>
      </c>
      <c r="AN12" s="153">
        <v>42.9644</v>
      </c>
      <c r="AO12" s="153">
        <v>24.3942</v>
      </c>
      <c r="AP12" s="153">
        <v>14.4612</v>
      </c>
      <c r="AQ12" s="153">
        <v>14.8922</v>
      </c>
      <c r="AR12" s="153">
        <v>0.616</v>
      </c>
      <c r="AS12" s="153">
        <v>14.2762</v>
      </c>
      <c r="AT12" s="153">
        <v>13.5482</v>
      </c>
      <c r="AU12" s="153">
        <v>0.182</v>
      </c>
      <c r="AV12" s="153">
        <v>7379.0</v>
      </c>
      <c r="AW12" s="153">
        <v>0.0</v>
      </c>
      <c r="AX12" s="153">
        <v>111.837</v>
      </c>
      <c r="AY12" s="153">
        <v>178.7344</v>
      </c>
      <c r="AZ12" s="153">
        <v>4.1842</v>
      </c>
      <c r="BA12" s="153">
        <v>38.8925</v>
      </c>
      <c r="BB12" s="153">
        <v>5.4603</v>
      </c>
      <c r="BC12" s="153">
        <v>121.0</v>
      </c>
      <c r="BD12" s="153">
        <v>15853.0</v>
      </c>
      <c r="BE12" s="153">
        <v>8.9495</v>
      </c>
      <c r="BF12" s="153">
        <v>0.3519</v>
      </c>
      <c r="BG12" s="153">
        <v>8.5976</v>
      </c>
      <c r="BH12" s="153">
        <v>7.1985</v>
      </c>
      <c r="BI12" s="153">
        <v>0.0965</v>
      </c>
      <c r="BJ12" s="153">
        <v>5.9427</v>
      </c>
      <c r="BK12" s="153">
        <v>0.2641</v>
      </c>
      <c r="BL12" s="153">
        <v>5.6786</v>
      </c>
      <c r="BM12" s="153">
        <v>6.3498</v>
      </c>
      <c r="BN12" s="153">
        <v>0.0852</v>
      </c>
      <c r="BO12" s="153">
        <v>3.1296</v>
      </c>
      <c r="BP12" s="153">
        <v>0.1057</v>
      </c>
      <c r="BQ12" s="153">
        <v>3.0239</v>
      </c>
      <c r="BR12" s="153">
        <v>2.5943</v>
      </c>
      <c r="BS12" s="153">
        <v>3.3314</v>
      </c>
      <c r="BT12" s="153">
        <v>0.1117</v>
      </c>
      <c r="BU12" s="153">
        <v>3.2197</v>
      </c>
      <c r="BV12" s="153">
        <v>2.6674</v>
      </c>
      <c r="BW12" s="153">
        <v>2.4885</v>
      </c>
      <c r="BX12" s="153">
        <v>0.1346</v>
      </c>
      <c r="BY12" s="153">
        <v>2.354</v>
      </c>
      <c r="BZ12" s="153">
        <v>1.9368</v>
      </c>
      <c r="CA12" s="153">
        <v>1.359</v>
      </c>
      <c r="CB12" s="153">
        <v>0.0742</v>
      </c>
      <c r="CC12" s="153">
        <v>1.2848</v>
      </c>
      <c r="CD12" s="153">
        <v>1.505</v>
      </c>
      <c r="CE12" s="153">
        <v>1.8688</v>
      </c>
      <c r="CF12" s="153">
        <v>0.1041</v>
      </c>
      <c r="CG12" s="153">
        <v>1.7646</v>
      </c>
      <c r="CH12" s="153">
        <v>2.023</v>
      </c>
      <c r="CI12" s="153">
        <v>2.7149</v>
      </c>
      <c r="CJ12" s="153">
        <v>0.0858</v>
      </c>
      <c r="CK12" s="153">
        <v>2.6291</v>
      </c>
      <c r="CL12" s="153">
        <v>2.8218</v>
      </c>
      <c r="CM12" s="153">
        <v>873.3193</v>
      </c>
      <c r="CN12" s="153">
        <v>98.98</v>
      </c>
      <c r="CO12" s="153">
        <v>882.34</v>
      </c>
      <c r="CP12" s="153">
        <v>769.6135</v>
      </c>
      <c r="CQ12" s="153">
        <v>67.0868</v>
      </c>
      <c r="CR12" s="153">
        <v>10.5316</v>
      </c>
      <c r="CS12" s="153">
        <v>26.0838</v>
      </c>
      <c r="CT12" s="153">
        <v>0.0</v>
      </c>
      <c r="CV12" s="153">
        <v>21.4233</v>
      </c>
      <c r="CW12" s="153">
        <v>360.5322</v>
      </c>
      <c r="CX12" s="153">
        <v>10.1471</v>
      </c>
      <c r="CY12" s="153">
        <v>77.2338</v>
      </c>
      <c r="CZ12" s="153">
        <v>342.9255</v>
      </c>
      <c r="DA12" s="153">
        <v>5.1893</v>
      </c>
      <c r="DB12" s="153">
        <v>337.7347</v>
      </c>
      <c r="DC12" s="153">
        <v>316.5363</v>
      </c>
      <c r="DD12" s="153">
        <v>2.0442</v>
      </c>
      <c r="DE12" s="153">
        <v>314.4915</v>
      </c>
      <c r="DF12" s="153">
        <v>13.6831</v>
      </c>
      <c r="DG12" s="153">
        <v>1.0489</v>
      </c>
      <c r="DH12" s="153">
        <v>12.6342</v>
      </c>
      <c r="DI12" s="153">
        <v>8.8977</v>
      </c>
      <c r="DJ12" s="153">
        <v>1.0489</v>
      </c>
      <c r="DK12" s="153">
        <v>7.8524</v>
      </c>
      <c r="DL12" s="153">
        <v>3.8075</v>
      </c>
      <c r="DM12" s="153">
        <v>1.0489</v>
      </c>
      <c r="DN12" s="153">
        <v>2.76</v>
      </c>
      <c r="DO12" s="153">
        <v>17364.0</v>
      </c>
      <c r="DP12" s="250">
        <v>46255.0</v>
      </c>
      <c r="DQ12" s="250">
        <v>46260.0</v>
      </c>
      <c r="DR12" s="153">
        <v>6.0</v>
      </c>
      <c r="DS12" s="153">
        <v>645.0</v>
      </c>
      <c r="DT12" s="153">
        <v>1.1884</v>
      </c>
      <c r="DU12" s="153">
        <v>46.0</v>
      </c>
      <c r="DV12" s="153">
        <v>324.0</v>
      </c>
      <c r="DW12" s="153">
        <v>11677.0</v>
      </c>
      <c r="DX12" s="153">
        <v>797.98</v>
      </c>
      <c r="DY12" s="153">
        <v>2055.06</v>
      </c>
      <c r="DZ12" s="153">
        <v>941662.0</v>
      </c>
      <c r="EA12" s="153">
        <v>1292891.0</v>
      </c>
    </row>
    <row r="13">
      <c r="A13" s="236" t="s">
        <v>5</v>
      </c>
      <c r="B13" s="236" t="s">
        <v>137</v>
      </c>
      <c r="C13" s="236" t="b">
        <v>0</v>
      </c>
      <c r="D13" s="236">
        <v>1072.0</v>
      </c>
      <c r="E13" s="236">
        <v>1.32</v>
      </c>
      <c r="F13" s="236">
        <v>1715.56</v>
      </c>
      <c r="G13" s="236">
        <v>0.7133</v>
      </c>
      <c r="H13" s="236">
        <v>11.19</v>
      </c>
      <c r="I13" s="236">
        <v>14.2963</v>
      </c>
      <c r="J13" s="236">
        <v>243.3283</v>
      </c>
      <c r="K13" s="236">
        <v>161.47</v>
      </c>
      <c r="L13" s="236">
        <v>123.875</v>
      </c>
      <c r="M13" s="236">
        <v>0.7672</v>
      </c>
      <c r="N13" s="236">
        <v>0.3375</v>
      </c>
      <c r="O13" s="236">
        <v>0.2057</v>
      </c>
      <c r="P13" s="236">
        <v>1.3035</v>
      </c>
      <c r="Q13" s="236">
        <v>602.1949</v>
      </c>
      <c r="R13" s="236">
        <v>508.2673</v>
      </c>
      <c r="S13" s="236">
        <v>93.9276</v>
      </c>
      <c r="T13" s="236">
        <v>63.9041</v>
      </c>
      <c r="U13" s="236">
        <v>538.2902</v>
      </c>
      <c r="V13" s="236">
        <v>669.0419</v>
      </c>
      <c r="W13" s="236">
        <v>4.1434</v>
      </c>
      <c r="X13" s="236">
        <v>10.61</v>
      </c>
      <c r="Y13" s="236">
        <v>111.0</v>
      </c>
      <c r="Z13" s="236">
        <v>438.0</v>
      </c>
      <c r="AA13" s="236">
        <v>1216.0</v>
      </c>
      <c r="AB13" s="236">
        <v>58.2064</v>
      </c>
      <c r="AC13" s="236">
        <v>0.7975</v>
      </c>
      <c r="AD13" s="236">
        <v>56.8711</v>
      </c>
      <c r="AE13" s="236">
        <v>23.0</v>
      </c>
      <c r="AF13" s="236">
        <v>42.0</v>
      </c>
      <c r="AG13" s="236">
        <v>74.0</v>
      </c>
      <c r="AH13" s="236">
        <v>119.0</v>
      </c>
      <c r="AI13" s="236">
        <v>23.2427</v>
      </c>
      <c r="AJ13" s="236">
        <v>3.9524</v>
      </c>
      <c r="AK13" s="236">
        <v>0.4158</v>
      </c>
      <c r="AL13" s="236">
        <v>0.1018</v>
      </c>
      <c r="AM13" s="236">
        <v>47.0674</v>
      </c>
      <c r="AN13" s="153">
        <v>47.0674</v>
      </c>
      <c r="AO13" s="153">
        <v>35.302</v>
      </c>
      <c r="AP13" s="153">
        <v>29.7309</v>
      </c>
      <c r="AQ13" s="153">
        <v>26.0615</v>
      </c>
      <c r="AR13" s="153">
        <v>1.4819</v>
      </c>
      <c r="AS13" s="153">
        <v>24.5796</v>
      </c>
      <c r="AT13" s="153">
        <v>25.6441</v>
      </c>
      <c r="AU13" s="153">
        <v>0.1588</v>
      </c>
      <c r="AV13" s="153">
        <v>1072.0</v>
      </c>
      <c r="AW13" s="153">
        <v>0.0</v>
      </c>
      <c r="AX13" s="153">
        <v>242.7219</v>
      </c>
      <c r="AY13" s="153">
        <v>277.3412</v>
      </c>
      <c r="AZ13" s="153">
        <v>6.9909</v>
      </c>
      <c r="BA13" s="153">
        <v>63.7621</v>
      </c>
      <c r="BB13" s="153">
        <v>11.3782</v>
      </c>
      <c r="BC13" s="153">
        <v>231.0</v>
      </c>
      <c r="BD13" s="153">
        <v>10548.0</v>
      </c>
      <c r="BE13" s="153">
        <v>15.289</v>
      </c>
      <c r="BF13" s="153">
        <v>0.9954</v>
      </c>
      <c r="BG13" s="153">
        <v>14.2935</v>
      </c>
      <c r="BH13" s="153">
        <v>13.153</v>
      </c>
      <c r="BI13" s="153">
        <v>0.0814</v>
      </c>
      <c r="BJ13" s="153">
        <v>10.7725</v>
      </c>
      <c r="BK13" s="153">
        <v>0.4865</v>
      </c>
      <c r="BL13" s="153">
        <v>10.286</v>
      </c>
      <c r="BM13" s="153">
        <v>12.491</v>
      </c>
      <c r="BN13" s="153">
        <v>0.0774</v>
      </c>
      <c r="BO13" s="153">
        <v>5.0794</v>
      </c>
      <c r="BP13" s="153">
        <v>0.2965</v>
      </c>
      <c r="BQ13" s="153">
        <v>4.783</v>
      </c>
      <c r="BR13" s="153">
        <v>4.4457</v>
      </c>
      <c r="BS13" s="153">
        <v>5.5139</v>
      </c>
      <c r="BT13" s="153">
        <v>0.3189</v>
      </c>
      <c r="BU13" s="153">
        <v>5.195</v>
      </c>
      <c r="BV13" s="153">
        <v>4.7385</v>
      </c>
      <c r="BW13" s="153">
        <v>4.6956</v>
      </c>
      <c r="BX13" s="153">
        <v>0.38</v>
      </c>
      <c r="BY13" s="153">
        <v>4.3156</v>
      </c>
      <c r="BZ13" s="153">
        <v>3.9688</v>
      </c>
      <c r="CA13" s="153">
        <v>2.6366</v>
      </c>
      <c r="CB13" s="153">
        <v>0.1252</v>
      </c>
      <c r="CC13" s="153">
        <v>2.5114</v>
      </c>
      <c r="CD13" s="153">
        <v>3.9019</v>
      </c>
      <c r="CE13" s="153">
        <v>3.1792</v>
      </c>
      <c r="CF13" s="153">
        <v>0.1963</v>
      </c>
      <c r="CG13" s="153">
        <v>2.983</v>
      </c>
      <c r="CH13" s="153">
        <v>3.4628</v>
      </c>
      <c r="CI13" s="153">
        <v>4.9568</v>
      </c>
      <c r="CJ13" s="153">
        <v>0.1651</v>
      </c>
      <c r="CK13" s="153">
        <v>4.7917</v>
      </c>
      <c r="CL13" s="153">
        <v>5.1264</v>
      </c>
      <c r="CM13" s="153">
        <v>1840.9327</v>
      </c>
      <c r="CN13" s="153">
        <v>99.79</v>
      </c>
      <c r="CO13" s="153">
        <v>1844.78</v>
      </c>
      <c r="CP13" s="153">
        <v>1629.0601</v>
      </c>
      <c r="CQ13" s="153">
        <v>159.8913</v>
      </c>
      <c r="CR13" s="153">
        <v>15.2184</v>
      </c>
      <c r="CS13" s="153">
        <v>36.7651</v>
      </c>
      <c r="CT13" s="153">
        <v>0.0</v>
      </c>
      <c r="CV13" s="153">
        <v>71.6079</v>
      </c>
      <c r="CW13" s="153">
        <v>673.8007</v>
      </c>
      <c r="CX13" s="153">
        <v>23.3754</v>
      </c>
      <c r="CY13" s="153">
        <v>183.2667</v>
      </c>
      <c r="CZ13" s="153">
        <v>640.134</v>
      </c>
      <c r="DA13" s="153">
        <v>7.9213</v>
      </c>
      <c r="DB13" s="153">
        <v>632.2112</v>
      </c>
      <c r="DC13" s="153">
        <v>603.1888</v>
      </c>
      <c r="DD13" s="153">
        <v>3.4543</v>
      </c>
      <c r="DE13" s="153">
        <v>599.7324</v>
      </c>
      <c r="DF13" s="153">
        <v>17.5057</v>
      </c>
      <c r="DG13" s="153">
        <v>1.489</v>
      </c>
      <c r="DH13" s="153">
        <v>16.0166</v>
      </c>
      <c r="DI13" s="153">
        <v>13.2023</v>
      </c>
      <c r="DJ13" s="153">
        <v>1.489</v>
      </c>
      <c r="DK13" s="153">
        <v>11.7148</v>
      </c>
      <c r="DL13" s="153">
        <v>6.2378</v>
      </c>
      <c r="DM13" s="153">
        <v>1.489</v>
      </c>
      <c r="DN13" s="153">
        <v>4.7488</v>
      </c>
      <c r="DO13" s="153">
        <v>2405.0</v>
      </c>
      <c r="DP13" s="250">
        <v>46255.0</v>
      </c>
      <c r="DQ13" s="250">
        <v>46260.0</v>
      </c>
      <c r="DR13" s="153">
        <v>6.0</v>
      </c>
      <c r="DS13" s="153">
        <v>120.0</v>
      </c>
      <c r="DT13" s="153">
        <v>1.6003</v>
      </c>
      <c r="DU13" s="153">
        <v>30.0</v>
      </c>
      <c r="DV13" s="153">
        <v>423.0</v>
      </c>
      <c r="DW13" s="153">
        <v>1984.0</v>
      </c>
      <c r="DX13" s="153">
        <v>1351.01</v>
      </c>
      <c r="DY13" s="153">
        <v>4130.08</v>
      </c>
      <c r="DZ13" s="153">
        <v>297915.0</v>
      </c>
      <c r="EA13" s="153">
        <v>388338.0</v>
      </c>
    </row>
    <row r="14">
      <c r="A14" s="236" t="s">
        <v>4</v>
      </c>
      <c r="B14" s="236" t="s">
        <v>462</v>
      </c>
      <c r="C14" s="236" t="b">
        <v>1</v>
      </c>
      <c r="D14" s="236">
        <v>80181.0</v>
      </c>
      <c r="E14" s="236">
        <v>100.0</v>
      </c>
      <c r="F14" s="236">
        <v>27540.18</v>
      </c>
      <c r="G14" s="236">
        <v>0.1498</v>
      </c>
      <c r="H14" s="236">
        <v>3.5</v>
      </c>
      <c r="I14" s="236">
        <v>9.8008</v>
      </c>
      <c r="J14" s="236">
        <v>47.631</v>
      </c>
      <c r="K14" s="236">
        <v>27.0932</v>
      </c>
      <c r="L14" s="236">
        <v>17.5094</v>
      </c>
      <c r="M14" s="236">
        <v>0.6462</v>
      </c>
      <c r="N14" s="236">
        <v>0.4791</v>
      </c>
      <c r="O14" s="236">
        <v>0.2895</v>
      </c>
      <c r="P14" s="236">
        <v>1.5475</v>
      </c>
      <c r="Q14" s="236">
        <v>114.0782</v>
      </c>
      <c r="R14" s="236">
        <v>99.6256</v>
      </c>
      <c r="S14" s="236">
        <v>14.4551</v>
      </c>
      <c r="T14" s="236">
        <v>11.5382</v>
      </c>
      <c r="U14" s="236">
        <v>102.5409</v>
      </c>
      <c r="V14" s="236">
        <v>114.9355</v>
      </c>
      <c r="W14" s="236">
        <v>4.2421</v>
      </c>
      <c r="X14" s="236">
        <v>10.11</v>
      </c>
      <c r="Y14" s="236">
        <v>148.0</v>
      </c>
      <c r="Z14" s="236">
        <v>402.0</v>
      </c>
      <c r="AA14" s="236">
        <v>1779.0</v>
      </c>
      <c r="AB14" s="236">
        <v>51.7467</v>
      </c>
      <c r="AC14" s="236">
        <v>0.6335</v>
      </c>
      <c r="AD14" s="236">
        <v>12.6174</v>
      </c>
      <c r="AE14" s="236">
        <v>3.0</v>
      </c>
      <c r="AF14" s="236">
        <v>8.0</v>
      </c>
      <c r="AG14" s="236">
        <v>15.0</v>
      </c>
      <c r="AH14" s="236">
        <v>29.0</v>
      </c>
      <c r="AI14" s="236">
        <v>50.6603</v>
      </c>
      <c r="AJ14" s="236">
        <v>20.4635</v>
      </c>
      <c r="AK14" s="236">
        <v>3.8815</v>
      </c>
      <c r="AL14" s="236">
        <v>0.3789</v>
      </c>
      <c r="AM14" s="237"/>
      <c r="AQ14" s="153">
        <v>6.669</v>
      </c>
      <c r="AR14" s="153">
        <v>0.1812</v>
      </c>
      <c r="AS14" s="153">
        <v>6.4878</v>
      </c>
      <c r="AT14" s="153">
        <v>6.047</v>
      </c>
      <c r="AU14" s="153">
        <v>0.2232</v>
      </c>
      <c r="AV14" s="153">
        <v>80181.0</v>
      </c>
      <c r="AW14" s="153">
        <v>0.0</v>
      </c>
      <c r="AX14" s="153">
        <v>44.8207</v>
      </c>
      <c r="AY14" s="153">
        <v>53.2204</v>
      </c>
      <c r="AZ14" s="153">
        <v>2.9281</v>
      </c>
      <c r="BA14" s="153">
        <v>11.5376</v>
      </c>
      <c r="BB14" s="153">
        <v>1.5718</v>
      </c>
      <c r="BC14" s="153">
        <v>83.0</v>
      </c>
      <c r="BD14" s="153">
        <v>23035.0</v>
      </c>
      <c r="BE14" s="153">
        <v>3.9833</v>
      </c>
      <c r="BF14" s="153">
        <v>0.097</v>
      </c>
      <c r="BG14" s="153">
        <v>3.8863</v>
      </c>
      <c r="BH14" s="153">
        <v>3.2818</v>
      </c>
      <c r="BI14" s="153">
        <v>0.1195</v>
      </c>
      <c r="BJ14" s="153">
        <v>2.6857</v>
      </c>
      <c r="BK14" s="153">
        <v>0.0842</v>
      </c>
      <c r="BL14" s="153">
        <v>2.6015</v>
      </c>
      <c r="BM14" s="153">
        <v>2.7652</v>
      </c>
      <c r="BN14" s="153">
        <v>0.0958</v>
      </c>
      <c r="BO14" s="153">
        <v>1.4827</v>
      </c>
      <c r="BP14" s="153">
        <v>0.0308</v>
      </c>
      <c r="BQ14" s="153">
        <v>1.4519</v>
      </c>
      <c r="BR14" s="153">
        <v>1.228</v>
      </c>
      <c r="BS14" s="153">
        <v>1.5258</v>
      </c>
      <c r="BT14" s="153">
        <v>0.029</v>
      </c>
      <c r="BU14" s="153">
        <v>1.4968</v>
      </c>
      <c r="BV14" s="153">
        <v>1.2225</v>
      </c>
      <c r="BW14" s="153">
        <v>0.9748</v>
      </c>
      <c r="BX14" s="153">
        <v>0.0372</v>
      </c>
      <c r="BY14" s="153">
        <v>0.9375</v>
      </c>
      <c r="BZ14" s="153">
        <v>0.8313</v>
      </c>
      <c r="CA14" s="153">
        <v>0.6222</v>
      </c>
      <c r="CB14" s="153">
        <v>0.0229</v>
      </c>
      <c r="CC14" s="153">
        <v>0.5993</v>
      </c>
      <c r="CD14" s="153">
        <v>0.6939</v>
      </c>
      <c r="CE14" s="153">
        <v>1.0223</v>
      </c>
      <c r="CF14" s="153">
        <v>0.033</v>
      </c>
      <c r="CG14" s="153">
        <v>0.9892</v>
      </c>
      <c r="CH14" s="153">
        <v>0.9899</v>
      </c>
      <c r="CI14" s="153">
        <v>1.0413</v>
      </c>
      <c r="CJ14" s="153">
        <v>0.0283</v>
      </c>
      <c r="CK14" s="153">
        <v>1.013</v>
      </c>
      <c r="CL14" s="153">
        <v>1.0814</v>
      </c>
      <c r="CM14" s="153">
        <v>327.2759</v>
      </c>
      <c r="CN14" s="153">
        <v>72.96</v>
      </c>
      <c r="CO14" s="153">
        <v>448.59</v>
      </c>
      <c r="CP14" s="153">
        <v>313.1042</v>
      </c>
      <c r="CQ14" s="153">
        <v>3.0E-4</v>
      </c>
      <c r="CR14" s="153">
        <v>6.2778</v>
      </c>
      <c r="CS14" s="153">
        <v>7.8938</v>
      </c>
      <c r="CT14" s="153">
        <v>0.0</v>
      </c>
      <c r="CV14" s="153">
        <v>0.0</v>
      </c>
      <c r="CW14" s="153">
        <v>114.0782</v>
      </c>
      <c r="CX14" s="153">
        <v>0.0</v>
      </c>
      <c r="CY14" s="153">
        <v>3.0E-4</v>
      </c>
      <c r="CZ14" s="153">
        <v>131.5716</v>
      </c>
      <c r="DA14" s="153">
        <v>2.2073</v>
      </c>
      <c r="DB14" s="153">
        <v>129.3642</v>
      </c>
      <c r="DC14" s="153">
        <v>121.7081</v>
      </c>
      <c r="DD14" s="153">
        <v>0.8048</v>
      </c>
      <c r="DE14" s="153">
        <v>120.9027</v>
      </c>
      <c r="DF14" s="153">
        <v>4.8856</v>
      </c>
      <c r="DG14" s="153">
        <v>0.4676</v>
      </c>
      <c r="DH14" s="153">
        <v>4.4187</v>
      </c>
      <c r="DI14" s="153">
        <v>3.7153</v>
      </c>
      <c r="DJ14" s="153">
        <v>0.4676</v>
      </c>
      <c r="DK14" s="153">
        <v>3.2481</v>
      </c>
      <c r="DL14" s="153">
        <v>1.2626</v>
      </c>
      <c r="DM14" s="153">
        <v>0.4676</v>
      </c>
      <c r="DN14" s="153">
        <v>0.7955</v>
      </c>
      <c r="DO14" s="153">
        <v>183835.0</v>
      </c>
      <c r="DP14" s="250">
        <v>46255.0</v>
      </c>
      <c r="DQ14" s="250">
        <v>46260.0</v>
      </c>
      <c r="DR14" s="153">
        <v>6.0</v>
      </c>
      <c r="DS14" s="153">
        <v>2810.0</v>
      </c>
      <c r="DT14" s="153">
        <v>0.3435</v>
      </c>
      <c r="DU14" s="153">
        <v>109.0</v>
      </c>
      <c r="DV14" s="153">
        <v>222.0</v>
      </c>
      <c r="DW14" s="153">
        <v>0.0</v>
      </c>
      <c r="DX14" s="153">
        <v>261.55</v>
      </c>
      <c r="DY14" s="153">
        <v>750.36</v>
      </c>
      <c r="DZ14" s="153">
        <v>3218642.0</v>
      </c>
      <c r="EA14" s="153">
        <v>4980810.0</v>
      </c>
    </row>
    <row r="15">
      <c r="A15" s="236" t="s">
        <v>5</v>
      </c>
      <c r="B15" s="236" t="s">
        <v>462</v>
      </c>
      <c r="C15" s="236" t="b">
        <v>1</v>
      </c>
      <c r="D15" s="236">
        <v>80056.0</v>
      </c>
      <c r="E15" s="236">
        <v>100.0</v>
      </c>
      <c r="F15" s="236">
        <v>26058.39</v>
      </c>
      <c r="G15" s="236">
        <v>0.1428</v>
      </c>
      <c r="H15" s="236">
        <v>3.51</v>
      </c>
      <c r="I15" s="236">
        <v>9.2801</v>
      </c>
      <c r="J15" s="236">
        <v>48.213</v>
      </c>
      <c r="K15" s="236">
        <v>27.2685</v>
      </c>
      <c r="L15" s="236">
        <v>17.3963</v>
      </c>
      <c r="M15" s="236">
        <v>0.638</v>
      </c>
      <c r="N15" s="236">
        <v>0.486</v>
      </c>
      <c r="O15" s="236">
        <v>0.2892</v>
      </c>
      <c r="P15" s="236">
        <v>1.5675</v>
      </c>
      <c r="Q15" s="236">
        <v>116.3787</v>
      </c>
      <c r="R15" s="236">
        <v>104.5396</v>
      </c>
      <c r="S15" s="236">
        <v>11.8396</v>
      </c>
      <c r="T15" s="236">
        <v>10.8428</v>
      </c>
      <c r="U15" s="236">
        <v>105.536</v>
      </c>
      <c r="V15" s="236">
        <v>117.1137</v>
      </c>
      <c r="W15" s="236">
        <v>4.295</v>
      </c>
      <c r="X15" s="236">
        <v>9.32</v>
      </c>
      <c r="Y15" s="236">
        <v>152.0</v>
      </c>
      <c r="Z15" s="236">
        <v>371.0</v>
      </c>
      <c r="AA15" s="236">
        <v>1578.0</v>
      </c>
      <c r="AB15" s="236">
        <v>51.5752</v>
      </c>
      <c r="AC15" s="236">
        <v>0.6285</v>
      </c>
      <c r="AD15" s="236">
        <v>12.4157</v>
      </c>
      <c r="AE15" s="236">
        <v>3.0</v>
      </c>
      <c r="AF15" s="236">
        <v>7.0</v>
      </c>
      <c r="AG15" s="236">
        <v>15.0</v>
      </c>
      <c r="AH15" s="236">
        <v>29.0</v>
      </c>
      <c r="AI15" s="236">
        <v>50.7763</v>
      </c>
      <c r="AJ15" s="236">
        <v>20.5773</v>
      </c>
      <c r="AK15" s="236">
        <v>3.9917</v>
      </c>
      <c r="AL15" s="236">
        <v>0.38</v>
      </c>
      <c r="AM15" s="236">
        <v>34.4087</v>
      </c>
      <c r="AN15" s="153">
        <v>34.4087</v>
      </c>
      <c r="AO15" s="153">
        <v>18.8241</v>
      </c>
      <c r="AP15" s="153">
        <v>8.6464</v>
      </c>
      <c r="AQ15" s="153">
        <v>6.3097</v>
      </c>
      <c r="AR15" s="153">
        <v>0.1781</v>
      </c>
      <c r="AS15" s="153">
        <v>6.1316</v>
      </c>
      <c r="AT15" s="153">
        <v>5.4704</v>
      </c>
      <c r="AU15" s="153">
        <v>0.2006</v>
      </c>
      <c r="AV15" s="153">
        <v>80056.0</v>
      </c>
      <c r="AW15" s="153">
        <v>0.0</v>
      </c>
      <c r="AX15" s="153">
        <v>39.6027</v>
      </c>
      <c r="AY15" s="153">
        <v>61.5694</v>
      </c>
      <c r="AZ15" s="153">
        <v>2.8709</v>
      </c>
      <c r="BA15" s="153">
        <v>10.8396</v>
      </c>
      <c r="BB15" s="153">
        <v>1.4971</v>
      </c>
      <c r="BC15" s="153">
        <v>80.0</v>
      </c>
      <c r="BD15" s="153">
        <v>21816.0</v>
      </c>
      <c r="BE15" s="153">
        <v>3.9818</v>
      </c>
      <c r="BF15" s="153">
        <v>0.1015</v>
      </c>
      <c r="BG15" s="153">
        <v>3.8803</v>
      </c>
      <c r="BH15" s="153">
        <v>3.0542</v>
      </c>
      <c r="BI15" s="153">
        <v>0.118</v>
      </c>
      <c r="BJ15" s="153">
        <v>2.3279</v>
      </c>
      <c r="BK15" s="153">
        <v>0.0766</v>
      </c>
      <c r="BL15" s="153">
        <v>2.2513</v>
      </c>
      <c r="BM15" s="153">
        <v>2.4162</v>
      </c>
      <c r="BN15" s="153">
        <v>0.0889</v>
      </c>
      <c r="BO15" s="153">
        <v>1.5628</v>
      </c>
      <c r="BP15" s="153">
        <v>0.0337</v>
      </c>
      <c r="BQ15" s="153">
        <v>1.5291</v>
      </c>
      <c r="BR15" s="153">
        <v>1.1902</v>
      </c>
      <c r="BS15" s="153">
        <v>1.5702</v>
      </c>
      <c r="BT15" s="153">
        <v>0.0309</v>
      </c>
      <c r="BU15" s="153">
        <v>1.5393</v>
      </c>
      <c r="BV15" s="153">
        <v>1.1609</v>
      </c>
      <c r="BW15" s="153">
        <v>0.8488</v>
      </c>
      <c r="BX15" s="153">
        <v>0.0369</v>
      </c>
      <c r="BY15" s="153">
        <v>0.8119</v>
      </c>
      <c r="BZ15" s="153">
        <v>0.7031</v>
      </c>
      <c r="CA15" s="153">
        <v>0.4786</v>
      </c>
      <c r="CB15" s="153">
        <v>0.02</v>
      </c>
      <c r="CC15" s="153">
        <v>0.4586</v>
      </c>
      <c r="CD15" s="153">
        <v>0.5274</v>
      </c>
      <c r="CE15" s="153">
        <v>0.8639</v>
      </c>
      <c r="CF15" s="153">
        <v>0.031</v>
      </c>
      <c r="CG15" s="153">
        <v>0.8329</v>
      </c>
      <c r="CH15" s="153">
        <v>0.909</v>
      </c>
      <c r="CI15" s="153">
        <v>0.9854</v>
      </c>
      <c r="CJ15" s="153">
        <v>0.0255</v>
      </c>
      <c r="CK15" s="153">
        <v>0.9598</v>
      </c>
      <c r="CL15" s="153">
        <v>0.9798</v>
      </c>
      <c r="CM15" s="153">
        <v>299.9389</v>
      </c>
      <c r="CN15" s="153">
        <v>72.89</v>
      </c>
      <c r="CO15" s="153">
        <v>411.49</v>
      </c>
      <c r="CP15" s="153">
        <v>262.5941</v>
      </c>
      <c r="CQ15" s="153">
        <v>22.1986</v>
      </c>
      <c r="CR15" s="153">
        <v>5.9762</v>
      </c>
      <c r="CS15" s="153">
        <v>9.1694</v>
      </c>
      <c r="CT15" s="153">
        <v>0.0</v>
      </c>
      <c r="CV15" s="153">
        <v>5.1554</v>
      </c>
      <c r="CW15" s="153">
        <v>121.5338</v>
      </c>
      <c r="CX15" s="153">
        <v>3.0898</v>
      </c>
      <c r="CY15" s="153">
        <v>25.2891</v>
      </c>
      <c r="CZ15" s="153">
        <v>139.6836</v>
      </c>
      <c r="DA15" s="153">
        <v>1.9876</v>
      </c>
      <c r="DB15" s="153">
        <v>137.6951</v>
      </c>
      <c r="DC15" s="153">
        <v>128.3789</v>
      </c>
      <c r="DD15" s="153">
        <v>0.7126</v>
      </c>
      <c r="DE15" s="153">
        <v>127.6677</v>
      </c>
      <c r="DF15" s="153">
        <v>5.8137</v>
      </c>
      <c r="DG15" s="153">
        <v>0.4258</v>
      </c>
      <c r="DH15" s="153">
        <v>5.388</v>
      </c>
      <c r="DI15" s="153">
        <v>4.1059</v>
      </c>
      <c r="DJ15" s="153">
        <v>0.4258</v>
      </c>
      <c r="DK15" s="153">
        <v>3.679</v>
      </c>
      <c r="DL15" s="153">
        <v>1.3858</v>
      </c>
      <c r="DM15" s="153">
        <v>0.4258</v>
      </c>
      <c r="DN15" s="153">
        <v>0.9606</v>
      </c>
      <c r="DO15" s="153">
        <v>182512.0</v>
      </c>
      <c r="DP15" s="250">
        <v>46255.0</v>
      </c>
      <c r="DQ15" s="250">
        <v>46260.0</v>
      </c>
      <c r="DR15" s="153">
        <v>6.0</v>
      </c>
      <c r="DS15" s="153">
        <v>2808.0</v>
      </c>
      <c r="DT15" s="153">
        <v>0.3255</v>
      </c>
      <c r="DU15" s="153">
        <v>111.0</v>
      </c>
      <c r="DV15" s="153">
        <v>215.0</v>
      </c>
      <c r="DW15" s="153">
        <v>48149.0</v>
      </c>
      <c r="DX15" s="153">
        <v>265.32</v>
      </c>
      <c r="DY15" s="153">
        <v>683.8</v>
      </c>
      <c r="DZ15" s="153">
        <v>3174970.0</v>
      </c>
      <c r="EA15" s="153">
        <v>4976614.0</v>
      </c>
    </row>
    <row r="16">
      <c r="A16" s="235"/>
      <c r="B16" s="236"/>
      <c r="C16" s="236"/>
      <c r="D16" s="236"/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6"/>
      <c r="W16" s="236"/>
      <c r="X16" s="236"/>
      <c r="Y16" s="236"/>
      <c r="Z16" s="236"/>
      <c r="AA16" s="236"/>
      <c r="AB16" s="236"/>
      <c r="AC16" s="236"/>
      <c r="AD16" s="236"/>
      <c r="AE16" s="236"/>
      <c r="AF16" s="236"/>
      <c r="AG16" s="236"/>
      <c r="AH16" s="236"/>
      <c r="AI16" s="236"/>
      <c r="AJ16" s="236"/>
      <c r="AK16" s="236"/>
      <c r="AL16" s="236"/>
      <c r="AM16" s="237"/>
    </row>
    <row r="17">
      <c r="A17" s="235"/>
      <c r="B17" s="236"/>
      <c r="C17" s="236"/>
      <c r="D17" s="236"/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236"/>
      <c r="X17" s="236"/>
      <c r="Y17" s="236"/>
      <c r="Z17" s="236"/>
      <c r="AA17" s="236"/>
      <c r="AB17" s="236"/>
      <c r="AC17" s="236"/>
      <c r="AD17" s="236"/>
      <c r="AE17" s="236"/>
      <c r="AF17" s="236"/>
      <c r="AG17" s="236"/>
      <c r="AH17" s="236"/>
      <c r="AI17" s="236"/>
      <c r="AJ17" s="236"/>
      <c r="AK17" s="236"/>
      <c r="AL17" s="236"/>
      <c r="AM17" s="237"/>
    </row>
    <row r="18">
      <c r="A18" s="235"/>
      <c r="B18" s="236"/>
      <c r="C18" s="236"/>
      <c r="D18" s="236"/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6"/>
      <c r="W18" s="236"/>
      <c r="X18" s="236"/>
      <c r="Y18" s="236"/>
      <c r="Z18" s="236"/>
      <c r="AA18" s="236"/>
      <c r="AB18" s="236"/>
      <c r="AC18" s="236"/>
      <c r="AD18" s="236"/>
      <c r="AE18" s="236"/>
      <c r="AF18" s="236"/>
      <c r="AG18" s="236"/>
      <c r="AH18" s="236"/>
      <c r="AI18" s="236"/>
      <c r="AJ18" s="236"/>
      <c r="AK18" s="236"/>
      <c r="AL18" s="236"/>
      <c r="AM18" s="237"/>
    </row>
    <row r="19">
      <c r="A19" s="235"/>
      <c r="B19" s="236"/>
      <c r="C19" s="236"/>
      <c r="D19" s="236"/>
      <c r="E19" s="236"/>
      <c r="F19" s="236"/>
      <c r="G19" s="236"/>
      <c r="H19" s="236"/>
      <c r="I19" s="236"/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  <c r="X19" s="236"/>
      <c r="Y19" s="236"/>
      <c r="Z19" s="236"/>
      <c r="AA19" s="236"/>
      <c r="AB19" s="236"/>
      <c r="AC19" s="236"/>
      <c r="AD19" s="236"/>
      <c r="AE19" s="236"/>
      <c r="AF19" s="236"/>
      <c r="AG19" s="236"/>
      <c r="AH19" s="236"/>
      <c r="AI19" s="236"/>
      <c r="AJ19" s="236"/>
      <c r="AK19" s="236"/>
      <c r="AL19" s="236"/>
      <c r="AM19" s="237"/>
    </row>
    <row r="20">
      <c r="A20" s="235"/>
      <c r="B20" s="236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36"/>
      <c r="N20" s="236"/>
      <c r="O20" s="236"/>
      <c r="P20" s="236"/>
      <c r="Q20" s="236"/>
      <c r="R20" s="236"/>
      <c r="S20" s="236"/>
      <c r="T20" s="236"/>
      <c r="U20" s="236"/>
      <c r="V20" s="236"/>
      <c r="W20" s="236"/>
      <c r="X20" s="236"/>
      <c r="Y20" s="236"/>
      <c r="Z20" s="236"/>
      <c r="AA20" s="236"/>
      <c r="AB20" s="236"/>
      <c r="AC20" s="236"/>
      <c r="AD20" s="237"/>
      <c r="AE20" s="237"/>
      <c r="AF20" s="237"/>
      <c r="AG20" s="237"/>
      <c r="AH20" s="237"/>
      <c r="AI20" s="236"/>
      <c r="AJ20" s="236"/>
      <c r="AK20" s="236"/>
      <c r="AL20" s="236"/>
      <c r="AM20" s="236"/>
    </row>
    <row r="21">
      <c r="A21" s="235"/>
      <c r="B21" s="236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  <c r="V21" s="236"/>
      <c r="W21" s="236"/>
      <c r="X21" s="236"/>
      <c r="Y21" s="236"/>
      <c r="Z21" s="236"/>
      <c r="AA21" s="236"/>
      <c r="AB21" s="236"/>
      <c r="AC21" s="236"/>
      <c r="AD21" s="236"/>
      <c r="AE21" s="236"/>
      <c r="AF21" s="236"/>
      <c r="AG21" s="236"/>
      <c r="AH21" s="236"/>
      <c r="AI21" s="236"/>
      <c r="AJ21" s="236"/>
      <c r="AK21" s="236"/>
      <c r="AL21" s="236"/>
      <c r="AM21" s="236"/>
    </row>
    <row r="22">
      <c r="A22" s="235"/>
      <c r="B22" s="236"/>
      <c r="C22" s="236"/>
      <c r="D22" s="236"/>
      <c r="E22" s="236"/>
      <c r="F22" s="236"/>
      <c r="G22" s="236"/>
      <c r="H22" s="236"/>
      <c r="I22" s="236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  <c r="V22" s="236"/>
      <c r="W22" s="236"/>
      <c r="X22" s="236"/>
      <c r="Y22" s="236"/>
      <c r="Z22" s="236"/>
      <c r="AA22" s="236"/>
      <c r="AB22" s="236"/>
      <c r="AC22" s="236"/>
      <c r="AD22" s="236"/>
      <c r="AE22" s="236"/>
      <c r="AF22" s="236"/>
      <c r="AG22" s="236"/>
      <c r="AH22" s="236"/>
      <c r="AI22" s="236"/>
      <c r="AJ22" s="236"/>
      <c r="AK22" s="236"/>
      <c r="AL22" s="236"/>
      <c r="AM22" s="236"/>
    </row>
    <row r="23">
      <c r="A23" s="235"/>
      <c r="B23" s="236"/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6"/>
      <c r="V23" s="236"/>
      <c r="W23" s="236"/>
      <c r="X23" s="236"/>
      <c r="Y23" s="236"/>
      <c r="Z23" s="236"/>
      <c r="AA23" s="236"/>
      <c r="AB23" s="236"/>
      <c r="AC23" s="236"/>
      <c r="AD23" s="236"/>
      <c r="AE23" s="236"/>
      <c r="AF23" s="236"/>
      <c r="AG23" s="236"/>
      <c r="AH23" s="236"/>
      <c r="AI23" s="236"/>
      <c r="AJ23" s="236"/>
      <c r="AK23" s="236"/>
      <c r="AL23" s="236"/>
      <c r="AM23" s="236"/>
    </row>
    <row r="24">
      <c r="A24" s="235"/>
      <c r="B24" s="236"/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236"/>
      <c r="X24" s="236"/>
      <c r="Y24" s="236"/>
      <c r="Z24" s="236"/>
      <c r="AA24" s="236"/>
      <c r="AB24" s="236"/>
      <c r="AC24" s="236"/>
      <c r="AD24" s="236"/>
      <c r="AE24" s="236"/>
      <c r="AF24" s="236"/>
      <c r="AG24" s="236"/>
      <c r="AH24" s="236"/>
      <c r="AI24" s="236"/>
      <c r="AJ24" s="236"/>
      <c r="AK24" s="236"/>
      <c r="AL24" s="236"/>
      <c r="AM24" s="236"/>
    </row>
    <row r="25">
      <c r="A25" s="235"/>
      <c r="B25" s="236"/>
      <c r="C25" s="236"/>
      <c r="D25" s="236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  <c r="AA25" s="236"/>
      <c r="AB25" s="236"/>
      <c r="AC25" s="236"/>
      <c r="AD25" s="236"/>
      <c r="AE25" s="236"/>
      <c r="AF25" s="236"/>
      <c r="AG25" s="236"/>
      <c r="AH25" s="236"/>
      <c r="AI25" s="236"/>
      <c r="AJ25" s="236"/>
      <c r="AK25" s="236"/>
      <c r="AL25" s="236"/>
      <c r="AM25" s="236"/>
    </row>
    <row r="26">
      <c r="A26" s="235"/>
      <c r="B26" s="236"/>
      <c r="C26" s="236"/>
      <c r="D26" s="236"/>
      <c r="E26" s="236"/>
      <c r="F26" s="236"/>
      <c r="G26" s="236"/>
      <c r="H26" s="236"/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  <c r="X26" s="236"/>
      <c r="Y26" s="236"/>
      <c r="Z26" s="236"/>
      <c r="AA26" s="236"/>
      <c r="AB26" s="236"/>
      <c r="AC26" s="236"/>
      <c r="AD26" s="237"/>
      <c r="AE26" s="237"/>
      <c r="AF26" s="237"/>
      <c r="AG26" s="237"/>
      <c r="AH26" s="237"/>
      <c r="AI26" s="236"/>
      <c r="AJ26" s="236"/>
      <c r="AK26" s="236"/>
      <c r="AL26" s="236"/>
      <c r="AM26" s="237"/>
    </row>
    <row r="27">
      <c r="A27" s="235"/>
      <c r="B27" s="236"/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6"/>
      <c r="AC27" s="236"/>
      <c r="AD27" s="236"/>
      <c r="AE27" s="236"/>
      <c r="AF27" s="236"/>
      <c r="AG27" s="236"/>
      <c r="AH27" s="236"/>
      <c r="AI27" s="236"/>
      <c r="AJ27" s="236"/>
      <c r="AK27" s="236"/>
      <c r="AL27" s="236"/>
      <c r="AM27" s="237"/>
    </row>
    <row r="28">
      <c r="A28" s="235"/>
      <c r="B28" s="236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236"/>
      <c r="X28" s="236"/>
      <c r="Y28" s="236"/>
      <c r="Z28" s="236"/>
      <c r="AA28" s="236"/>
      <c r="AB28" s="236"/>
      <c r="AC28" s="236"/>
      <c r="AD28" s="236"/>
      <c r="AE28" s="236"/>
      <c r="AF28" s="236"/>
      <c r="AG28" s="236"/>
      <c r="AH28" s="236"/>
      <c r="AI28" s="236"/>
      <c r="AJ28" s="236"/>
      <c r="AK28" s="236"/>
      <c r="AL28" s="236"/>
      <c r="AM28" s="237"/>
    </row>
    <row r="29">
      <c r="A29" s="235"/>
      <c r="B29" s="236"/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6"/>
      <c r="AL29" s="236"/>
      <c r="AM29" s="237"/>
    </row>
    <row r="30">
      <c r="A30" s="235"/>
      <c r="B30" s="236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36"/>
      <c r="Z30" s="236"/>
      <c r="AA30" s="236"/>
      <c r="AB30" s="236"/>
      <c r="AC30" s="236"/>
      <c r="AD30" s="236"/>
      <c r="AE30" s="236"/>
      <c r="AF30" s="236"/>
      <c r="AG30" s="236"/>
      <c r="AH30" s="236"/>
      <c r="AI30" s="236"/>
      <c r="AJ30" s="236"/>
      <c r="AK30" s="236"/>
      <c r="AL30" s="236"/>
      <c r="AM30" s="237"/>
    </row>
    <row r="31">
      <c r="A31" s="235"/>
      <c r="B31" s="236"/>
      <c r="C31" s="236"/>
      <c r="D31" s="236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  <c r="AJ31" s="236"/>
      <c r="AK31" s="236"/>
      <c r="AL31" s="236"/>
      <c r="AM31" s="237"/>
    </row>
    <row r="32">
      <c r="A32" s="235"/>
      <c r="B32" s="236"/>
      <c r="C32" s="236"/>
      <c r="D32" s="236"/>
      <c r="E32" s="236"/>
      <c r="F32" s="236"/>
      <c r="G32" s="236"/>
      <c r="H32" s="236"/>
      <c r="I32" s="236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  <c r="AA32" s="236"/>
      <c r="AB32" s="236"/>
      <c r="AC32" s="236"/>
      <c r="AD32" s="237"/>
      <c r="AE32" s="237"/>
      <c r="AF32" s="237"/>
      <c r="AG32" s="237"/>
      <c r="AH32" s="237"/>
      <c r="AI32" s="236"/>
      <c r="AJ32" s="236"/>
      <c r="AK32" s="236"/>
      <c r="AL32" s="236"/>
      <c r="AM32" s="236"/>
    </row>
    <row r="33">
      <c r="A33" s="235"/>
      <c r="B33" s="236"/>
      <c r="C33" s="236"/>
      <c r="D33" s="236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  <c r="AJ33" s="236"/>
      <c r="AK33" s="236"/>
      <c r="AL33" s="236"/>
      <c r="AM33" s="236"/>
    </row>
    <row r="34">
      <c r="A34" s="235"/>
      <c r="B34" s="236"/>
      <c r="C34" s="236"/>
      <c r="D34" s="236"/>
      <c r="E34" s="236"/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  <c r="AA34" s="236"/>
      <c r="AB34" s="236"/>
      <c r="AC34" s="236"/>
      <c r="AD34" s="236"/>
      <c r="AE34" s="236"/>
      <c r="AF34" s="236"/>
      <c r="AG34" s="236"/>
      <c r="AH34" s="236"/>
      <c r="AI34" s="236"/>
      <c r="AJ34" s="236"/>
      <c r="AK34" s="236"/>
      <c r="AL34" s="236"/>
      <c r="AM34" s="236"/>
    </row>
    <row r="35">
      <c r="A35" s="235"/>
      <c r="B35" s="236"/>
      <c r="C35" s="236"/>
      <c r="D35" s="236"/>
      <c r="E35" s="236"/>
      <c r="F35" s="236"/>
      <c r="G35" s="236"/>
      <c r="H35" s="236"/>
      <c r="I35" s="236"/>
      <c r="J35" s="236"/>
      <c r="K35" s="236"/>
      <c r="L35" s="236"/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6"/>
      <c r="X35" s="236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  <c r="AI35" s="236"/>
      <c r="AJ35" s="236"/>
      <c r="AK35" s="236"/>
      <c r="AL35" s="236"/>
      <c r="AM35" s="236"/>
    </row>
    <row r="36">
      <c r="A36" s="235"/>
      <c r="B36" s="236"/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  <c r="Z36" s="236"/>
      <c r="AA36" s="236"/>
      <c r="AB36" s="236"/>
      <c r="AC36" s="236"/>
      <c r="AD36" s="236"/>
      <c r="AE36" s="236"/>
      <c r="AF36" s="236"/>
      <c r="AG36" s="236"/>
      <c r="AH36" s="236"/>
      <c r="AI36" s="236"/>
      <c r="AJ36" s="236"/>
      <c r="AK36" s="236"/>
      <c r="AL36" s="236"/>
      <c r="AM36" s="236"/>
    </row>
    <row r="37">
      <c r="A37" s="235"/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</row>
    <row r="38">
      <c r="A38" s="235"/>
      <c r="B38" s="236"/>
      <c r="C38" s="236"/>
      <c r="D38" s="236"/>
      <c r="E38" s="236"/>
      <c r="F38" s="236"/>
      <c r="G38" s="236"/>
      <c r="H38" s="236"/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  <c r="X38" s="236"/>
      <c r="Y38" s="236"/>
      <c r="Z38" s="236"/>
      <c r="AA38" s="236"/>
      <c r="AB38" s="236"/>
      <c r="AC38" s="236"/>
      <c r="AD38" s="237"/>
      <c r="AE38" s="237"/>
      <c r="AF38" s="237"/>
      <c r="AG38" s="237"/>
      <c r="AH38" s="237"/>
      <c r="AI38" s="236"/>
      <c r="AJ38" s="236"/>
      <c r="AK38" s="236"/>
      <c r="AL38" s="236"/>
      <c r="AM38" s="237"/>
    </row>
    <row r="39">
      <c r="A39" s="235"/>
      <c r="B39" s="236"/>
      <c r="C39" s="236"/>
      <c r="D39" s="236"/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  <c r="X39" s="236"/>
      <c r="Y39" s="236"/>
      <c r="Z39" s="236"/>
      <c r="AA39" s="236"/>
      <c r="AB39" s="236"/>
      <c r="AC39" s="236"/>
      <c r="AD39" s="236"/>
      <c r="AE39" s="236"/>
      <c r="AF39" s="236"/>
      <c r="AG39" s="236"/>
      <c r="AH39" s="236"/>
      <c r="AI39" s="236"/>
      <c r="AJ39" s="236"/>
      <c r="AK39" s="236"/>
      <c r="AL39" s="236"/>
      <c r="AM39" s="237"/>
    </row>
    <row r="40">
      <c r="A40" s="235"/>
      <c r="B40" s="236"/>
      <c r="C40" s="236"/>
      <c r="D40" s="236"/>
      <c r="E40" s="236"/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6"/>
      <c r="AC40" s="236"/>
      <c r="AD40" s="236"/>
      <c r="AE40" s="236"/>
      <c r="AF40" s="236"/>
      <c r="AG40" s="236"/>
      <c r="AH40" s="236"/>
      <c r="AI40" s="236"/>
      <c r="AJ40" s="236"/>
      <c r="AK40" s="236"/>
      <c r="AL40" s="236"/>
      <c r="AM40" s="237"/>
    </row>
    <row r="41">
      <c r="A41" s="235"/>
      <c r="B41" s="236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236"/>
      <c r="Z41" s="236"/>
      <c r="AA41" s="236"/>
      <c r="AB41" s="236"/>
      <c r="AC41" s="236"/>
      <c r="AD41" s="236"/>
      <c r="AE41" s="236"/>
      <c r="AF41" s="236"/>
      <c r="AG41" s="236"/>
      <c r="AH41" s="236"/>
      <c r="AI41" s="236"/>
      <c r="AJ41" s="236"/>
      <c r="AK41" s="236"/>
      <c r="AL41" s="236"/>
      <c r="AM41" s="237"/>
    </row>
    <row r="42">
      <c r="A42" s="235"/>
      <c r="B42" s="236"/>
      <c r="C42" s="236"/>
      <c r="D42" s="236"/>
      <c r="E42" s="236"/>
      <c r="F42" s="236"/>
      <c r="G42" s="236"/>
      <c r="H42" s="236"/>
      <c r="I42" s="236"/>
      <c r="J42" s="236"/>
      <c r="K42" s="236"/>
      <c r="L42" s="236"/>
      <c r="M42" s="236"/>
      <c r="N42" s="236"/>
      <c r="O42" s="236"/>
      <c r="P42" s="236"/>
      <c r="Q42" s="236"/>
      <c r="R42" s="236"/>
      <c r="S42" s="236"/>
      <c r="T42" s="236"/>
      <c r="U42" s="236"/>
      <c r="V42" s="236"/>
      <c r="W42" s="236"/>
      <c r="X42" s="236"/>
      <c r="Y42" s="236"/>
      <c r="Z42" s="236"/>
      <c r="AA42" s="236"/>
      <c r="AB42" s="236"/>
      <c r="AC42" s="236"/>
      <c r="AD42" s="236"/>
      <c r="AE42" s="236"/>
      <c r="AF42" s="236"/>
      <c r="AG42" s="236"/>
      <c r="AH42" s="236"/>
      <c r="AI42" s="236"/>
      <c r="AJ42" s="236"/>
      <c r="AK42" s="236"/>
      <c r="AL42" s="236"/>
      <c r="AM42" s="237"/>
    </row>
    <row r="43">
      <c r="A43" s="235"/>
      <c r="B43" s="236"/>
      <c r="C43" s="236"/>
      <c r="D43" s="236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  <c r="AB43" s="236"/>
      <c r="AC43" s="236"/>
      <c r="AD43" s="236"/>
      <c r="AE43" s="236"/>
      <c r="AF43" s="236"/>
      <c r="AG43" s="236"/>
      <c r="AH43" s="236"/>
      <c r="AI43" s="236"/>
      <c r="AJ43" s="236"/>
      <c r="AK43" s="236"/>
      <c r="AL43" s="236"/>
      <c r="AM43" s="237"/>
    </row>
    <row r="44">
      <c r="A44" s="235"/>
      <c r="B44" s="236"/>
      <c r="C44" s="236"/>
      <c r="D44" s="236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6"/>
      <c r="AC44" s="236"/>
      <c r="AD44" s="237"/>
      <c r="AE44" s="237"/>
      <c r="AF44" s="237"/>
      <c r="AG44" s="237"/>
      <c r="AH44" s="237"/>
      <c r="AI44" s="236"/>
      <c r="AJ44" s="236"/>
      <c r="AK44" s="236"/>
      <c r="AL44" s="236"/>
      <c r="AM44" s="236"/>
    </row>
    <row r="45">
      <c r="A45" s="235"/>
      <c r="B45" s="236"/>
      <c r="C45" s="236"/>
      <c r="D45" s="236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  <c r="Z45" s="236"/>
      <c r="AA45" s="236"/>
      <c r="AB45" s="236"/>
      <c r="AC45" s="236"/>
      <c r="AD45" s="236"/>
      <c r="AE45" s="236"/>
      <c r="AF45" s="236"/>
      <c r="AG45" s="236"/>
      <c r="AH45" s="236"/>
      <c r="AI45" s="236"/>
      <c r="AJ45" s="236"/>
      <c r="AK45" s="236"/>
      <c r="AL45" s="236"/>
      <c r="AM45" s="236"/>
    </row>
    <row r="46">
      <c r="A46" s="235"/>
      <c r="B46" s="236"/>
      <c r="C46" s="236"/>
      <c r="D46" s="236"/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  <c r="AB46" s="236"/>
      <c r="AC46" s="236"/>
      <c r="AD46" s="236"/>
      <c r="AE46" s="236"/>
      <c r="AF46" s="236"/>
      <c r="AG46" s="236"/>
      <c r="AH46" s="236"/>
      <c r="AI46" s="236"/>
      <c r="AJ46" s="236"/>
      <c r="AK46" s="236"/>
      <c r="AL46" s="236"/>
      <c r="AM46" s="236"/>
    </row>
    <row r="47">
      <c r="A47" s="235"/>
      <c r="B47" s="236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  <c r="U47" s="236"/>
      <c r="V47" s="236"/>
      <c r="W47" s="236"/>
      <c r="X47" s="236"/>
      <c r="Y47" s="236"/>
      <c r="Z47" s="236"/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6"/>
      <c r="AM47" s="236"/>
    </row>
    <row r="48">
      <c r="A48" s="235"/>
      <c r="B48" s="236"/>
      <c r="C48" s="236"/>
      <c r="D48" s="236"/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236"/>
      <c r="X48" s="236"/>
      <c r="Y48" s="236"/>
      <c r="Z48" s="236"/>
      <c r="AA48" s="236"/>
      <c r="AB48" s="236"/>
      <c r="AC48" s="236"/>
      <c r="AD48" s="236"/>
      <c r="AE48" s="236"/>
      <c r="AF48" s="236"/>
      <c r="AG48" s="236"/>
      <c r="AH48" s="236"/>
      <c r="AI48" s="236"/>
      <c r="AJ48" s="236"/>
      <c r="AK48" s="236"/>
      <c r="AL48" s="236"/>
      <c r="AM48" s="236"/>
    </row>
    <row r="49">
      <c r="A49" s="235"/>
      <c r="B49" s="236"/>
      <c r="C49" s="236"/>
      <c r="D49" s="236"/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  <c r="V49" s="236"/>
      <c r="W49" s="236"/>
      <c r="X49" s="236"/>
      <c r="Y49" s="236"/>
      <c r="Z49" s="236"/>
      <c r="AA49" s="236"/>
      <c r="AB49" s="236"/>
      <c r="AC49" s="236"/>
      <c r="AD49" s="236"/>
      <c r="AE49" s="236"/>
      <c r="AF49" s="236"/>
      <c r="AG49" s="236"/>
      <c r="AH49" s="236"/>
      <c r="AI49" s="236"/>
      <c r="AJ49" s="236"/>
      <c r="AK49" s="236"/>
      <c r="AL49" s="236"/>
      <c r="AM49" s="236"/>
    </row>
    <row r="50">
      <c r="A50" s="235"/>
      <c r="B50" s="236"/>
      <c r="C50" s="236"/>
      <c r="D50" s="236"/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  <c r="V50" s="236"/>
      <c r="W50" s="236"/>
      <c r="X50" s="236"/>
      <c r="Y50" s="236"/>
      <c r="Z50" s="236"/>
      <c r="AA50" s="236"/>
      <c r="AB50" s="236"/>
      <c r="AC50" s="236"/>
      <c r="AD50" s="237"/>
      <c r="AE50" s="237"/>
      <c r="AF50" s="237"/>
      <c r="AG50" s="237"/>
      <c r="AH50" s="237"/>
      <c r="AI50" s="236"/>
      <c r="AJ50" s="236"/>
      <c r="AK50" s="236"/>
      <c r="AL50" s="236"/>
    </row>
    <row r="51">
      <c r="A51" s="235"/>
      <c r="B51" s="236"/>
      <c r="C51" s="236"/>
      <c r="D51" s="236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36"/>
      <c r="AG51" s="236"/>
      <c r="AH51" s="236"/>
      <c r="AI51" s="236"/>
      <c r="AJ51" s="236"/>
      <c r="AK51" s="236"/>
      <c r="AL51" s="236"/>
    </row>
    <row r="52">
      <c r="A52" s="235"/>
      <c r="B52" s="236"/>
      <c r="C52" s="236"/>
      <c r="D52" s="236"/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  <c r="AA52" s="236"/>
      <c r="AB52" s="236"/>
      <c r="AC52" s="236"/>
      <c r="AD52" s="236"/>
      <c r="AE52" s="236"/>
      <c r="AF52" s="236"/>
      <c r="AG52" s="236"/>
      <c r="AH52" s="236"/>
      <c r="AI52" s="236"/>
      <c r="AJ52" s="236"/>
      <c r="AK52" s="236"/>
      <c r="AL52" s="236"/>
    </row>
    <row r="53">
      <c r="A53" s="235"/>
      <c r="B53" s="236"/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6"/>
      <c r="AG53" s="236"/>
      <c r="AH53" s="236"/>
      <c r="AI53" s="236"/>
      <c r="AJ53" s="236"/>
      <c r="AK53" s="236"/>
      <c r="AL53" s="236"/>
    </row>
    <row r="54">
      <c r="A54" s="235"/>
      <c r="B54" s="236"/>
      <c r="C54" s="236"/>
      <c r="D54" s="236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  <c r="AH54" s="236"/>
      <c r="AI54" s="236"/>
      <c r="AJ54" s="236"/>
      <c r="AK54" s="236"/>
      <c r="AL54" s="236"/>
    </row>
    <row r="55">
      <c r="A55" s="235"/>
      <c r="B55" s="236"/>
      <c r="C55" s="236"/>
      <c r="D55" s="236"/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  <c r="AH55" s="236"/>
      <c r="AI55" s="236"/>
      <c r="AJ55" s="236"/>
      <c r="AK55" s="236"/>
      <c r="AL55" s="236"/>
    </row>
    <row r="56">
      <c r="A56" s="235"/>
      <c r="B56" s="236"/>
      <c r="C56" s="236"/>
      <c r="D56" s="236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7"/>
      <c r="AE56" s="237"/>
      <c r="AF56" s="237"/>
      <c r="AG56" s="237"/>
      <c r="AH56" s="237"/>
      <c r="AI56" s="236"/>
      <c r="AJ56" s="236"/>
      <c r="AK56" s="236"/>
      <c r="AL56" s="236"/>
    </row>
    <row r="57">
      <c r="A57" s="235"/>
      <c r="B57" s="236"/>
      <c r="C57" s="236"/>
      <c r="D57" s="236"/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6"/>
      <c r="AL57" s="236"/>
    </row>
    <row r="58">
      <c r="A58" s="235"/>
      <c r="B58" s="236"/>
      <c r="C58" s="236"/>
      <c r="D58" s="236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  <c r="AH58" s="236"/>
      <c r="AI58" s="236"/>
      <c r="AJ58" s="236"/>
      <c r="AK58" s="236"/>
      <c r="AL58" s="236"/>
    </row>
    <row r="59">
      <c r="A59" s="235"/>
      <c r="B59" s="236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  <c r="AH59" s="236"/>
      <c r="AI59" s="236"/>
      <c r="AJ59" s="236"/>
      <c r="AK59" s="236"/>
      <c r="AL59" s="236"/>
    </row>
    <row r="60">
      <c r="A60" s="235"/>
      <c r="B60" s="236"/>
      <c r="C60" s="236"/>
      <c r="D60" s="236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  <c r="AA60" s="236"/>
      <c r="AB60" s="236"/>
      <c r="AC60" s="236"/>
      <c r="AD60" s="236"/>
      <c r="AE60" s="236"/>
      <c r="AF60" s="236"/>
      <c r="AG60" s="236"/>
      <c r="AH60" s="236"/>
      <c r="AI60" s="236"/>
      <c r="AJ60" s="236"/>
      <c r="AK60" s="236"/>
      <c r="AL60" s="236"/>
    </row>
    <row r="61">
      <c r="A61" s="235"/>
      <c r="B61" s="236"/>
      <c r="C61" s="236"/>
      <c r="D61" s="236"/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36"/>
      <c r="W61" s="236"/>
      <c r="X61" s="236"/>
      <c r="Y61" s="236"/>
      <c r="Z61" s="236"/>
      <c r="AA61" s="236"/>
      <c r="AB61" s="236"/>
      <c r="AC61" s="236"/>
      <c r="AD61" s="236"/>
      <c r="AE61" s="236"/>
      <c r="AF61" s="236"/>
      <c r="AG61" s="236"/>
      <c r="AH61" s="236"/>
      <c r="AI61" s="236"/>
      <c r="AJ61" s="236"/>
      <c r="AK61" s="236"/>
      <c r="AL61" s="236"/>
    </row>
    <row r="62">
      <c r="A62" s="250"/>
    </row>
    <row r="63">
      <c r="A63" s="250"/>
    </row>
    <row r="64">
      <c r="A64" s="250"/>
    </row>
    <row r="65">
      <c r="A65" s="250"/>
    </row>
    <row r="66">
      <c r="A66" s="250"/>
    </row>
    <row r="67">
      <c r="A67" s="250"/>
    </row>
    <row r="68">
      <c r="A68" s="250"/>
    </row>
    <row r="69">
      <c r="A69" s="250"/>
    </row>
    <row r="70">
      <c r="A70" s="250"/>
    </row>
    <row r="71">
      <c r="A71" s="250"/>
    </row>
    <row r="72">
      <c r="A72" s="250"/>
    </row>
    <row r="73">
      <c r="A73" s="250"/>
    </row>
    <row r="74">
      <c r="A74" s="250"/>
    </row>
    <row r="75">
      <c r="A75" s="250"/>
    </row>
    <row r="76">
      <c r="A76" s="250"/>
    </row>
    <row r="77">
      <c r="A77" s="250"/>
    </row>
    <row r="78">
      <c r="A78" s="250"/>
    </row>
    <row r="79">
      <c r="A79" s="250"/>
    </row>
    <row r="80">
      <c r="A80" s="250"/>
    </row>
    <row r="81">
      <c r="A81" s="250"/>
    </row>
    <row r="82">
      <c r="A82" s="250"/>
    </row>
    <row r="83">
      <c r="A83" s="250"/>
    </row>
    <row r="84">
      <c r="A84" s="250"/>
    </row>
    <row r="85">
      <c r="A85" s="250"/>
    </row>
    <row r="86">
      <c r="A86" s="250"/>
    </row>
    <row r="87">
      <c r="A87" s="250"/>
    </row>
    <row r="88">
      <c r="A88" s="250"/>
    </row>
    <row r="89">
      <c r="A89" s="250"/>
    </row>
    <row r="90">
      <c r="A90" s="250"/>
    </row>
    <row r="91">
      <c r="A91" s="250"/>
    </row>
    <row r="92">
      <c r="A92" s="250"/>
    </row>
    <row r="93">
      <c r="A93" s="250"/>
    </row>
    <row r="94">
      <c r="A94" s="250"/>
    </row>
    <row r="95">
      <c r="A95" s="250"/>
    </row>
    <row r="96">
      <c r="A96" s="250"/>
    </row>
    <row r="97">
      <c r="A97" s="250"/>
    </row>
    <row r="98">
      <c r="A98" s="250"/>
    </row>
    <row r="99">
      <c r="A99" s="250"/>
    </row>
    <row r="100">
      <c r="A100" s="250"/>
    </row>
    <row r="101">
      <c r="A101" s="250"/>
    </row>
    <row r="102">
      <c r="A102" s="250"/>
    </row>
    <row r="103">
      <c r="A103" s="250"/>
    </row>
    <row r="104">
      <c r="A104" s="250"/>
    </row>
    <row r="105">
      <c r="A105" s="250"/>
    </row>
    <row r="106">
      <c r="A106" s="250"/>
    </row>
    <row r="107">
      <c r="A107" s="250"/>
    </row>
    <row r="108">
      <c r="A108" s="250"/>
    </row>
    <row r="109">
      <c r="A109" s="250"/>
    </row>
    <row r="110">
      <c r="A110" s="250"/>
    </row>
    <row r="111">
      <c r="A111" s="250"/>
    </row>
    <row r="112">
      <c r="A112" s="250"/>
    </row>
    <row r="113">
      <c r="A113" s="250"/>
    </row>
    <row r="114">
      <c r="A114" s="250"/>
    </row>
    <row r="115">
      <c r="A115" s="250"/>
    </row>
    <row r="116">
      <c r="A116" s="250"/>
    </row>
    <row r="117">
      <c r="A117" s="250"/>
    </row>
    <row r="118">
      <c r="A118" s="250"/>
    </row>
    <row r="119">
      <c r="A119" s="250"/>
    </row>
    <row r="120">
      <c r="A120" s="250"/>
    </row>
    <row r="121">
      <c r="A121" s="250"/>
    </row>
    <row r="122">
      <c r="A122" s="250"/>
    </row>
    <row r="123">
      <c r="A123" s="250"/>
    </row>
    <row r="124">
      <c r="A124" s="250"/>
    </row>
    <row r="125">
      <c r="A125" s="250"/>
    </row>
    <row r="126">
      <c r="A126" s="250"/>
    </row>
    <row r="127">
      <c r="A127" s="250"/>
    </row>
    <row r="128">
      <c r="A128" s="250"/>
    </row>
    <row r="129">
      <c r="A129" s="250"/>
    </row>
    <row r="130">
      <c r="A130" s="250"/>
    </row>
    <row r="131">
      <c r="A131" s="250"/>
    </row>
    <row r="132">
      <c r="A132" s="250"/>
    </row>
    <row r="133">
      <c r="A133" s="250"/>
    </row>
    <row r="134">
      <c r="A134" s="250"/>
    </row>
    <row r="135">
      <c r="A135" s="250"/>
    </row>
    <row r="136">
      <c r="A136" s="250"/>
    </row>
    <row r="137">
      <c r="A137" s="250"/>
    </row>
    <row r="138">
      <c r="A138" s="250"/>
    </row>
    <row r="139">
      <c r="A139" s="250"/>
    </row>
    <row r="140">
      <c r="A140" s="250"/>
    </row>
    <row r="141">
      <c r="A141" s="250"/>
    </row>
    <row r="142">
      <c r="A142" s="250"/>
    </row>
    <row r="143">
      <c r="A143" s="250"/>
    </row>
    <row r="144">
      <c r="A144" s="250"/>
    </row>
    <row r="145">
      <c r="A145" s="250"/>
    </row>
    <row r="146">
      <c r="A146" s="250"/>
    </row>
    <row r="147">
      <c r="A147" s="250"/>
    </row>
    <row r="148">
      <c r="A148" s="250"/>
    </row>
    <row r="149">
      <c r="A149" s="250"/>
    </row>
    <row r="150">
      <c r="A150" s="250"/>
    </row>
    <row r="151">
      <c r="A151" s="250"/>
    </row>
    <row r="152">
      <c r="A152" s="250"/>
    </row>
    <row r="153">
      <c r="A153" s="250"/>
    </row>
    <row r="154">
      <c r="A154" s="250"/>
    </row>
    <row r="155">
      <c r="A155" s="250"/>
    </row>
    <row r="156">
      <c r="A156" s="250"/>
    </row>
    <row r="157">
      <c r="A157" s="250"/>
    </row>
    <row r="158">
      <c r="A158" s="250"/>
    </row>
    <row r="159">
      <c r="A159" s="250"/>
    </row>
    <row r="160">
      <c r="A160" s="250"/>
    </row>
    <row r="161">
      <c r="A161" s="250"/>
    </row>
    <row r="162">
      <c r="A162" s="250"/>
    </row>
    <row r="163">
      <c r="A163" s="250"/>
    </row>
    <row r="164">
      <c r="A164" s="250"/>
    </row>
    <row r="165">
      <c r="A165" s="250"/>
    </row>
    <row r="166">
      <c r="A166" s="250"/>
    </row>
    <row r="167">
      <c r="A167" s="250"/>
    </row>
    <row r="168">
      <c r="A168" s="250"/>
    </row>
    <row r="169">
      <c r="A169" s="250"/>
    </row>
    <row r="170">
      <c r="A170" s="250"/>
    </row>
    <row r="171">
      <c r="A171" s="250"/>
    </row>
    <row r="172">
      <c r="A172" s="250"/>
    </row>
    <row r="173">
      <c r="A173" s="250"/>
    </row>
    <row r="174">
      <c r="A174" s="250"/>
    </row>
    <row r="175">
      <c r="A175" s="250"/>
    </row>
    <row r="176">
      <c r="A176" s="250"/>
    </row>
    <row r="177">
      <c r="A177" s="250"/>
    </row>
    <row r="178">
      <c r="A178" s="250"/>
    </row>
    <row r="179">
      <c r="A179" s="250"/>
    </row>
    <row r="180">
      <c r="A180" s="250"/>
    </row>
    <row r="181">
      <c r="A181" s="250"/>
    </row>
    <row r="182">
      <c r="A182" s="250"/>
    </row>
    <row r="183">
      <c r="A183" s="250"/>
    </row>
    <row r="184">
      <c r="A184" s="250"/>
    </row>
    <row r="185">
      <c r="A185" s="250"/>
    </row>
    <row r="186">
      <c r="A186" s="250"/>
    </row>
    <row r="187">
      <c r="A187" s="250"/>
    </row>
    <row r="188">
      <c r="A188" s="250"/>
    </row>
    <row r="189">
      <c r="A189" s="250"/>
    </row>
    <row r="190">
      <c r="A190" s="250"/>
    </row>
    <row r="191">
      <c r="A191" s="250"/>
    </row>
    <row r="192">
      <c r="A192" s="250"/>
    </row>
    <row r="193">
      <c r="A193" s="250"/>
    </row>
    <row r="194">
      <c r="A194" s="250"/>
    </row>
    <row r="195">
      <c r="A195" s="250"/>
    </row>
    <row r="196">
      <c r="A196" s="250"/>
    </row>
    <row r="197">
      <c r="A197" s="250"/>
    </row>
    <row r="198">
      <c r="A198" s="250"/>
    </row>
    <row r="199">
      <c r="A199" s="250"/>
    </row>
    <row r="200">
      <c r="A200" s="250"/>
    </row>
    <row r="201">
      <c r="A201" s="250"/>
    </row>
    <row r="202">
      <c r="A202" s="250"/>
    </row>
    <row r="203">
      <c r="A203" s="250"/>
    </row>
    <row r="204">
      <c r="A204" s="250"/>
    </row>
    <row r="205">
      <c r="A205" s="25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4.43" defaultRowHeight="15.0"/>
  <sheetData>
    <row r="1">
      <c r="A1" s="233" t="s">
        <v>285</v>
      </c>
      <c r="B1" s="233" t="s">
        <v>286</v>
      </c>
      <c r="C1" s="233" t="s">
        <v>287</v>
      </c>
      <c r="D1" s="233" t="s">
        <v>288</v>
      </c>
      <c r="E1" s="233" t="s">
        <v>289</v>
      </c>
      <c r="F1" s="233" t="s">
        <v>290</v>
      </c>
      <c r="G1" s="233" t="s">
        <v>291</v>
      </c>
      <c r="H1" s="233" t="s">
        <v>292</v>
      </c>
      <c r="I1" s="233" t="s">
        <v>293</v>
      </c>
      <c r="J1" s="233" t="s">
        <v>294</v>
      </c>
      <c r="K1" s="233" t="s">
        <v>295</v>
      </c>
      <c r="L1" s="233" t="s">
        <v>296</v>
      </c>
      <c r="M1" s="233" t="s">
        <v>297</v>
      </c>
      <c r="N1" s="233" t="s">
        <v>298</v>
      </c>
      <c r="O1" s="233" t="s">
        <v>299</v>
      </c>
      <c r="P1" s="233" t="s">
        <v>300</v>
      </c>
      <c r="Q1" s="233" t="s">
        <v>301</v>
      </c>
      <c r="R1" s="233" t="s">
        <v>302</v>
      </c>
      <c r="S1" s="233" t="s">
        <v>303</v>
      </c>
      <c r="T1" s="233" t="s">
        <v>304</v>
      </c>
      <c r="U1" s="233" t="s">
        <v>305</v>
      </c>
      <c r="V1" s="233" t="s">
        <v>306</v>
      </c>
      <c r="W1" s="233" t="s">
        <v>307</v>
      </c>
      <c r="X1" s="233" t="s">
        <v>308</v>
      </c>
      <c r="Y1" s="233" t="s">
        <v>309</v>
      </c>
      <c r="Z1" s="233" t="s">
        <v>310</v>
      </c>
      <c r="AA1" s="233" t="s">
        <v>311</v>
      </c>
      <c r="AB1" s="233" t="s">
        <v>312</v>
      </c>
      <c r="AC1" s="233" t="s">
        <v>313</v>
      </c>
      <c r="AD1" s="233" t="s">
        <v>314</v>
      </c>
      <c r="AE1" s="233" t="s">
        <v>315</v>
      </c>
      <c r="AF1" s="233" t="s">
        <v>316</v>
      </c>
      <c r="AG1" s="233" t="s">
        <v>317</v>
      </c>
      <c r="AH1" s="233" t="s">
        <v>318</v>
      </c>
      <c r="AI1" s="233" t="s">
        <v>319</v>
      </c>
      <c r="AJ1" s="233" t="s">
        <v>320</v>
      </c>
      <c r="AK1" s="233" t="s">
        <v>321</v>
      </c>
      <c r="AL1" s="233" t="s">
        <v>322</v>
      </c>
      <c r="AM1" s="233" t="s">
        <v>323</v>
      </c>
      <c r="AN1" s="233" t="s">
        <v>324</v>
      </c>
      <c r="AO1" s="233" t="s">
        <v>325</v>
      </c>
      <c r="AP1" s="233" t="s">
        <v>326</v>
      </c>
      <c r="AQ1" s="233" t="s">
        <v>327</v>
      </c>
      <c r="AR1" s="233" t="s">
        <v>328</v>
      </c>
      <c r="AS1" s="233" t="s">
        <v>329</v>
      </c>
      <c r="AT1" s="233" t="s">
        <v>330</v>
      </c>
      <c r="AU1" s="233" t="s">
        <v>331</v>
      </c>
      <c r="AV1" s="234" t="s">
        <v>332</v>
      </c>
      <c r="AW1" s="234" t="s">
        <v>333</v>
      </c>
      <c r="AX1" s="234" t="s">
        <v>334</v>
      </c>
      <c r="AY1" s="234" t="s">
        <v>335</v>
      </c>
      <c r="AZ1" s="234" t="s">
        <v>336</v>
      </c>
      <c r="BA1" s="234" t="s">
        <v>337</v>
      </c>
      <c r="BB1" s="234" t="s">
        <v>338</v>
      </c>
      <c r="BC1" s="234" t="s">
        <v>339</v>
      </c>
      <c r="BD1" s="234" t="s">
        <v>340</v>
      </c>
      <c r="BE1" s="234" t="s">
        <v>341</v>
      </c>
      <c r="BF1" s="234" t="s">
        <v>342</v>
      </c>
      <c r="BG1" s="234" t="s">
        <v>343</v>
      </c>
      <c r="BH1" s="234" t="s">
        <v>344</v>
      </c>
      <c r="BI1" s="234" t="s">
        <v>345</v>
      </c>
      <c r="BJ1" s="234" t="s">
        <v>346</v>
      </c>
      <c r="BK1" s="234" t="s">
        <v>347</v>
      </c>
      <c r="BL1" s="234" t="s">
        <v>348</v>
      </c>
      <c r="BM1" s="234" t="s">
        <v>349</v>
      </c>
      <c r="BN1" s="234" t="s">
        <v>350</v>
      </c>
      <c r="BO1" s="234" t="s">
        <v>351</v>
      </c>
      <c r="BP1" s="234" t="s">
        <v>352</v>
      </c>
      <c r="BQ1" s="234" t="s">
        <v>353</v>
      </c>
      <c r="BR1" s="234" t="s">
        <v>354</v>
      </c>
      <c r="BS1" s="234" t="s">
        <v>355</v>
      </c>
      <c r="BT1" s="234" t="s">
        <v>356</v>
      </c>
      <c r="BU1" s="234" t="s">
        <v>357</v>
      </c>
      <c r="BV1" s="234" t="s">
        <v>358</v>
      </c>
      <c r="BW1" s="234" t="s">
        <v>359</v>
      </c>
      <c r="BX1" s="234" t="s">
        <v>360</v>
      </c>
      <c r="BY1" s="234" t="s">
        <v>361</v>
      </c>
      <c r="BZ1" s="234" t="s">
        <v>362</v>
      </c>
      <c r="CA1" s="234" t="s">
        <v>363</v>
      </c>
      <c r="CB1" s="234" t="s">
        <v>364</v>
      </c>
      <c r="CC1" s="234" t="s">
        <v>365</v>
      </c>
      <c r="CD1" s="234" t="s">
        <v>366</v>
      </c>
      <c r="CE1" s="234" t="s">
        <v>367</v>
      </c>
      <c r="CF1" s="234" t="s">
        <v>368</v>
      </c>
      <c r="CG1" s="234" t="s">
        <v>369</v>
      </c>
      <c r="CH1" s="234" t="s">
        <v>370</v>
      </c>
      <c r="CI1" s="234" t="s">
        <v>371</v>
      </c>
      <c r="CJ1" s="234" t="s">
        <v>372</v>
      </c>
      <c r="CK1" s="234" t="s">
        <v>373</v>
      </c>
      <c r="CL1" s="234" t="s">
        <v>374</v>
      </c>
      <c r="CM1" s="234" t="s">
        <v>375</v>
      </c>
      <c r="CN1" s="234" t="s">
        <v>376</v>
      </c>
      <c r="CO1" s="234" t="s">
        <v>377</v>
      </c>
      <c r="CP1" s="234" t="s">
        <v>378</v>
      </c>
      <c r="CQ1" s="234" t="s">
        <v>379</v>
      </c>
      <c r="CR1" s="234" t="s">
        <v>380</v>
      </c>
      <c r="CS1" s="234" t="s">
        <v>381</v>
      </c>
      <c r="CT1" s="234" t="s">
        <v>382</v>
      </c>
      <c r="CU1" s="234" t="s">
        <v>383</v>
      </c>
      <c r="CV1" s="234" t="s">
        <v>384</v>
      </c>
      <c r="CW1" s="234" t="s">
        <v>385</v>
      </c>
      <c r="CX1" s="234" t="s">
        <v>386</v>
      </c>
      <c r="CY1" s="234" t="s">
        <v>387</v>
      </c>
      <c r="CZ1" s="234" t="s">
        <v>388</v>
      </c>
      <c r="DA1" s="234" t="s">
        <v>389</v>
      </c>
      <c r="DB1" s="234" t="s">
        <v>390</v>
      </c>
      <c r="DC1" s="234" t="s">
        <v>391</v>
      </c>
      <c r="DD1" s="234" t="s">
        <v>392</v>
      </c>
      <c r="DE1" s="234" t="s">
        <v>393</v>
      </c>
      <c r="DF1" s="234" t="s">
        <v>394</v>
      </c>
      <c r="DG1" s="234" t="s">
        <v>395</v>
      </c>
      <c r="DH1" s="234" t="s">
        <v>396</v>
      </c>
      <c r="DI1" s="234" t="s">
        <v>397</v>
      </c>
      <c r="DJ1" s="234" t="s">
        <v>398</v>
      </c>
      <c r="DK1" s="234" t="s">
        <v>399</v>
      </c>
      <c r="DL1" s="234" t="s">
        <v>400</v>
      </c>
      <c r="DM1" s="234" t="s">
        <v>401</v>
      </c>
      <c r="DN1" s="234" t="s">
        <v>402</v>
      </c>
    </row>
    <row r="2">
      <c r="A2" s="235">
        <v>46255.0</v>
      </c>
      <c r="B2" s="236" t="s">
        <v>4</v>
      </c>
      <c r="C2" s="236" t="s">
        <v>423</v>
      </c>
      <c r="D2" s="236">
        <v>688.0</v>
      </c>
      <c r="E2" s="236">
        <v>25.56</v>
      </c>
      <c r="F2" s="236">
        <v>0.0</v>
      </c>
      <c r="G2" s="236">
        <v>0.0</v>
      </c>
      <c r="H2" s="236">
        <v>0.0</v>
      </c>
      <c r="I2" s="236"/>
      <c r="J2" s="236">
        <v>1.37</v>
      </c>
      <c r="K2" s="236">
        <v>0.01</v>
      </c>
      <c r="L2" s="236">
        <v>0.0</v>
      </c>
      <c r="M2" s="236">
        <v>0.0</v>
      </c>
      <c r="N2" s="236">
        <v>1.0</v>
      </c>
      <c r="O2" s="236">
        <v>1.0</v>
      </c>
      <c r="P2" s="236"/>
      <c r="Q2" s="236">
        <v>0.0</v>
      </c>
      <c r="R2" s="236">
        <v>0.0</v>
      </c>
      <c r="S2" s="236">
        <v>0.0</v>
      </c>
      <c r="T2" s="236">
        <v>0.0</v>
      </c>
      <c r="U2" s="236">
        <v>0.0</v>
      </c>
      <c r="V2" s="236">
        <v>0.0</v>
      </c>
      <c r="W2" s="236">
        <v>0.0</v>
      </c>
      <c r="X2" s="236"/>
      <c r="Y2" s="236">
        <v>200.0</v>
      </c>
      <c r="Z2" s="236">
        <v>200.0</v>
      </c>
      <c r="AA2" s="236">
        <v>200.0</v>
      </c>
      <c r="AB2" s="236"/>
      <c r="AC2" s="236"/>
      <c r="AD2" s="237"/>
      <c r="AE2" s="237"/>
      <c r="AF2" s="237"/>
      <c r="AG2" s="237"/>
      <c r="AH2" s="237"/>
      <c r="AI2" s="236">
        <v>0.0</v>
      </c>
      <c r="AJ2" s="236">
        <v>0.0</v>
      </c>
      <c r="AK2" s="236">
        <v>0.0</v>
      </c>
      <c r="AL2" s="236">
        <v>0.9273</v>
      </c>
      <c r="AM2" s="237"/>
      <c r="AQ2" s="153">
        <v>0.0</v>
      </c>
      <c r="AR2" s="153">
        <v>0.0</v>
      </c>
      <c r="AS2" s="153">
        <v>0.0</v>
      </c>
      <c r="AT2" s="153">
        <v>0.0</v>
      </c>
      <c r="AU2" s="153">
        <v>0.0</v>
      </c>
      <c r="AV2" s="153">
        <v>688.0</v>
      </c>
      <c r="AW2" s="153">
        <v>0.0</v>
      </c>
      <c r="AX2" s="153">
        <v>0.0</v>
      </c>
      <c r="AY2" s="153">
        <v>0.0</v>
      </c>
      <c r="AZ2" s="153">
        <v>0.0</v>
      </c>
      <c r="BA2" s="153">
        <v>0.0</v>
      </c>
      <c r="BB2" s="153">
        <v>0.0</v>
      </c>
      <c r="BD2" s="153">
        <v>200.0</v>
      </c>
      <c r="BE2" s="153">
        <v>0.0</v>
      </c>
      <c r="BF2" s="153">
        <v>0.0</v>
      </c>
      <c r="BG2" s="153">
        <v>0.0</v>
      </c>
      <c r="BH2" s="153">
        <v>0.0</v>
      </c>
      <c r="BI2" s="153">
        <v>0.0</v>
      </c>
      <c r="BJ2" s="153">
        <v>0.0</v>
      </c>
      <c r="BK2" s="153">
        <v>0.0</v>
      </c>
      <c r="BL2" s="153">
        <v>0.0</v>
      </c>
      <c r="BM2" s="153">
        <v>0.0</v>
      </c>
      <c r="BN2" s="153">
        <v>0.0</v>
      </c>
      <c r="BO2" s="153">
        <v>0.0</v>
      </c>
      <c r="BP2" s="153">
        <v>0.0</v>
      </c>
      <c r="BQ2" s="153">
        <v>0.0</v>
      </c>
      <c r="BR2" s="153">
        <v>0.0</v>
      </c>
      <c r="BS2" s="153">
        <v>0.0</v>
      </c>
      <c r="BT2" s="153">
        <v>0.0</v>
      </c>
      <c r="BU2" s="153">
        <v>0.0</v>
      </c>
      <c r="BV2" s="153">
        <v>0.0</v>
      </c>
      <c r="BW2" s="153">
        <v>0.0</v>
      </c>
      <c r="BX2" s="153">
        <v>0.0</v>
      </c>
      <c r="BY2" s="153">
        <v>0.0</v>
      </c>
      <c r="BZ2" s="153">
        <v>0.0</v>
      </c>
      <c r="CA2" s="153">
        <v>0.0</v>
      </c>
      <c r="CB2" s="153">
        <v>0.0</v>
      </c>
      <c r="CC2" s="153">
        <v>0.0</v>
      </c>
      <c r="CD2" s="153">
        <v>0.0</v>
      </c>
      <c r="CE2" s="153">
        <v>0.0</v>
      </c>
      <c r="CF2" s="153">
        <v>0.0</v>
      </c>
      <c r="CG2" s="153">
        <v>0.0</v>
      </c>
      <c r="CH2" s="153">
        <v>0.0</v>
      </c>
      <c r="CI2" s="153">
        <v>0.0</v>
      </c>
      <c r="CJ2" s="153">
        <v>0.0</v>
      </c>
      <c r="CK2" s="153">
        <v>0.0</v>
      </c>
      <c r="CL2" s="153">
        <v>0.0</v>
      </c>
      <c r="CM2" s="153">
        <v>0.0</v>
      </c>
      <c r="CN2" s="153">
        <v>0.0</v>
      </c>
      <c r="CP2" s="153">
        <v>0.0</v>
      </c>
      <c r="CQ2" s="153">
        <v>0.0</v>
      </c>
      <c r="CR2" s="153">
        <v>0.0</v>
      </c>
      <c r="CS2" s="153">
        <v>0.0</v>
      </c>
      <c r="CT2" s="153">
        <v>0.0</v>
      </c>
      <c r="CU2" s="153">
        <v>0.0</v>
      </c>
      <c r="CV2" s="153">
        <v>0.0</v>
      </c>
      <c r="CW2" s="153">
        <v>0.0</v>
      </c>
      <c r="CX2" s="153">
        <v>0.0</v>
      </c>
      <c r="CY2" s="153">
        <v>0.0</v>
      </c>
      <c r="CZ2" s="153">
        <v>0.0</v>
      </c>
      <c r="DA2" s="153">
        <v>0.0</v>
      </c>
      <c r="DB2" s="153">
        <v>0.0</v>
      </c>
      <c r="DC2" s="153">
        <v>0.0</v>
      </c>
      <c r="DD2" s="153">
        <v>0.0</v>
      </c>
      <c r="DE2" s="153">
        <v>0.0</v>
      </c>
      <c r="DF2" s="153">
        <v>0.0</v>
      </c>
      <c r="DG2" s="153">
        <v>0.0</v>
      </c>
      <c r="DH2" s="153">
        <v>0.0</v>
      </c>
      <c r="DI2" s="153">
        <v>0.0</v>
      </c>
      <c r="DJ2" s="153">
        <v>0.0</v>
      </c>
      <c r="DK2" s="153">
        <v>0.0</v>
      </c>
      <c r="DL2" s="153">
        <v>0.0</v>
      </c>
      <c r="DM2" s="153">
        <v>0.0</v>
      </c>
      <c r="DN2" s="153">
        <v>0.0</v>
      </c>
    </row>
    <row r="3">
      <c r="A3" s="235">
        <v>46255.0</v>
      </c>
      <c r="B3" s="236" t="s">
        <v>4</v>
      </c>
      <c r="C3" s="236" t="s">
        <v>133</v>
      </c>
      <c r="D3" s="236">
        <v>1093.0</v>
      </c>
      <c r="E3" s="236">
        <v>40.6</v>
      </c>
      <c r="F3" s="236">
        <v>0.0</v>
      </c>
      <c r="G3" s="236">
        <v>0.0</v>
      </c>
      <c r="H3" s="236">
        <v>0.0</v>
      </c>
      <c r="I3" s="236"/>
      <c r="J3" s="236">
        <v>4.53</v>
      </c>
      <c r="K3" s="236">
        <v>4.02</v>
      </c>
      <c r="L3" s="236">
        <v>3.79</v>
      </c>
      <c r="M3" s="236">
        <v>0.944</v>
      </c>
      <c r="N3" s="236">
        <v>0.0594</v>
      </c>
      <c r="O3" s="236">
        <v>0.0308</v>
      </c>
      <c r="P3" s="236">
        <v>1.0593</v>
      </c>
      <c r="Q3" s="236">
        <v>3.53</v>
      </c>
      <c r="R3" s="236">
        <v>3.48</v>
      </c>
      <c r="S3" s="236">
        <v>0.05</v>
      </c>
      <c r="T3" s="236">
        <v>0.0</v>
      </c>
      <c r="U3" s="236">
        <v>3.53</v>
      </c>
      <c r="V3" s="236">
        <v>2.88</v>
      </c>
      <c r="W3" s="236">
        <v>0.717</v>
      </c>
      <c r="X3" s="236">
        <v>0.0</v>
      </c>
      <c r="Y3" s="236">
        <v>200.0</v>
      </c>
      <c r="Z3" s="236">
        <v>200.0</v>
      </c>
      <c r="AA3" s="236">
        <v>218.0</v>
      </c>
      <c r="AB3" s="236"/>
      <c r="AC3" s="236"/>
      <c r="AD3" s="236">
        <v>3.68</v>
      </c>
      <c r="AE3" s="236">
        <v>2.0</v>
      </c>
      <c r="AF3" s="236">
        <v>3.0</v>
      </c>
      <c r="AG3" s="236">
        <v>5.0</v>
      </c>
      <c r="AH3" s="236">
        <v>8.0</v>
      </c>
      <c r="AI3" s="236">
        <v>78.13</v>
      </c>
      <c r="AJ3" s="236">
        <v>36.78</v>
      </c>
      <c r="AK3" s="236">
        <v>0.0</v>
      </c>
      <c r="AL3" s="236">
        <v>0.8847</v>
      </c>
      <c r="AM3" s="237"/>
      <c r="AQ3" s="153">
        <v>0.1784</v>
      </c>
      <c r="AR3" s="153">
        <v>0.0027</v>
      </c>
      <c r="AS3" s="153">
        <v>0.1757</v>
      </c>
      <c r="AT3" s="153">
        <v>0.3321</v>
      </c>
      <c r="AU3" s="153">
        <v>0.0826</v>
      </c>
      <c r="AV3" s="153">
        <v>1093.0</v>
      </c>
      <c r="AW3" s="153">
        <v>0.0</v>
      </c>
      <c r="AX3" s="153">
        <v>3.53</v>
      </c>
      <c r="AY3" s="153">
        <v>0.0</v>
      </c>
      <c r="AZ3" s="153">
        <v>0.0</v>
      </c>
      <c r="BA3" s="153">
        <v>0.0</v>
      </c>
      <c r="BB3" s="153">
        <v>0.0</v>
      </c>
      <c r="BC3" s="153">
        <v>9.0</v>
      </c>
      <c r="BD3" s="153">
        <v>240.0</v>
      </c>
      <c r="BE3" s="153">
        <v>0.1757</v>
      </c>
      <c r="BF3" s="153">
        <v>0.0027</v>
      </c>
      <c r="BG3" s="153">
        <v>0.1729</v>
      </c>
      <c r="BH3" s="153">
        <v>0.3257</v>
      </c>
      <c r="BI3" s="153">
        <v>0.081</v>
      </c>
      <c r="BJ3" s="153">
        <v>0.0027</v>
      </c>
      <c r="BK3" s="153">
        <v>0.0</v>
      </c>
      <c r="BL3" s="153">
        <v>0.0027</v>
      </c>
      <c r="BM3" s="153">
        <v>0.0064</v>
      </c>
      <c r="BN3" s="153">
        <v>0.0016</v>
      </c>
      <c r="BO3" s="153">
        <v>0.0037</v>
      </c>
      <c r="BP3" s="153">
        <v>0.0</v>
      </c>
      <c r="BQ3" s="153">
        <v>0.0037</v>
      </c>
      <c r="BR3" s="153">
        <v>0.1848</v>
      </c>
      <c r="BS3" s="153">
        <v>0.1665</v>
      </c>
      <c r="BT3" s="153">
        <v>0.0027</v>
      </c>
      <c r="BU3" s="153">
        <v>0.1638</v>
      </c>
      <c r="BV3" s="153">
        <v>0.0695</v>
      </c>
      <c r="BW3" s="153">
        <v>0.0055</v>
      </c>
      <c r="BX3" s="153">
        <v>0.0</v>
      </c>
      <c r="BY3" s="153">
        <v>0.0055</v>
      </c>
      <c r="BZ3" s="153">
        <v>0.0714</v>
      </c>
      <c r="CA3" s="153">
        <v>9.0E-4</v>
      </c>
      <c r="CB3" s="153">
        <v>0.0</v>
      </c>
      <c r="CC3" s="153">
        <v>9.0E-4</v>
      </c>
      <c r="CD3" s="153">
        <v>0.0018</v>
      </c>
      <c r="CE3" s="153">
        <v>0.0</v>
      </c>
      <c r="CF3" s="153">
        <v>0.0</v>
      </c>
      <c r="CG3" s="153">
        <v>0.0</v>
      </c>
      <c r="CH3" s="153">
        <v>0.0018</v>
      </c>
      <c r="CI3" s="153">
        <v>0.0018</v>
      </c>
      <c r="CJ3" s="153">
        <v>0.0</v>
      </c>
      <c r="CK3" s="153">
        <v>0.0018</v>
      </c>
      <c r="CL3" s="153">
        <v>0.0027</v>
      </c>
      <c r="CM3" s="153">
        <v>0.06</v>
      </c>
      <c r="CN3" s="153">
        <v>0.09</v>
      </c>
      <c r="CO3" s="153">
        <v>65.0</v>
      </c>
      <c r="CP3" s="153">
        <v>0.02</v>
      </c>
      <c r="CQ3" s="153">
        <v>0.0</v>
      </c>
      <c r="CR3" s="153">
        <v>0.04</v>
      </c>
      <c r="CS3" s="153">
        <v>0.0</v>
      </c>
      <c r="CT3" s="153">
        <v>0.0</v>
      </c>
      <c r="CU3" s="153">
        <v>0.0</v>
      </c>
      <c r="CV3" s="153">
        <v>0.0</v>
      </c>
      <c r="CW3" s="153">
        <v>3.53</v>
      </c>
      <c r="CX3" s="153">
        <v>0.0</v>
      </c>
      <c r="CY3" s="153">
        <v>0.0</v>
      </c>
      <c r="CZ3" s="153">
        <v>0.15</v>
      </c>
      <c r="DA3" s="153">
        <v>0.0</v>
      </c>
      <c r="DB3" s="153">
        <v>0.15</v>
      </c>
      <c r="DC3" s="153">
        <v>0.15</v>
      </c>
      <c r="DD3" s="153">
        <v>0.0</v>
      </c>
      <c r="DE3" s="153">
        <v>0.15</v>
      </c>
      <c r="DF3" s="153">
        <v>0.0</v>
      </c>
      <c r="DG3" s="153">
        <v>0.0</v>
      </c>
      <c r="DH3" s="153">
        <v>0.0</v>
      </c>
      <c r="DI3" s="153">
        <v>0.0</v>
      </c>
      <c r="DJ3" s="153">
        <v>0.0</v>
      </c>
      <c r="DK3" s="153">
        <v>0.0</v>
      </c>
      <c r="DL3" s="153">
        <v>0.0</v>
      </c>
      <c r="DM3" s="153">
        <v>0.0</v>
      </c>
      <c r="DN3" s="153">
        <v>0.0</v>
      </c>
    </row>
    <row r="4">
      <c r="A4" s="235">
        <v>46255.0</v>
      </c>
      <c r="B4" s="236" t="s">
        <v>4</v>
      </c>
      <c r="C4" s="236" t="s">
        <v>134</v>
      </c>
      <c r="D4" s="236">
        <v>427.0</v>
      </c>
      <c r="E4" s="236">
        <v>15.86</v>
      </c>
      <c r="F4" s="236">
        <v>0.0</v>
      </c>
      <c r="G4" s="236">
        <v>0.0</v>
      </c>
      <c r="H4" s="236">
        <v>0.0</v>
      </c>
      <c r="I4" s="236"/>
      <c r="J4" s="236">
        <v>15.15</v>
      </c>
      <c r="K4" s="236">
        <v>14.05</v>
      </c>
      <c r="L4" s="236">
        <v>13.26</v>
      </c>
      <c r="M4" s="236">
        <v>0.9435</v>
      </c>
      <c r="N4" s="236">
        <v>0.0618</v>
      </c>
      <c r="O4" s="236">
        <v>0.0478</v>
      </c>
      <c r="P4" s="236">
        <v>1.0599</v>
      </c>
      <c r="Q4" s="236">
        <v>48.84</v>
      </c>
      <c r="R4" s="236">
        <v>34.54</v>
      </c>
      <c r="S4" s="236">
        <v>14.3</v>
      </c>
      <c r="T4" s="236">
        <v>0.0</v>
      </c>
      <c r="U4" s="236">
        <v>48.84</v>
      </c>
      <c r="V4" s="236">
        <v>26.93</v>
      </c>
      <c r="W4" s="236">
        <v>1.9167</v>
      </c>
      <c r="X4" s="236">
        <v>0.0</v>
      </c>
      <c r="Y4" s="236">
        <v>239.0</v>
      </c>
      <c r="Z4" s="236">
        <v>255.0</v>
      </c>
      <c r="AA4" s="236">
        <v>278.0</v>
      </c>
      <c r="AB4" s="236"/>
      <c r="AC4" s="236"/>
      <c r="AD4" s="236">
        <v>11.99</v>
      </c>
      <c r="AE4" s="236">
        <v>10.0</v>
      </c>
      <c r="AF4" s="236">
        <v>11.0</v>
      </c>
      <c r="AG4" s="236">
        <v>14.0</v>
      </c>
      <c r="AH4" s="236">
        <v>17.0</v>
      </c>
      <c r="AI4" s="236">
        <v>96.72</v>
      </c>
      <c r="AJ4" s="236">
        <v>40.52</v>
      </c>
      <c r="AK4" s="236">
        <v>0.0</v>
      </c>
      <c r="AL4" s="236">
        <v>0.6909</v>
      </c>
      <c r="AM4" s="237"/>
      <c r="AQ4" s="153">
        <v>3.452</v>
      </c>
      <c r="AR4" s="153">
        <v>0.2178</v>
      </c>
      <c r="AS4" s="153">
        <v>3.2342</v>
      </c>
      <c r="AT4" s="153">
        <v>3.5152</v>
      </c>
      <c r="AU4" s="153">
        <v>0.2502</v>
      </c>
      <c r="AV4" s="153">
        <v>427.0</v>
      </c>
      <c r="AW4" s="153">
        <v>0.0</v>
      </c>
      <c r="AX4" s="153">
        <v>48.82</v>
      </c>
      <c r="AY4" s="153">
        <v>0.0</v>
      </c>
      <c r="AZ4" s="153">
        <v>0.02</v>
      </c>
      <c r="BA4" s="153">
        <v>0.0</v>
      </c>
      <c r="BB4" s="153">
        <v>0.0</v>
      </c>
      <c r="BC4" s="153">
        <v>19.0</v>
      </c>
      <c r="BD4" s="153">
        <v>280.0</v>
      </c>
      <c r="BE4" s="153">
        <v>3.4473</v>
      </c>
      <c r="BF4" s="153">
        <v>0.2178</v>
      </c>
      <c r="BG4" s="153">
        <v>3.2295</v>
      </c>
      <c r="BH4" s="153">
        <v>3.5035</v>
      </c>
      <c r="BI4" s="153">
        <v>0.2493</v>
      </c>
      <c r="BJ4" s="153">
        <v>0.0047</v>
      </c>
      <c r="BK4" s="153">
        <v>0.0</v>
      </c>
      <c r="BL4" s="153">
        <v>0.0047</v>
      </c>
      <c r="BM4" s="153">
        <v>0.0117</v>
      </c>
      <c r="BN4" s="153">
        <v>8.0E-4</v>
      </c>
      <c r="BO4" s="153">
        <v>0.9789</v>
      </c>
      <c r="BP4" s="153">
        <v>0.0632</v>
      </c>
      <c r="BQ4" s="153">
        <v>0.9157</v>
      </c>
      <c r="BR4" s="153">
        <v>1.5035</v>
      </c>
      <c r="BS4" s="153">
        <v>2.007</v>
      </c>
      <c r="BT4" s="153">
        <v>0.0141</v>
      </c>
      <c r="BU4" s="153">
        <v>1.993</v>
      </c>
      <c r="BV4" s="153">
        <v>1.0562</v>
      </c>
      <c r="BW4" s="153">
        <v>0.4614</v>
      </c>
      <c r="BX4" s="153">
        <v>0.1405</v>
      </c>
      <c r="BY4" s="153">
        <v>0.3208</v>
      </c>
      <c r="BZ4" s="153">
        <v>0.9438</v>
      </c>
      <c r="CA4" s="153">
        <v>0.0</v>
      </c>
      <c r="CB4" s="153">
        <v>0.0</v>
      </c>
      <c r="CC4" s="153">
        <v>0.0</v>
      </c>
      <c r="CD4" s="153">
        <v>0.0023</v>
      </c>
      <c r="CE4" s="153">
        <v>0.0</v>
      </c>
      <c r="CF4" s="153">
        <v>0.0</v>
      </c>
      <c r="CG4" s="153">
        <v>0.0</v>
      </c>
      <c r="CH4" s="153">
        <v>0.0023</v>
      </c>
      <c r="CI4" s="153">
        <v>0.0047</v>
      </c>
      <c r="CJ4" s="153">
        <v>0.0</v>
      </c>
      <c r="CK4" s="153">
        <v>0.0047</v>
      </c>
      <c r="CL4" s="153">
        <v>0.007</v>
      </c>
      <c r="CM4" s="153">
        <v>0.2</v>
      </c>
      <c r="CN4" s="153">
        <v>0.23</v>
      </c>
      <c r="CO4" s="153">
        <v>85.0</v>
      </c>
      <c r="CP4" s="153">
        <v>0.11</v>
      </c>
      <c r="CQ4" s="153">
        <v>0.0</v>
      </c>
      <c r="CR4" s="153">
        <v>0.09</v>
      </c>
      <c r="CS4" s="153">
        <v>0.0</v>
      </c>
      <c r="CT4" s="153">
        <v>0.0</v>
      </c>
      <c r="CU4" s="153">
        <v>0.0</v>
      </c>
      <c r="CV4" s="153">
        <v>0.0</v>
      </c>
      <c r="CW4" s="153">
        <v>48.84</v>
      </c>
      <c r="CX4" s="153">
        <v>0.0</v>
      </c>
      <c r="CY4" s="153">
        <v>0.0</v>
      </c>
      <c r="CZ4" s="153">
        <v>1.02</v>
      </c>
      <c r="DA4" s="153">
        <v>0.0</v>
      </c>
      <c r="DB4" s="153">
        <v>1.02</v>
      </c>
      <c r="DC4" s="153">
        <v>1.02</v>
      </c>
      <c r="DD4" s="153">
        <v>0.0</v>
      </c>
      <c r="DE4" s="153">
        <v>1.02</v>
      </c>
      <c r="DF4" s="153">
        <v>0.0</v>
      </c>
      <c r="DG4" s="153">
        <v>0.0</v>
      </c>
      <c r="DH4" s="153">
        <v>0.0</v>
      </c>
      <c r="DI4" s="153">
        <v>0.0</v>
      </c>
      <c r="DJ4" s="153">
        <v>0.0</v>
      </c>
      <c r="DK4" s="153">
        <v>0.0</v>
      </c>
      <c r="DL4" s="153">
        <v>0.0</v>
      </c>
      <c r="DM4" s="153">
        <v>0.0</v>
      </c>
      <c r="DN4" s="153">
        <v>0.0</v>
      </c>
    </row>
    <row r="5">
      <c r="A5" s="235">
        <v>46255.0</v>
      </c>
      <c r="B5" s="236" t="s">
        <v>4</v>
      </c>
      <c r="C5" s="236" t="s">
        <v>135</v>
      </c>
      <c r="D5" s="236">
        <v>277.0</v>
      </c>
      <c r="E5" s="236">
        <v>10.29</v>
      </c>
      <c r="F5" s="236">
        <v>0.0</v>
      </c>
      <c r="G5" s="236">
        <v>0.0</v>
      </c>
      <c r="H5" s="236">
        <v>0.0</v>
      </c>
      <c r="I5" s="236"/>
      <c r="J5" s="236">
        <v>32.89</v>
      </c>
      <c r="K5" s="236">
        <v>29.07</v>
      </c>
      <c r="L5" s="236">
        <v>27.3</v>
      </c>
      <c r="M5" s="236">
        <v>0.9389</v>
      </c>
      <c r="N5" s="236">
        <v>0.0746</v>
      </c>
      <c r="O5" s="236">
        <v>0.0539</v>
      </c>
      <c r="P5" s="236">
        <v>1.0651</v>
      </c>
      <c r="Q5" s="236">
        <v>114.12</v>
      </c>
      <c r="R5" s="236">
        <v>78.62</v>
      </c>
      <c r="S5" s="236">
        <v>35.51</v>
      </c>
      <c r="T5" s="236">
        <v>0.0</v>
      </c>
      <c r="U5" s="236">
        <v>114.12</v>
      </c>
      <c r="V5" s="236">
        <v>83.03</v>
      </c>
      <c r="W5" s="236">
        <v>2.8561</v>
      </c>
      <c r="X5" s="236">
        <v>0.0</v>
      </c>
      <c r="Y5" s="236">
        <v>293.0</v>
      </c>
      <c r="Z5" s="236">
        <v>325.0</v>
      </c>
      <c r="AA5" s="236">
        <v>375.0</v>
      </c>
      <c r="AB5" s="236"/>
      <c r="AC5" s="236"/>
      <c r="AD5" s="236">
        <v>23.35</v>
      </c>
      <c r="AE5" s="236">
        <v>19.0</v>
      </c>
      <c r="AF5" s="236">
        <v>23.0</v>
      </c>
      <c r="AG5" s="236">
        <v>29.0</v>
      </c>
      <c r="AH5" s="236">
        <v>33.0</v>
      </c>
      <c r="AI5" s="236">
        <v>96.75</v>
      </c>
      <c r="AJ5" s="236">
        <v>42.96</v>
      </c>
      <c r="AK5" s="236">
        <v>0.0</v>
      </c>
      <c r="AL5" s="236">
        <v>0.6029</v>
      </c>
      <c r="AM5" s="237"/>
      <c r="AQ5" s="153">
        <v>8.1011</v>
      </c>
      <c r="AR5" s="153">
        <v>0.5957</v>
      </c>
      <c r="AS5" s="153">
        <v>7.5054</v>
      </c>
      <c r="AT5" s="153">
        <v>4.4368</v>
      </c>
      <c r="AU5" s="153">
        <v>0.1526</v>
      </c>
      <c r="AV5" s="153">
        <v>277.0</v>
      </c>
      <c r="AW5" s="153">
        <v>0.0</v>
      </c>
      <c r="AX5" s="153">
        <v>112.74</v>
      </c>
      <c r="AY5" s="153">
        <v>0.7</v>
      </c>
      <c r="AZ5" s="153">
        <v>0.56</v>
      </c>
      <c r="BA5" s="153">
        <v>0.0</v>
      </c>
      <c r="BB5" s="153">
        <v>0.12</v>
      </c>
      <c r="BC5" s="153">
        <v>38.0</v>
      </c>
      <c r="BD5" s="153">
        <v>395.0</v>
      </c>
      <c r="BE5" s="153">
        <v>7.8339</v>
      </c>
      <c r="BF5" s="153">
        <v>0.574</v>
      </c>
      <c r="BG5" s="153">
        <v>7.2599</v>
      </c>
      <c r="BH5" s="153">
        <v>3.4585</v>
      </c>
      <c r="BI5" s="153">
        <v>0.119</v>
      </c>
      <c r="BJ5" s="153">
        <v>0.2671</v>
      </c>
      <c r="BK5" s="153">
        <v>0.0217</v>
      </c>
      <c r="BL5" s="153">
        <v>0.2455</v>
      </c>
      <c r="BM5" s="153">
        <v>0.9783</v>
      </c>
      <c r="BN5" s="153">
        <v>0.0337</v>
      </c>
      <c r="BO5" s="153">
        <v>2.1697</v>
      </c>
      <c r="BP5" s="153">
        <v>0.1841</v>
      </c>
      <c r="BQ5" s="153">
        <v>1.9856</v>
      </c>
      <c r="BR5" s="153">
        <v>1.4982</v>
      </c>
      <c r="BS5" s="153">
        <v>3.9639</v>
      </c>
      <c r="BT5" s="153">
        <v>0.1733</v>
      </c>
      <c r="BU5" s="153">
        <v>3.7906</v>
      </c>
      <c r="BV5" s="153">
        <v>1.083</v>
      </c>
      <c r="BW5" s="153">
        <v>1.7004</v>
      </c>
      <c r="BX5" s="153">
        <v>0.2166</v>
      </c>
      <c r="BY5" s="153">
        <v>1.4838</v>
      </c>
      <c r="BZ5" s="153">
        <v>0.8773</v>
      </c>
      <c r="CA5" s="153">
        <v>0.0036</v>
      </c>
      <c r="CB5" s="153">
        <v>0.0</v>
      </c>
      <c r="CC5" s="153">
        <v>0.0036</v>
      </c>
      <c r="CD5" s="153">
        <v>0.2996</v>
      </c>
      <c r="CE5" s="153">
        <v>0.2455</v>
      </c>
      <c r="CF5" s="153">
        <v>0.0108</v>
      </c>
      <c r="CG5" s="153">
        <v>0.2347</v>
      </c>
      <c r="CH5" s="153">
        <v>0.296</v>
      </c>
      <c r="CI5" s="153">
        <v>0.0181</v>
      </c>
      <c r="CJ5" s="153">
        <v>0.0108</v>
      </c>
      <c r="CK5" s="153">
        <v>0.0072</v>
      </c>
      <c r="CL5" s="153">
        <v>0.3827</v>
      </c>
      <c r="CM5" s="153">
        <v>37.74</v>
      </c>
      <c r="CN5" s="153">
        <v>52.35</v>
      </c>
      <c r="CO5" s="153">
        <v>72.1</v>
      </c>
      <c r="CP5" s="153">
        <v>34.71</v>
      </c>
      <c r="CQ5" s="153">
        <v>0.0</v>
      </c>
      <c r="CR5" s="153">
        <v>3.03</v>
      </c>
      <c r="CS5" s="153">
        <v>0.0</v>
      </c>
      <c r="CT5" s="153">
        <v>0.0</v>
      </c>
      <c r="CU5" s="153">
        <v>0.0</v>
      </c>
      <c r="CV5" s="153">
        <v>0.0</v>
      </c>
      <c r="CW5" s="153">
        <v>114.12</v>
      </c>
      <c r="CX5" s="153">
        <v>0.0</v>
      </c>
      <c r="CY5" s="153">
        <v>0.0</v>
      </c>
      <c r="CZ5" s="153">
        <v>63.41</v>
      </c>
      <c r="DA5" s="153">
        <v>0.0</v>
      </c>
      <c r="DB5" s="153">
        <v>63.41</v>
      </c>
      <c r="DC5" s="153">
        <v>61.84</v>
      </c>
      <c r="DD5" s="153">
        <v>0.0</v>
      </c>
      <c r="DE5" s="153">
        <v>61.84</v>
      </c>
      <c r="DF5" s="153">
        <v>0.76</v>
      </c>
      <c r="DG5" s="153">
        <v>0.0</v>
      </c>
      <c r="DH5" s="153">
        <v>0.76</v>
      </c>
      <c r="DI5" s="153">
        <v>0.81</v>
      </c>
      <c r="DJ5" s="153">
        <v>0.0</v>
      </c>
      <c r="DK5" s="153">
        <v>0.81</v>
      </c>
      <c r="DL5" s="153">
        <v>0.0</v>
      </c>
      <c r="DM5" s="153">
        <v>0.0</v>
      </c>
      <c r="DN5" s="153">
        <v>0.0</v>
      </c>
    </row>
    <row r="6">
      <c r="A6" s="235">
        <v>46255.0</v>
      </c>
      <c r="B6" s="236" t="s">
        <v>4</v>
      </c>
      <c r="C6" s="236" t="s">
        <v>136</v>
      </c>
      <c r="D6" s="236">
        <v>164.0</v>
      </c>
      <c r="E6" s="236">
        <v>6.09</v>
      </c>
      <c r="F6" s="236">
        <v>7.81</v>
      </c>
      <c r="G6" s="236">
        <v>0.0476</v>
      </c>
      <c r="H6" s="236">
        <v>1.22</v>
      </c>
      <c r="I6" s="236">
        <v>3.905</v>
      </c>
      <c r="J6" s="236">
        <v>82.02</v>
      </c>
      <c r="K6" s="236">
        <v>64.34</v>
      </c>
      <c r="L6" s="236">
        <v>57.82</v>
      </c>
      <c r="M6" s="236">
        <v>0.8988</v>
      </c>
      <c r="N6" s="236">
        <v>0.1388</v>
      </c>
      <c r="O6" s="236">
        <v>0.0968</v>
      </c>
      <c r="P6" s="236">
        <v>1.1126</v>
      </c>
      <c r="Q6" s="236">
        <v>318.7</v>
      </c>
      <c r="R6" s="236">
        <v>221.75</v>
      </c>
      <c r="S6" s="236">
        <v>96.95</v>
      </c>
      <c r="T6" s="236">
        <v>3.66</v>
      </c>
      <c r="U6" s="236">
        <v>315.04</v>
      </c>
      <c r="V6" s="236">
        <v>297.56</v>
      </c>
      <c r="W6" s="236">
        <v>4.6252</v>
      </c>
      <c r="X6" s="236">
        <v>1.15</v>
      </c>
      <c r="Y6" s="236">
        <v>379.0</v>
      </c>
      <c r="Z6" s="236">
        <v>440.0</v>
      </c>
      <c r="AA6" s="236">
        <v>513.0</v>
      </c>
      <c r="AB6" s="236"/>
      <c r="AC6" s="236"/>
      <c r="AD6" s="236">
        <v>41.51</v>
      </c>
      <c r="AE6" s="236">
        <v>29.0</v>
      </c>
      <c r="AF6" s="236">
        <v>42.0</v>
      </c>
      <c r="AG6" s="236">
        <v>52.0</v>
      </c>
      <c r="AH6" s="236">
        <v>62.0</v>
      </c>
      <c r="AI6" s="236">
        <v>79.27</v>
      </c>
      <c r="AJ6" s="236">
        <v>11.59</v>
      </c>
      <c r="AK6" s="236">
        <v>0.0</v>
      </c>
      <c r="AL6" s="236">
        <v>0.372</v>
      </c>
      <c r="AM6" s="237"/>
      <c r="AQ6" s="153">
        <v>21.2683</v>
      </c>
      <c r="AR6" s="153">
        <v>0.5122</v>
      </c>
      <c r="AS6" s="153">
        <v>20.7561</v>
      </c>
      <c r="AT6" s="153">
        <v>12.7378</v>
      </c>
      <c r="AU6" s="153">
        <v>0.198</v>
      </c>
      <c r="AV6" s="153">
        <v>164.0</v>
      </c>
      <c r="AW6" s="153">
        <v>0.0</v>
      </c>
      <c r="AX6" s="153">
        <v>283.63</v>
      </c>
      <c r="AY6" s="153">
        <v>24.33</v>
      </c>
      <c r="AZ6" s="153">
        <v>0.82</v>
      </c>
      <c r="BA6" s="153">
        <v>3.66</v>
      </c>
      <c r="BB6" s="153">
        <v>6.26</v>
      </c>
      <c r="BC6" s="153">
        <v>82.0</v>
      </c>
      <c r="BD6" s="153">
        <v>705.0</v>
      </c>
      <c r="BE6" s="153">
        <v>16.2805</v>
      </c>
      <c r="BF6" s="153">
        <v>0.4573</v>
      </c>
      <c r="BG6" s="153">
        <v>15.8232</v>
      </c>
      <c r="BH6" s="153">
        <v>5.5183</v>
      </c>
      <c r="BI6" s="153">
        <v>0.0858</v>
      </c>
      <c r="BJ6" s="153">
        <v>4.9878</v>
      </c>
      <c r="BK6" s="153">
        <v>0.0549</v>
      </c>
      <c r="BL6" s="153">
        <v>4.9329</v>
      </c>
      <c r="BM6" s="153">
        <v>7.2195</v>
      </c>
      <c r="BN6" s="153">
        <v>0.1122</v>
      </c>
      <c r="BO6" s="153">
        <v>6.5488</v>
      </c>
      <c r="BP6" s="153">
        <v>0.0976</v>
      </c>
      <c r="BQ6" s="153">
        <v>6.4512</v>
      </c>
      <c r="BR6" s="153">
        <v>2.3476</v>
      </c>
      <c r="BS6" s="153">
        <v>6.5976</v>
      </c>
      <c r="BT6" s="153">
        <v>0.1524</v>
      </c>
      <c r="BU6" s="153">
        <v>6.4451</v>
      </c>
      <c r="BV6" s="153">
        <v>1.8598</v>
      </c>
      <c r="BW6" s="153">
        <v>3.1341</v>
      </c>
      <c r="BX6" s="153">
        <v>0.2073</v>
      </c>
      <c r="BY6" s="153">
        <v>2.9268</v>
      </c>
      <c r="BZ6" s="153">
        <v>1.311</v>
      </c>
      <c r="CA6" s="153">
        <v>0.2073</v>
      </c>
      <c r="CB6" s="153">
        <v>0.0061</v>
      </c>
      <c r="CC6" s="153">
        <v>0.2012</v>
      </c>
      <c r="CD6" s="153">
        <v>2.1037</v>
      </c>
      <c r="CE6" s="153">
        <v>2.3171</v>
      </c>
      <c r="CF6" s="153">
        <v>0.0244</v>
      </c>
      <c r="CG6" s="153">
        <v>2.2927</v>
      </c>
      <c r="CH6" s="153">
        <v>2.189</v>
      </c>
      <c r="CI6" s="153">
        <v>2.4634</v>
      </c>
      <c r="CJ6" s="153">
        <v>0.0244</v>
      </c>
      <c r="CK6" s="153">
        <v>2.439</v>
      </c>
      <c r="CL6" s="153">
        <v>2.9268</v>
      </c>
      <c r="CM6" s="153">
        <v>390.55</v>
      </c>
      <c r="CN6" s="153">
        <v>96.34</v>
      </c>
      <c r="CO6" s="153">
        <v>405.38</v>
      </c>
      <c r="CP6" s="153">
        <v>357.87</v>
      </c>
      <c r="CQ6" s="153">
        <v>0.0</v>
      </c>
      <c r="CR6" s="153">
        <v>30.24</v>
      </c>
      <c r="CS6" s="153">
        <v>2.44</v>
      </c>
      <c r="CT6" s="153">
        <v>0.0</v>
      </c>
      <c r="CU6" s="153">
        <v>0.0</v>
      </c>
      <c r="CV6" s="153">
        <v>0.0</v>
      </c>
      <c r="CW6" s="153">
        <v>318.7</v>
      </c>
      <c r="CX6" s="153">
        <v>0.0</v>
      </c>
      <c r="CY6" s="153">
        <v>0.0</v>
      </c>
      <c r="CZ6" s="153">
        <v>270.67</v>
      </c>
      <c r="DA6" s="153">
        <v>0.0</v>
      </c>
      <c r="DB6" s="153">
        <v>270.67</v>
      </c>
      <c r="DC6" s="153">
        <v>256.55</v>
      </c>
      <c r="DD6" s="153">
        <v>0.0</v>
      </c>
      <c r="DE6" s="153">
        <v>256.55</v>
      </c>
      <c r="DF6" s="153">
        <v>6.4</v>
      </c>
      <c r="DG6" s="153">
        <v>0.0</v>
      </c>
      <c r="DH6" s="153">
        <v>6.4</v>
      </c>
      <c r="DI6" s="153">
        <v>7.71</v>
      </c>
      <c r="DJ6" s="153">
        <v>0.0</v>
      </c>
      <c r="DK6" s="153">
        <v>7.71</v>
      </c>
      <c r="DL6" s="153">
        <v>0.0</v>
      </c>
      <c r="DM6" s="153">
        <v>0.0</v>
      </c>
      <c r="DN6" s="153">
        <v>0.0</v>
      </c>
    </row>
    <row r="7">
      <c r="A7" s="235">
        <v>46255.0</v>
      </c>
      <c r="B7" s="236" t="s">
        <v>4</v>
      </c>
      <c r="C7" s="236" t="s">
        <v>137</v>
      </c>
      <c r="D7" s="236">
        <v>43.0</v>
      </c>
      <c r="E7" s="236">
        <v>1.6</v>
      </c>
      <c r="F7" s="236">
        <v>53.25</v>
      </c>
      <c r="G7" s="236">
        <v>1.2384</v>
      </c>
      <c r="H7" s="236">
        <v>6.98</v>
      </c>
      <c r="I7" s="236">
        <v>17.75</v>
      </c>
      <c r="J7" s="236">
        <v>219.42</v>
      </c>
      <c r="K7" s="236">
        <v>162.0</v>
      </c>
      <c r="L7" s="236">
        <v>143.05</v>
      </c>
      <c r="M7" s="236">
        <v>0.883</v>
      </c>
      <c r="N7" s="236">
        <v>0.1588</v>
      </c>
      <c r="O7" s="236">
        <v>0.1146</v>
      </c>
      <c r="P7" s="236">
        <v>1.1325</v>
      </c>
      <c r="Q7" s="236">
        <v>822.47</v>
      </c>
      <c r="R7" s="236">
        <v>567.0</v>
      </c>
      <c r="S7" s="236">
        <v>255.47</v>
      </c>
      <c r="T7" s="236">
        <v>62.79</v>
      </c>
      <c r="U7" s="236">
        <v>759.67</v>
      </c>
      <c r="V7" s="236">
        <v>668.6</v>
      </c>
      <c r="W7" s="236">
        <v>4.1272</v>
      </c>
      <c r="X7" s="236">
        <v>7.63</v>
      </c>
      <c r="Y7" s="236">
        <v>538.0</v>
      </c>
      <c r="Z7" s="236">
        <v>717.0</v>
      </c>
      <c r="AA7" s="236">
        <v>1085.0</v>
      </c>
      <c r="AB7" s="236"/>
      <c r="AC7" s="236"/>
      <c r="AD7" s="236">
        <v>75.47</v>
      </c>
      <c r="AE7" s="236">
        <v>45.0</v>
      </c>
      <c r="AF7" s="236">
        <v>64.0</v>
      </c>
      <c r="AG7" s="236">
        <v>101.0</v>
      </c>
      <c r="AH7" s="236">
        <v>121.0</v>
      </c>
      <c r="AI7" s="236">
        <v>34.88</v>
      </c>
      <c r="AJ7" s="236">
        <v>4.65</v>
      </c>
      <c r="AK7" s="236">
        <v>2.33</v>
      </c>
      <c r="AL7" s="236">
        <v>0.186</v>
      </c>
      <c r="AM7" s="237"/>
      <c r="AQ7" s="153">
        <v>50.9767</v>
      </c>
      <c r="AR7" s="153">
        <v>1.3953</v>
      </c>
      <c r="AS7" s="153">
        <v>49.5814</v>
      </c>
      <c r="AT7" s="153">
        <v>26.186</v>
      </c>
      <c r="AU7" s="153">
        <v>0.1616</v>
      </c>
      <c r="AV7" s="153">
        <v>43.0</v>
      </c>
      <c r="AW7" s="153">
        <v>0.0</v>
      </c>
      <c r="AX7" s="153">
        <v>628.02</v>
      </c>
      <c r="AY7" s="153">
        <v>85.12</v>
      </c>
      <c r="AZ7" s="153">
        <v>6.63</v>
      </c>
      <c r="BA7" s="153">
        <v>62.79</v>
      </c>
      <c r="BB7" s="153">
        <v>39.91</v>
      </c>
      <c r="BC7" s="153">
        <v>289.0</v>
      </c>
      <c r="BD7" s="153">
        <v>1375.0</v>
      </c>
      <c r="BE7" s="153">
        <v>31.907</v>
      </c>
      <c r="BF7" s="153">
        <v>0.6977</v>
      </c>
      <c r="BG7" s="153">
        <v>31.2093</v>
      </c>
      <c r="BH7" s="153">
        <v>12.0</v>
      </c>
      <c r="BI7" s="153">
        <v>0.0741</v>
      </c>
      <c r="BJ7" s="153">
        <v>19.0698</v>
      </c>
      <c r="BK7" s="153">
        <v>0.6977</v>
      </c>
      <c r="BL7" s="153">
        <v>18.3721</v>
      </c>
      <c r="BM7" s="153">
        <v>14.186</v>
      </c>
      <c r="BN7" s="153">
        <v>0.0876</v>
      </c>
      <c r="BO7" s="153">
        <v>11.9535</v>
      </c>
      <c r="BP7" s="153">
        <v>0.2326</v>
      </c>
      <c r="BQ7" s="153">
        <v>11.7209</v>
      </c>
      <c r="BR7" s="153">
        <v>4.3721</v>
      </c>
      <c r="BS7" s="153">
        <v>13.4419</v>
      </c>
      <c r="BT7" s="153">
        <v>0.2326</v>
      </c>
      <c r="BU7" s="153">
        <v>13.2093</v>
      </c>
      <c r="BV7" s="153">
        <v>4.7442</v>
      </c>
      <c r="BW7" s="153">
        <v>6.5116</v>
      </c>
      <c r="BX7" s="153">
        <v>0.2326</v>
      </c>
      <c r="BY7" s="153">
        <v>6.2791</v>
      </c>
      <c r="BZ7" s="153">
        <v>2.8837</v>
      </c>
      <c r="CA7" s="153">
        <v>3.0233</v>
      </c>
      <c r="CB7" s="153">
        <v>0.2326</v>
      </c>
      <c r="CC7" s="153">
        <v>2.7907</v>
      </c>
      <c r="CD7" s="153">
        <v>3.5349</v>
      </c>
      <c r="CE7" s="153">
        <v>7.9535</v>
      </c>
      <c r="CF7" s="153">
        <v>0.2326</v>
      </c>
      <c r="CG7" s="153">
        <v>7.7209</v>
      </c>
      <c r="CH7" s="153">
        <v>5.093</v>
      </c>
      <c r="CI7" s="153">
        <v>8.093</v>
      </c>
      <c r="CJ7" s="153">
        <v>0.2326</v>
      </c>
      <c r="CK7" s="153">
        <v>7.8605</v>
      </c>
      <c r="CL7" s="153">
        <v>5.5581</v>
      </c>
      <c r="CM7" s="153">
        <v>1364.53</v>
      </c>
      <c r="CN7" s="153">
        <v>100.0</v>
      </c>
      <c r="CO7" s="153">
        <v>1364.53</v>
      </c>
      <c r="CP7" s="153">
        <v>1323.6</v>
      </c>
      <c r="CQ7" s="153">
        <v>0.0</v>
      </c>
      <c r="CR7" s="153">
        <v>36.28</v>
      </c>
      <c r="CS7" s="153">
        <v>4.65</v>
      </c>
      <c r="CT7" s="153">
        <v>0.0</v>
      </c>
      <c r="CU7" s="153">
        <v>0.0</v>
      </c>
      <c r="CV7" s="153">
        <v>0.0</v>
      </c>
      <c r="CW7" s="153">
        <v>822.47</v>
      </c>
      <c r="CX7" s="153">
        <v>0.0</v>
      </c>
      <c r="CY7" s="153">
        <v>0.0</v>
      </c>
      <c r="CZ7" s="153">
        <v>637.79</v>
      </c>
      <c r="DA7" s="153">
        <v>5.58</v>
      </c>
      <c r="DB7" s="153">
        <v>632.21</v>
      </c>
      <c r="DC7" s="153">
        <v>612.56</v>
      </c>
      <c r="DD7" s="153">
        <v>5.58</v>
      </c>
      <c r="DE7" s="153">
        <v>606.98</v>
      </c>
      <c r="DF7" s="153">
        <v>15.23</v>
      </c>
      <c r="DG7" s="153">
        <v>0.0</v>
      </c>
      <c r="DH7" s="153">
        <v>15.23</v>
      </c>
      <c r="DI7" s="153">
        <v>10.0</v>
      </c>
      <c r="DJ7" s="153">
        <v>0.0</v>
      </c>
      <c r="DK7" s="153">
        <v>10.0</v>
      </c>
      <c r="DL7" s="153">
        <v>0.0</v>
      </c>
      <c r="DM7" s="153">
        <v>0.0</v>
      </c>
      <c r="DN7" s="153">
        <v>0.0</v>
      </c>
    </row>
    <row r="8">
      <c r="A8" s="235">
        <v>46255.0</v>
      </c>
      <c r="B8" s="236" t="s">
        <v>5</v>
      </c>
      <c r="C8" s="236" t="s">
        <v>423</v>
      </c>
      <c r="D8" s="236">
        <v>698.0</v>
      </c>
      <c r="E8" s="236">
        <v>25.53</v>
      </c>
      <c r="F8" s="236">
        <v>0.0</v>
      </c>
      <c r="G8" s="236">
        <v>0.0</v>
      </c>
      <c r="H8" s="236">
        <v>0.0</v>
      </c>
      <c r="I8" s="236"/>
      <c r="J8" s="236">
        <v>1.46</v>
      </c>
      <c r="K8" s="236">
        <v>0.03</v>
      </c>
      <c r="L8" s="236">
        <v>0.0</v>
      </c>
      <c r="M8" s="236">
        <v>0.0</v>
      </c>
      <c r="N8" s="236">
        <v>1.0</v>
      </c>
      <c r="O8" s="236">
        <v>1.0</v>
      </c>
      <c r="P8" s="236"/>
      <c r="Q8" s="236">
        <v>0.12</v>
      </c>
      <c r="R8" s="236">
        <v>0.12</v>
      </c>
      <c r="S8" s="236">
        <v>0.0</v>
      </c>
      <c r="T8" s="236">
        <v>0.0</v>
      </c>
      <c r="U8" s="236">
        <v>0.12</v>
      </c>
      <c r="V8" s="236">
        <v>0.0</v>
      </c>
      <c r="W8" s="236">
        <v>0.0</v>
      </c>
      <c r="X8" s="236">
        <v>0.0</v>
      </c>
      <c r="Y8" s="236">
        <v>200.0</v>
      </c>
      <c r="Z8" s="236">
        <v>200.0</v>
      </c>
      <c r="AA8" s="236">
        <v>200.0</v>
      </c>
      <c r="AB8" s="236"/>
      <c r="AC8" s="236"/>
      <c r="AD8" s="237"/>
      <c r="AE8" s="237"/>
      <c r="AF8" s="237"/>
      <c r="AG8" s="237"/>
      <c r="AH8" s="237"/>
      <c r="AI8" s="236">
        <v>0.0</v>
      </c>
      <c r="AJ8" s="236">
        <v>0.0</v>
      </c>
      <c r="AK8" s="236">
        <v>0.0</v>
      </c>
      <c r="AL8" s="236">
        <v>0.9226</v>
      </c>
      <c r="AM8" s="236">
        <v>0.0</v>
      </c>
      <c r="AN8" s="153">
        <v>0.0</v>
      </c>
      <c r="AO8" s="153">
        <v>0.0</v>
      </c>
      <c r="AP8" s="153">
        <v>0.0</v>
      </c>
      <c r="AQ8" s="153">
        <v>0.0086</v>
      </c>
      <c r="AR8" s="153">
        <v>0.0</v>
      </c>
      <c r="AS8" s="153">
        <v>0.0086</v>
      </c>
      <c r="AT8" s="153">
        <v>0.0</v>
      </c>
      <c r="AU8" s="153">
        <v>0.0</v>
      </c>
      <c r="AV8" s="153">
        <v>698.0</v>
      </c>
      <c r="AW8" s="153">
        <v>0.0</v>
      </c>
      <c r="AX8" s="153">
        <v>0.12</v>
      </c>
      <c r="AY8" s="153">
        <v>0.0</v>
      </c>
      <c r="AZ8" s="153">
        <v>0.0</v>
      </c>
      <c r="BA8" s="153">
        <v>0.0</v>
      </c>
      <c r="BB8" s="153">
        <v>0.0</v>
      </c>
      <c r="BD8" s="153">
        <v>200.0</v>
      </c>
      <c r="BE8" s="153">
        <v>0.0086</v>
      </c>
      <c r="BF8" s="153">
        <v>0.0</v>
      </c>
      <c r="BG8" s="153">
        <v>0.0086</v>
      </c>
      <c r="BH8" s="153">
        <v>0.0</v>
      </c>
      <c r="BI8" s="153">
        <v>0.0</v>
      </c>
      <c r="BJ8" s="153">
        <v>0.0</v>
      </c>
      <c r="BK8" s="153">
        <v>0.0</v>
      </c>
      <c r="BL8" s="153">
        <v>0.0</v>
      </c>
      <c r="BM8" s="153">
        <v>0.0</v>
      </c>
      <c r="BN8" s="153">
        <v>0.0</v>
      </c>
      <c r="BO8" s="153">
        <v>0.0</v>
      </c>
      <c r="BP8" s="153">
        <v>0.0</v>
      </c>
      <c r="BQ8" s="153">
        <v>0.0</v>
      </c>
      <c r="BR8" s="153">
        <v>0.0</v>
      </c>
      <c r="BS8" s="153">
        <v>0.0057</v>
      </c>
      <c r="BT8" s="153">
        <v>0.0</v>
      </c>
      <c r="BU8" s="153">
        <v>0.0057</v>
      </c>
      <c r="BV8" s="153">
        <v>0.0</v>
      </c>
      <c r="BW8" s="153">
        <v>0.0029</v>
      </c>
      <c r="BX8" s="153">
        <v>0.0</v>
      </c>
      <c r="BY8" s="153">
        <v>0.0029</v>
      </c>
      <c r="BZ8" s="153">
        <v>0.0</v>
      </c>
      <c r="CA8" s="153">
        <v>0.0</v>
      </c>
      <c r="CB8" s="153">
        <v>0.0</v>
      </c>
      <c r="CC8" s="153">
        <v>0.0</v>
      </c>
      <c r="CD8" s="153">
        <v>0.0</v>
      </c>
      <c r="CE8" s="153">
        <v>0.0</v>
      </c>
      <c r="CF8" s="153">
        <v>0.0</v>
      </c>
      <c r="CG8" s="153">
        <v>0.0</v>
      </c>
      <c r="CH8" s="153">
        <v>0.0</v>
      </c>
      <c r="CI8" s="153">
        <v>0.0</v>
      </c>
      <c r="CJ8" s="153">
        <v>0.0</v>
      </c>
      <c r="CK8" s="153">
        <v>0.0</v>
      </c>
      <c r="CL8" s="153">
        <v>0.0</v>
      </c>
      <c r="CM8" s="153">
        <v>0.0</v>
      </c>
      <c r="CN8" s="153">
        <v>0.0</v>
      </c>
      <c r="CP8" s="153">
        <v>0.0</v>
      </c>
      <c r="CQ8" s="153">
        <v>0.0</v>
      </c>
      <c r="CR8" s="153">
        <v>0.0</v>
      </c>
      <c r="CS8" s="153">
        <v>0.0</v>
      </c>
      <c r="CT8" s="153">
        <v>0.0</v>
      </c>
      <c r="CU8" s="153">
        <v>1.0</v>
      </c>
      <c r="CV8" s="153">
        <v>0.0</v>
      </c>
      <c r="CW8" s="153">
        <v>0.12</v>
      </c>
      <c r="CX8" s="153">
        <v>0.0</v>
      </c>
      <c r="CY8" s="153">
        <v>0.0</v>
      </c>
      <c r="CZ8" s="153">
        <v>0.0</v>
      </c>
      <c r="DA8" s="153">
        <v>0.0</v>
      </c>
      <c r="DB8" s="153">
        <v>0.0</v>
      </c>
      <c r="DC8" s="153">
        <v>0.0</v>
      </c>
      <c r="DD8" s="153">
        <v>0.0</v>
      </c>
      <c r="DE8" s="153">
        <v>0.0</v>
      </c>
      <c r="DF8" s="153">
        <v>0.0</v>
      </c>
      <c r="DG8" s="153">
        <v>0.0</v>
      </c>
      <c r="DH8" s="153">
        <v>0.0</v>
      </c>
      <c r="DI8" s="153">
        <v>0.0</v>
      </c>
      <c r="DJ8" s="153">
        <v>0.0</v>
      </c>
      <c r="DK8" s="153">
        <v>0.0</v>
      </c>
      <c r="DL8" s="153">
        <v>0.0</v>
      </c>
      <c r="DM8" s="153">
        <v>0.0</v>
      </c>
      <c r="DN8" s="153">
        <v>0.0</v>
      </c>
    </row>
    <row r="9">
      <c r="A9" s="235">
        <v>46255.0</v>
      </c>
      <c r="B9" s="236" t="s">
        <v>5</v>
      </c>
      <c r="C9" s="236" t="s">
        <v>133</v>
      </c>
      <c r="D9" s="236">
        <v>1080.0</v>
      </c>
      <c r="E9" s="236">
        <v>39.5</v>
      </c>
      <c r="F9" s="236">
        <v>0.0</v>
      </c>
      <c r="G9" s="236">
        <v>0.0</v>
      </c>
      <c r="H9" s="236">
        <v>0.0</v>
      </c>
      <c r="I9" s="236"/>
      <c r="J9" s="236">
        <v>4.5</v>
      </c>
      <c r="K9" s="236">
        <v>3.94</v>
      </c>
      <c r="L9" s="236">
        <v>3.74</v>
      </c>
      <c r="M9" s="236">
        <v>0.9493</v>
      </c>
      <c r="N9" s="236">
        <v>0.0519</v>
      </c>
      <c r="O9" s="236">
        <v>0.03</v>
      </c>
      <c r="P9" s="236">
        <v>1.0534</v>
      </c>
      <c r="Q9" s="236">
        <v>2.46</v>
      </c>
      <c r="R9" s="236">
        <v>2.44</v>
      </c>
      <c r="S9" s="236">
        <v>0.02</v>
      </c>
      <c r="T9" s="236">
        <v>0.0</v>
      </c>
      <c r="U9" s="236">
        <v>2.46</v>
      </c>
      <c r="V9" s="236">
        <v>2.41</v>
      </c>
      <c r="W9" s="236">
        <v>0.6105</v>
      </c>
      <c r="X9" s="236">
        <v>0.0</v>
      </c>
      <c r="Y9" s="236">
        <v>200.0</v>
      </c>
      <c r="Z9" s="236">
        <v>200.0</v>
      </c>
      <c r="AA9" s="236">
        <v>210.0</v>
      </c>
      <c r="AB9" s="236"/>
      <c r="AC9" s="236"/>
      <c r="AD9" s="236">
        <v>3.66</v>
      </c>
      <c r="AE9" s="236">
        <v>2.0</v>
      </c>
      <c r="AF9" s="236">
        <v>3.0</v>
      </c>
      <c r="AG9" s="236">
        <v>5.0</v>
      </c>
      <c r="AH9" s="236">
        <v>7.0</v>
      </c>
      <c r="AI9" s="236">
        <v>77.13</v>
      </c>
      <c r="AJ9" s="236">
        <v>37.22</v>
      </c>
      <c r="AK9" s="236">
        <v>0.0</v>
      </c>
      <c r="AL9" s="236">
        <v>0.8509</v>
      </c>
      <c r="AM9" s="236">
        <v>0.0</v>
      </c>
      <c r="AN9" s="153">
        <v>0.0</v>
      </c>
      <c r="AO9" s="153">
        <v>0.0</v>
      </c>
      <c r="AP9" s="153">
        <v>0.0</v>
      </c>
      <c r="AQ9" s="153">
        <v>0.1759</v>
      </c>
      <c r="AR9" s="153">
        <v>0.0083</v>
      </c>
      <c r="AS9" s="153">
        <v>0.1676</v>
      </c>
      <c r="AT9" s="153">
        <v>0.3407</v>
      </c>
      <c r="AU9" s="153">
        <v>0.0864</v>
      </c>
      <c r="AV9" s="153">
        <v>1080.0</v>
      </c>
      <c r="AW9" s="153">
        <v>0.0</v>
      </c>
      <c r="AX9" s="153">
        <v>2.46</v>
      </c>
      <c r="AY9" s="153">
        <v>0.0</v>
      </c>
      <c r="AZ9" s="153">
        <v>0.0</v>
      </c>
      <c r="BA9" s="153">
        <v>0.0</v>
      </c>
      <c r="BB9" s="153">
        <v>0.0</v>
      </c>
      <c r="BC9" s="153">
        <v>9.0</v>
      </c>
      <c r="BD9" s="153">
        <v>230.0</v>
      </c>
      <c r="BE9" s="153">
        <v>0.175</v>
      </c>
      <c r="BF9" s="153">
        <v>0.0083</v>
      </c>
      <c r="BG9" s="153">
        <v>0.1667</v>
      </c>
      <c r="BH9" s="153">
        <v>0.3361</v>
      </c>
      <c r="BI9" s="153">
        <v>0.0852</v>
      </c>
      <c r="BJ9" s="153">
        <v>9.0E-4</v>
      </c>
      <c r="BK9" s="153">
        <v>0.0</v>
      </c>
      <c r="BL9" s="153">
        <v>9.0E-4</v>
      </c>
      <c r="BM9" s="153">
        <v>0.0046</v>
      </c>
      <c r="BN9" s="153">
        <v>0.0012</v>
      </c>
      <c r="BO9" s="153">
        <v>0.0028</v>
      </c>
      <c r="BP9" s="153">
        <v>0.0028</v>
      </c>
      <c r="BQ9" s="153">
        <v>0.0</v>
      </c>
      <c r="BR9" s="153">
        <v>0.1815</v>
      </c>
      <c r="BS9" s="153">
        <v>0.1694</v>
      </c>
      <c r="BT9" s="153">
        <v>0.0028</v>
      </c>
      <c r="BU9" s="153">
        <v>0.1667</v>
      </c>
      <c r="BV9" s="153">
        <v>0.0778</v>
      </c>
      <c r="BW9" s="153">
        <v>0.0028</v>
      </c>
      <c r="BX9" s="153">
        <v>0.0028</v>
      </c>
      <c r="BY9" s="153">
        <v>0.0</v>
      </c>
      <c r="BZ9" s="153">
        <v>0.0769</v>
      </c>
      <c r="CA9" s="153">
        <v>0.0</v>
      </c>
      <c r="CB9" s="153">
        <v>0.0</v>
      </c>
      <c r="CC9" s="153">
        <v>0.0</v>
      </c>
      <c r="CD9" s="153">
        <v>0.0019</v>
      </c>
      <c r="CE9" s="153">
        <v>0.0</v>
      </c>
      <c r="CF9" s="153">
        <v>0.0</v>
      </c>
      <c r="CG9" s="153">
        <v>0.0</v>
      </c>
      <c r="CH9" s="153">
        <v>9.0E-4</v>
      </c>
      <c r="CI9" s="153">
        <v>9.0E-4</v>
      </c>
      <c r="CJ9" s="153">
        <v>0.0</v>
      </c>
      <c r="CK9" s="153">
        <v>9.0E-4</v>
      </c>
      <c r="CL9" s="153">
        <v>0.0019</v>
      </c>
      <c r="CM9" s="153">
        <v>0.0</v>
      </c>
      <c r="CN9" s="153">
        <v>0.0</v>
      </c>
      <c r="CP9" s="153">
        <v>0.0</v>
      </c>
      <c r="CQ9" s="153">
        <v>0.0</v>
      </c>
      <c r="CR9" s="153">
        <v>0.0</v>
      </c>
      <c r="CS9" s="153">
        <v>0.0</v>
      </c>
      <c r="CT9" s="153">
        <v>0.0</v>
      </c>
      <c r="CU9" s="153">
        <v>7.0</v>
      </c>
      <c r="CV9" s="153">
        <v>0.0</v>
      </c>
      <c r="CW9" s="153">
        <v>2.46</v>
      </c>
      <c r="CX9" s="153">
        <v>0.0</v>
      </c>
      <c r="CY9" s="153">
        <v>0.0</v>
      </c>
      <c r="CZ9" s="153">
        <v>0.06</v>
      </c>
      <c r="DA9" s="153">
        <v>0.0</v>
      </c>
      <c r="DB9" s="153">
        <v>0.06</v>
      </c>
      <c r="DC9" s="153">
        <v>0.06</v>
      </c>
      <c r="DD9" s="153">
        <v>0.0</v>
      </c>
      <c r="DE9" s="153">
        <v>0.06</v>
      </c>
      <c r="DF9" s="153">
        <v>0.0</v>
      </c>
      <c r="DG9" s="153">
        <v>0.0</v>
      </c>
      <c r="DH9" s="153">
        <v>0.0</v>
      </c>
      <c r="DI9" s="153">
        <v>0.0</v>
      </c>
      <c r="DJ9" s="153">
        <v>0.0</v>
      </c>
      <c r="DK9" s="153">
        <v>0.0</v>
      </c>
      <c r="DL9" s="153">
        <v>0.0</v>
      </c>
      <c r="DM9" s="153">
        <v>0.0</v>
      </c>
      <c r="DN9" s="153">
        <v>0.0</v>
      </c>
    </row>
    <row r="10">
      <c r="A10" s="235">
        <v>46255.0</v>
      </c>
      <c r="B10" s="236" t="s">
        <v>5</v>
      </c>
      <c r="C10" s="236" t="s">
        <v>134</v>
      </c>
      <c r="D10" s="236">
        <v>450.0</v>
      </c>
      <c r="E10" s="236">
        <v>16.46</v>
      </c>
      <c r="F10" s="236">
        <v>0.0</v>
      </c>
      <c r="G10" s="236">
        <v>0.0</v>
      </c>
      <c r="H10" s="236">
        <v>0.0</v>
      </c>
      <c r="I10" s="236"/>
      <c r="J10" s="236">
        <v>15.51</v>
      </c>
      <c r="K10" s="236">
        <v>14.16</v>
      </c>
      <c r="L10" s="236">
        <v>13.44</v>
      </c>
      <c r="M10" s="236">
        <v>0.949</v>
      </c>
      <c r="N10" s="236">
        <v>0.0573</v>
      </c>
      <c r="O10" s="236">
        <v>0.043</v>
      </c>
      <c r="P10" s="236">
        <v>1.0537</v>
      </c>
      <c r="Q10" s="236">
        <v>34.78</v>
      </c>
      <c r="R10" s="236">
        <v>25.06</v>
      </c>
      <c r="S10" s="236">
        <v>9.72</v>
      </c>
      <c r="T10" s="236">
        <v>0.0</v>
      </c>
      <c r="U10" s="236">
        <v>34.78</v>
      </c>
      <c r="V10" s="236">
        <v>29.89</v>
      </c>
      <c r="W10" s="236">
        <v>2.1101</v>
      </c>
      <c r="X10" s="236">
        <v>0.0</v>
      </c>
      <c r="Y10" s="236">
        <v>228.0</v>
      </c>
      <c r="Z10" s="236">
        <v>240.0</v>
      </c>
      <c r="AA10" s="236">
        <v>263.0</v>
      </c>
      <c r="AB10" s="236"/>
      <c r="AC10" s="236"/>
      <c r="AD10" s="236">
        <v>12.28</v>
      </c>
      <c r="AE10" s="236">
        <v>10.0</v>
      </c>
      <c r="AF10" s="236">
        <v>12.0</v>
      </c>
      <c r="AG10" s="236">
        <v>15.0</v>
      </c>
      <c r="AH10" s="236">
        <v>17.0</v>
      </c>
      <c r="AI10" s="236">
        <v>96.89</v>
      </c>
      <c r="AJ10" s="236">
        <v>45.33</v>
      </c>
      <c r="AK10" s="236">
        <v>0.0</v>
      </c>
      <c r="AL10" s="236">
        <v>0.7089</v>
      </c>
      <c r="AM10" s="236">
        <v>0.0</v>
      </c>
      <c r="AN10" s="153">
        <v>0.0</v>
      </c>
      <c r="AO10" s="153">
        <v>0.0</v>
      </c>
      <c r="AP10" s="153">
        <v>0.0</v>
      </c>
      <c r="AQ10" s="153">
        <v>1.7822</v>
      </c>
      <c r="AR10" s="153">
        <v>0.34</v>
      </c>
      <c r="AS10" s="153">
        <v>1.4422</v>
      </c>
      <c r="AT10" s="153">
        <v>3.2844</v>
      </c>
      <c r="AU10" s="153">
        <v>0.2319</v>
      </c>
      <c r="AV10" s="153">
        <v>450.0</v>
      </c>
      <c r="AW10" s="153">
        <v>0.0</v>
      </c>
      <c r="AX10" s="153">
        <v>34.78</v>
      </c>
      <c r="AY10" s="153">
        <v>0.0</v>
      </c>
      <c r="AZ10" s="153">
        <v>0.0</v>
      </c>
      <c r="BA10" s="153">
        <v>0.0</v>
      </c>
      <c r="BB10" s="153">
        <v>0.0</v>
      </c>
      <c r="BC10" s="153">
        <v>19.0</v>
      </c>
      <c r="BD10" s="153">
        <v>265.0</v>
      </c>
      <c r="BE10" s="153">
        <v>1.7733</v>
      </c>
      <c r="BF10" s="153">
        <v>0.34</v>
      </c>
      <c r="BG10" s="153">
        <v>1.4333</v>
      </c>
      <c r="BH10" s="153">
        <v>3.2822</v>
      </c>
      <c r="BI10" s="153">
        <v>0.2317</v>
      </c>
      <c r="BJ10" s="153">
        <v>0.0089</v>
      </c>
      <c r="BK10" s="153">
        <v>0.0</v>
      </c>
      <c r="BL10" s="153">
        <v>0.0089</v>
      </c>
      <c r="BM10" s="153">
        <v>0.0022</v>
      </c>
      <c r="BN10" s="153">
        <v>2.0E-4</v>
      </c>
      <c r="BO10" s="153">
        <v>0.26</v>
      </c>
      <c r="BP10" s="153">
        <v>0.2533</v>
      </c>
      <c r="BQ10" s="153">
        <v>0.0067</v>
      </c>
      <c r="BR10" s="153">
        <v>1.4422</v>
      </c>
      <c r="BS10" s="153">
        <v>1.1311</v>
      </c>
      <c r="BT10" s="153">
        <v>0.02</v>
      </c>
      <c r="BU10" s="153">
        <v>1.1111</v>
      </c>
      <c r="BV10" s="153">
        <v>0.96</v>
      </c>
      <c r="BW10" s="153">
        <v>0.3822</v>
      </c>
      <c r="BX10" s="153">
        <v>0.0667</v>
      </c>
      <c r="BY10" s="153">
        <v>0.3156</v>
      </c>
      <c r="BZ10" s="153">
        <v>0.88</v>
      </c>
      <c r="CA10" s="153">
        <v>0.0</v>
      </c>
      <c r="CB10" s="153">
        <v>0.0</v>
      </c>
      <c r="CC10" s="153">
        <v>0.0</v>
      </c>
      <c r="CD10" s="153">
        <v>0.0</v>
      </c>
      <c r="CE10" s="153">
        <v>0.0</v>
      </c>
      <c r="CF10" s="153">
        <v>0.0</v>
      </c>
      <c r="CG10" s="153">
        <v>0.0</v>
      </c>
      <c r="CH10" s="153">
        <v>0.0022</v>
      </c>
      <c r="CI10" s="153">
        <v>0.0089</v>
      </c>
      <c r="CJ10" s="153">
        <v>0.0</v>
      </c>
      <c r="CK10" s="153">
        <v>0.0089</v>
      </c>
      <c r="CL10" s="153">
        <v>0.0</v>
      </c>
      <c r="CM10" s="153">
        <v>0.0</v>
      </c>
      <c r="CN10" s="153">
        <v>0.0</v>
      </c>
      <c r="CP10" s="153">
        <v>0.0</v>
      </c>
      <c r="CQ10" s="153">
        <v>0.0</v>
      </c>
      <c r="CR10" s="153">
        <v>0.0</v>
      </c>
      <c r="CS10" s="153">
        <v>0.0</v>
      </c>
      <c r="CT10" s="153">
        <v>0.0</v>
      </c>
      <c r="CU10" s="153">
        <v>11.0</v>
      </c>
      <c r="CV10" s="153">
        <v>0.0</v>
      </c>
      <c r="CW10" s="153">
        <v>34.78</v>
      </c>
      <c r="CX10" s="153">
        <v>0.0</v>
      </c>
      <c r="CY10" s="153">
        <v>0.0</v>
      </c>
      <c r="CZ10" s="153">
        <v>14.7</v>
      </c>
      <c r="DA10" s="153">
        <v>0.0</v>
      </c>
      <c r="DB10" s="153">
        <v>14.7</v>
      </c>
      <c r="DC10" s="153">
        <v>14.7</v>
      </c>
      <c r="DD10" s="153">
        <v>0.0</v>
      </c>
      <c r="DE10" s="153">
        <v>14.7</v>
      </c>
      <c r="DF10" s="153">
        <v>0.0</v>
      </c>
      <c r="DG10" s="153">
        <v>0.0</v>
      </c>
      <c r="DH10" s="153">
        <v>0.0</v>
      </c>
      <c r="DI10" s="153">
        <v>0.0</v>
      </c>
      <c r="DJ10" s="153">
        <v>0.0</v>
      </c>
      <c r="DK10" s="153">
        <v>0.0</v>
      </c>
      <c r="DL10" s="153">
        <v>0.0</v>
      </c>
      <c r="DM10" s="153">
        <v>0.0</v>
      </c>
      <c r="DN10" s="153">
        <v>0.0</v>
      </c>
    </row>
    <row r="11">
      <c r="A11" s="235">
        <v>46255.0</v>
      </c>
      <c r="B11" s="236" t="s">
        <v>5</v>
      </c>
      <c r="C11" s="236" t="s">
        <v>135</v>
      </c>
      <c r="D11" s="236">
        <v>254.0</v>
      </c>
      <c r="E11" s="236">
        <v>9.29</v>
      </c>
      <c r="F11" s="236">
        <v>0.0</v>
      </c>
      <c r="G11" s="236">
        <v>0.0</v>
      </c>
      <c r="H11" s="236">
        <v>0.0</v>
      </c>
      <c r="I11" s="236"/>
      <c r="J11" s="236">
        <v>31.17</v>
      </c>
      <c r="K11" s="236">
        <v>29.41</v>
      </c>
      <c r="L11" s="236">
        <v>27.61</v>
      </c>
      <c r="M11" s="236">
        <v>0.9387</v>
      </c>
      <c r="N11" s="236">
        <v>0.0747</v>
      </c>
      <c r="O11" s="236">
        <v>0.0511</v>
      </c>
      <c r="P11" s="236">
        <v>1.0653</v>
      </c>
      <c r="Q11" s="236">
        <v>85.93</v>
      </c>
      <c r="R11" s="236">
        <v>70.1</v>
      </c>
      <c r="S11" s="236">
        <v>15.83</v>
      </c>
      <c r="T11" s="236">
        <v>0.0</v>
      </c>
      <c r="U11" s="236">
        <v>85.93</v>
      </c>
      <c r="V11" s="236">
        <v>49.61</v>
      </c>
      <c r="W11" s="236">
        <v>1.6865</v>
      </c>
      <c r="X11" s="236">
        <v>0.0</v>
      </c>
      <c r="Y11" s="236">
        <v>265.0</v>
      </c>
      <c r="Z11" s="236">
        <v>295.0</v>
      </c>
      <c r="AA11" s="236">
        <v>338.0</v>
      </c>
      <c r="AB11" s="236"/>
      <c r="AC11" s="236"/>
      <c r="AD11" s="236">
        <v>23.69</v>
      </c>
      <c r="AE11" s="236">
        <v>20.0</v>
      </c>
      <c r="AF11" s="236">
        <v>24.0</v>
      </c>
      <c r="AG11" s="236">
        <v>29.0</v>
      </c>
      <c r="AH11" s="236">
        <v>33.0</v>
      </c>
      <c r="AI11" s="236">
        <v>96.06</v>
      </c>
      <c r="AJ11" s="236">
        <v>43.31</v>
      </c>
      <c r="AK11" s="236">
        <v>0.0</v>
      </c>
      <c r="AL11" s="236">
        <v>0.5512</v>
      </c>
      <c r="AM11" s="236">
        <v>0.0</v>
      </c>
      <c r="AN11" s="153">
        <v>0.0</v>
      </c>
      <c r="AO11" s="153">
        <v>0.0</v>
      </c>
      <c r="AP11" s="153">
        <v>0.0</v>
      </c>
      <c r="AQ11" s="153">
        <v>5.5669</v>
      </c>
      <c r="AR11" s="153">
        <v>0.1063</v>
      </c>
      <c r="AS11" s="153">
        <v>5.4606</v>
      </c>
      <c r="AT11" s="153">
        <v>3.3543</v>
      </c>
      <c r="AU11" s="153">
        <v>0.114</v>
      </c>
      <c r="AV11" s="153">
        <v>254.0</v>
      </c>
      <c r="AW11" s="153">
        <v>0.0</v>
      </c>
      <c r="AX11" s="153">
        <v>83.6</v>
      </c>
      <c r="AY11" s="153">
        <v>1.65</v>
      </c>
      <c r="AZ11" s="153">
        <v>0.51</v>
      </c>
      <c r="BA11" s="153">
        <v>0.0</v>
      </c>
      <c r="BB11" s="153">
        <v>0.16</v>
      </c>
      <c r="BC11" s="153">
        <v>39.0</v>
      </c>
      <c r="BD11" s="153">
        <v>391.0</v>
      </c>
      <c r="BE11" s="153">
        <v>5.2992</v>
      </c>
      <c r="BF11" s="153">
        <v>0.0945</v>
      </c>
      <c r="BG11" s="153">
        <v>5.2047</v>
      </c>
      <c r="BH11" s="153">
        <v>2.2992</v>
      </c>
      <c r="BI11" s="153">
        <v>0.0782</v>
      </c>
      <c r="BJ11" s="153">
        <v>0.2677</v>
      </c>
      <c r="BK11" s="153">
        <v>0.0118</v>
      </c>
      <c r="BL11" s="153">
        <v>0.2559</v>
      </c>
      <c r="BM11" s="153">
        <v>1.0551</v>
      </c>
      <c r="BN11" s="153">
        <v>0.0359</v>
      </c>
      <c r="BO11" s="153">
        <v>1.5354</v>
      </c>
      <c r="BP11" s="153">
        <v>0.0472</v>
      </c>
      <c r="BQ11" s="153">
        <v>1.4882</v>
      </c>
      <c r="BR11" s="153">
        <v>1.1614</v>
      </c>
      <c r="BS11" s="153">
        <v>2.252</v>
      </c>
      <c r="BT11" s="153">
        <v>0.0236</v>
      </c>
      <c r="BU11" s="153">
        <v>2.2283</v>
      </c>
      <c r="BV11" s="153">
        <v>0.5827</v>
      </c>
      <c r="BW11" s="153">
        <v>1.5118</v>
      </c>
      <c r="BX11" s="153">
        <v>0.0236</v>
      </c>
      <c r="BY11" s="153">
        <v>1.4882</v>
      </c>
      <c r="BZ11" s="153">
        <v>0.5551</v>
      </c>
      <c r="CA11" s="153">
        <v>0.0197</v>
      </c>
      <c r="CB11" s="153">
        <v>0.0</v>
      </c>
      <c r="CC11" s="153">
        <v>0.0197</v>
      </c>
      <c r="CD11" s="153">
        <v>0.3307</v>
      </c>
      <c r="CE11" s="153">
        <v>0.1969</v>
      </c>
      <c r="CF11" s="153">
        <v>0.0</v>
      </c>
      <c r="CG11" s="153">
        <v>0.1969</v>
      </c>
      <c r="CH11" s="153">
        <v>0.3386</v>
      </c>
      <c r="CI11" s="153">
        <v>0.0512</v>
      </c>
      <c r="CJ11" s="153">
        <v>0.0118</v>
      </c>
      <c r="CK11" s="153">
        <v>0.0394</v>
      </c>
      <c r="CL11" s="153">
        <v>0.3858</v>
      </c>
      <c r="CM11" s="153">
        <v>31.32</v>
      </c>
      <c r="CN11" s="153">
        <v>51.18</v>
      </c>
      <c r="CO11" s="153">
        <v>61.2</v>
      </c>
      <c r="CP11" s="153">
        <v>27.66</v>
      </c>
      <c r="CQ11" s="153">
        <v>0.0</v>
      </c>
      <c r="CR11" s="153">
        <v>2.68</v>
      </c>
      <c r="CS11" s="153">
        <v>0.98</v>
      </c>
      <c r="CT11" s="153">
        <v>0.0</v>
      </c>
      <c r="CU11" s="153">
        <v>23.0</v>
      </c>
      <c r="CV11" s="153">
        <v>0.0</v>
      </c>
      <c r="CW11" s="153">
        <v>85.93</v>
      </c>
      <c r="CX11" s="153">
        <v>0.0</v>
      </c>
      <c r="CY11" s="153">
        <v>0.0</v>
      </c>
      <c r="CZ11" s="153">
        <v>57.89</v>
      </c>
      <c r="DA11" s="153">
        <v>0.0</v>
      </c>
      <c r="DB11" s="153">
        <v>57.89</v>
      </c>
      <c r="DC11" s="153">
        <v>55.87</v>
      </c>
      <c r="DD11" s="153">
        <v>0.0</v>
      </c>
      <c r="DE11" s="153">
        <v>55.87</v>
      </c>
      <c r="DF11" s="153">
        <v>1.42</v>
      </c>
      <c r="DG11" s="153">
        <v>0.0</v>
      </c>
      <c r="DH11" s="153">
        <v>1.42</v>
      </c>
      <c r="DI11" s="153">
        <v>0.61</v>
      </c>
      <c r="DJ11" s="153">
        <v>0.0</v>
      </c>
      <c r="DK11" s="153">
        <v>0.61</v>
      </c>
      <c r="DL11" s="153">
        <v>0.0</v>
      </c>
      <c r="DM11" s="153">
        <v>0.0</v>
      </c>
      <c r="DN11" s="153">
        <v>0.0</v>
      </c>
    </row>
    <row r="12">
      <c r="A12" s="235">
        <v>46255.0</v>
      </c>
      <c r="B12" s="236" t="s">
        <v>5</v>
      </c>
      <c r="C12" s="236" t="s">
        <v>136</v>
      </c>
      <c r="D12" s="236">
        <v>204.0</v>
      </c>
      <c r="E12" s="236">
        <v>7.46</v>
      </c>
      <c r="F12" s="236">
        <v>0.0</v>
      </c>
      <c r="G12" s="236">
        <v>0.0</v>
      </c>
      <c r="H12" s="236">
        <v>0.0</v>
      </c>
      <c r="I12" s="236"/>
      <c r="J12" s="236">
        <v>75.05</v>
      </c>
      <c r="K12" s="236">
        <v>61.36</v>
      </c>
      <c r="L12" s="236">
        <v>56.53</v>
      </c>
      <c r="M12" s="236">
        <v>0.9213</v>
      </c>
      <c r="N12" s="236">
        <v>0.1088</v>
      </c>
      <c r="O12" s="236">
        <v>0.0789</v>
      </c>
      <c r="P12" s="236">
        <v>1.0854</v>
      </c>
      <c r="Q12" s="236">
        <v>241.75</v>
      </c>
      <c r="R12" s="236">
        <v>211.17</v>
      </c>
      <c r="S12" s="236">
        <v>30.59</v>
      </c>
      <c r="T12" s="236">
        <v>0.0</v>
      </c>
      <c r="U12" s="236">
        <v>241.75</v>
      </c>
      <c r="V12" s="236">
        <v>195.59</v>
      </c>
      <c r="W12" s="236">
        <v>3.1874</v>
      </c>
      <c r="X12" s="236">
        <v>0.0</v>
      </c>
      <c r="Y12" s="236">
        <v>353.0</v>
      </c>
      <c r="Z12" s="236">
        <v>413.0</v>
      </c>
      <c r="AA12" s="236">
        <v>487.0</v>
      </c>
      <c r="AB12" s="236"/>
      <c r="AC12" s="236"/>
      <c r="AD12" s="236">
        <v>40.01</v>
      </c>
      <c r="AE12" s="236">
        <v>29.0</v>
      </c>
      <c r="AF12" s="236">
        <v>41.0</v>
      </c>
      <c r="AG12" s="236">
        <v>46.0</v>
      </c>
      <c r="AH12" s="236">
        <v>59.0</v>
      </c>
      <c r="AI12" s="236">
        <v>79.9</v>
      </c>
      <c r="AJ12" s="236">
        <v>7.84</v>
      </c>
      <c r="AK12" s="236">
        <v>0.0</v>
      </c>
      <c r="AL12" s="236">
        <v>0.3775</v>
      </c>
      <c r="AM12" s="236">
        <v>7.35</v>
      </c>
      <c r="AN12" s="153">
        <v>7.35</v>
      </c>
      <c r="AO12" s="153">
        <v>5.88</v>
      </c>
      <c r="AP12" s="153">
        <v>2.45</v>
      </c>
      <c r="AQ12" s="153">
        <v>15.4069</v>
      </c>
      <c r="AR12" s="153">
        <v>0.0441</v>
      </c>
      <c r="AS12" s="153">
        <v>15.3627</v>
      </c>
      <c r="AT12" s="153">
        <v>7.1716</v>
      </c>
      <c r="AU12" s="153">
        <v>0.1169</v>
      </c>
      <c r="AV12" s="153">
        <v>204.0</v>
      </c>
      <c r="AW12" s="153">
        <v>0.0</v>
      </c>
      <c r="AX12" s="153">
        <v>197.35</v>
      </c>
      <c r="AY12" s="153">
        <v>34.83</v>
      </c>
      <c r="AZ12" s="153">
        <v>1.42</v>
      </c>
      <c r="BA12" s="153">
        <v>0.0</v>
      </c>
      <c r="BB12" s="153">
        <v>8.15</v>
      </c>
      <c r="BC12" s="153">
        <v>82.0</v>
      </c>
      <c r="BD12" s="153">
        <v>596.0</v>
      </c>
      <c r="BE12" s="153">
        <v>11.6078</v>
      </c>
      <c r="BF12" s="153">
        <v>0.0294</v>
      </c>
      <c r="BG12" s="153">
        <v>11.5784</v>
      </c>
      <c r="BH12" s="153">
        <v>3.5343</v>
      </c>
      <c r="BI12" s="153">
        <v>0.0576</v>
      </c>
      <c r="BJ12" s="153">
        <v>3.799</v>
      </c>
      <c r="BK12" s="153">
        <v>0.0147</v>
      </c>
      <c r="BL12" s="153">
        <v>3.7843</v>
      </c>
      <c r="BM12" s="153">
        <v>3.6373</v>
      </c>
      <c r="BN12" s="153">
        <v>0.0593</v>
      </c>
      <c r="BO12" s="153">
        <v>3.2892</v>
      </c>
      <c r="BP12" s="153">
        <v>0.0147</v>
      </c>
      <c r="BQ12" s="153">
        <v>3.2745</v>
      </c>
      <c r="BR12" s="153">
        <v>1.4363</v>
      </c>
      <c r="BS12" s="153">
        <v>5.3431</v>
      </c>
      <c r="BT12" s="153">
        <v>0.0</v>
      </c>
      <c r="BU12" s="153">
        <v>5.3431</v>
      </c>
      <c r="BV12" s="153">
        <v>1.1275</v>
      </c>
      <c r="BW12" s="153">
        <v>2.9755</v>
      </c>
      <c r="BX12" s="153">
        <v>0.0147</v>
      </c>
      <c r="BY12" s="153">
        <v>2.9608</v>
      </c>
      <c r="BZ12" s="153">
        <v>0.9706</v>
      </c>
      <c r="CA12" s="153">
        <v>0.3971</v>
      </c>
      <c r="CB12" s="153">
        <v>0.0</v>
      </c>
      <c r="CC12" s="153">
        <v>0.3971</v>
      </c>
      <c r="CD12" s="153">
        <v>1.1569</v>
      </c>
      <c r="CE12" s="153">
        <v>1.5343</v>
      </c>
      <c r="CF12" s="153">
        <v>0.0</v>
      </c>
      <c r="CG12" s="153">
        <v>1.5343</v>
      </c>
      <c r="CH12" s="153">
        <v>1.0392</v>
      </c>
      <c r="CI12" s="153">
        <v>1.8676</v>
      </c>
      <c r="CJ12" s="153">
        <v>0.0147</v>
      </c>
      <c r="CK12" s="153">
        <v>1.8529</v>
      </c>
      <c r="CL12" s="153">
        <v>1.4412</v>
      </c>
      <c r="CM12" s="153">
        <v>312.76</v>
      </c>
      <c r="CN12" s="153">
        <v>96.08</v>
      </c>
      <c r="CO12" s="153">
        <v>325.53</v>
      </c>
      <c r="CP12" s="153">
        <v>258.75</v>
      </c>
      <c r="CQ12" s="153">
        <v>0.34</v>
      </c>
      <c r="CR12" s="153">
        <v>29.61</v>
      </c>
      <c r="CS12" s="153">
        <v>24.07</v>
      </c>
      <c r="CT12" s="153">
        <v>0.0</v>
      </c>
      <c r="CU12" s="153">
        <v>40.0</v>
      </c>
      <c r="CV12" s="153">
        <v>0.0</v>
      </c>
      <c r="CW12" s="153">
        <v>241.75</v>
      </c>
      <c r="CX12" s="153">
        <v>0.25</v>
      </c>
      <c r="CY12" s="153">
        <v>0.59</v>
      </c>
      <c r="CZ12" s="153">
        <v>250.96</v>
      </c>
      <c r="DA12" s="153">
        <v>0.0</v>
      </c>
      <c r="DB12" s="153">
        <v>250.96</v>
      </c>
      <c r="DC12" s="153">
        <v>227.84</v>
      </c>
      <c r="DD12" s="153">
        <v>0.0</v>
      </c>
      <c r="DE12" s="153">
        <v>227.84</v>
      </c>
      <c r="DF12" s="153">
        <v>10.74</v>
      </c>
      <c r="DG12" s="153">
        <v>0.0</v>
      </c>
      <c r="DH12" s="153">
        <v>10.74</v>
      </c>
      <c r="DI12" s="153">
        <v>11.99</v>
      </c>
      <c r="DJ12" s="153">
        <v>0.0</v>
      </c>
      <c r="DK12" s="153">
        <v>11.99</v>
      </c>
      <c r="DL12" s="153">
        <v>0.39</v>
      </c>
      <c r="DM12" s="153">
        <v>0.0</v>
      </c>
      <c r="DN12" s="153">
        <v>0.39</v>
      </c>
    </row>
    <row r="13">
      <c r="A13" s="235">
        <v>46255.0</v>
      </c>
      <c r="B13" s="236" t="s">
        <v>5</v>
      </c>
      <c r="C13" s="236" t="s">
        <v>137</v>
      </c>
      <c r="D13" s="236">
        <v>48.0</v>
      </c>
      <c r="E13" s="236">
        <v>1.76</v>
      </c>
      <c r="F13" s="236">
        <v>24.72</v>
      </c>
      <c r="G13" s="236">
        <v>0.515</v>
      </c>
      <c r="H13" s="236">
        <v>2.08</v>
      </c>
      <c r="I13" s="236">
        <v>24.72</v>
      </c>
      <c r="J13" s="236">
        <v>228.08</v>
      </c>
      <c r="K13" s="236">
        <v>171.15</v>
      </c>
      <c r="L13" s="236">
        <v>146.85</v>
      </c>
      <c r="M13" s="236">
        <v>0.8581</v>
      </c>
      <c r="N13" s="236">
        <v>0.1758</v>
      </c>
      <c r="O13" s="236">
        <v>0.1177</v>
      </c>
      <c r="P13" s="236">
        <v>1.1654</v>
      </c>
      <c r="Q13" s="236">
        <v>628.5</v>
      </c>
      <c r="R13" s="236">
        <v>524.65</v>
      </c>
      <c r="S13" s="236">
        <v>103.85</v>
      </c>
      <c r="T13" s="236">
        <v>37.5</v>
      </c>
      <c r="U13" s="236">
        <v>591.0</v>
      </c>
      <c r="V13" s="236">
        <v>583.33</v>
      </c>
      <c r="W13" s="236">
        <v>3.4084</v>
      </c>
      <c r="X13" s="236">
        <v>5.97</v>
      </c>
      <c r="Y13" s="236">
        <v>425.0</v>
      </c>
      <c r="Z13" s="236">
        <v>560.0</v>
      </c>
      <c r="AA13" s="236">
        <v>700.0</v>
      </c>
      <c r="AB13" s="236"/>
      <c r="AC13" s="236"/>
      <c r="AD13" s="236">
        <v>67.42</v>
      </c>
      <c r="AE13" s="236">
        <v>39.0</v>
      </c>
      <c r="AF13" s="236">
        <v>49.0</v>
      </c>
      <c r="AG13" s="236">
        <v>99.0</v>
      </c>
      <c r="AH13" s="236">
        <v>131.0</v>
      </c>
      <c r="AI13" s="236">
        <v>33.33</v>
      </c>
      <c r="AJ13" s="236">
        <v>2.08</v>
      </c>
      <c r="AK13" s="236">
        <v>0.0</v>
      </c>
      <c r="AL13" s="236">
        <v>0.0417</v>
      </c>
      <c r="AM13" s="236">
        <v>97.92</v>
      </c>
      <c r="AN13" s="153">
        <v>97.92</v>
      </c>
      <c r="AO13" s="153">
        <v>97.92</v>
      </c>
      <c r="AP13" s="153">
        <v>95.83</v>
      </c>
      <c r="AQ13" s="153">
        <v>33.9583</v>
      </c>
      <c r="AR13" s="153">
        <v>0.1875</v>
      </c>
      <c r="AS13" s="153">
        <v>33.7708</v>
      </c>
      <c r="AT13" s="153">
        <v>22.9167</v>
      </c>
      <c r="AU13" s="153">
        <v>0.1339</v>
      </c>
      <c r="AV13" s="153">
        <v>48.0</v>
      </c>
      <c r="AW13" s="153">
        <v>0.0</v>
      </c>
      <c r="AX13" s="153">
        <v>469.06</v>
      </c>
      <c r="AY13" s="153">
        <v>102.92</v>
      </c>
      <c r="AZ13" s="153">
        <v>4.17</v>
      </c>
      <c r="BA13" s="153">
        <v>37.5</v>
      </c>
      <c r="BB13" s="153">
        <v>14.85</v>
      </c>
      <c r="BC13" s="153">
        <v>188.0</v>
      </c>
      <c r="BD13" s="153">
        <v>860.0</v>
      </c>
      <c r="BE13" s="153">
        <v>22.1458</v>
      </c>
      <c r="BF13" s="153">
        <v>0.0</v>
      </c>
      <c r="BG13" s="153">
        <v>22.1458</v>
      </c>
      <c r="BH13" s="153">
        <v>11.3958</v>
      </c>
      <c r="BI13" s="153">
        <v>0.0666</v>
      </c>
      <c r="BJ13" s="153">
        <v>11.8125</v>
      </c>
      <c r="BK13" s="153">
        <v>0.1875</v>
      </c>
      <c r="BL13" s="153">
        <v>11.625</v>
      </c>
      <c r="BM13" s="153">
        <v>11.5208</v>
      </c>
      <c r="BN13" s="153">
        <v>0.0673</v>
      </c>
      <c r="BO13" s="153">
        <v>7.0</v>
      </c>
      <c r="BP13" s="153">
        <v>0.0</v>
      </c>
      <c r="BQ13" s="153">
        <v>7.0</v>
      </c>
      <c r="BR13" s="153">
        <v>4.0</v>
      </c>
      <c r="BS13" s="153">
        <v>9.7917</v>
      </c>
      <c r="BT13" s="153">
        <v>0.0</v>
      </c>
      <c r="BU13" s="153">
        <v>9.7917</v>
      </c>
      <c r="BV13" s="153">
        <v>4.3958</v>
      </c>
      <c r="BW13" s="153">
        <v>5.3542</v>
      </c>
      <c r="BX13" s="153">
        <v>0.0</v>
      </c>
      <c r="BY13" s="153">
        <v>5.3542</v>
      </c>
      <c r="BZ13" s="153">
        <v>3.0</v>
      </c>
      <c r="CA13" s="153">
        <v>1.4792</v>
      </c>
      <c r="CB13" s="153">
        <v>0.0</v>
      </c>
      <c r="CC13" s="153">
        <v>1.4792</v>
      </c>
      <c r="CD13" s="153">
        <v>2.875</v>
      </c>
      <c r="CE13" s="153">
        <v>4.7708</v>
      </c>
      <c r="CF13" s="153">
        <v>0.0</v>
      </c>
      <c r="CG13" s="153">
        <v>4.7708</v>
      </c>
      <c r="CH13" s="153">
        <v>4.0417</v>
      </c>
      <c r="CI13" s="153">
        <v>5.5625</v>
      </c>
      <c r="CJ13" s="153">
        <v>0.1875</v>
      </c>
      <c r="CK13" s="153">
        <v>5.375</v>
      </c>
      <c r="CL13" s="153">
        <v>4.6042</v>
      </c>
      <c r="CM13" s="153">
        <v>1157.6</v>
      </c>
      <c r="CN13" s="153">
        <v>97.92</v>
      </c>
      <c r="CO13" s="153">
        <v>1182.23</v>
      </c>
      <c r="CP13" s="153">
        <v>1088.96</v>
      </c>
      <c r="CQ13" s="153">
        <v>0.0</v>
      </c>
      <c r="CR13" s="153">
        <v>36.67</v>
      </c>
      <c r="CS13" s="153">
        <v>31.98</v>
      </c>
      <c r="CT13" s="153">
        <v>0.0</v>
      </c>
      <c r="CU13" s="153">
        <v>17.0</v>
      </c>
      <c r="CV13" s="153">
        <v>0.0</v>
      </c>
      <c r="CW13" s="153">
        <v>628.5</v>
      </c>
      <c r="CX13" s="153">
        <v>0.0</v>
      </c>
      <c r="CY13" s="153">
        <v>0.0</v>
      </c>
      <c r="CZ13" s="153">
        <v>744.38</v>
      </c>
      <c r="DA13" s="153">
        <v>0.0</v>
      </c>
      <c r="DB13" s="153">
        <v>744.38</v>
      </c>
      <c r="DC13" s="153">
        <v>694.17</v>
      </c>
      <c r="DD13" s="153">
        <v>0.0</v>
      </c>
      <c r="DE13" s="153">
        <v>694.17</v>
      </c>
      <c r="DF13" s="153">
        <v>24.79</v>
      </c>
      <c r="DG13" s="153">
        <v>0.0</v>
      </c>
      <c r="DH13" s="153">
        <v>24.79</v>
      </c>
      <c r="DI13" s="153">
        <v>18.65</v>
      </c>
      <c r="DJ13" s="153">
        <v>0.0</v>
      </c>
      <c r="DK13" s="153">
        <v>18.65</v>
      </c>
      <c r="DL13" s="153">
        <v>6.77</v>
      </c>
      <c r="DM13" s="153">
        <v>0.0</v>
      </c>
      <c r="DN13" s="153">
        <v>6.77</v>
      </c>
    </row>
    <row r="14">
      <c r="A14" s="235">
        <v>46256.0</v>
      </c>
      <c r="B14" s="236" t="s">
        <v>4</v>
      </c>
      <c r="C14" s="236" t="s">
        <v>423</v>
      </c>
      <c r="D14" s="236">
        <v>1001.0</v>
      </c>
      <c r="E14" s="236">
        <v>29.72</v>
      </c>
      <c r="F14" s="236">
        <v>0.0</v>
      </c>
      <c r="G14" s="236">
        <v>0.0</v>
      </c>
      <c r="H14" s="236">
        <v>0.0</v>
      </c>
      <c r="I14" s="236"/>
      <c r="J14" s="236">
        <v>1.78</v>
      </c>
      <c r="K14" s="236">
        <v>0.07</v>
      </c>
      <c r="L14" s="236">
        <v>0.0</v>
      </c>
      <c r="M14" s="236">
        <v>0.0</v>
      </c>
      <c r="N14" s="236">
        <v>1.0</v>
      </c>
      <c r="O14" s="236">
        <v>1.0</v>
      </c>
      <c r="P14" s="236"/>
      <c r="Q14" s="236">
        <v>0.29</v>
      </c>
      <c r="R14" s="236">
        <v>0.29</v>
      </c>
      <c r="S14" s="236">
        <v>0.0</v>
      </c>
      <c r="T14" s="236">
        <v>0.0</v>
      </c>
      <c r="U14" s="236">
        <v>0.29</v>
      </c>
      <c r="V14" s="236">
        <v>0.15</v>
      </c>
      <c r="W14" s="236">
        <v>2.0</v>
      </c>
      <c r="X14" s="236">
        <v>0.0</v>
      </c>
      <c r="Y14" s="236">
        <v>200.0</v>
      </c>
      <c r="Z14" s="236">
        <v>200.0</v>
      </c>
      <c r="AA14" s="236">
        <v>200.0</v>
      </c>
      <c r="AB14" s="236">
        <v>49.6099</v>
      </c>
      <c r="AC14" s="236">
        <v>0.7481</v>
      </c>
      <c r="AD14" s="236"/>
      <c r="AE14" s="236"/>
      <c r="AF14" s="236"/>
      <c r="AG14" s="236"/>
      <c r="AH14" s="236"/>
      <c r="AI14" s="236">
        <v>0.0</v>
      </c>
      <c r="AJ14" s="236">
        <v>0.0</v>
      </c>
      <c r="AK14" s="236">
        <v>0.0</v>
      </c>
      <c r="AL14" s="236">
        <v>0.9111</v>
      </c>
      <c r="AM14" s="237"/>
      <c r="AQ14" s="153">
        <v>0.025</v>
      </c>
      <c r="AR14" s="153">
        <v>0.0</v>
      </c>
      <c r="AS14" s="153">
        <v>0.025</v>
      </c>
      <c r="AT14" s="153">
        <v>0.014</v>
      </c>
      <c r="AU14" s="153">
        <v>0.1867</v>
      </c>
      <c r="AV14" s="153">
        <v>1001.0</v>
      </c>
      <c r="AW14" s="153">
        <v>0.0</v>
      </c>
      <c r="AX14" s="153">
        <v>0.26</v>
      </c>
      <c r="AY14" s="153">
        <v>0.03</v>
      </c>
      <c r="AZ14" s="153">
        <v>0.0</v>
      </c>
      <c r="BA14" s="153">
        <v>0.0</v>
      </c>
      <c r="BB14" s="153">
        <v>0.0</v>
      </c>
      <c r="BD14" s="153">
        <v>257.0</v>
      </c>
      <c r="BE14" s="153">
        <v>0.02</v>
      </c>
      <c r="BF14" s="153">
        <v>0.0</v>
      </c>
      <c r="BG14" s="153">
        <v>0.02</v>
      </c>
      <c r="BH14" s="153">
        <v>0.007</v>
      </c>
      <c r="BI14" s="153">
        <v>0.0933</v>
      </c>
      <c r="BJ14" s="153">
        <v>0.005</v>
      </c>
      <c r="BK14" s="153">
        <v>0.0</v>
      </c>
      <c r="BL14" s="153">
        <v>0.005</v>
      </c>
      <c r="BM14" s="153">
        <v>0.007</v>
      </c>
      <c r="BN14" s="153">
        <v>0.0933</v>
      </c>
      <c r="BO14" s="153">
        <v>0.001</v>
      </c>
      <c r="BP14" s="153">
        <v>0.0</v>
      </c>
      <c r="BQ14" s="153">
        <v>0.001</v>
      </c>
      <c r="BR14" s="153">
        <v>0.001</v>
      </c>
      <c r="BS14" s="153">
        <v>0.011</v>
      </c>
      <c r="BT14" s="153">
        <v>0.0</v>
      </c>
      <c r="BU14" s="153">
        <v>0.011</v>
      </c>
      <c r="BV14" s="153">
        <v>0.003</v>
      </c>
      <c r="BW14" s="153">
        <v>0.008</v>
      </c>
      <c r="BX14" s="153">
        <v>0.0</v>
      </c>
      <c r="BY14" s="153">
        <v>0.008</v>
      </c>
      <c r="BZ14" s="153">
        <v>0.003</v>
      </c>
      <c r="CA14" s="153">
        <v>0.0</v>
      </c>
      <c r="CB14" s="153">
        <v>0.0</v>
      </c>
      <c r="CC14" s="153">
        <v>0.0</v>
      </c>
      <c r="CD14" s="153">
        <v>0.002</v>
      </c>
      <c r="CE14" s="153">
        <v>0.002</v>
      </c>
      <c r="CF14" s="153">
        <v>0.0</v>
      </c>
      <c r="CG14" s="153">
        <v>0.002</v>
      </c>
      <c r="CH14" s="153">
        <v>0.002</v>
      </c>
      <c r="CI14" s="153">
        <v>0.003</v>
      </c>
      <c r="CJ14" s="153">
        <v>0.0</v>
      </c>
      <c r="CK14" s="153">
        <v>0.003</v>
      </c>
      <c r="CL14" s="153">
        <v>0.003</v>
      </c>
      <c r="CM14" s="153">
        <v>0.0</v>
      </c>
      <c r="CN14" s="153">
        <v>0.0</v>
      </c>
      <c r="CP14" s="153">
        <v>0.0</v>
      </c>
      <c r="CQ14" s="153">
        <v>0.0</v>
      </c>
      <c r="CR14" s="153">
        <v>0.0</v>
      </c>
      <c r="CS14" s="153">
        <v>0.0</v>
      </c>
      <c r="CT14" s="153">
        <v>0.0</v>
      </c>
      <c r="CU14" s="153">
        <v>0.0</v>
      </c>
      <c r="CV14" s="153">
        <v>0.0</v>
      </c>
      <c r="CW14" s="153">
        <v>0.29</v>
      </c>
      <c r="CX14" s="153">
        <v>0.0</v>
      </c>
      <c r="CY14" s="153">
        <v>0.0</v>
      </c>
      <c r="CZ14" s="153">
        <v>0.28</v>
      </c>
      <c r="DA14" s="153">
        <v>0.0</v>
      </c>
      <c r="DB14" s="153">
        <v>0.28</v>
      </c>
      <c r="DC14" s="153">
        <v>0.24</v>
      </c>
      <c r="DD14" s="153">
        <v>0.0</v>
      </c>
      <c r="DE14" s="153">
        <v>0.24</v>
      </c>
      <c r="DF14" s="153">
        <v>0.02</v>
      </c>
      <c r="DG14" s="153">
        <v>0.0</v>
      </c>
      <c r="DH14" s="153">
        <v>0.02</v>
      </c>
      <c r="DI14" s="153">
        <v>0.01</v>
      </c>
      <c r="DJ14" s="153">
        <v>0.0</v>
      </c>
      <c r="DK14" s="153">
        <v>0.01</v>
      </c>
      <c r="DL14" s="153">
        <v>0.0</v>
      </c>
      <c r="DM14" s="153">
        <v>0.0</v>
      </c>
      <c r="DN14" s="153">
        <v>0.0</v>
      </c>
    </row>
    <row r="15">
      <c r="A15" s="235">
        <v>46256.0</v>
      </c>
      <c r="B15" s="236" t="s">
        <v>4</v>
      </c>
      <c r="C15" s="236" t="s">
        <v>133</v>
      </c>
      <c r="D15" s="236">
        <v>1129.0</v>
      </c>
      <c r="E15" s="236">
        <v>33.52</v>
      </c>
      <c r="F15" s="236">
        <v>0.0</v>
      </c>
      <c r="G15" s="236">
        <v>0.0</v>
      </c>
      <c r="H15" s="236">
        <v>0.0</v>
      </c>
      <c r="I15" s="236"/>
      <c r="J15" s="236">
        <v>5.07</v>
      </c>
      <c r="K15" s="236">
        <v>4.16</v>
      </c>
      <c r="L15" s="236">
        <v>3.9</v>
      </c>
      <c r="M15" s="236">
        <v>0.9374</v>
      </c>
      <c r="N15" s="236">
        <v>0.0653</v>
      </c>
      <c r="O15" s="236">
        <v>0.0455</v>
      </c>
      <c r="P15" s="236">
        <v>1.0667</v>
      </c>
      <c r="Q15" s="236">
        <v>5.62</v>
      </c>
      <c r="R15" s="236">
        <v>5.08</v>
      </c>
      <c r="S15" s="236">
        <v>0.55</v>
      </c>
      <c r="T15" s="236">
        <v>0.0</v>
      </c>
      <c r="U15" s="236">
        <v>5.62</v>
      </c>
      <c r="V15" s="236">
        <v>3.94</v>
      </c>
      <c r="W15" s="236">
        <v>0.947</v>
      </c>
      <c r="X15" s="236">
        <v>0.0</v>
      </c>
      <c r="Y15" s="236">
        <v>200.0</v>
      </c>
      <c r="Z15" s="236">
        <v>200.0</v>
      </c>
      <c r="AA15" s="236">
        <v>229.0</v>
      </c>
      <c r="AB15" s="236">
        <v>50.0</v>
      </c>
      <c r="AC15" s="236">
        <v>0.7825</v>
      </c>
      <c r="AD15" s="236">
        <v>3.74</v>
      </c>
      <c r="AE15" s="236">
        <v>2.0</v>
      </c>
      <c r="AF15" s="236">
        <v>3.0</v>
      </c>
      <c r="AG15" s="236">
        <v>5.0</v>
      </c>
      <c r="AH15" s="236">
        <v>7.0</v>
      </c>
      <c r="AI15" s="236">
        <v>76.79</v>
      </c>
      <c r="AJ15" s="236">
        <v>37.82</v>
      </c>
      <c r="AK15" s="236">
        <v>0.18</v>
      </c>
      <c r="AL15" s="236">
        <v>0.8423</v>
      </c>
      <c r="AM15" s="236"/>
      <c r="AQ15" s="153">
        <v>0.3826</v>
      </c>
      <c r="AR15" s="153">
        <v>0.0239</v>
      </c>
      <c r="AS15" s="153">
        <v>0.3587</v>
      </c>
      <c r="AT15" s="153">
        <v>0.4429</v>
      </c>
      <c r="AU15" s="153">
        <v>0.1064</v>
      </c>
      <c r="AV15" s="153">
        <v>1129.0</v>
      </c>
      <c r="AW15" s="153">
        <v>0.0</v>
      </c>
      <c r="AX15" s="153">
        <v>5.62</v>
      </c>
      <c r="AY15" s="153">
        <v>0.0</v>
      </c>
      <c r="AZ15" s="153">
        <v>0.0</v>
      </c>
      <c r="BA15" s="153">
        <v>0.0</v>
      </c>
      <c r="BB15" s="153">
        <v>0.0</v>
      </c>
      <c r="BC15" s="153">
        <v>9.0</v>
      </c>
      <c r="BD15" s="153">
        <v>280.0</v>
      </c>
      <c r="BE15" s="153">
        <v>0.3782</v>
      </c>
      <c r="BF15" s="153">
        <v>0.0239</v>
      </c>
      <c r="BG15" s="153">
        <v>0.3543</v>
      </c>
      <c r="BH15" s="153">
        <v>0.4411</v>
      </c>
      <c r="BI15" s="153">
        <v>0.106</v>
      </c>
      <c r="BJ15" s="153">
        <v>0.0044</v>
      </c>
      <c r="BK15" s="153">
        <v>0.0</v>
      </c>
      <c r="BL15" s="153">
        <v>0.0044</v>
      </c>
      <c r="BM15" s="153">
        <v>0.0018</v>
      </c>
      <c r="BN15" s="153">
        <v>4.0E-4</v>
      </c>
      <c r="BO15" s="153">
        <v>0.0505</v>
      </c>
      <c r="BP15" s="153">
        <v>0.0106</v>
      </c>
      <c r="BQ15" s="153">
        <v>0.0399</v>
      </c>
      <c r="BR15" s="153">
        <v>0.2232</v>
      </c>
      <c r="BS15" s="153">
        <v>0.2728</v>
      </c>
      <c r="BT15" s="153">
        <v>0.008</v>
      </c>
      <c r="BU15" s="153">
        <v>0.2648</v>
      </c>
      <c r="BV15" s="153">
        <v>0.1187</v>
      </c>
      <c r="BW15" s="153">
        <v>0.0549</v>
      </c>
      <c r="BX15" s="153">
        <v>0.0053</v>
      </c>
      <c r="BY15" s="153">
        <v>0.0496</v>
      </c>
      <c r="BZ15" s="153">
        <v>0.0992</v>
      </c>
      <c r="CA15" s="153">
        <v>0.0</v>
      </c>
      <c r="CB15" s="153">
        <v>0.0</v>
      </c>
      <c r="CC15" s="153">
        <v>0.0</v>
      </c>
      <c r="CD15" s="153">
        <v>9.0E-4</v>
      </c>
      <c r="CE15" s="153">
        <v>0.0035</v>
      </c>
      <c r="CF15" s="153">
        <v>0.0</v>
      </c>
      <c r="CG15" s="153">
        <v>0.0035</v>
      </c>
      <c r="CH15" s="153">
        <v>0.0</v>
      </c>
      <c r="CI15" s="153">
        <v>9.0E-4</v>
      </c>
      <c r="CJ15" s="153">
        <v>0.0</v>
      </c>
      <c r="CK15" s="153">
        <v>9.0E-4</v>
      </c>
      <c r="CL15" s="153">
        <v>9.0E-4</v>
      </c>
      <c r="CM15" s="153">
        <v>0.13</v>
      </c>
      <c r="CN15" s="153">
        <v>0.18</v>
      </c>
      <c r="CO15" s="153">
        <v>72.5</v>
      </c>
      <c r="CP15" s="153">
        <v>0.09</v>
      </c>
      <c r="CQ15" s="153">
        <v>0.0</v>
      </c>
      <c r="CR15" s="153">
        <v>0.04</v>
      </c>
      <c r="CS15" s="153">
        <v>0.0</v>
      </c>
      <c r="CT15" s="153">
        <v>0.0</v>
      </c>
      <c r="CU15" s="153">
        <v>0.0</v>
      </c>
      <c r="CV15" s="153">
        <v>0.0</v>
      </c>
      <c r="CW15" s="153">
        <v>5.62</v>
      </c>
      <c r="CX15" s="153">
        <v>0.0</v>
      </c>
      <c r="CY15" s="153">
        <v>0.0</v>
      </c>
      <c r="CZ15" s="153">
        <v>1.05</v>
      </c>
      <c r="DA15" s="153">
        <v>0.0</v>
      </c>
      <c r="DB15" s="153">
        <v>1.05</v>
      </c>
      <c r="DC15" s="153">
        <v>1.05</v>
      </c>
      <c r="DD15" s="153">
        <v>0.0</v>
      </c>
      <c r="DE15" s="153">
        <v>1.05</v>
      </c>
      <c r="DF15" s="153">
        <v>0.0</v>
      </c>
      <c r="DG15" s="153">
        <v>0.0</v>
      </c>
      <c r="DH15" s="153">
        <v>0.0</v>
      </c>
      <c r="DI15" s="153">
        <v>0.0</v>
      </c>
      <c r="DJ15" s="153">
        <v>0.0</v>
      </c>
      <c r="DK15" s="153">
        <v>0.0</v>
      </c>
      <c r="DL15" s="153">
        <v>0.0</v>
      </c>
      <c r="DM15" s="153">
        <v>0.0</v>
      </c>
      <c r="DN15" s="153">
        <v>0.0</v>
      </c>
    </row>
    <row r="16">
      <c r="A16" s="235">
        <v>46256.0</v>
      </c>
      <c r="B16" s="236" t="s">
        <v>4</v>
      </c>
      <c r="C16" s="236" t="s">
        <v>134</v>
      </c>
      <c r="D16" s="236">
        <v>517.0</v>
      </c>
      <c r="E16" s="236">
        <v>15.35</v>
      </c>
      <c r="F16" s="236">
        <v>0.0</v>
      </c>
      <c r="G16" s="236">
        <v>0.0</v>
      </c>
      <c r="H16" s="236">
        <v>0.0</v>
      </c>
      <c r="I16" s="236"/>
      <c r="J16" s="236">
        <v>16.27</v>
      </c>
      <c r="K16" s="236">
        <v>13.72</v>
      </c>
      <c r="L16" s="236">
        <v>12.72</v>
      </c>
      <c r="M16" s="236">
        <v>0.9271</v>
      </c>
      <c r="N16" s="236">
        <v>0.0857</v>
      </c>
      <c r="O16" s="236">
        <v>0.0632</v>
      </c>
      <c r="P16" s="236">
        <v>1.0786</v>
      </c>
      <c r="Q16" s="236">
        <v>55.26</v>
      </c>
      <c r="R16" s="236">
        <v>40.07</v>
      </c>
      <c r="S16" s="236">
        <v>15.19</v>
      </c>
      <c r="T16" s="236">
        <v>0.0</v>
      </c>
      <c r="U16" s="236">
        <v>55.26</v>
      </c>
      <c r="V16" s="236">
        <v>64.99</v>
      </c>
      <c r="W16" s="236">
        <v>4.7384</v>
      </c>
      <c r="X16" s="236">
        <v>0.0</v>
      </c>
      <c r="Y16" s="236">
        <v>250.0</v>
      </c>
      <c r="Z16" s="236">
        <v>270.0</v>
      </c>
      <c r="AA16" s="236">
        <v>322.0</v>
      </c>
      <c r="AB16" s="236">
        <v>50.0103</v>
      </c>
      <c r="AC16" s="236">
        <v>0.9149</v>
      </c>
      <c r="AD16" s="236">
        <v>11.45</v>
      </c>
      <c r="AE16" s="236">
        <v>10.0</v>
      </c>
      <c r="AF16" s="236">
        <v>11.0</v>
      </c>
      <c r="AG16" s="236">
        <v>14.0</v>
      </c>
      <c r="AH16" s="236">
        <v>17.0</v>
      </c>
      <c r="AI16" s="236">
        <v>89.94</v>
      </c>
      <c r="AJ16" s="236">
        <v>36.75</v>
      </c>
      <c r="AK16" s="236">
        <v>0.77</v>
      </c>
      <c r="AL16" s="236">
        <v>0.675</v>
      </c>
      <c r="AM16" s="237"/>
      <c r="AQ16" s="153">
        <v>4.3501</v>
      </c>
      <c r="AR16" s="153">
        <v>0.7021</v>
      </c>
      <c r="AS16" s="153">
        <v>3.648</v>
      </c>
      <c r="AT16" s="153">
        <v>4.1335</v>
      </c>
      <c r="AU16" s="153">
        <v>0.3014</v>
      </c>
      <c r="AV16" s="153">
        <v>517.0</v>
      </c>
      <c r="AW16" s="153">
        <v>0.0</v>
      </c>
      <c r="AX16" s="153">
        <v>54.5</v>
      </c>
      <c r="AY16" s="153">
        <v>0.54</v>
      </c>
      <c r="AZ16" s="153">
        <v>0.21</v>
      </c>
      <c r="BA16" s="153">
        <v>0.0</v>
      </c>
      <c r="BB16" s="153">
        <v>0.01</v>
      </c>
      <c r="BC16" s="153">
        <v>25.0</v>
      </c>
      <c r="BD16" s="153">
        <v>375.0</v>
      </c>
      <c r="BE16" s="153">
        <v>4.2166</v>
      </c>
      <c r="BF16" s="153">
        <v>0.6789</v>
      </c>
      <c r="BG16" s="153">
        <v>3.5377</v>
      </c>
      <c r="BH16" s="153">
        <v>3.6712</v>
      </c>
      <c r="BI16" s="153">
        <v>0.2677</v>
      </c>
      <c r="BJ16" s="153">
        <v>0.1335</v>
      </c>
      <c r="BK16" s="153">
        <v>0.0232</v>
      </c>
      <c r="BL16" s="153">
        <v>0.1103</v>
      </c>
      <c r="BM16" s="153">
        <v>0.4623</v>
      </c>
      <c r="BN16" s="153">
        <v>0.0337</v>
      </c>
      <c r="BO16" s="153">
        <v>1.2476</v>
      </c>
      <c r="BP16" s="153">
        <v>0.2263</v>
      </c>
      <c r="BQ16" s="153">
        <v>1.0213</v>
      </c>
      <c r="BR16" s="153">
        <v>1.4352</v>
      </c>
      <c r="BS16" s="153">
        <v>2.0677</v>
      </c>
      <c r="BT16" s="153">
        <v>0.1219</v>
      </c>
      <c r="BU16" s="153">
        <v>1.9458</v>
      </c>
      <c r="BV16" s="153">
        <v>1.1896</v>
      </c>
      <c r="BW16" s="153">
        <v>0.9014</v>
      </c>
      <c r="BX16" s="153">
        <v>0.3308</v>
      </c>
      <c r="BY16" s="153">
        <v>0.5706</v>
      </c>
      <c r="BZ16" s="153">
        <v>1.0464</v>
      </c>
      <c r="CA16" s="153">
        <v>0.0019</v>
      </c>
      <c r="CB16" s="153">
        <v>0.0</v>
      </c>
      <c r="CC16" s="153">
        <v>0.0019</v>
      </c>
      <c r="CD16" s="153">
        <v>0.1161</v>
      </c>
      <c r="CE16" s="153">
        <v>0.1064</v>
      </c>
      <c r="CF16" s="153">
        <v>0.0174</v>
      </c>
      <c r="CG16" s="153">
        <v>0.089</v>
      </c>
      <c r="CH16" s="153">
        <v>0.1122</v>
      </c>
      <c r="CI16" s="153">
        <v>0.0251</v>
      </c>
      <c r="CJ16" s="153">
        <v>0.0058</v>
      </c>
      <c r="CK16" s="153">
        <v>0.0193</v>
      </c>
      <c r="CL16" s="153">
        <v>0.234</v>
      </c>
      <c r="CM16" s="153">
        <v>11.51</v>
      </c>
      <c r="CN16" s="153">
        <v>14.51</v>
      </c>
      <c r="CO16" s="153">
        <v>79.33</v>
      </c>
      <c r="CP16" s="153">
        <v>10.48</v>
      </c>
      <c r="CQ16" s="153">
        <v>0.0</v>
      </c>
      <c r="CR16" s="153">
        <v>0.93</v>
      </c>
      <c r="CS16" s="153">
        <v>0.1</v>
      </c>
      <c r="CT16" s="153">
        <v>0.0</v>
      </c>
      <c r="CU16" s="153">
        <v>0.0</v>
      </c>
      <c r="CV16" s="153">
        <v>0.0</v>
      </c>
      <c r="CW16" s="153">
        <v>55.26</v>
      </c>
      <c r="CX16" s="153">
        <v>0.0</v>
      </c>
      <c r="CY16" s="153">
        <v>0.0</v>
      </c>
      <c r="CZ16" s="153">
        <v>14.29</v>
      </c>
      <c r="DA16" s="153">
        <v>0.0</v>
      </c>
      <c r="DB16" s="153">
        <v>14.29</v>
      </c>
      <c r="DC16" s="153">
        <v>13.8</v>
      </c>
      <c r="DD16" s="153">
        <v>0.0</v>
      </c>
      <c r="DE16" s="153">
        <v>13.8</v>
      </c>
      <c r="DF16" s="153">
        <v>0.23</v>
      </c>
      <c r="DG16" s="153">
        <v>0.0</v>
      </c>
      <c r="DH16" s="153">
        <v>0.23</v>
      </c>
      <c r="DI16" s="153">
        <v>0.26</v>
      </c>
      <c r="DJ16" s="153">
        <v>0.0</v>
      </c>
      <c r="DK16" s="153">
        <v>0.26</v>
      </c>
      <c r="DL16" s="153">
        <v>0.0</v>
      </c>
      <c r="DM16" s="153">
        <v>0.0</v>
      </c>
      <c r="DN16" s="153">
        <v>0.0</v>
      </c>
    </row>
    <row r="17">
      <c r="A17" s="235">
        <v>46256.0</v>
      </c>
      <c r="B17" s="236" t="s">
        <v>4</v>
      </c>
      <c r="C17" s="236" t="s">
        <v>135</v>
      </c>
      <c r="D17" s="236">
        <v>381.0</v>
      </c>
      <c r="E17" s="236">
        <v>11.31</v>
      </c>
      <c r="F17" s="236">
        <v>5.21</v>
      </c>
      <c r="G17" s="236">
        <v>0.0137</v>
      </c>
      <c r="H17" s="236">
        <v>1.05</v>
      </c>
      <c r="I17" s="236">
        <v>1.3025</v>
      </c>
      <c r="J17" s="236">
        <v>34.26</v>
      </c>
      <c r="K17" s="236">
        <v>28.95</v>
      </c>
      <c r="L17" s="236">
        <v>26.28</v>
      </c>
      <c r="M17" s="236">
        <v>0.9079</v>
      </c>
      <c r="N17" s="236">
        <v>0.1166</v>
      </c>
      <c r="O17" s="236">
        <v>0.0803</v>
      </c>
      <c r="P17" s="236">
        <v>1.1015</v>
      </c>
      <c r="Q17" s="236">
        <v>132.02</v>
      </c>
      <c r="R17" s="236">
        <v>93.58</v>
      </c>
      <c r="S17" s="236">
        <v>38.44</v>
      </c>
      <c r="T17" s="236">
        <v>1.97</v>
      </c>
      <c r="U17" s="236">
        <v>130.05</v>
      </c>
      <c r="V17" s="236">
        <v>88.71</v>
      </c>
      <c r="W17" s="236">
        <v>3.0644</v>
      </c>
      <c r="X17" s="236">
        <v>1.49</v>
      </c>
      <c r="Y17" s="236">
        <v>304.0</v>
      </c>
      <c r="Z17" s="236">
        <v>357.0</v>
      </c>
      <c r="AA17" s="236">
        <v>432.0</v>
      </c>
      <c r="AB17" s="236">
        <v>49.2325</v>
      </c>
      <c r="AC17" s="236">
        <v>0.9042</v>
      </c>
      <c r="AD17" s="236">
        <v>21.25</v>
      </c>
      <c r="AE17" s="236">
        <v>14.0</v>
      </c>
      <c r="AF17" s="236">
        <v>21.0</v>
      </c>
      <c r="AG17" s="236">
        <v>28.0</v>
      </c>
      <c r="AH17" s="236">
        <v>35.0</v>
      </c>
      <c r="AI17" s="236">
        <v>83.2</v>
      </c>
      <c r="AJ17" s="236">
        <v>36.75</v>
      </c>
      <c r="AK17" s="236">
        <v>1.84</v>
      </c>
      <c r="AL17" s="236">
        <v>0.4882</v>
      </c>
      <c r="AM17" s="237"/>
      <c r="AQ17" s="153">
        <v>8.6483</v>
      </c>
      <c r="AR17" s="153">
        <v>0.2336</v>
      </c>
      <c r="AS17" s="153">
        <v>8.4147</v>
      </c>
      <c r="AT17" s="153">
        <v>4.979</v>
      </c>
      <c r="AU17" s="153">
        <v>0.172</v>
      </c>
      <c r="AV17" s="153">
        <v>381.0</v>
      </c>
      <c r="AW17" s="153">
        <v>0.0</v>
      </c>
      <c r="AX17" s="153">
        <v>117.61</v>
      </c>
      <c r="AY17" s="153">
        <v>11.06</v>
      </c>
      <c r="AZ17" s="153">
        <v>0.47</v>
      </c>
      <c r="BA17" s="153">
        <v>1.97</v>
      </c>
      <c r="BB17" s="153">
        <v>0.9</v>
      </c>
      <c r="BC17" s="153">
        <v>54.0</v>
      </c>
      <c r="BD17" s="153">
        <v>661.0</v>
      </c>
      <c r="BE17" s="153">
        <v>7.3281</v>
      </c>
      <c r="BF17" s="153">
        <v>0.2126</v>
      </c>
      <c r="BG17" s="153">
        <v>7.1155</v>
      </c>
      <c r="BH17" s="153">
        <v>3.2126</v>
      </c>
      <c r="BI17" s="153">
        <v>0.111</v>
      </c>
      <c r="BJ17" s="153">
        <v>1.3202</v>
      </c>
      <c r="BK17" s="153">
        <v>0.021</v>
      </c>
      <c r="BL17" s="153">
        <v>1.2992</v>
      </c>
      <c r="BM17" s="153">
        <v>1.7664</v>
      </c>
      <c r="BN17" s="153">
        <v>0.061</v>
      </c>
      <c r="BO17" s="153">
        <v>2.399</v>
      </c>
      <c r="BP17" s="153">
        <v>0.0787</v>
      </c>
      <c r="BQ17" s="153">
        <v>2.3202</v>
      </c>
      <c r="BR17" s="153">
        <v>1.2861</v>
      </c>
      <c r="BS17" s="153">
        <v>3.3727</v>
      </c>
      <c r="BT17" s="153">
        <v>0.0315</v>
      </c>
      <c r="BU17" s="153">
        <v>3.3412</v>
      </c>
      <c r="BV17" s="153">
        <v>1.0787</v>
      </c>
      <c r="BW17" s="153">
        <v>1.5564</v>
      </c>
      <c r="BX17" s="153">
        <v>0.1024</v>
      </c>
      <c r="BY17" s="153">
        <v>1.4541</v>
      </c>
      <c r="BZ17" s="153">
        <v>0.8478</v>
      </c>
      <c r="CA17" s="153">
        <v>0.063</v>
      </c>
      <c r="CB17" s="153">
        <v>0.0052</v>
      </c>
      <c r="CC17" s="153">
        <v>0.0577</v>
      </c>
      <c r="CD17" s="153">
        <v>0.5197</v>
      </c>
      <c r="CE17" s="153">
        <v>0.6299</v>
      </c>
      <c r="CF17" s="153">
        <v>0.0079</v>
      </c>
      <c r="CG17" s="153">
        <v>0.622</v>
      </c>
      <c r="CH17" s="153">
        <v>0.5249</v>
      </c>
      <c r="CI17" s="153">
        <v>0.6273</v>
      </c>
      <c r="CJ17" s="153">
        <v>0.0079</v>
      </c>
      <c r="CK17" s="153">
        <v>0.6194</v>
      </c>
      <c r="CL17" s="153">
        <v>0.7218</v>
      </c>
      <c r="CM17" s="153">
        <v>106.3</v>
      </c>
      <c r="CN17" s="153">
        <v>67.72</v>
      </c>
      <c r="CO17" s="153">
        <v>156.98</v>
      </c>
      <c r="CP17" s="153">
        <v>92.86</v>
      </c>
      <c r="CQ17" s="153">
        <v>0.0</v>
      </c>
      <c r="CR17" s="153">
        <v>8.08</v>
      </c>
      <c r="CS17" s="153">
        <v>5.35</v>
      </c>
      <c r="CT17" s="153">
        <v>0.0</v>
      </c>
      <c r="CU17" s="153">
        <v>0.0</v>
      </c>
      <c r="CV17" s="153">
        <v>0.0</v>
      </c>
      <c r="CW17" s="153">
        <v>132.02</v>
      </c>
      <c r="CX17" s="153">
        <v>0.0</v>
      </c>
      <c r="CY17" s="153">
        <v>0.0</v>
      </c>
      <c r="CZ17" s="153">
        <v>75.77</v>
      </c>
      <c r="DA17" s="153">
        <v>0.45</v>
      </c>
      <c r="DB17" s="153">
        <v>75.33</v>
      </c>
      <c r="DC17" s="153">
        <v>71.89</v>
      </c>
      <c r="DD17" s="153">
        <v>0.29</v>
      </c>
      <c r="DE17" s="153">
        <v>71.6</v>
      </c>
      <c r="DF17" s="153">
        <v>1.81</v>
      </c>
      <c r="DG17" s="153">
        <v>0.05</v>
      </c>
      <c r="DH17" s="153">
        <v>1.76</v>
      </c>
      <c r="DI17" s="153">
        <v>2.02</v>
      </c>
      <c r="DJ17" s="153">
        <v>0.05</v>
      </c>
      <c r="DK17" s="153">
        <v>1.97</v>
      </c>
      <c r="DL17" s="153">
        <v>0.05</v>
      </c>
      <c r="DM17" s="153">
        <v>0.05</v>
      </c>
      <c r="DN17" s="153">
        <v>0.0</v>
      </c>
    </row>
    <row r="18">
      <c r="A18" s="235">
        <v>46256.0</v>
      </c>
      <c r="B18" s="236" t="s">
        <v>4</v>
      </c>
      <c r="C18" s="236" t="s">
        <v>136</v>
      </c>
      <c r="D18" s="236">
        <v>260.0</v>
      </c>
      <c r="E18" s="236">
        <v>7.72</v>
      </c>
      <c r="F18" s="236">
        <v>27.38</v>
      </c>
      <c r="G18" s="236">
        <v>0.1053</v>
      </c>
      <c r="H18" s="236">
        <v>3.08</v>
      </c>
      <c r="I18" s="236">
        <v>3.4225</v>
      </c>
      <c r="J18" s="236">
        <v>88.81</v>
      </c>
      <c r="K18" s="236">
        <v>66.49</v>
      </c>
      <c r="L18" s="236">
        <v>57.95</v>
      </c>
      <c r="M18" s="236">
        <v>0.8715</v>
      </c>
      <c r="N18" s="236">
        <v>0.1683</v>
      </c>
      <c r="O18" s="236">
        <v>0.1158</v>
      </c>
      <c r="P18" s="236">
        <v>1.1474</v>
      </c>
      <c r="Q18" s="236">
        <v>360.58</v>
      </c>
      <c r="R18" s="236">
        <v>260.46</v>
      </c>
      <c r="S18" s="236">
        <v>100.12</v>
      </c>
      <c r="T18" s="236">
        <v>8.27</v>
      </c>
      <c r="U18" s="236">
        <v>352.31</v>
      </c>
      <c r="V18" s="236">
        <v>293.27</v>
      </c>
      <c r="W18" s="236">
        <v>4.4108</v>
      </c>
      <c r="X18" s="236">
        <v>2.29</v>
      </c>
      <c r="Y18" s="236">
        <v>415.0</v>
      </c>
      <c r="Z18" s="236">
        <v>536.0</v>
      </c>
      <c r="AA18" s="236">
        <v>654.0</v>
      </c>
      <c r="AB18" s="236">
        <v>50.7374</v>
      </c>
      <c r="AC18" s="236">
        <v>0.852</v>
      </c>
      <c r="AD18" s="236">
        <v>36.63</v>
      </c>
      <c r="AE18" s="236">
        <v>20.0</v>
      </c>
      <c r="AF18" s="236">
        <v>37.0</v>
      </c>
      <c r="AG18" s="236">
        <v>47.0</v>
      </c>
      <c r="AH18" s="236">
        <v>64.0</v>
      </c>
      <c r="AI18" s="236">
        <v>61.15</v>
      </c>
      <c r="AJ18" s="236">
        <v>11.54</v>
      </c>
      <c r="AK18" s="236">
        <v>0.38</v>
      </c>
      <c r="AL18" s="236">
        <v>0.2615</v>
      </c>
      <c r="AM18" s="237"/>
      <c r="AQ18" s="153">
        <v>21.8038</v>
      </c>
      <c r="AR18" s="153">
        <v>0.4808</v>
      </c>
      <c r="AS18" s="153">
        <v>21.3231</v>
      </c>
      <c r="AT18" s="153">
        <v>11.6154</v>
      </c>
      <c r="AU18" s="153">
        <v>0.1747</v>
      </c>
      <c r="AV18" s="153">
        <v>260.0</v>
      </c>
      <c r="AW18" s="153">
        <v>0.0</v>
      </c>
      <c r="AX18" s="153">
        <v>266.77</v>
      </c>
      <c r="AY18" s="153">
        <v>76.0</v>
      </c>
      <c r="AZ18" s="153">
        <v>1.23</v>
      </c>
      <c r="BA18" s="153">
        <v>8.27</v>
      </c>
      <c r="BB18" s="153">
        <v>8.31</v>
      </c>
      <c r="BC18" s="153">
        <v>98.0</v>
      </c>
      <c r="BD18" s="153">
        <v>997.0</v>
      </c>
      <c r="BE18" s="153">
        <v>14.6077</v>
      </c>
      <c r="BF18" s="153">
        <v>0.4038</v>
      </c>
      <c r="BG18" s="153">
        <v>14.2038</v>
      </c>
      <c r="BH18" s="153">
        <v>5.9808</v>
      </c>
      <c r="BI18" s="153">
        <v>0.09</v>
      </c>
      <c r="BJ18" s="153">
        <v>7.1962</v>
      </c>
      <c r="BK18" s="153">
        <v>0.0769</v>
      </c>
      <c r="BL18" s="153">
        <v>7.1192</v>
      </c>
      <c r="BM18" s="153">
        <v>5.6346</v>
      </c>
      <c r="BN18" s="153">
        <v>0.0847</v>
      </c>
      <c r="BO18" s="153">
        <v>5.65</v>
      </c>
      <c r="BP18" s="153">
        <v>0.0808</v>
      </c>
      <c r="BQ18" s="153">
        <v>5.5692</v>
      </c>
      <c r="BR18" s="153">
        <v>2.3308</v>
      </c>
      <c r="BS18" s="153">
        <v>6.0269</v>
      </c>
      <c r="BT18" s="153">
        <v>0.1615</v>
      </c>
      <c r="BU18" s="153">
        <v>5.8654</v>
      </c>
      <c r="BV18" s="153">
        <v>2.2115</v>
      </c>
      <c r="BW18" s="153">
        <v>2.9308</v>
      </c>
      <c r="BX18" s="153">
        <v>0.1615</v>
      </c>
      <c r="BY18" s="153">
        <v>2.7692</v>
      </c>
      <c r="BZ18" s="153">
        <v>1.4385</v>
      </c>
      <c r="CA18" s="153">
        <v>1.0</v>
      </c>
      <c r="CB18" s="153">
        <v>0.0192</v>
      </c>
      <c r="CC18" s="153">
        <v>0.9808</v>
      </c>
      <c r="CD18" s="153">
        <v>1.4231</v>
      </c>
      <c r="CE18" s="153">
        <v>3.0115</v>
      </c>
      <c r="CF18" s="153">
        <v>0.0231</v>
      </c>
      <c r="CG18" s="153">
        <v>2.9885</v>
      </c>
      <c r="CH18" s="153">
        <v>2.0231</v>
      </c>
      <c r="CI18" s="153">
        <v>3.1846</v>
      </c>
      <c r="CJ18" s="153">
        <v>0.0346</v>
      </c>
      <c r="CK18" s="153">
        <v>3.15</v>
      </c>
      <c r="CL18" s="153">
        <v>2.1885</v>
      </c>
      <c r="CM18" s="153">
        <v>499.37</v>
      </c>
      <c r="CN18" s="153">
        <v>97.31</v>
      </c>
      <c r="CO18" s="153">
        <v>513.18</v>
      </c>
      <c r="CP18" s="153">
        <v>452.27</v>
      </c>
      <c r="CQ18" s="153">
        <v>0.0</v>
      </c>
      <c r="CR18" s="153">
        <v>22.77</v>
      </c>
      <c r="CS18" s="153">
        <v>24.33</v>
      </c>
      <c r="CT18" s="153">
        <v>0.0</v>
      </c>
      <c r="CU18" s="153">
        <v>0.0</v>
      </c>
      <c r="CV18" s="153">
        <v>0.0</v>
      </c>
      <c r="CW18" s="153">
        <v>360.58</v>
      </c>
      <c r="CX18" s="153">
        <v>0.0</v>
      </c>
      <c r="CY18" s="153">
        <v>0.0</v>
      </c>
      <c r="CZ18" s="153">
        <v>263.5</v>
      </c>
      <c r="DA18" s="153">
        <v>0.35</v>
      </c>
      <c r="DB18" s="153">
        <v>263.15</v>
      </c>
      <c r="DC18" s="153">
        <v>249.65</v>
      </c>
      <c r="DD18" s="153">
        <v>0.35</v>
      </c>
      <c r="DE18" s="153">
        <v>249.31</v>
      </c>
      <c r="DF18" s="153">
        <v>7.5</v>
      </c>
      <c r="DG18" s="153">
        <v>0.0</v>
      </c>
      <c r="DH18" s="153">
        <v>7.5</v>
      </c>
      <c r="DI18" s="153">
        <v>6.35</v>
      </c>
      <c r="DJ18" s="153">
        <v>0.0</v>
      </c>
      <c r="DK18" s="153">
        <v>6.35</v>
      </c>
      <c r="DL18" s="153">
        <v>0.0</v>
      </c>
      <c r="DM18" s="153">
        <v>0.0</v>
      </c>
      <c r="DN18" s="153">
        <v>0.0</v>
      </c>
    </row>
    <row r="19">
      <c r="A19" s="235">
        <v>46256.0</v>
      </c>
      <c r="B19" s="236" t="s">
        <v>4</v>
      </c>
      <c r="C19" s="236" t="s">
        <v>137</v>
      </c>
      <c r="D19" s="236">
        <v>80.0</v>
      </c>
      <c r="E19" s="236">
        <v>2.38</v>
      </c>
      <c r="F19" s="236">
        <v>7.18</v>
      </c>
      <c r="G19" s="236">
        <v>0.0897</v>
      </c>
      <c r="H19" s="236">
        <v>3.75</v>
      </c>
      <c r="I19" s="236">
        <v>2.3933</v>
      </c>
      <c r="J19" s="236">
        <v>259.08</v>
      </c>
      <c r="K19" s="236">
        <v>185.09</v>
      </c>
      <c r="L19" s="236">
        <v>148.85</v>
      </c>
      <c r="M19" s="236">
        <v>0.8042</v>
      </c>
      <c r="N19" s="236">
        <v>0.2246</v>
      </c>
      <c r="O19" s="236">
        <v>0.1427</v>
      </c>
      <c r="P19" s="236">
        <v>1.2434</v>
      </c>
      <c r="Q19" s="236">
        <v>806.15</v>
      </c>
      <c r="R19" s="236">
        <v>576.9</v>
      </c>
      <c r="S19" s="236">
        <v>229.25</v>
      </c>
      <c r="T19" s="236">
        <v>17.5</v>
      </c>
      <c r="U19" s="236">
        <v>788.65</v>
      </c>
      <c r="V19" s="236">
        <v>976.88</v>
      </c>
      <c r="W19" s="236">
        <v>5.2779</v>
      </c>
      <c r="X19" s="236">
        <v>2.17</v>
      </c>
      <c r="Y19" s="236">
        <v>535.0</v>
      </c>
      <c r="Z19" s="236">
        <v>784.0</v>
      </c>
      <c r="AA19" s="236">
        <v>1176.0</v>
      </c>
      <c r="AB19" s="236">
        <v>54.9105</v>
      </c>
      <c r="AC19" s="236">
        <v>0.8667</v>
      </c>
      <c r="AD19" s="236">
        <v>58.11</v>
      </c>
      <c r="AE19" s="236">
        <v>30.0</v>
      </c>
      <c r="AF19" s="236">
        <v>45.0</v>
      </c>
      <c r="AG19" s="236">
        <v>71.0</v>
      </c>
      <c r="AH19" s="236">
        <v>116.0</v>
      </c>
      <c r="AI19" s="236">
        <v>20.0</v>
      </c>
      <c r="AJ19" s="236">
        <v>3.75</v>
      </c>
      <c r="AK19" s="236">
        <v>0.0</v>
      </c>
      <c r="AL19" s="236">
        <v>0.1875</v>
      </c>
      <c r="AM19" s="237"/>
      <c r="AQ19" s="153">
        <v>53.8375</v>
      </c>
      <c r="AR19" s="153">
        <v>5.6625</v>
      </c>
      <c r="AS19" s="153">
        <v>48.175</v>
      </c>
      <c r="AT19" s="153">
        <v>36.6</v>
      </c>
      <c r="AU19" s="153">
        <v>0.1977</v>
      </c>
      <c r="AV19" s="153">
        <v>80.0</v>
      </c>
      <c r="AW19" s="153">
        <v>0.0</v>
      </c>
      <c r="AX19" s="153">
        <v>567.19</v>
      </c>
      <c r="AY19" s="153">
        <v>186.06</v>
      </c>
      <c r="AZ19" s="153">
        <v>6.25</v>
      </c>
      <c r="BA19" s="153">
        <v>17.5</v>
      </c>
      <c r="BB19" s="153">
        <v>29.15</v>
      </c>
      <c r="BC19" s="153">
        <v>219.0</v>
      </c>
      <c r="BD19" s="153">
        <v>1866.0</v>
      </c>
      <c r="BE19" s="153">
        <v>34.3875</v>
      </c>
      <c r="BF19" s="153">
        <v>5.4</v>
      </c>
      <c r="BG19" s="153">
        <v>28.9875</v>
      </c>
      <c r="BH19" s="153">
        <v>20.35</v>
      </c>
      <c r="BI19" s="153">
        <v>0.1099</v>
      </c>
      <c r="BJ19" s="153">
        <v>19.45</v>
      </c>
      <c r="BK19" s="153">
        <v>0.2625</v>
      </c>
      <c r="BL19" s="153">
        <v>19.1875</v>
      </c>
      <c r="BM19" s="153">
        <v>16.25</v>
      </c>
      <c r="BN19" s="153">
        <v>0.0878</v>
      </c>
      <c r="BO19" s="153">
        <v>11.5</v>
      </c>
      <c r="BP19" s="153">
        <v>1.15</v>
      </c>
      <c r="BQ19" s="153">
        <v>10.35</v>
      </c>
      <c r="BR19" s="153">
        <v>7.2625</v>
      </c>
      <c r="BS19" s="153">
        <v>14.125</v>
      </c>
      <c r="BT19" s="153">
        <v>1.75</v>
      </c>
      <c r="BU19" s="153">
        <v>12.375</v>
      </c>
      <c r="BV19" s="153">
        <v>8.1375</v>
      </c>
      <c r="BW19" s="153">
        <v>8.7625</v>
      </c>
      <c r="BX19" s="153">
        <v>2.5</v>
      </c>
      <c r="BY19" s="153">
        <v>6.2625</v>
      </c>
      <c r="BZ19" s="153">
        <v>4.95</v>
      </c>
      <c r="CA19" s="153">
        <v>4.05</v>
      </c>
      <c r="CB19" s="153">
        <v>0.0625</v>
      </c>
      <c r="CC19" s="153">
        <v>3.9875</v>
      </c>
      <c r="CD19" s="153">
        <v>4.3</v>
      </c>
      <c r="CE19" s="153">
        <v>7.525</v>
      </c>
      <c r="CF19" s="153">
        <v>0.1</v>
      </c>
      <c r="CG19" s="153">
        <v>7.425</v>
      </c>
      <c r="CH19" s="153">
        <v>5.6875</v>
      </c>
      <c r="CI19" s="153">
        <v>7.875</v>
      </c>
      <c r="CJ19" s="153">
        <v>0.1</v>
      </c>
      <c r="CK19" s="153">
        <v>7.775</v>
      </c>
      <c r="CL19" s="153">
        <v>6.2625</v>
      </c>
      <c r="CM19" s="153">
        <v>1537.26</v>
      </c>
      <c r="CN19" s="153">
        <v>98.75</v>
      </c>
      <c r="CO19" s="153">
        <v>1556.72</v>
      </c>
      <c r="CP19" s="153">
        <v>1476.01</v>
      </c>
      <c r="CQ19" s="153">
        <v>0.0</v>
      </c>
      <c r="CR19" s="153">
        <v>21.5</v>
      </c>
      <c r="CS19" s="153">
        <v>39.75</v>
      </c>
      <c r="CT19" s="153">
        <v>0.0</v>
      </c>
      <c r="CU19" s="153">
        <v>0.0</v>
      </c>
      <c r="CV19" s="153">
        <v>0.0</v>
      </c>
      <c r="CW19" s="153">
        <v>806.15</v>
      </c>
      <c r="CX19" s="153">
        <v>0.0</v>
      </c>
      <c r="CY19" s="153">
        <v>0.0</v>
      </c>
      <c r="CZ19" s="153">
        <v>638.31</v>
      </c>
      <c r="DA19" s="153">
        <v>0.0</v>
      </c>
      <c r="DB19" s="153">
        <v>638.31</v>
      </c>
      <c r="DC19" s="153">
        <v>607.06</v>
      </c>
      <c r="DD19" s="153">
        <v>0.0</v>
      </c>
      <c r="DE19" s="153">
        <v>607.06</v>
      </c>
      <c r="DF19" s="153">
        <v>19.69</v>
      </c>
      <c r="DG19" s="153">
        <v>0.0</v>
      </c>
      <c r="DH19" s="153">
        <v>19.69</v>
      </c>
      <c r="DI19" s="153">
        <v>11.56</v>
      </c>
      <c r="DJ19" s="153">
        <v>0.0</v>
      </c>
      <c r="DK19" s="153">
        <v>11.56</v>
      </c>
      <c r="DL19" s="153">
        <v>0.0</v>
      </c>
      <c r="DM19" s="153">
        <v>0.0</v>
      </c>
      <c r="DN19" s="153">
        <v>0.0</v>
      </c>
    </row>
    <row r="20">
      <c r="A20" s="235">
        <v>46256.0</v>
      </c>
      <c r="B20" s="236" t="s">
        <v>5</v>
      </c>
      <c r="C20" s="236" t="s">
        <v>423</v>
      </c>
      <c r="D20" s="236">
        <v>973.0</v>
      </c>
      <c r="E20" s="236">
        <v>28.81</v>
      </c>
      <c r="F20" s="236">
        <v>0.0</v>
      </c>
      <c r="G20" s="236">
        <v>0.0</v>
      </c>
      <c r="H20" s="236">
        <v>0.0</v>
      </c>
      <c r="I20" s="236"/>
      <c r="J20" s="236">
        <v>1.65</v>
      </c>
      <c r="K20" s="236">
        <v>0.04</v>
      </c>
      <c r="L20" s="236">
        <v>0.0</v>
      </c>
      <c r="M20" s="236">
        <v>0.0</v>
      </c>
      <c r="N20" s="236">
        <v>1.0</v>
      </c>
      <c r="O20" s="236">
        <v>1.0</v>
      </c>
      <c r="P20" s="236"/>
      <c r="Q20" s="236">
        <v>0.49</v>
      </c>
      <c r="R20" s="236">
        <v>0.48</v>
      </c>
      <c r="S20" s="236">
        <v>0.01</v>
      </c>
      <c r="T20" s="236">
        <v>0.0</v>
      </c>
      <c r="U20" s="236">
        <v>0.49</v>
      </c>
      <c r="V20" s="236">
        <v>0.31</v>
      </c>
      <c r="W20" s="236">
        <v>8.1081</v>
      </c>
      <c r="X20" s="236">
        <v>0.0</v>
      </c>
      <c r="Y20" s="236">
        <v>200.0</v>
      </c>
      <c r="Z20" s="236">
        <v>200.0</v>
      </c>
      <c r="AA20" s="236">
        <v>200.0</v>
      </c>
      <c r="AB20" s="236">
        <v>50.0903</v>
      </c>
      <c r="AC20" s="236">
        <v>0.7174</v>
      </c>
      <c r="AD20" s="237"/>
      <c r="AE20" s="237"/>
      <c r="AF20" s="237"/>
      <c r="AG20" s="237"/>
      <c r="AH20" s="237"/>
      <c r="AI20" s="236">
        <v>0.0</v>
      </c>
      <c r="AJ20" s="236">
        <v>0.0</v>
      </c>
      <c r="AK20" s="236">
        <v>0.0</v>
      </c>
      <c r="AL20" s="236">
        <v>0.9013</v>
      </c>
      <c r="AM20" s="236">
        <v>0.0</v>
      </c>
      <c r="AN20" s="153">
        <v>0.0</v>
      </c>
      <c r="AO20" s="153">
        <v>0.0</v>
      </c>
      <c r="AP20" s="153">
        <v>0.0</v>
      </c>
      <c r="AQ20" s="153">
        <v>0.0319</v>
      </c>
      <c r="AR20" s="153">
        <v>0.0031</v>
      </c>
      <c r="AS20" s="153">
        <v>0.0288</v>
      </c>
      <c r="AT20" s="153">
        <v>0.0062</v>
      </c>
      <c r="AU20" s="153">
        <v>0.1622</v>
      </c>
      <c r="AV20" s="153">
        <v>973.0</v>
      </c>
      <c r="AW20" s="153">
        <v>0.0</v>
      </c>
      <c r="AX20" s="153">
        <v>0.44</v>
      </c>
      <c r="AY20" s="153">
        <v>0.05</v>
      </c>
      <c r="AZ20" s="153">
        <v>0.0</v>
      </c>
      <c r="BA20" s="153">
        <v>0.0</v>
      </c>
      <c r="BB20" s="153">
        <v>0.0</v>
      </c>
      <c r="BD20" s="153">
        <v>240.0</v>
      </c>
      <c r="BE20" s="153">
        <v>0.0247</v>
      </c>
      <c r="BF20" s="153">
        <v>0.0031</v>
      </c>
      <c r="BG20" s="153">
        <v>0.0216</v>
      </c>
      <c r="BH20" s="153">
        <v>0.0062</v>
      </c>
      <c r="BI20" s="153">
        <v>0.1622</v>
      </c>
      <c r="BJ20" s="153">
        <v>0.0072</v>
      </c>
      <c r="BK20" s="153">
        <v>0.0</v>
      </c>
      <c r="BL20" s="153">
        <v>0.0072</v>
      </c>
      <c r="BM20" s="153">
        <v>0.0</v>
      </c>
      <c r="BN20" s="153">
        <v>0.0</v>
      </c>
      <c r="BO20" s="153">
        <v>0.0031</v>
      </c>
      <c r="BP20" s="153">
        <v>0.0</v>
      </c>
      <c r="BQ20" s="153">
        <v>0.0031</v>
      </c>
      <c r="BR20" s="153">
        <v>0.0031</v>
      </c>
      <c r="BS20" s="153">
        <v>0.0092</v>
      </c>
      <c r="BT20" s="153">
        <v>0.0</v>
      </c>
      <c r="BU20" s="153">
        <v>0.0092</v>
      </c>
      <c r="BV20" s="153">
        <v>0.0021</v>
      </c>
      <c r="BW20" s="153">
        <v>0.0123</v>
      </c>
      <c r="BX20" s="153">
        <v>0.0031</v>
      </c>
      <c r="BY20" s="153">
        <v>0.0092</v>
      </c>
      <c r="BZ20" s="153">
        <v>0.001</v>
      </c>
      <c r="CA20" s="153">
        <v>0.001</v>
      </c>
      <c r="CB20" s="153">
        <v>0.0</v>
      </c>
      <c r="CC20" s="153">
        <v>0.001</v>
      </c>
      <c r="CD20" s="153">
        <v>0.0</v>
      </c>
      <c r="CE20" s="153">
        <v>0.0051</v>
      </c>
      <c r="CF20" s="153">
        <v>0.0</v>
      </c>
      <c r="CG20" s="153">
        <v>0.0051</v>
      </c>
      <c r="CH20" s="153">
        <v>0.0</v>
      </c>
      <c r="CI20" s="153">
        <v>0.001</v>
      </c>
      <c r="CJ20" s="153">
        <v>0.0</v>
      </c>
      <c r="CK20" s="153">
        <v>0.001</v>
      </c>
      <c r="CL20" s="153">
        <v>0.0</v>
      </c>
      <c r="CM20" s="153">
        <v>0.09</v>
      </c>
      <c r="CN20" s="153">
        <v>0.21</v>
      </c>
      <c r="CO20" s="153">
        <v>45.0</v>
      </c>
      <c r="CP20" s="153">
        <v>0.0</v>
      </c>
      <c r="CQ20" s="153">
        <v>0.0</v>
      </c>
      <c r="CR20" s="153">
        <v>0.04</v>
      </c>
      <c r="CS20" s="153">
        <v>0.05</v>
      </c>
      <c r="CT20" s="153">
        <v>0.0</v>
      </c>
      <c r="CU20" s="153">
        <v>1.0</v>
      </c>
      <c r="CV20" s="153">
        <v>0.0</v>
      </c>
      <c r="CW20" s="153">
        <v>0.49</v>
      </c>
      <c r="CX20" s="153">
        <v>0.0</v>
      </c>
      <c r="CY20" s="153">
        <v>0.0</v>
      </c>
      <c r="CZ20" s="153">
        <v>0.48</v>
      </c>
      <c r="DA20" s="153">
        <v>0.0</v>
      </c>
      <c r="DB20" s="153">
        <v>0.48</v>
      </c>
      <c r="DC20" s="153">
        <v>0.48</v>
      </c>
      <c r="DD20" s="153">
        <v>0.0</v>
      </c>
      <c r="DE20" s="153">
        <v>0.48</v>
      </c>
      <c r="DF20" s="153">
        <v>0.0</v>
      </c>
      <c r="DG20" s="153">
        <v>0.0</v>
      </c>
      <c r="DH20" s="153">
        <v>0.0</v>
      </c>
      <c r="DI20" s="153">
        <v>0.0</v>
      </c>
      <c r="DJ20" s="153">
        <v>0.0</v>
      </c>
      <c r="DK20" s="153">
        <v>0.0</v>
      </c>
      <c r="DL20" s="153">
        <v>0.0</v>
      </c>
      <c r="DM20" s="153">
        <v>0.0</v>
      </c>
      <c r="DN20" s="153">
        <v>0.0</v>
      </c>
    </row>
    <row r="21">
      <c r="A21" s="235">
        <v>46256.0</v>
      </c>
      <c r="B21" s="236" t="s">
        <v>5</v>
      </c>
      <c r="C21" s="236" t="s">
        <v>133</v>
      </c>
      <c r="D21" s="236">
        <v>1126.0</v>
      </c>
      <c r="E21" s="236">
        <v>33.34</v>
      </c>
      <c r="F21" s="236">
        <v>0.0</v>
      </c>
      <c r="G21" s="236">
        <v>0.0</v>
      </c>
      <c r="H21" s="236">
        <v>0.0</v>
      </c>
      <c r="I21" s="236"/>
      <c r="J21" s="236">
        <v>5.18</v>
      </c>
      <c r="K21" s="236">
        <v>4.25</v>
      </c>
      <c r="L21" s="236">
        <v>4.01</v>
      </c>
      <c r="M21" s="236">
        <v>0.9436</v>
      </c>
      <c r="N21" s="236">
        <v>0.0599</v>
      </c>
      <c r="O21" s="236">
        <v>0.0428</v>
      </c>
      <c r="P21" s="236">
        <v>1.0597</v>
      </c>
      <c r="Q21" s="236">
        <v>4.98</v>
      </c>
      <c r="R21" s="236">
        <v>4.49</v>
      </c>
      <c r="S21" s="236">
        <v>0.48</v>
      </c>
      <c r="T21" s="236">
        <v>0.0</v>
      </c>
      <c r="U21" s="236">
        <v>4.98</v>
      </c>
      <c r="V21" s="236">
        <v>5.42</v>
      </c>
      <c r="W21" s="236">
        <v>1.2738</v>
      </c>
      <c r="X21" s="236">
        <v>0.0</v>
      </c>
      <c r="Y21" s="236">
        <v>200.0</v>
      </c>
      <c r="Z21" s="236">
        <v>200.0</v>
      </c>
      <c r="AA21" s="236">
        <v>222.0</v>
      </c>
      <c r="AB21" s="236">
        <v>50.0</v>
      </c>
      <c r="AC21" s="236">
        <v>0.8494</v>
      </c>
      <c r="AD21" s="236">
        <v>3.88</v>
      </c>
      <c r="AE21" s="236">
        <v>2.0</v>
      </c>
      <c r="AF21" s="236">
        <v>3.0</v>
      </c>
      <c r="AG21" s="236">
        <v>5.0</v>
      </c>
      <c r="AH21" s="236">
        <v>8.0</v>
      </c>
      <c r="AI21" s="236">
        <v>79.31</v>
      </c>
      <c r="AJ21" s="236">
        <v>39.7</v>
      </c>
      <c r="AK21" s="236">
        <v>0.8</v>
      </c>
      <c r="AL21" s="236">
        <v>0.857</v>
      </c>
      <c r="AM21" s="236">
        <v>0.0</v>
      </c>
      <c r="AN21" s="153">
        <v>0.0</v>
      </c>
      <c r="AO21" s="153">
        <v>0.0</v>
      </c>
      <c r="AP21" s="153">
        <v>0.0</v>
      </c>
      <c r="AQ21" s="153">
        <v>0.3615</v>
      </c>
      <c r="AR21" s="153">
        <v>0.048</v>
      </c>
      <c r="AS21" s="153">
        <v>0.3135</v>
      </c>
      <c r="AT21" s="153">
        <v>0.5435</v>
      </c>
      <c r="AU21" s="153">
        <v>0.1278</v>
      </c>
      <c r="AV21" s="153">
        <v>1126.0</v>
      </c>
      <c r="AW21" s="153">
        <v>0.0</v>
      </c>
      <c r="AX21" s="153">
        <v>4.98</v>
      </c>
      <c r="AY21" s="153">
        <v>0.0</v>
      </c>
      <c r="AZ21" s="153">
        <v>0.0</v>
      </c>
      <c r="BA21" s="153">
        <v>0.0</v>
      </c>
      <c r="BB21" s="153">
        <v>0.0</v>
      </c>
      <c r="BC21" s="153">
        <v>9.0</v>
      </c>
      <c r="BD21" s="153">
        <v>265.0</v>
      </c>
      <c r="BE21" s="153">
        <v>0.3544</v>
      </c>
      <c r="BF21" s="153">
        <v>0.048</v>
      </c>
      <c r="BG21" s="153">
        <v>0.3064</v>
      </c>
      <c r="BH21" s="153">
        <v>0.5417</v>
      </c>
      <c r="BI21" s="153">
        <v>0.1274</v>
      </c>
      <c r="BJ21" s="153">
        <v>0.0071</v>
      </c>
      <c r="BK21" s="153">
        <v>0.0</v>
      </c>
      <c r="BL21" s="153">
        <v>0.0071</v>
      </c>
      <c r="BM21" s="153">
        <v>0.0018</v>
      </c>
      <c r="BN21" s="153">
        <v>4.0E-4</v>
      </c>
      <c r="BO21" s="153">
        <v>0.0266</v>
      </c>
      <c r="BP21" s="153">
        <v>0.024</v>
      </c>
      <c r="BQ21" s="153">
        <v>0.0027</v>
      </c>
      <c r="BR21" s="153">
        <v>0.254</v>
      </c>
      <c r="BS21" s="153">
        <v>0.2647</v>
      </c>
      <c r="BT21" s="153">
        <v>0.0107</v>
      </c>
      <c r="BU21" s="153">
        <v>0.254</v>
      </c>
      <c r="BV21" s="153">
        <v>0.1456</v>
      </c>
      <c r="BW21" s="153">
        <v>0.0631</v>
      </c>
      <c r="BX21" s="153">
        <v>0.0133</v>
      </c>
      <c r="BY21" s="153">
        <v>0.0497</v>
      </c>
      <c r="BZ21" s="153">
        <v>0.1421</v>
      </c>
      <c r="CA21" s="153">
        <v>0.0</v>
      </c>
      <c r="CB21" s="153">
        <v>0.0</v>
      </c>
      <c r="CC21" s="153">
        <v>0.0</v>
      </c>
      <c r="CD21" s="153">
        <v>0.0</v>
      </c>
      <c r="CE21" s="153">
        <v>0.0027</v>
      </c>
      <c r="CF21" s="153">
        <v>0.0</v>
      </c>
      <c r="CG21" s="153">
        <v>0.0027</v>
      </c>
      <c r="CH21" s="153">
        <v>9.0E-4</v>
      </c>
      <c r="CI21" s="153">
        <v>0.0044</v>
      </c>
      <c r="CJ21" s="153">
        <v>0.0</v>
      </c>
      <c r="CK21" s="153">
        <v>0.0044</v>
      </c>
      <c r="CL21" s="153">
        <v>9.0E-4</v>
      </c>
      <c r="CM21" s="153">
        <v>0.04</v>
      </c>
      <c r="CN21" s="153">
        <v>0.09</v>
      </c>
      <c r="CO21" s="153">
        <v>50.0</v>
      </c>
      <c r="CP21" s="153">
        <v>0.01</v>
      </c>
      <c r="CQ21" s="153">
        <v>0.0</v>
      </c>
      <c r="CR21" s="153">
        <v>0.04</v>
      </c>
      <c r="CS21" s="153">
        <v>0.0</v>
      </c>
      <c r="CT21" s="153">
        <v>0.0</v>
      </c>
      <c r="CU21" s="153">
        <v>10.0</v>
      </c>
      <c r="CV21" s="153">
        <v>0.0</v>
      </c>
      <c r="CW21" s="153">
        <v>4.98</v>
      </c>
      <c r="CX21" s="153">
        <v>0.0</v>
      </c>
      <c r="CY21" s="153">
        <v>0.0</v>
      </c>
      <c r="CZ21" s="153">
        <v>1.88</v>
      </c>
      <c r="DA21" s="153">
        <v>0.0</v>
      </c>
      <c r="DB21" s="153">
        <v>1.88</v>
      </c>
      <c r="DC21" s="153">
        <v>1.88</v>
      </c>
      <c r="DD21" s="153">
        <v>0.0</v>
      </c>
      <c r="DE21" s="153">
        <v>1.88</v>
      </c>
      <c r="DF21" s="153">
        <v>0.0</v>
      </c>
      <c r="DG21" s="153">
        <v>0.0</v>
      </c>
      <c r="DH21" s="153">
        <v>0.0</v>
      </c>
      <c r="DI21" s="153">
        <v>0.0</v>
      </c>
      <c r="DJ21" s="153">
        <v>0.0</v>
      </c>
      <c r="DK21" s="153">
        <v>0.0</v>
      </c>
      <c r="DL21" s="153">
        <v>0.0</v>
      </c>
      <c r="DM21" s="153">
        <v>0.0</v>
      </c>
      <c r="DN21" s="153">
        <v>0.0</v>
      </c>
    </row>
    <row r="22">
      <c r="A22" s="235">
        <v>46256.0</v>
      </c>
      <c r="B22" s="236" t="s">
        <v>5</v>
      </c>
      <c r="C22" s="236" t="s">
        <v>134</v>
      </c>
      <c r="D22" s="236">
        <v>542.0</v>
      </c>
      <c r="E22" s="236">
        <v>16.05</v>
      </c>
      <c r="F22" s="236">
        <v>0.0</v>
      </c>
      <c r="G22" s="236">
        <v>0.0</v>
      </c>
      <c r="H22" s="236">
        <v>0.0</v>
      </c>
      <c r="I22" s="236"/>
      <c r="J22" s="236">
        <v>16.26</v>
      </c>
      <c r="K22" s="236">
        <v>13.92</v>
      </c>
      <c r="L22" s="236">
        <v>12.84</v>
      </c>
      <c r="M22" s="236">
        <v>0.9222</v>
      </c>
      <c r="N22" s="236">
        <v>0.0892</v>
      </c>
      <c r="O22" s="236">
        <v>0.0639</v>
      </c>
      <c r="P22" s="236">
        <v>1.0843</v>
      </c>
      <c r="Q22" s="236">
        <v>37.75</v>
      </c>
      <c r="R22" s="236">
        <v>28.77</v>
      </c>
      <c r="S22" s="236">
        <v>8.98</v>
      </c>
      <c r="T22" s="236">
        <v>0.0</v>
      </c>
      <c r="U22" s="236">
        <v>37.75</v>
      </c>
      <c r="V22" s="236">
        <v>35.24</v>
      </c>
      <c r="W22" s="236">
        <v>2.5308</v>
      </c>
      <c r="X22" s="236">
        <v>0.0</v>
      </c>
      <c r="Y22" s="236">
        <v>234.0</v>
      </c>
      <c r="Z22" s="236">
        <v>251.0</v>
      </c>
      <c r="AA22" s="236">
        <v>295.0</v>
      </c>
      <c r="AB22" s="236">
        <v>49.9018</v>
      </c>
      <c r="AC22" s="236">
        <v>0.9165</v>
      </c>
      <c r="AD22" s="236">
        <v>11.43</v>
      </c>
      <c r="AE22" s="236">
        <v>9.0</v>
      </c>
      <c r="AF22" s="236">
        <v>11.0</v>
      </c>
      <c r="AG22" s="236">
        <v>14.0</v>
      </c>
      <c r="AH22" s="236">
        <v>17.0</v>
      </c>
      <c r="AI22" s="236">
        <v>89.67</v>
      </c>
      <c r="AJ22" s="236">
        <v>38.75</v>
      </c>
      <c r="AK22" s="236">
        <v>0.55</v>
      </c>
      <c r="AL22" s="236">
        <v>0.6808</v>
      </c>
      <c r="AM22" s="236">
        <v>0.37</v>
      </c>
      <c r="AN22" s="153">
        <v>0.37</v>
      </c>
      <c r="AO22" s="153">
        <v>0.37</v>
      </c>
      <c r="AP22" s="153">
        <v>0.0</v>
      </c>
      <c r="AQ22" s="153">
        <v>2.1347</v>
      </c>
      <c r="AR22" s="153">
        <v>0.2768</v>
      </c>
      <c r="AS22" s="153">
        <v>1.8579</v>
      </c>
      <c r="AT22" s="153">
        <v>3.0627</v>
      </c>
      <c r="AU22" s="153">
        <v>0.22</v>
      </c>
      <c r="AV22" s="153">
        <v>542.0</v>
      </c>
      <c r="AW22" s="153">
        <v>0.0</v>
      </c>
      <c r="AX22" s="153">
        <v>37.37</v>
      </c>
      <c r="AY22" s="153">
        <v>0.24</v>
      </c>
      <c r="AZ22" s="153">
        <v>0.1</v>
      </c>
      <c r="BA22" s="153">
        <v>0.0</v>
      </c>
      <c r="BB22" s="153">
        <v>0.04</v>
      </c>
      <c r="BC22" s="153">
        <v>24.0</v>
      </c>
      <c r="BD22" s="153">
        <v>341.0</v>
      </c>
      <c r="BE22" s="153">
        <v>2.0314</v>
      </c>
      <c r="BF22" s="153">
        <v>0.2657</v>
      </c>
      <c r="BG22" s="153">
        <v>1.7657</v>
      </c>
      <c r="BH22" s="153">
        <v>2.8395</v>
      </c>
      <c r="BI22" s="153">
        <v>0.2039</v>
      </c>
      <c r="BJ22" s="153">
        <v>0.1033</v>
      </c>
      <c r="BK22" s="153">
        <v>0.0111</v>
      </c>
      <c r="BL22" s="153">
        <v>0.0923</v>
      </c>
      <c r="BM22" s="153">
        <v>0.2232</v>
      </c>
      <c r="BN22" s="153">
        <v>0.016</v>
      </c>
      <c r="BO22" s="153">
        <v>0.4631</v>
      </c>
      <c r="BP22" s="153">
        <v>0.1605</v>
      </c>
      <c r="BQ22" s="153">
        <v>0.3026</v>
      </c>
      <c r="BR22" s="153">
        <v>1.1697</v>
      </c>
      <c r="BS22" s="153">
        <v>1.0129</v>
      </c>
      <c r="BT22" s="153">
        <v>0.0166</v>
      </c>
      <c r="BU22" s="153">
        <v>0.9963</v>
      </c>
      <c r="BV22" s="153">
        <v>0.8358</v>
      </c>
      <c r="BW22" s="153">
        <v>0.5554</v>
      </c>
      <c r="BX22" s="153">
        <v>0.0886</v>
      </c>
      <c r="BY22" s="153">
        <v>0.4668</v>
      </c>
      <c r="BZ22" s="153">
        <v>0.8339</v>
      </c>
      <c r="CA22" s="153">
        <v>0.0018</v>
      </c>
      <c r="CB22" s="153">
        <v>0.0</v>
      </c>
      <c r="CC22" s="153">
        <v>0.0018</v>
      </c>
      <c r="CD22" s="153">
        <v>0.0627</v>
      </c>
      <c r="CE22" s="153">
        <v>0.0683</v>
      </c>
      <c r="CF22" s="153">
        <v>0.0</v>
      </c>
      <c r="CG22" s="153">
        <v>0.0683</v>
      </c>
      <c r="CH22" s="153">
        <v>0.0554</v>
      </c>
      <c r="CI22" s="153">
        <v>0.0332</v>
      </c>
      <c r="CJ22" s="153">
        <v>0.0111</v>
      </c>
      <c r="CK22" s="153">
        <v>0.0221</v>
      </c>
      <c r="CL22" s="153">
        <v>0.1052</v>
      </c>
      <c r="CM22" s="153">
        <v>8.73</v>
      </c>
      <c r="CN22" s="153">
        <v>15.31</v>
      </c>
      <c r="CO22" s="153">
        <v>56.98</v>
      </c>
      <c r="CP22" s="153">
        <v>7.85</v>
      </c>
      <c r="CQ22" s="153">
        <v>0.0</v>
      </c>
      <c r="CR22" s="153">
        <v>0.52</v>
      </c>
      <c r="CS22" s="153">
        <v>0.36</v>
      </c>
      <c r="CT22" s="153">
        <v>0.0</v>
      </c>
      <c r="CU22" s="153">
        <v>16.0</v>
      </c>
      <c r="CV22" s="153">
        <v>0.0</v>
      </c>
      <c r="CW22" s="153">
        <v>37.75</v>
      </c>
      <c r="CX22" s="153">
        <v>0.0</v>
      </c>
      <c r="CY22" s="153">
        <v>0.0</v>
      </c>
      <c r="CZ22" s="153">
        <v>23.19</v>
      </c>
      <c r="DA22" s="153">
        <v>0.0</v>
      </c>
      <c r="DB22" s="153">
        <v>23.19</v>
      </c>
      <c r="DC22" s="153">
        <v>22.86</v>
      </c>
      <c r="DD22" s="153">
        <v>0.0</v>
      </c>
      <c r="DE22" s="153">
        <v>22.86</v>
      </c>
      <c r="DF22" s="153">
        <v>0.28</v>
      </c>
      <c r="DG22" s="153">
        <v>0.0</v>
      </c>
      <c r="DH22" s="153">
        <v>0.28</v>
      </c>
      <c r="DI22" s="153">
        <v>0.06</v>
      </c>
      <c r="DJ22" s="153">
        <v>0.0</v>
      </c>
      <c r="DK22" s="153">
        <v>0.06</v>
      </c>
      <c r="DL22" s="153">
        <v>0.0</v>
      </c>
      <c r="DM22" s="153">
        <v>0.0</v>
      </c>
      <c r="DN22" s="153">
        <v>0.0</v>
      </c>
    </row>
    <row r="23">
      <c r="A23" s="235">
        <v>46256.0</v>
      </c>
      <c r="B23" s="236" t="s">
        <v>5</v>
      </c>
      <c r="C23" s="236" t="s">
        <v>135</v>
      </c>
      <c r="D23" s="236">
        <v>395.0</v>
      </c>
      <c r="E23" s="236">
        <v>11.7</v>
      </c>
      <c r="F23" s="236">
        <v>3.03</v>
      </c>
      <c r="G23" s="236">
        <v>0.0077</v>
      </c>
      <c r="H23" s="236">
        <v>0.25</v>
      </c>
      <c r="I23" s="236">
        <v>3.03</v>
      </c>
      <c r="J23" s="236">
        <v>34.68</v>
      </c>
      <c r="K23" s="236">
        <v>28.34</v>
      </c>
      <c r="L23" s="236">
        <v>25.45</v>
      </c>
      <c r="M23" s="236">
        <v>0.898</v>
      </c>
      <c r="N23" s="236">
        <v>0.1276</v>
      </c>
      <c r="O23" s="236">
        <v>0.0873</v>
      </c>
      <c r="P23" s="236">
        <v>1.1136</v>
      </c>
      <c r="Q23" s="236">
        <v>94.36</v>
      </c>
      <c r="R23" s="236">
        <v>79.76</v>
      </c>
      <c r="S23" s="236">
        <v>14.59</v>
      </c>
      <c r="T23" s="236">
        <v>0.0</v>
      </c>
      <c r="U23" s="236">
        <v>94.36</v>
      </c>
      <c r="V23" s="236">
        <v>96.08</v>
      </c>
      <c r="W23" s="236">
        <v>3.3896</v>
      </c>
      <c r="X23" s="236">
        <v>0.0</v>
      </c>
      <c r="Y23" s="236">
        <v>271.0</v>
      </c>
      <c r="Z23" s="236">
        <v>330.0</v>
      </c>
      <c r="AA23" s="236">
        <v>382.0</v>
      </c>
      <c r="AB23" s="236">
        <v>50.1346</v>
      </c>
      <c r="AC23" s="236">
        <v>0.9185</v>
      </c>
      <c r="AD23" s="236">
        <v>20.59</v>
      </c>
      <c r="AE23" s="236">
        <v>12.0</v>
      </c>
      <c r="AF23" s="236">
        <v>20.0</v>
      </c>
      <c r="AG23" s="236">
        <v>28.0</v>
      </c>
      <c r="AH23" s="236">
        <v>34.0</v>
      </c>
      <c r="AI23" s="236">
        <v>81.52</v>
      </c>
      <c r="AJ23" s="236">
        <v>33.16</v>
      </c>
      <c r="AK23" s="236">
        <v>1.27</v>
      </c>
      <c r="AL23" s="236">
        <v>0.5342</v>
      </c>
      <c r="AM23" s="236">
        <v>0.0</v>
      </c>
      <c r="AN23" s="153">
        <v>0.0</v>
      </c>
      <c r="AO23" s="153">
        <v>0.0</v>
      </c>
      <c r="AP23" s="153">
        <v>0.0</v>
      </c>
      <c r="AQ23" s="153">
        <v>6.2456</v>
      </c>
      <c r="AR23" s="153">
        <v>0.281</v>
      </c>
      <c r="AS23" s="153">
        <v>5.9646</v>
      </c>
      <c r="AT23" s="153">
        <v>4.0456</v>
      </c>
      <c r="AU23" s="153">
        <v>0.1427</v>
      </c>
      <c r="AV23" s="153">
        <v>395.0</v>
      </c>
      <c r="AW23" s="153">
        <v>0.0</v>
      </c>
      <c r="AX23" s="153">
        <v>84.11</v>
      </c>
      <c r="AY23" s="153">
        <v>8.43</v>
      </c>
      <c r="AZ23" s="153">
        <v>0.47</v>
      </c>
      <c r="BA23" s="153">
        <v>0.0</v>
      </c>
      <c r="BB23" s="153">
        <v>1.34</v>
      </c>
      <c r="BC23" s="153">
        <v>45.0</v>
      </c>
      <c r="BD23" s="153">
        <v>560.0</v>
      </c>
      <c r="BE23" s="153">
        <v>5.2253</v>
      </c>
      <c r="BF23" s="153">
        <v>0.281</v>
      </c>
      <c r="BG23" s="153">
        <v>4.9443</v>
      </c>
      <c r="BH23" s="153">
        <v>2.5468</v>
      </c>
      <c r="BI23" s="153">
        <v>0.0899</v>
      </c>
      <c r="BJ23" s="153">
        <v>1.0203</v>
      </c>
      <c r="BK23" s="153">
        <v>0.0</v>
      </c>
      <c r="BL23" s="153">
        <v>1.0203</v>
      </c>
      <c r="BM23" s="153">
        <v>1.4987</v>
      </c>
      <c r="BN23" s="153">
        <v>0.0529</v>
      </c>
      <c r="BO23" s="153">
        <v>1.5772</v>
      </c>
      <c r="BP23" s="153">
        <v>0.1367</v>
      </c>
      <c r="BQ23" s="153">
        <v>1.4405</v>
      </c>
      <c r="BR23" s="153">
        <v>1.0633</v>
      </c>
      <c r="BS23" s="153">
        <v>2.2886</v>
      </c>
      <c r="BT23" s="153">
        <v>0.0835</v>
      </c>
      <c r="BU23" s="153">
        <v>2.2051</v>
      </c>
      <c r="BV23" s="153">
        <v>0.8025</v>
      </c>
      <c r="BW23" s="153">
        <v>1.3595</v>
      </c>
      <c r="BX23" s="153">
        <v>0.0608</v>
      </c>
      <c r="BY23" s="153">
        <v>1.2987</v>
      </c>
      <c r="BZ23" s="153">
        <v>0.681</v>
      </c>
      <c r="CA23" s="153">
        <v>0.0709</v>
      </c>
      <c r="CB23" s="153">
        <v>0.0</v>
      </c>
      <c r="CC23" s="153">
        <v>0.0709</v>
      </c>
      <c r="CD23" s="153">
        <v>0.4304</v>
      </c>
      <c r="CE23" s="153">
        <v>0.4886</v>
      </c>
      <c r="CF23" s="153">
        <v>0.0</v>
      </c>
      <c r="CG23" s="153">
        <v>0.4886</v>
      </c>
      <c r="CH23" s="153">
        <v>0.4253</v>
      </c>
      <c r="CI23" s="153">
        <v>0.4608</v>
      </c>
      <c r="CJ23" s="153">
        <v>0.0</v>
      </c>
      <c r="CK23" s="153">
        <v>0.4608</v>
      </c>
      <c r="CL23" s="153">
        <v>0.643</v>
      </c>
      <c r="CM23" s="153">
        <v>79.81</v>
      </c>
      <c r="CN23" s="153">
        <v>64.05</v>
      </c>
      <c r="CO23" s="153">
        <v>124.6</v>
      </c>
      <c r="CP23" s="153">
        <v>67.93</v>
      </c>
      <c r="CQ23" s="153">
        <v>0.0</v>
      </c>
      <c r="CR23" s="153">
        <v>5.47</v>
      </c>
      <c r="CS23" s="153">
        <v>6.41</v>
      </c>
      <c r="CT23" s="153">
        <v>0.0</v>
      </c>
      <c r="CU23" s="153">
        <v>47.0</v>
      </c>
      <c r="CV23" s="153">
        <v>0.0</v>
      </c>
      <c r="CW23" s="153">
        <v>94.36</v>
      </c>
      <c r="CX23" s="153">
        <v>0.0</v>
      </c>
      <c r="CY23" s="153">
        <v>0.0</v>
      </c>
      <c r="CZ23" s="153">
        <v>83.11</v>
      </c>
      <c r="DA23" s="153">
        <v>0.0</v>
      </c>
      <c r="DB23" s="153">
        <v>83.11</v>
      </c>
      <c r="DC23" s="153">
        <v>77.72</v>
      </c>
      <c r="DD23" s="153">
        <v>0.0</v>
      </c>
      <c r="DE23" s="153">
        <v>77.72</v>
      </c>
      <c r="DF23" s="153">
        <v>2.76</v>
      </c>
      <c r="DG23" s="153">
        <v>0.0</v>
      </c>
      <c r="DH23" s="153">
        <v>2.76</v>
      </c>
      <c r="DI23" s="153">
        <v>2.58</v>
      </c>
      <c r="DJ23" s="153">
        <v>0.0</v>
      </c>
      <c r="DK23" s="153">
        <v>2.58</v>
      </c>
      <c r="DL23" s="153">
        <v>0.05</v>
      </c>
      <c r="DM23" s="153">
        <v>0.0</v>
      </c>
      <c r="DN23" s="153">
        <v>0.05</v>
      </c>
    </row>
    <row r="24">
      <c r="A24" s="235">
        <v>46256.0</v>
      </c>
      <c r="B24" s="236" t="s">
        <v>5</v>
      </c>
      <c r="C24" s="236" t="s">
        <v>136</v>
      </c>
      <c r="D24" s="236">
        <v>269.0</v>
      </c>
      <c r="E24" s="236">
        <v>7.97</v>
      </c>
      <c r="F24" s="236">
        <v>6.24</v>
      </c>
      <c r="G24" s="236">
        <v>0.0232</v>
      </c>
      <c r="H24" s="236">
        <v>1.12</v>
      </c>
      <c r="I24" s="236">
        <v>2.08</v>
      </c>
      <c r="J24" s="236">
        <v>83.58</v>
      </c>
      <c r="K24" s="236">
        <v>61.87</v>
      </c>
      <c r="L24" s="236">
        <v>53.67</v>
      </c>
      <c r="M24" s="236">
        <v>0.8675</v>
      </c>
      <c r="N24" s="236">
        <v>0.1699</v>
      </c>
      <c r="O24" s="236">
        <v>0.1181</v>
      </c>
      <c r="P24" s="236">
        <v>1.1527</v>
      </c>
      <c r="Q24" s="236">
        <v>245.63</v>
      </c>
      <c r="R24" s="236">
        <v>211.91</v>
      </c>
      <c r="S24" s="236">
        <v>33.72</v>
      </c>
      <c r="T24" s="236">
        <v>3.72</v>
      </c>
      <c r="U24" s="236">
        <v>241.91</v>
      </c>
      <c r="V24" s="236">
        <v>234.01</v>
      </c>
      <c r="W24" s="236">
        <v>3.7826</v>
      </c>
      <c r="X24" s="236">
        <v>1.51</v>
      </c>
      <c r="Y24" s="236">
        <v>339.0</v>
      </c>
      <c r="Z24" s="236">
        <v>431.0</v>
      </c>
      <c r="AA24" s="236">
        <v>543.0</v>
      </c>
      <c r="AB24" s="236">
        <v>50.9405</v>
      </c>
      <c r="AC24" s="236">
        <v>0.8587</v>
      </c>
      <c r="AD24" s="236">
        <v>33.17</v>
      </c>
      <c r="AE24" s="236">
        <v>17.0</v>
      </c>
      <c r="AF24" s="236">
        <v>31.0</v>
      </c>
      <c r="AG24" s="236">
        <v>45.0</v>
      </c>
      <c r="AH24" s="236">
        <v>59.0</v>
      </c>
      <c r="AI24" s="236">
        <v>56.13</v>
      </c>
      <c r="AJ24" s="236">
        <v>10.04</v>
      </c>
      <c r="AK24" s="236">
        <v>0.0</v>
      </c>
      <c r="AL24" s="236">
        <v>0.3532</v>
      </c>
      <c r="AM24" s="236">
        <v>36.43</v>
      </c>
      <c r="AN24" s="153">
        <v>36.43</v>
      </c>
      <c r="AO24" s="153">
        <v>29.74</v>
      </c>
      <c r="AP24" s="153">
        <v>21.93</v>
      </c>
      <c r="AQ24" s="153">
        <v>14.7063</v>
      </c>
      <c r="AR24" s="153">
        <v>0.1673</v>
      </c>
      <c r="AS24" s="153">
        <v>14.539</v>
      </c>
      <c r="AT24" s="153">
        <v>8.7249</v>
      </c>
      <c r="AU24" s="153">
        <v>0.141</v>
      </c>
      <c r="AV24" s="153">
        <v>269.0</v>
      </c>
      <c r="AW24" s="153">
        <v>0.0</v>
      </c>
      <c r="AX24" s="153">
        <v>183.31</v>
      </c>
      <c r="AY24" s="153">
        <v>52.32</v>
      </c>
      <c r="AZ24" s="153">
        <v>1.65</v>
      </c>
      <c r="BA24" s="153">
        <v>3.72</v>
      </c>
      <c r="BB24" s="153">
        <v>4.62</v>
      </c>
      <c r="BC24" s="153">
        <v>87.0</v>
      </c>
      <c r="BD24" s="153">
        <v>875.0</v>
      </c>
      <c r="BE24" s="153">
        <v>10.052</v>
      </c>
      <c r="BF24" s="153">
        <v>0.0781</v>
      </c>
      <c r="BG24" s="153">
        <v>9.974</v>
      </c>
      <c r="BH24" s="153">
        <v>4.0186</v>
      </c>
      <c r="BI24" s="153">
        <v>0.065</v>
      </c>
      <c r="BJ24" s="153">
        <v>4.6543</v>
      </c>
      <c r="BK24" s="153">
        <v>0.0892</v>
      </c>
      <c r="BL24" s="153">
        <v>4.5651</v>
      </c>
      <c r="BM24" s="153">
        <v>4.7063</v>
      </c>
      <c r="BN24" s="153">
        <v>0.0761</v>
      </c>
      <c r="BO24" s="153">
        <v>3.0112</v>
      </c>
      <c r="BP24" s="153">
        <v>0.0223</v>
      </c>
      <c r="BQ24" s="153">
        <v>2.9888</v>
      </c>
      <c r="BR24" s="153">
        <v>1.4089</v>
      </c>
      <c r="BS24" s="153">
        <v>4.6208</v>
      </c>
      <c r="BT24" s="153">
        <v>0.0223</v>
      </c>
      <c r="BU24" s="153">
        <v>4.5985</v>
      </c>
      <c r="BV24" s="153">
        <v>1.4907</v>
      </c>
      <c r="BW24" s="153">
        <v>2.4201</v>
      </c>
      <c r="BX24" s="153">
        <v>0.0335</v>
      </c>
      <c r="BY24" s="153">
        <v>2.3866</v>
      </c>
      <c r="BZ24" s="153">
        <v>1.119</v>
      </c>
      <c r="CA24" s="153">
        <v>0.71</v>
      </c>
      <c r="CB24" s="153">
        <v>0.0112</v>
      </c>
      <c r="CC24" s="153">
        <v>0.6989</v>
      </c>
      <c r="CD24" s="153">
        <v>1.2156</v>
      </c>
      <c r="CE24" s="153">
        <v>1.9257</v>
      </c>
      <c r="CF24" s="153">
        <v>0.0335</v>
      </c>
      <c r="CG24" s="153">
        <v>1.8922</v>
      </c>
      <c r="CH24" s="153">
        <v>1.6059</v>
      </c>
      <c r="CI24" s="153">
        <v>2.0186</v>
      </c>
      <c r="CJ24" s="153">
        <v>0.0446</v>
      </c>
      <c r="CK24" s="153">
        <v>1.974</v>
      </c>
      <c r="CL24" s="153">
        <v>1.8848</v>
      </c>
      <c r="CM24" s="153">
        <v>388.31</v>
      </c>
      <c r="CN24" s="153">
        <v>98.14</v>
      </c>
      <c r="CO24" s="153">
        <v>395.67</v>
      </c>
      <c r="CP24" s="153">
        <v>340.13</v>
      </c>
      <c r="CQ24" s="153">
        <v>0.0</v>
      </c>
      <c r="CR24" s="153">
        <v>18.59</v>
      </c>
      <c r="CS24" s="153">
        <v>29.59</v>
      </c>
      <c r="CT24" s="153">
        <v>0.0</v>
      </c>
      <c r="CU24" s="153">
        <v>71.0</v>
      </c>
      <c r="CV24" s="153">
        <v>0.0</v>
      </c>
      <c r="CW24" s="153">
        <v>245.63</v>
      </c>
      <c r="CX24" s="153">
        <v>0.0</v>
      </c>
      <c r="CY24" s="153">
        <v>0.0</v>
      </c>
      <c r="CZ24" s="153">
        <v>279.2</v>
      </c>
      <c r="DA24" s="153">
        <v>0.0</v>
      </c>
      <c r="DB24" s="153">
        <v>279.2</v>
      </c>
      <c r="DC24" s="153">
        <v>256.12</v>
      </c>
      <c r="DD24" s="153">
        <v>0.0</v>
      </c>
      <c r="DE24" s="153">
        <v>256.12</v>
      </c>
      <c r="DF24" s="153">
        <v>11.58</v>
      </c>
      <c r="DG24" s="153">
        <v>0.0</v>
      </c>
      <c r="DH24" s="153">
        <v>11.58</v>
      </c>
      <c r="DI24" s="153">
        <v>9.94</v>
      </c>
      <c r="DJ24" s="153">
        <v>0.0</v>
      </c>
      <c r="DK24" s="153">
        <v>9.94</v>
      </c>
      <c r="DL24" s="153">
        <v>1.56</v>
      </c>
      <c r="DM24" s="153">
        <v>0.0</v>
      </c>
      <c r="DN24" s="153">
        <v>1.56</v>
      </c>
    </row>
    <row r="25">
      <c r="A25" s="235">
        <v>46256.0</v>
      </c>
      <c r="B25" s="236" t="s">
        <v>5</v>
      </c>
      <c r="C25" s="236" t="s">
        <v>137</v>
      </c>
      <c r="D25" s="236">
        <v>72.0</v>
      </c>
      <c r="E25" s="236">
        <v>2.13</v>
      </c>
      <c r="F25" s="236">
        <v>32.96</v>
      </c>
      <c r="G25" s="236">
        <v>0.4578</v>
      </c>
      <c r="H25" s="236">
        <v>1.39</v>
      </c>
      <c r="I25" s="236">
        <v>32.96</v>
      </c>
      <c r="J25" s="236">
        <v>232.12</v>
      </c>
      <c r="K25" s="236">
        <v>177.25</v>
      </c>
      <c r="L25" s="236">
        <v>142.47</v>
      </c>
      <c r="M25" s="236">
        <v>0.8038</v>
      </c>
      <c r="N25" s="236">
        <v>0.2309</v>
      </c>
      <c r="O25" s="236">
        <v>0.1409</v>
      </c>
      <c r="P25" s="236">
        <v>1.2441</v>
      </c>
      <c r="Q25" s="236">
        <v>624.97</v>
      </c>
      <c r="R25" s="236">
        <v>518.1</v>
      </c>
      <c r="S25" s="236">
        <v>106.88</v>
      </c>
      <c r="T25" s="236">
        <v>33.33</v>
      </c>
      <c r="U25" s="236">
        <v>591.64</v>
      </c>
      <c r="V25" s="236">
        <v>600.69</v>
      </c>
      <c r="W25" s="236">
        <v>3.389</v>
      </c>
      <c r="X25" s="236">
        <v>5.33</v>
      </c>
      <c r="Y25" s="236">
        <v>445.0</v>
      </c>
      <c r="Z25" s="236">
        <v>616.0</v>
      </c>
      <c r="AA25" s="236">
        <v>830.0</v>
      </c>
      <c r="AB25" s="236">
        <v>54.4006</v>
      </c>
      <c r="AC25" s="236">
        <v>0.8406</v>
      </c>
      <c r="AD25" s="236">
        <v>56.63</v>
      </c>
      <c r="AE25" s="236">
        <v>25.0</v>
      </c>
      <c r="AF25" s="236">
        <v>46.0</v>
      </c>
      <c r="AG25" s="236">
        <v>76.0</v>
      </c>
      <c r="AH25" s="236">
        <v>102.0</v>
      </c>
      <c r="AI25" s="236">
        <v>23.61</v>
      </c>
      <c r="AJ25" s="236">
        <v>1.39</v>
      </c>
      <c r="AK25" s="236">
        <v>0.0</v>
      </c>
      <c r="AL25" s="236">
        <v>0.125</v>
      </c>
      <c r="AM25" s="236">
        <v>100.0</v>
      </c>
      <c r="AN25" s="153">
        <v>100.0</v>
      </c>
      <c r="AO25" s="153">
        <v>100.0</v>
      </c>
      <c r="AP25" s="153">
        <v>98.61</v>
      </c>
      <c r="AQ25" s="153">
        <v>31.4444</v>
      </c>
      <c r="AR25" s="153">
        <v>0.375</v>
      </c>
      <c r="AS25" s="153">
        <v>31.0694</v>
      </c>
      <c r="AT25" s="153">
        <v>23.4444</v>
      </c>
      <c r="AU25" s="153">
        <v>0.1323</v>
      </c>
      <c r="AV25" s="153">
        <v>72.0</v>
      </c>
      <c r="AW25" s="153">
        <v>0.0</v>
      </c>
      <c r="AX25" s="153">
        <v>407.92</v>
      </c>
      <c r="AY25" s="153">
        <v>163.06</v>
      </c>
      <c r="AZ25" s="153">
        <v>3.68</v>
      </c>
      <c r="BA25" s="153">
        <v>33.33</v>
      </c>
      <c r="BB25" s="153">
        <v>16.99</v>
      </c>
      <c r="BC25" s="153">
        <v>229.0</v>
      </c>
      <c r="BD25" s="153">
        <v>1350.0</v>
      </c>
      <c r="BE25" s="153">
        <v>19.3472</v>
      </c>
      <c r="BF25" s="153">
        <v>0.125</v>
      </c>
      <c r="BG25" s="153">
        <v>19.2222</v>
      </c>
      <c r="BH25" s="153">
        <v>11.75</v>
      </c>
      <c r="BI25" s="153">
        <v>0.0663</v>
      </c>
      <c r="BJ25" s="153">
        <v>12.0972</v>
      </c>
      <c r="BK25" s="153">
        <v>0.25</v>
      </c>
      <c r="BL25" s="153">
        <v>11.8472</v>
      </c>
      <c r="BM25" s="153">
        <v>11.6944</v>
      </c>
      <c r="BN25" s="153">
        <v>0.066</v>
      </c>
      <c r="BO25" s="153">
        <v>6.3333</v>
      </c>
      <c r="BP25" s="153">
        <v>0.0417</v>
      </c>
      <c r="BQ25" s="153">
        <v>6.2917</v>
      </c>
      <c r="BR25" s="153">
        <v>3.7361</v>
      </c>
      <c r="BS25" s="153">
        <v>8.0694</v>
      </c>
      <c r="BT25" s="153">
        <v>0.0417</v>
      </c>
      <c r="BU25" s="153">
        <v>8.0278</v>
      </c>
      <c r="BV25" s="153">
        <v>4.7222</v>
      </c>
      <c r="BW25" s="153">
        <v>4.9444</v>
      </c>
      <c r="BX25" s="153">
        <v>0.0417</v>
      </c>
      <c r="BY25" s="153">
        <v>4.9028</v>
      </c>
      <c r="BZ25" s="153">
        <v>3.2917</v>
      </c>
      <c r="CA25" s="153">
        <v>2.1806</v>
      </c>
      <c r="CB25" s="153">
        <v>0.0833</v>
      </c>
      <c r="CC25" s="153">
        <v>2.0972</v>
      </c>
      <c r="CD25" s="153">
        <v>2.875</v>
      </c>
      <c r="CE25" s="153">
        <v>4.6528</v>
      </c>
      <c r="CF25" s="153">
        <v>0.0833</v>
      </c>
      <c r="CG25" s="153">
        <v>4.5694</v>
      </c>
      <c r="CH25" s="153">
        <v>4.125</v>
      </c>
      <c r="CI25" s="153">
        <v>5.2639</v>
      </c>
      <c r="CJ25" s="153">
        <v>0.0833</v>
      </c>
      <c r="CK25" s="153">
        <v>5.1806</v>
      </c>
      <c r="CL25" s="153">
        <v>4.6944</v>
      </c>
      <c r="CM25" s="153">
        <v>1250.35</v>
      </c>
      <c r="CN25" s="153">
        <v>100.0</v>
      </c>
      <c r="CO25" s="153">
        <v>1250.35</v>
      </c>
      <c r="CP25" s="153">
        <v>1184.24</v>
      </c>
      <c r="CQ25" s="153">
        <v>0.0</v>
      </c>
      <c r="CR25" s="153">
        <v>20.0</v>
      </c>
      <c r="CS25" s="153">
        <v>46.11</v>
      </c>
      <c r="CT25" s="153">
        <v>0.0</v>
      </c>
      <c r="CU25" s="153">
        <v>29.0</v>
      </c>
      <c r="CV25" s="153">
        <v>0.0</v>
      </c>
      <c r="CW25" s="153">
        <v>624.97</v>
      </c>
      <c r="CX25" s="153">
        <v>0.0</v>
      </c>
      <c r="CY25" s="153">
        <v>0.0</v>
      </c>
      <c r="CZ25" s="153">
        <v>761.46</v>
      </c>
      <c r="DA25" s="153">
        <v>0.0</v>
      </c>
      <c r="DB25" s="153">
        <v>761.46</v>
      </c>
      <c r="DC25" s="153">
        <v>709.24</v>
      </c>
      <c r="DD25" s="153">
        <v>0.0</v>
      </c>
      <c r="DE25" s="153">
        <v>709.24</v>
      </c>
      <c r="DF25" s="153">
        <v>23.06</v>
      </c>
      <c r="DG25" s="153">
        <v>0.0</v>
      </c>
      <c r="DH25" s="153">
        <v>23.06</v>
      </c>
      <c r="DI25" s="153">
        <v>18.75</v>
      </c>
      <c r="DJ25" s="153">
        <v>0.0</v>
      </c>
      <c r="DK25" s="153">
        <v>18.75</v>
      </c>
      <c r="DL25" s="153">
        <v>10.42</v>
      </c>
      <c r="DM25" s="153">
        <v>0.0</v>
      </c>
      <c r="DN25" s="153">
        <v>10.42</v>
      </c>
    </row>
    <row r="26">
      <c r="A26" s="235">
        <v>46257.0</v>
      </c>
      <c r="B26" s="236" t="s">
        <v>4</v>
      </c>
      <c r="C26" s="236" t="s">
        <v>423</v>
      </c>
      <c r="D26" s="236">
        <v>814.0</v>
      </c>
      <c r="E26" s="236">
        <v>20.92</v>
      </c>
      <c r="F26" s="236">
        <v>0.0</v>
      </c>
      <c r="G26" s="236">
        <v>0.0</v>
      </c>
      <c r="H26" s="236">
        <v>0.0</v>
      </c>
      <c r="I26" s="236"/>
      <c r="J26" s="236">
        <v>1.4</v>
      </c>
      <c r="K26" s="236">
        <v>0.08</v>
      </c>
      <c r="L26" s="236">
        <v>0.0</v>
      </c>
      <c r="M26" s="236">
        <v>0.0</v>
      </c>
      <c r="N26" s="236">
        <v>1.0</v>
      </c>
      <c r="O26" s="236">
        <v>1.0</v>
      </c>
      <c r="P26" s="236"/>
      <c r="Q26" s="236">
        <v>0.43</v>
      </c>
      <c r="R26" s="236">
        <v>0.41</v>
      </c>
      <c r="S26" s="236">
        <v>0.01</v>
      </c>
      <c r="T26" s="236">
        <v>0.0</v>
      </c>
      <c r="U26" s="236">
        <v>0.43</v>
      </c>
      <c r="V26" s="236">
        <v>0.12</v>
      </c>
      <c r="W26" s="236">
        <v>1.5385</v>
      </c>
      <c r="X26" s="236">
        <v>0.0</v>
      </c>
      <c r="Y26" s="236">
        <v>200.0</v>
      </c>
      <c r="Z26" s="236">
        <v>200.0</v>
      </c>
      <c r="AA26" s="236">
        <v>200.0</v>
      </c>
      <c r="AB26" s="236">
        <v>49.2701</v>
      </c>
      <c r="AC26" s="236">
        <v>0.6</v>
      </c>
      <c r="AD26" s="237"/>
      <c r="AE26" s="237"/>
      <c r="AF26" s="237"/>
      <c r="AG26" s="237"/>
      <c r="AH26" s="237"/>
      <c r="AI26" s="236">
        <v>0.0</v>
      </c>
      <c r="AJ26" s="236">
        <v>0.0</v>
      </c>
      <c r="AK26" s="236">
        <v>0.0</v>
      </c>
      <c r="AL26" s="236">
        <v>0.9238</v>
      </c>
      <c r="AM26" s="237"/>
      <c r="AQ26" s="153">
        <v>0.0516</v>
      </c>
      <c r="AR26" s="153">
        <v>0.0037</v>
      </c>
      <c r="AS26" s="153">
        <v>0.0479</v>
      </c>
      <c r="AT26" s="153">
        <v>0.0209</v>
      </c>
      <c r="AU26" s="153">
        <v>0.2615</v>
      </c>
      <c r="AV26" s="153">
        <v>814.0</v>
      </c>
      <c r="AW26" s="153">
        <v>0.0</v>
      </c>
      <c r="AX26" s="153">
        <v>0.41</v>
      </c>
      <c r="AY26" s="153">
        <v>0.01</v>
      </c>
      <c r="AZ26" s="153">
        <v>0.0</v>
      </c>
      <c r="BA26" s="153">
        <v>0.0</v>
      </c>
      <c r="BB26" s="153">
        <v>0.0</v>
      </c>
      <c r="BD26" s="153">
        <v>348.0</v>
      </c>
      <c r="BE26" s="153">
        <v>0.0418</v>
      </c>
      <c r="BF26" s="153">
        <v>0.0037</v>
      </c>
      <c r="BG26" s="153">
        <v>0.0381</v>
      </c>
      <c r="BH26" s="153">
        <v>0.0098</v>
      </c>
      <c r="BI26" s="153">
        <v>0.1231</v>
      </c>
      <c r="BJ26" s="153">
        <v>0.0098</v>
      </c>
      <c r="BK26" s="153">
        <v>0.0</v>
      </c>
      <c r="BL26" s="153">
        <v>0.0098</v>
      </c>
      <c r="BM26" s="153">
        <v>0.0111</v>
      </c>
      <c r="BN26" s="153">
        <v>0.1385</v>
      </c>
      <c r="BO26" s="153">
        <v>0.0098</v>
      </c>
      <c r="BP26" s="153">
        <v>0.0037</v>
      </c>
      <c r="BQ26" s="153">
        <v>0.0061</v>
      </c>
      <c r="BR26" s="153">
        <v>0.0037</v>
      </c>
      <c r="BS26" s="153">
        <v>0.0233</v>
      </c>
      <c r="BT26" s="153">
        <v>0.0</v>
      </c>
      <c r="BU26" s="153">
        <v>0.0233</v>
      </c>
      <c r="BV26" s="153">
        <v>0.0037</v>
      </c>
      <c r="BW26" s="153">
        <v>0.0086</v>
      </c>
      <c r="BX26" s="153">
        <v>0.0</v>
      </c>
      <c r="BY26" s="153">
        <v>0.0086</v>
      </c>
      <c r="BZ26" s="153">
        <v>0.0025</v>
      </c>
      <c r="CA26" s="153">
        <v>0.0</v>
      </c>
      <c r="CB26" s="153">
        <v>0.0</v>
      </c>
      <c r="CC26" s="153">
        <v>0.0</v>
      </c>
      <c r="CD26" s="153">
        <v>0.0025</v>
      </c>
      <c r="CE26" s="153">
        <v>0.0074</v>
      </c>
      <c r="CF26" s="153">
        <v>0.0</v>
      </c>
      <c r="CG26" s="153">
        <v>0.0074</v>
      </c>
      <c r="CH26" s="153">
        <v>0.0049</v>
      </c>
      <c r="CI26" s="153">
        <v>0.0025</v>
      </c>
      <c r="CJ26" s="153">
        <v>0.0</v>
      </c>
      <c r="CK26" s="153">
        <v>0.0025</v>
      </c>
      <c r="CL26" s="153">
        <v>0.0037</v>
      </c>
      <c r="CM26" s="153">
        <v>0.2</v>
      </c>
      <c r="CN26" s="153">
        <v>0.12</v>
      </c>
      <c r="CO26" s="153">
        <v>165.0</v>
      </c>
      <c r="CP26" s="153">
        <v>0.15</v>
      </c>
      <c r="CQ26" s="153">
        <v>0.0</v>
      </c>
      <c r="CR26" s="153">
        <v>0.05</v>
      </c>
      <c r="CS26" s="153">
        <v>0.0</v>
      </c>
      <c r="CT26" s="153">
        <v>0.0</v>
      </c>
      <c r="CU26" s="153">
        <v>0.0</v>
      </c>
      <c r="CV26" s="153">
        <v>0.0</v>
      </c>
      <c r="CW26" s="153">
        <v>0.43</v>
      </c>
      <c r="CX26" s="153">
        <v>0.0</v>
      </c>
      <c r="CY26" s="153">
        <v>0.0</v>
      </c>
      <c r="CZ26" s="153">
        <v>0.61</v>
      </c>
      <c r="DA26" s="153">
        <v>0.0</v>
      </c>
      <c r="DB26" s="153">
        <v>0.61</v>
      </c>
      <c r="DC26" s="153">
        <v>0.61</v>
      </c>
      <c r="DD26" s="153">
        <v>0.0</v>
      </c>
      <c r="DE26" s="153">
        <v>0.61</v>
      </c>
      <c r="DF26" s="153">
        <v>0.0</v>
      </c>
      <c r="DG26" s="153">
        <v>0.0</v>
      </c>
      <c r="DH26" s="153">
        <v>0.0</v>
      </c>
      <c r="DI26" s="153">
        <v>0.0</v>
      </c>
      <c r="DJ26" s="153">
        <v>0.0</v>
      </c>
      <c r="DK26" s="153">
        <v>0.0</v>
      </c>
      <c r="DL26" s="153">
        <v>0.0</v>
      </c>
      <c r="DM26" s="153">
        <v>0.0</v>
      </c>
      <c r="DN26" s="153">
        <v>0.0</v>
      </c>
    </row>
    <row r="27">
      <c r="A27" s="235">
        <v>46257.0</v>
      </c>
      <c r="B27" s="236" t="s">
        <v>4</v>
      </c>
      <c r="C27" s="236" t="s">
        <v>133</v>
      </c>
      <c r="D27" s="236">
        <v>1453.0</v>
      </c>
      <c r="E27" s="236">
        <v>37.34</v>
      </c>
      <c r="F27" s="236">
        <v>0.0</v>
      </c>
      <c r="G27" s="236">
        <v>0.0</v>
      </c>
      <c r="H27" s="236">
        <v>0.0</v>
      </c>
      <c r="I27" s="236"/>
      <c r="J27" s="236">
        <v>5.23</v>
      </c>
      <c r="K27" s="236">
        <v>4.31</v>
      </c>
      <c r="L27" s="236">
        <v>3.99</v>
      </c>
      <c r="M27" s="236">
        <v>0.9258</v>
      </c>
      <c r="N27" s="236">
        <v>0.0798</v>
      </c>
      <c r="O27" s="236">
        <v>0.0574</v>
      </c>
      <c r="P27" s="236">
        <v>1.0802</v>
      </c>
      <c r="Q27" s="236">
        <v>7.39</v>
      </c>
      <c r="R27" s="236">
        <v>6.48</v>
      </c>
      <c r="S27" s="236">
        <v>0.91</v>
      </c>
      <c r="T27" s="236">
        <v>0.0</v>
      </c>
      <c r="U27" s="236">
        <v>7.39</v>
      </c>
      <c r="V27" s="236">
        <v>6.4</v>
      </c>
      <c r="W27" s="236">
        <v>1.4847</v>
      </c>
      <c r="X27" s="236">
        <v>0.0</v>
      </c>
      <c r="Y27" s="236">
        <v>200.0</v>
      </c>
      <c r="Z27" s="236">
        <v>200.0</v>
      </c>
      <c r="AA27" s="236">
        <v>239.0</v>
      </c>
      <c r="AB27" s="236">
        <v>50.0</v>
      </c>
      <c r="AC27" s="236">
        <v>0.8085</v>
      </c>
      <c r="AD27" s="236">
        <v>3.83</v>
      </c>
      <c r="AE27" s="236">
        <v>2.0</v>
      </c>
      <c r="AF27" s="236">
        <v>3.0</v>
      </c>
      <c r="AG27" s="236">
        <v>5.0</v>
      </c>
      <c r="AH27" s="236">
        <v>8.0</v>
      </c>
      <c r="AI27" s="236">
        <v>77.77</v>
      </c>
      <c r="AJ27" s="236">
        <v>39.16</v>
      </c>
      <c r="AK27" s="236">
        <v>0.89</v>
      </c>
      <c r="AL27" s="236">
        <v>0.8692</v>
      </c>
      <c r="AM27" s="237"/>
      <c r="AQ27" s="153">
        <v>0.4893</v>
      </c>
      <c r="AR27" s="153">
        <v>0.0186</v>
      </c>
      <c r="AS27" s="153">
        <v>0.4708</v>
      </c>
      <c r="AT27" s="153">
        <v>0.5905</v>
      </c>
      <c r="AU27" s="153">
        <v>0.137</v>
      </c>
      <c r="AV27" s="153">
        <v>1453.0</v>
      </c>
      <c r="AW27" s="153">
        <v>0.0</v>
      </c>
      <c r="AX27" s="153">
        <v>7.38</v>
      </c>
      <c r="AY27" s="153">
        <v>0.0</v>
      </c>
      <c r="AZ27" s="153">
        <v>0.01</v>
      </c>
      <c r="BA27" s="153">
        <v>0.0</v>
      </c>
      <c r="BB27" s="153">
        <v>0.0</v>
      </c>
      <c r="BC27" s="153">
        <v>9.0</v>
      </c>
      <c r="BD27" s="153">
        <v>280.0</v>
      </c>
      <c r="BE27" s="153">
        <v>0.4708</v>
      </c>
      <c r="BF27" s="153">
        <v>0.0186</v>
      </c>
      <c r="BG27" s="153">
        <v>0.4522</v>
      </c>
      <c r="BH27" s="153">
        <v>0.5733</v>
      </c>
      <c r="BI27" s="153">
        <v>0.133</v>
      </c>
      <c r="BJ27" s="153">
        <v>0.0186</v>
      </c>
      <c r="BK27" s="153">
        <v>0.0</v>
      </c>
      <c r="BL27" s="153">
        <v>0.0186</v>
      </c>
      <c r="BM27" s="153">
        <v>0.0172</v>
      </c>
      <c r="BN27" s="153">
        <v>0.004</v>
      </c>
      <c r="BO27" s="153">
        <v>0.0695</v>
      </c>
      <c r="BP27" s="153">
        <v>0.0103</v>
      </c>
      <c r="BQ27" s="153">
        <v>0.0592</v>
      </c>
      <c r="BR27" s="153">
        <v>0.2636</v>
      </c>
      <c r="BS27" s="153">
        <v>0.34</v>
      </c>
      <c r="BT27" s="153">
        <v>0.0021</v>
      </c>
      <c r="BU27" s="153">
        <v>0.3379</v>
      </c>
      <c r="BV27" s="153">
        <v>0.1672</v>
      </c>
      <c r="BW27" s="153">
        <v>0.0613</v>
      </c>
      <c r="BX27" s="153">
        <v>0.0062</v>
      </c>
      <c r="BY27" s="153">
        <v>0.0551</v>
      </c>
      <c r="BZ27" s="153">
        <v>0.1425</v>
      </c>
      <c r="CA27" s="153">
        <v>0.0</v>
      </c>
      <c r="CB27" s="153">
        <v>0.0</v>
      </c>
      <c r="CC27" s="153">
        <v>0.0</v>
      </c>
      <c r="CD27" s="153">
        <v>0.0062</v>
      </c>
      <c r="CE27" s="153">
        <v>0.0172</v>
      </c>
      <c r="CF27" s="153">
        <v>0.0</v>
      </c>
      <c r="CG27" s="153">
        <v>0.0172</v>
      </c>
      <c r="CH27" s="153">
        <v>0.0062</v>
      </c>
      <c r="CI27" s="153">
        <v>0.0014</v>
      </c>
      <c r="CJ27" s="153">
        <v>0.0</v>
      </c>
      <c r="CK27" s="153">
        <v>0.0014</v>
      </c>
      <c r="CL27" s="153">
        <v>0.0048</v>
      </c>
      <c r="CM27" s="153">
        <v>0.34</v>
      </c>
      <c r="CN27" s="153">
        <v>0.41</v>
      </c>
      <c r="CO27" s="153">
        <v>82.5</v>
      </c>
      <c r="CP27" s="153">
        <v>0.31</v>
      </c>
      <c r="CQ27" s="153">
        <v>0.0</v>
      </c>
      <c r="CR27" s="153">
        <v>0.03</v>
      </c>
      <c r="CS27" s="153">
        <v>0.0</v>
      </c>
      <c r="CT27" s="153">
        <v>0.0</v>
      </c>
      <c r="CU27" s="153">
        <v>0.0</v>
      </c>
      <c r="CV27" s="153">
        <v>0.0</v>
      </c>
      <c r="CW27" s="153">
        <v>7.39</v>
      </c>
      <c r="CX27" s="153">
        <v>0.0</v>
      </c>
      <c r="CY27" s="153">
        <v>0.0</v>
      </c>
      <c r="CZ27" s="153">
        <v>1.75</v>
      </c>
      <c r="DA27" s="153">
        <v>0.0</v>
      </c>
      <c r="DB27" s="153">
        <v>1.75</v>
      </c>
      <c r="DC27" s="153">
        <v>1.75</v>
      </c>
      <c r="DD27" s="153">
        <v>0.0</v>
      </c>
      <c r="DE27" s="153">
        <v>1.75</v>
      </c>
      <c r="DF27" s="153">
        <v>0.0</v>
      </c>
      <c r="DG27" s="153">
        <v>0.0</v>
      </c>
      <c r="DH27" s="153">
        <v>0.0</v>
      </c>
      <c r="DI27" s="153">
        <v>0.0</v>
      </c>
      <c r="DJ27" s="153">
        <v>0.0</v>
      </c>
      <c r="DK27" s="153">
        <v>0.0</v>
      </c>
      <c r="DL27" s="153">
        <v>0.0</v>
      </c>
      <c r="DM27" s="153">
        <v>0.0</v>
      </c>
      <c r="DN27" s="153">
        <v>0.0</v>
      </c>
    </row>
    <row r="28">
      <c r="A28" s="235">
        <v>46257.0</v>
      </c>
      <c r="B28" s="236" t="s">
        <v>4</v>
      </c>
      <c r="C28" s="236" t="s">
        <v>134</v>
      </c>
      <c r="D28" s="236">
        <v>643.0</v>
      </c>
      <c r="E28" s="236">
        <v>16.53</v>
      </c>
      <c r="F28" s="236">
        <v>18.32</v>
      </c>
      <c r="G28" s="236">
        <v>0.0285</v>
      </c>
      <c r="H28" s="236">
        <v>0.31</v>
      </c>
      <c r="I28" s="236">
        <v>9.16</v>
      </c>
      <c r="J28" s="236">
        <v>16.83</v>
      </c>
      <c r="K28" s="236">
        <v>13.74</v>
      </c>
      <c r="L28" s="236">
        <v>12.51</v>
      </c>
      <c r="M28" s="236">
        <v>0.91</v>
      </c>
      <c r="N28" s="236">
        <v>0.1064</v>
      </c>
      <c r="O28" s="236">
        <v>0.0715</v>
      </c>
      <c r="P28" s="236">
        <v>1.0989</v>
      </c>
      <c r="Q28" s="236">
        <v>55.82</v>
      </c>
      <c r="R28" s="236">
        <v>40.31</v>
      </c>
      <c r="S28" s="236">
        <v>15.51</v>
      </c>
      <c r="T28" s="236">
        <v>2.02</v>
      </c>
      <c r="U28" s="236">
        <v>53.8</v>
      </c>
      <c r="V28" s="236">
        <v>45.41</v>
      </c>
      <c r="W28" s="236">
        <v>3.3043</v>
      </c>
      <c r="X28" s="236">
        <v>3.62</v>
      </c>
      <c r="Y28" s="236">
        <v>247.0</v>
      </c>
      <c r="Z28" s="236">
        <v>276.0</v>
      </c>
      <c r="AA28" s="236">
        <v>328.0</v>
      </c>
      <c r="AB28" s="236">
        <v>49.6571</v>
      </c>
      <c r="AC28" s="236">
        <v>0.8801</v>
      </c>
      <c r="AD28" s="236">
        <v>11.28</v>
      </c>
      <c r="AE28" s="236">
        <v>9.0</v>
      </c>
      <c r="AF28" s="236">
        <v>11.0</v>
      </c>
      <c r="AG28" s="236">
        <v>14.0</v>
      </c>
      <c r="AH28" s="236">
        <v>17.0</v>
      </c>
      <c r="AI28" s="236">
        <v>88.02</v>
      </c>
      <c r="AJ28" s="236">
        <v>38.72</v>
      </c>
      <c r="AK28" s="236">
        <v>0.47</v>
      </c>
      <c r="AL28" s="236">
        <v>0.703</v>
      </c>
      <c r="AM28" s="237"/>
      <c r="AQ28" s="153">
        <v>3.8616</v>
      </c>
      <c r="AR28" s="153">
        <v>0.2893</v>
      </c>
      <c r="AS28" s="153">
        <v>3.5723</v>
      </c>
      <c r="AT28" s="153">
        <v>3.0871</v>
      </c>
      <c r="AU28" s="153">
        <v>0.2246</v>
      </c>
      <c r="AV28" s="153">
        <v>643.0</v>
      </c>
      <c r="AW28" s="153">
        <v>0.0</v>
      </c>
      <c r="AX28" s="153">
        <v>52.57</v>
      </c>
      <c r="AY28" s="153">
        <v>0.84</v>
      </c>
      <c r="AZ28" s="153">
        <v>0.36</v>
      </c>
      <c r="BA28" s="153">
        <v>2.02</v>
      </c>
      <c r="BB28" s="153">
        <v>0.03</v>
      </c>
      <c r="BC28" s="153">
        <v>25.0</v>
      </c>
      <c r="BD28" s="153">
        <v>465.0</v>
      </c>
      <c r="BE28" s="153">
        <v>3.6081</v>
      </c>
      <c r="BF28" s="153">
        <v>0.2753</v>
      </c>
      <c r="BG28" s="153">
        <v>3.3328</v>
      </c>
      <c r="BH28" s="153">
        <v>2.6252</v>
      </c>
      <c r="BI28" s="153">
        <v>0.191</v>
      </c>
      <c r="BJ28" s="153">
        <v>0.2535</v>
      </c>
      <c r="BK28" s="153">
        <v>0.014</v>
      </c>
      <c r="BL28" s="153">
        <v>0.2395</v>
      </c>
      <c r="BM28" s="153">
        <v>0.4619</v>
      </c>
      <c r="BN28" s="153">
        <v>0.0336</v>
      </c>
      <c r="BO28" s="153">
        <v>1.1851</v>
      </c>
      <c r="BP28" s="153">
        <v>0.112</v>
      </c>
      <c r="BQ28" s="153">
        <v>1.0731</v>
      </c>
      <c r="BR28" s="153">
        <v>1.1431</v>
      </c>
      <c r="BS28" s="153">
        <v>1.7963</v>
      </c>
      <c r="BT28" s="153">
        <v>0.0327</v>
      </c>
      <c r="BU28" s="153">
        <v>1.7636</v>
      </c>
      <c r="BV28" s="153">
        <v>0.7947</v>
      </c>
      <c r="BW28" s="153">
        <v>0.6267</v>
      </c>
      <c r="BX28" s="153">
        <v>0.1306</v>
      </c>
      <c r="BY28" s="153">
        <v>0.4961</v>
      </c>
      <c r="BZ28" s="153">
        <v>0.6874</v>
      </c>
      <c r="CA28" s="153">
        <v>0.0047</v>
      </c>
      <c r="CB28" s="153">
        <v>0.0</v>
      </c>
      <c r="CC28" s="153">
        <v>0.0047</v>
      </c>
      <c r="CD28" s="153">
        <v>0.1135</v>
      </c>
      <c r="CE28" s="153">
        <v>0.1897</v>
      </c>
      <c r="CF28" s="153">
        <v>0.0093</v>
      </c>
      <c r="CG28" s="153">
        <v>0.1804</v>
      </c>
      <c r="CH28" s="153">
        <v>0.1928</v>
      </c>
      <c r="CI28" s="153">
        <v>0.0591</v>
      </c>
      <c r="CJ28" s="153">
        <v>0.0047</v>
      </c>
      <c r="CK28" s="153">
        <v>0.0544</v>
      </c>
      <c r="CL28" s="153">
        <v>0.1555</v>
      </c>
      <c r="CM28" s="153">
        <v>17.26</v>
      </c>
      <c r="CN28" s="153">
        <v>22.55</v>
      </c>
      <c r="CO28" s="153">
        <v>76.52</v>
      </c>
      <c r="CP28" s="153">
        <v>15.2</v>
      </c>
      <c r="CQ28" s="153">
        <v>0.0</v>
      </c>
      <c r="CR28" s="153">
        <v>1.43</v>
      </c>
      <c r="CS28" s="153">
        <v>0.62</v>
      </c>
      <c r="CT28" s="153">
        <v>0.0</v>
      </c>
      <c r="CU28" s="153">
        <v>0.0</v>
      </c>
      <c r="CV28" s="153">
        <v>0.0</v>
      </c>
      <c r="CW28" s="153">
        <v>55.82</v>
      </c>
      <c r="CX28" s="153">
        <v>0.0</v>
      </c>
      <c r="CY28" s="153">
        <v>0.0</v>
      </c>
      <c r="CZ28" s="153">
        <v>24.88</v>
      </c>
      <c r="DA28" s="153">
        <v>0.0</v>
      </c>
      <c r="DB28" s="153">
        <v>24.88</v>
      </c>
      <c r="DC28" s="153">
        <v>24.28</v>
      </c>
      <c r="DD28" s="153">
        <v>0.0</v>
      </c>
      <c r="DE28" s="153">
        <v>24.28</v>
      </c>
      <c r="DF28" s="153">
        <v>0.3</v>
      </c>
      <c r="DG28" s="153">
        <v>0.0</v>
      </c>
      <c r="DH28" s="153">
        <v>0.3</v>
      </c>
      <c r="DI28" s="153">
        <v>0.3</v>
      </c>
      <c r="DJ28" s="153">
        <v>0.0</v>
      </c>
      <c r="DK28" s="153">
        <v>0.3</v>
      </c>
      <c r="DL28" s="153">
        <v>0.0</v>
      </c>
      <c r="DM28" s="153">
        <v>0.0</v>
      </c>
      <c r="DN28" s="153">
        <v>0.0</v>
      </c>
    </row>
    <row r="29">
      <c r="A29" s="235">
        <v>46257.0</v>
      </c>
      <c r="B29" s="236" t="s">
        <v>4</v>
      </c>
      <c r="C29" s="236" t="s">
        <v>135</v>
      </c>
      <c r="D29" s="236">
        <v>511.0</v>
      </c>
      <c r="E29" s="236">
        <v>13.13</v>
      </c>
      <c r="F29" s="236">
        <v>2.28</v>
      </c>
      <c r="G29" s="236">
        <v>0.0045</v>
      </c>
      <c r="H29" s="236">
        <v>0.59</v>
      </c>
      <c r="I29" s="236">
        <v>0.76</v>
      </c>
      <c r="J29" s="236">
        <v>36.19</v>
      </c>
      <c r="K29" s="236">
        <v>28.61</v>
      </c>
      <c r="L29" s="236">
        <v>25.38</v>
      </c>
      <c r="M29" s="236">
        <v>0.8871</v>
      </c>
      <c r="N29" s="236">
        <v>0.1449</v>
      </c>
      <c r="O29" s="236">
        <v>0.0998</v>
      </c>
      <c r="P29" s="236">
        <v>1.1272</v>
      </c>
      <c r="Q29" s="236">
        <v>126.46</v>
      </c>
      <c r="R29" s="236">
        <v>87.95</v>
      </c>
      <c r="S29" s="236">
        <v>38.51</v>
      </c>
      <c r="T29" s="236">
        <v>1.08</v>
      </c>
      <c r="U29" s="236">
        <v>125.38</v>
      </c>
      <c r="V29" s="236">
        <v>106.46</v>
      </c>
      <c r="W29" s="236">
        <v>3.7209</v>
      </c>
      <c r="X29" s="236">
        <v>0.85</v>
      </c>
      <c r="Y29" s="236">
        <v>310.0</v>
      </c>
      <c r="Z29" s="236">
        <v>374.0</v>
      </c>
      <c r="AA29" s="236">
        <v>456.0</v>
      </c>
      <c r="AB29" s="236">
        <v>50.041</v>
      </c>
      <c r="AC29" s="236">
        <v>0.8872</v>
      </c>
      <c r="AD29" s="236">
        <v>19.5</v>
      </c>
      <c r="AE29" s="236">
        <v>11.0</v>
      </c>
      <c r="AF29" s="236">
        <v>19.0</v>
      </c>
      <c r="AG29" s="236">
        <v>27.0</v>
      </c>
      <c r="AH29" s="236">
        <v>33.0</v>
      </c>
      <c r="AI29" s="236">
        <v>78.08</v>
      </c>
      <c r="AJ29" s="236">
        <v>30.72</v>
      </c>
      <c r="AK29" s="236">
        <v>1.17</v>
      </c>
      <c r="AL29" s="236">
        <v>0.5205</v>
      </c>
      <c r="AM29" s="237"/>
      <c r="AQ29" s="153">
        <v>8.3033</v>
      </c>
      <c r="AR29" s="153">
        <v>0.1252</v>
      </c>
      <c r="AS29" s="153">
        <v>8.1781</v>
      </c>
      <c r="AT29" s="153">
        <v>5.1076</v>
      </c>
      <c r="AU29" s="153">
        <v>0.1785</v>
      </c>
      <c r="AV29" s="153">
        <v>511.0</v>
      </c>
      <c r="AW29" s="153">
        <v>0.0</v>
      </c>
      <c r="AX29" s="153">
        <v>114.52</v>
      </c>
      <c r="AY29" s="153">
        <v>8.89</v>
      </c>
      <c r="AZ29" s="153">
        <v>0.68</v>
      </c>
      <c r="BA29" s="153">
        <v>1.08</v>
      </c>
      <c r="BB29" s="153">
        <v>1.28</v>
      </c>
      <c r="BC29" s="153">
        <v>45.0</v>
      </c>
      <c r="BD29" s="153">
        <v>771.0</v>
      </c>
      <c r="BE29" s="153">
        <v>6.4716</v>
      </c>
      <c r="BF29" s="153">
        <v>0.0822</v>
      </c>
      <c r="BG29" s="153">
        <v>6.3894</v>
      </c>
      <c r="BH29" s="153">
        <v>3.09</v>
      </c>
      <c r="BI29" s="153">
        <v>0.108</v>
      </c>
      <c r="BJ29" s="153">
        <v>1.8317</v>
      </c>
      <c r="BK29" s="153">
        <v>0.0431</v>
      </c>
      <c r="BL29" s="153">
        <v>1.7886</v>
      </c>
      <c r="BM29" s="153">
        <v>2.0176</v>
      </c>
      <c r="BN29" s="153">
        <v>0.0705</v>
      </c>
      <c r="BO29" s="153">
        <v>2.1722</v>
      </c>
      <c r="BP29" s="153">
        <v>0.0352</v>
      </c>
      <c r="BQ29" s="153">
        <v>2.137</v>
      </c>
      <c r="BR29" s="153">
        <v>1.274</v>
      </c>
      <c r="BS29" s="153">
        <v>2.998</v>
      </c>
      <c r="BT29" s="153">
        <v>0.0117</v>
      </c>
      <c r="BU29" s="153">
        <v>2.9863</v>
      </c>
      <c r="BV29" s="153">
        <v>1.0587</v>
      </c>
      <c r="BW29" s="153">
        <v>1.3014</v>
      </c>
      <c r="BX29" s="153">
        <v>0.0352</v>
      </c>
      <c r="BY29" s="153">
        <v>1.2661</v>
      </c>
      <c r="BZ29" s="153">
        <v>0.7573</v>
      </c>
      <c r="CA29" s="153">
        <v>0.1409</v>
      </c>
      <c r="CB29" s="153">
        <v>0.002</v>
      </c>
      <c r="CC29" s="153">
        <v>0.1389</v>
      </c>
      <c r="CD29" s="153">
        <v>0.4892</v>
      </c>
      <c r="CE29" s="153">
        <v>0.8865</v>
      </c>
      <c r="CF29" s="153">
        <v>0.0</v>
      </c>
      <c r="CG29" s="153">
        <v>0.8865</v>
      </c>
      <c r="CH29" s="153">
        <v>0.6771</v>
      </c>
      <c r="CI29" s="153">
        <v>0.8043</v>
      </c>
      <c r="CJ29" s="153">
        <v>0.0411</v>
      </c>
      <c r="CK29" s="153">
        <v>0.7632</v>
      </c>
      <c r="CL29" s="153">
        <v>0.8513</v>
      </c>
      <c r="CM29" s="153">
        <v>127.42</v>
      </c>
      <c r="CN29" s="153">
        <v>73.97</v>
      </c>
      <c r="CO29" s="153">
        <v>172.25</v>
      </c>
      <c r="CP29" s="153">
        <v>116.91</v>
      </c>
      <c r="CQ29" s="153">
        <v>0.0</v>
      </c>
      <c r="CR29" s="153">
        <v>7.08</v>
      </c>
      <c r="CS29" s="153">
        <v>3.42</v>
      </c>
      <c r="CT29" s="153">
        <v>0.0</v>
      </c>
      <c r="CU29" s="153">
        <v>0.0</v>
      </c>
      <c r="CV29" s="153">
        <v>0.0</v>
      </c>
      <c r="CW29" s="153">
        <v>126.46</v>
      </c>
      <c r="CX29" s="153">
        <v>0.0</v>
      </c>
      <c r="CY29" s="153">
        <v>0.0</v>
      </c>
      <c r="CZ29" s="153">
        <v>102.93</v>
      </c>
      <c r="DA29" s="153">
        <v>0.24</v>
      </c>
      <c r="DB29" s="153">
        <v>102.68</v>
      </c>
      <c r="DC29" s="153">
        <v>98.79</v>
      </c>
      <c r="DD29" s="153">
        <v>0.13</v>
      </c>
      <c r="DE29" s="153">
        <v>98.66</v>
      </c>
      <c r="DF29" s="153">
        <v>2.21</v>
      </c>
      <c r="DG29" s="153">
        <v>0.04</v>
      </c>
      <c r="DH29" s="153">
        <v>2.17</v>
      </c>
      <c r="DI29" s="153">
        <v>1.89</v>
      </c>
      <c r="DJ29" s="153">
        <v>0.04</v>
      </c>
      <c r="DK29" s="153">
        <v>1.85</v>
      </c>
      <c r="DL29" s="153">
        <v>0.04</v>
      </c>
      <c r="DM29" s="153">
        <v>0.04</v>
      </c>
      <c r="DN29" s="153">
        <v>0.0</v>
      </c>
    </row>
    <row r="30">
      <c r="A30" s="235">
        <v>46257.0</v>
      </c>
      <c r="B30" s="236" t="s">
        <v>4</v>
      </c>
      <c r="C30" s="236" t="s">
        <v>136</v>
      </c>
      <c r="D30" s="236">
        <v>370.0</v>
      </c>
      <c r="E30" s="236">
        <v>9.51</v>
      </c>
      <c r="F30" s="236">
        <v>46.55</v>
      </c>
      <c r="G30" s="236">
        <v>0.1258</v>
      </c>
      <c r="H30" s="236">
        <v>2.43</v>
      </c>
      <c r="I30" s="236">
        <v>5.1722</v>
      </c>
      <c r="J30" s="236">
        <v>93.27</v>
      </c>
      <c r="K30" s="236">
        <v>66.94</v>
      </c>
      <c r="L30" s="236">
        <v>55.88</v>
      </c>
      <c r="M30" s="236">
        <v>0.8347</v>
      </c>
      <c r="N30" s="236">
        <v>0.2053</v>
      </c>
      <c r="O30" s="236">
        <v>0.1366</v>
      </c>
      <c r="P30" s="236">
        <v>1.198</v>
      </c>
      <c r="Q30" s="236">
        <v>301.15</v>
      </c>
      <c r="R30" s="236">
        <v>217.04</v>
      </c>
      <c r="S30" s="236">
        <v>84.11</v>
      </c>
      <c r="T30" s="236">
        <v>10.54</v>
      </c>
      <c r="U30" s="236">
        <v>290.61</v>
      </c>
      <c r="V30" s="236">
        <v>280.0</v>
      </c>
      <c r="W30" s="236">
        <v>4.1828</v>
      </c>
      <c r="X30" s="236">
        <v>3.5</v>
      </c>
      <c r="Y30" s="236">
        <v>384.0</v>
      </c>
      <c r="Z30" s="236">
        <v>482.0</v>
      </c>
      <c r="AA30" s="236">
        <v>680.0</v>
      </c>
      <c r="AB30" s="236">
        <v>51.4653</v>
      </c>
      <c r="AC30" s="236">
        <v>0.8608</v>
      </c>
      <c r="AD30" s="236">
        <v>32.44</v>
      </c>
      <c r="AE30" s="236">
        <v>16.0</v>
      </c>
      <c r="AF30" s="236">
        <v>28.0</v>
      </c>
      <c r="AG30" s="236">
        <v>45.0</v>
      </c>
      <c r="AH30" s="236">
        <v>59.0</v>
      </c>
      <c r="AI30" s="236">
        <v>50.81</v>
      </c>
      <c r="AJ30" s="236">
        <v>8.92</v>
      </c>
      <c r="AK30" s="236">
        <v>0.54</v>
      </c>
      <c r="AL30" s="236">
        <v>0.2973</v>
      </c>
      <c r="AM30" s="237"/>
      <c r="AQ30" s="153">
        <v>20.127</v>
      </c>
      <c r="AR30" s="153">
        <v>0.1405</v>
      </c>
      <c r="AS30" s="153">
        <v>19.9865</v>
      </c>
      <c r="AT30" s="153">
        <v>13.2108</v>
      </c>
      <c r="AU30" s="153">
        <v>0.1974</v>
      </c>
      <c r="AV30" s="153">
        <v>370.0</v>
      </c>
      <c r="AW30" s="153">
        <v>0.0</v>
      </c>
      <c r="AX30" s="153">
        <v>238.43</v>
      </c>
      <c r="AY30" s="153">
        <v>42.11</v>
      </c>
      <c r="AZ30" s="153">
        <v>1.76</v>
      </c>
      <c r="BA30" s="153">
        <v>10.54</v>
      </c>
      <c r="BB30" s="153">
        <v>8.31</v>
      </c>
      <c r="BC30" s="153">
        <v>86.0</v>
      </c>
      <c r="BD30" s="153">
        <v>1295.0</v>
      </c>
      <c r="BE30" s="153">
        <v>13.5108</v>
      </c>
      <c r="BF30" s="153">
        <v>0.0568</v>
      </c>
      <c r="BG30" s="153">
        <v>13.4541</v>
      </c>
      <c r="BH30" s="153">
        <v>6.9027</v>
      </c>
      <c r="BI30" s="153">
        <v>0.1031</v>
      </c>
      <c r="BJ30" s="153">
        <v>6.6162</v>
      </c>
      <c r="BK30" s="153">
        <v>0.0838</v>
      </c>
      <c r="BL30" s="153">
        <v>6.5324</v>
      </c>
      <c r="BM30" s="153">
        <v>6.3081</v>
      </c>
      <c r="BN30" s="153">
        <v>0.0942</v>
      </c>
      <c r="BO30" s="153">
        <v>5.2324</v>
      </c>
      <c r="BP30" s="153">
        <v>0.0135</v>
      </c>
      <c r="BQ30" s="153">
        <v>5.2189</v>
      </c>
      <c r="BR30" s="153">
        <v>2.6351</v>
      </c>
      <c r="BS30" s="153">
        <v>5.5162</v>
      </c>
      <c r="BT30" s="153">
        <v>0.0216</v>
      </c>
      <c r="BU30" s="153">
        <v>5.4946</v>
      </c>
      <c r="BV30" s="153">
        <v>2.6</v>
      </c>
      <c r="BW30" s="153">
        <v>2.7622</v>
      </c>
      <c r="BX30" s="153">
        <v>0.0216</v>
      </c>
      <c r="BY30" s="153">
        <v>2.7405</v>
      </c>
      <c r="BZ30" s="153">
        <v>1.6676</v>
      </c>
      <c r="CA30" s="153">
        <v>0.9081</v>
      </c>
      <c r="CB30" s="153">
        <v>0.0243</v>
      </c>
      <c r="CC30" s="153">
        <v>0.8838</v>
      </c>
      <c r="CD30" s="153">
        <v>1.5811</v>
      </c>
      <c r="CE30" s="153">
        <v>2.8027</v>
      </c>
      <c r="CF30" s="153">
        <v>0.0216</v>
      </c>
      <c r="CG30" s="153">
        <v>2.7811</v>
      </c>
      <c r="CH30" s="153">
        <v>2.2757</v>
      </c>
      <c r="CI30" s="153">
        <v>2.9054</v>
      </c>
      <c r="CJ30" s="153">
        <v>0.0378</v>
      </c>
      <c r="CK30" s="153">
        <v>2.8676</v>
      </c>
      <c r="CL30" s="153">
        <v>2.4514</v>
      </c>
      <c r="CM30" s="153">
        <v>497.57</v>
      </c>
      <c r="CN30" s="153">
        <v>97.57</v>
      </c>
      <c r="CO30" s="153">
        <v>509.97</v>
      </c>
      <c r="CP30" s="153">
        <v>473.0</v>
      </c>
      <c r="CQ30" s="153">
        <v>0.0</v>
      </c>
      <c r="CR30" s="153">
        <v>19.08</v>
      </c>
      <c r="CS30" s="153">
        <v>5.49</v>
      </c>
      <c r="CT30" s="153">
        <v>0.0</v>
      </c>
      <c r="CU30" s="153">
        <v>0.0</v>
      </c>
      <c r="CV30" s="153">
        <v>0.0</v>
      </c>
      <c r="CW30" s="153">
        <v>301.15</v>
      </c>
      <c r="CX30" s="153">
        <v>0.0</v>
      </c>
      <c r="CY30" s="153">
        <v>0.0</v>
      </c>
      <c r="CZ30" s="153">
        <v>296.57</v>
      </c>
      <c r="DA30" s="153">
        <v>0.66</v>
      </c>
      <c r="DB30" s="153">
        <v>295.91</v>
      </c>
      <c r="DC30" s="153">
        <v>281.58</v>
      </c>
      <c r="DD30" s="153">
        <v>0.5</v>
      </c>
      <c r="DE30" s="153">
        <v>281.08</v>
      </c>
      <c r="DF30" s="153">
        <v>7.72</v>
      </c>
      <c r="DG30" s="153">
        <v>0.05</v>
      </c>
      <c r="DH30" s="153">
        <v>7.66</v>
      </c>
      <c r="DI30" s="153">
        <v>7.19</v>
      </c>
      <c r="DJ30" s="153">
        <v>0.05</v>
      </c>
      <c r="DK30" s="153">
        <v>7.14</v>
      </c>
      <c r="DL30" s="153">
        <v>0.08</v>
      </c>
      <c r="DM30" s="153">
        <v>0.05</v>
      </c>
      <c r="DN30" s="153">
        <v>0.03</v>
      </c>
    </row>
    <row r="31">
      <c r="A31" s="235">
        <v>46257.0</v>
      </c>
      <c r="B31" s="236" t="s">
        <v>4</v>
      </c>
      <c r="C31" s="236" t="s">
        <v>137</v>
      </c>
      <c r="D31" s="236">
        <v>100.0</v>
      </c>
      <c r="E31" s="236">
        <v>2.57</v>
      </c>
      <c r="F31" s="236">
        <v>32.31</v>
      </c>
      <c r="G31" s="236">
        <v>0.3231</v>
      </c>
      <c r="H31" s="236">
        <v>6.0</v>
      </c>
      <c r="I31" s="236">
        <v>5.385</v>
      </c>
      <c r="J31" s="236">
        <v>263.44</v>
      </c>
      <c r="K31" s="236">
        <v>177.45</v>
      </c>
      <c r="L31" s="236">
        <v>135.55</v>
      </c>
      <c r="M31" s="236">
        <v>0.7639</v>
      </c>
      <c r="N31" s="236">
        <v>0.2706</v>
      </c>
      <c r="O31" s="236">
        <v>0.1549</v>
      </c>
      <c r="P31" s="236">
        <v>1.3091</v>
      </c>
      <c r="Q31" s="236">
        <v>639.97</v>
      </c>
      <c r="R31" s="236">
        <v>443.47</v>
      </c>
      <c r="S31" s="236">
        <v>196.5</v>
      </c>
      <c r="T31" s="236">
        <v>36.0</v>
      </c>
      <c r="U31" s="236">
        <v>603.97</v>
      </c>
      <c r="V31" s="236">
        <v>589.5</v>
      </c>
      <c r="W31" s="236">
        <v>3.3221</v>
      </c>
      <c r="X31" s="236">
        <v>5.63</v>
      </c>
      <c r="Y31" s="236">
        <v>500.0</v>
      </c>
      <c r="Z31" s="236">
        <v>753.0</v>
      </c>
      <c r="AA31" s="236">
        <v>1035.0</v>
      </c>
      <c r="AB31" s="236">
        <v>52.4897</v>
      </c>
      <c r="AC31" s="236">
        <v>0.7565</v>
      </c>
      <c r="AD31" s="236">
        <v>56.85</v>
      </c>
      <c r="AE31" s="236">
        <v>21.0</v>
      </c>
      <c r="AF31" s="236">
        <v>43.0</v>
      </c>
      <c r="AG31" s="236">
        <v>79.0</v>
      </c>
      <c r="AH31" s="236">
        <v>133.0</v>
      </c>
      <c r="AI31" s="236">
        <v>24.0</v>
      </c>
      <c r="AJ31" s="236">
        <v>2.0</v>
      </c>
      <c r="AK31" s="236">
        <v>0.0</v>
      </c>
      <c r="AL31" s="236">
        <v>0.23</v>
      </c>
      <c r="AM31" s="237"/>
      <c r="AQ31" s="153">
        <v>44.1</v>
      </c>
      <c r="AR31" s="153">
        <v>0.66</v>
      </c>
      <c r="AS31" s="153">
        <v>43.44</v>
      </c>
      <c r="AT31" s="153">
        <v>30.35</v>
      </c>
      <c r="AU31" s="153">
        <v>0.171</v>
      </c>
      <c r="AV31" s="153">
        <v>100.0</v>
      </c>
      <c r="AW31" s="153">
        <v>0.0</v>
      </c>
      <c r="AX31" s="153">
        <v>500.1</v>
      </c>
      <c r="AY31" s="153">
        <v>87.65</v>
      </c>
      <c r="AZ31" s="153">
        <v>4.8</v>
      </c>
      <c r="BA31" s="153">
        <v>36.0</v>
      </c>
      <c r="BB31" s="153">
        <v>11.42</v>
      </c>
      <c r="BC31" s="153">
        <v>216.0</v>
      </c>
      <c r="BD31" s="153">
        <v>2227.0</v>
      </c>
      <c r="BE31" s="153">
        <v>27.07</v>
      </c>
      <c r="BF31" s="153">
        <v>0.3</v>
      </c>
      <c r="BG31" s="153">
        <v>26.77</v>
      </c>
      <c r="BH31" s="153">
        <v>14.79</v>
      </c>
      <c r="BI31" s="153">
        <v>0.0833</v>
      </c>
      <c r="BJ31" s="153">
        <v>17.03</v>
      </c>
      <c r="BK31" s="153">
        <v>0.36</v>
      </c>
      <c r="BL31" s="153">
        <v>16.67</v>
      </c>
      <c r="BM31" s="153">
        <v>15.56</v>
      </c>
      <c r="BN31" s="153">
        <v>0.0877</v>
      </c>
      <c r="BO31" s="153">
        <v>9.77</v>
      </c>
      <c r="BP31" s="153">
        <v>0.09</v>
      </c>
      <c r="BQ31" s="153">
        <v>9.68</v>
      </c>
      <c r="BR31" s="153">
        <v>5.37</v>
      </c>
      <c r="BS31" s="153">
        <v>11.14</v>
      </c>
      <c r="BT31" s="153">
        <v>0.09</v>
      </c>
      <c r="BU31" s="153">
        <v>11.05</v>
      </c>
      <c r="BV31" s="153">
        <v>5.86</v>
      </c>
      <c r="BW31" s="153">
        <v>6.16</v>
      </c>
      <c r="BX31" s="153">
        <v>0.12</v>
      </c>
      <c r="BY31" s="153">
        <v>6.04</v>
      </c>
      <c r="BZ31" s="153">
        <v>3.56</v>
      </c>
      <c r="CA31" s="153">
        <v>3.3</v>
      </c>
      <c r="CB31" s="153">
        <v>0.09</v>
      </c>
      <c r="CC31" s="153">
        <v>3.21</v>
      </c>
      <c r="CD31" s="153">
        <v>3.82</v>
      </c>
      <c r="CE31" s="153">
        <v>6.86</v>
      </c>
      <c r="CF31" s="153">
        <v>0.12</v>
      </c>
      <c r="CG31" s="153">
        <v>6.74</v>
      </c>
      <c r="CH31" s="153">
        <v>5.86</v>
      </c>
      <c r="CI31" s="153">
        <v>6.87</v>
      </c>
      <c r="CJ31" s="153">
        <v>0.15</v>
      </c>
      <c r="CK31" s="153">
        <v>6.72</v>
      </c>
      <c r="CL31" s="153">
        <v>5.88</v>
      </c>
      <c r="CM31" s="153">
        <v>1396.25</v>
      </c>
      <c r="CN31" s="153">
        <v>100.0</v>
      </c>
      <c r="CO31" s="153">
        <v>1396.25</v>
      </c>
      <c r="CP31" s="153">
        <v>1368.75</v>
      </c>
      <c r="CQ31" s="153">
        <v>0.0</v>
      </c>
      <c r="CR31" s="153">
        <v>17.6</v>
      </c>
      <c r="CS31" s="153">
        <v>9.9</v>
      </c>
      <c r="CT31" s="153">
        <v>0.0</v>
      </c>
      <c r="CU31" s="153">
        <v>0.0</v>
      </c>
      <c r="CV31" s="153">
        <v>0.0</v>
      </c>
      <c r="CW31" s="153">
        <v>639.97</v>
      </c>
      <c r="CX31" s="153">
        <v>0.0</v>
      </c>
      <c r="CY31" s="153">
        <v>0.0</v>
      </c>
      <c r="CZ31" s="153">
        <v>618.8</v>
      </c>
      <c r="DA31" s="153">
        <v>0.0</v>
      </c>
      <c r="DB31" s="153">
        <v>618.8</v>
      </c>
      <c r="DC31" s="153">
        <v>595.9</v>
      </c>
      <c r="DD31" s="153">
        <v>0.0</v>
      </c>
      <c r="DE31" s="153">
        <v>595.9</v>
      </c>
      <c r="DF31" s="153">
        <v>14.2</v>
      </c>
      <c r="DG31" s="153">
        <v>0.0</v>
      </c>
      <c r="DH31" s="153">
        <v>14.2</v>
      </c>
      <c r="DI31" s="153">
        <v>8.7</v>
      </c>
      <c r="DJ31" s="153">
        <v>0.0</v>
      </c>
      <c r="DK31" s="153">
        <v>8.7</v>
      </c>
      <c r="DL31" s="153">
        <v>0.0</v>
      </c>
      <c r="DM31" s="153">
        <v>0.0</v>
      </c>
      <c r="DN31" s="153">
        <v>0.0</v>
      </c>
    </row>
    <row r="32">
      <c r="A32" s="235">
        <v>46257.0</v>
      </c>
      <c r="B32" s="236" t="s">
        <v>5</v>
      </c>
      <c r="C32" s="236" t="s">
        <v>423</v>
      </c>
      <c r="D32" s="236">
        <v>838.0</v>
      </c>
      <c r="E32" s="236">
        <v>21.63</v>
      </c>
      <c r="F32" s="236">
        <v>0.0</v>
      </c>
      <c r="G32" s="236">
        <v>0.0</v>
      </c>
      <c r="H32" s="236">
        <v>0.0</v>
      </c>
      <c r="I32" s="236"/>
      <c r="J32" s="236">
        <v>1.53</v>
      </c>
      <c r="K32" s="236">
        <v>0.07</v>
      </c>
      <c r="L32" s="236">
        <v>0.0</v>
      </c>
      <c r="M32" s="236">
        <v>0.0</v>
      </c>
      <c r="N32" s="236">
        <v>1.0</v>
      </c>
      <c r="O32" s="236">
        <v>1.0</v>
      </c>
      <c r="P32" s="236"/>
      <c r="Q32" s="236">
        <v>0.47</v>
      </c>
      <c r="R32" s="236">
        <v>0.47</v>
      </c>
      <c r="S32" s="236">
        <v>0.0</v>
      </c>
      <c r="T32" s="236">
        <v>0.0</v>
      </c>
      <c r="U32" s="236">
        <v>0.47</v>
      </c>
      <c r="V32" s="236">
        <v>0.42</v>
      </c>
      <c r="W32" s="236">
        <v>6.0345</v>
      </c>
      <c r="X32" s="236">
        <v>0.0</v>
      </c>
      <c r="Y32" s="236">
        <v>200.0</v>
      </c>
      <c r="Z32" s="236">
        <v>200.0</v>
      </c>
      <c r="AA32" s="236">
        <v>200.0</v>
      </c>
      <c r="AB32" s="236">
        <v>50.0086</v>
      </c>
      <c r="AC32" s="236">
        <v>0.6609</v>
      </c>
      <c r="AD32" s="237"/>
      <c r="AE32" s="237"/>
      <c r="AF32" s="237"/>
      <c r="AG32" s="237"/>
      <c r="AH32" s="237"/>
      <c r="AI32" s="236">
        <v>0.0</v>
      </c>
      <c r="AJ32" s="236">
        <v>0.0</v>
      </c>
      <c r="AK32" s="236">
        <v>0.0</v>
      </c>
      <c r="AL32" s="236">
        <v>0.9212</v>
      </c>
      <c r="AM32" s="236">
        <v>0.0</v>
      </c>
      <c r="AN32" s="153">
        <v>0.0</v>
      </c>
      <c r="AO32" s="153">
        <v>0.0</v>
      </c>
      <c r="AP32" s="153">
        <v>0.0</v>
      </c>
      <c r="AQ32" s="153">
        <v>0.0597</v>
      </c>
      <c r="AR32" s="153">
        <v>0.0072</v>
      </c>
      <c r="AS32" s="153">
        <v>0.0525</v>
      </c>
      <c r="AT32" s="153">
        <v>0.0239</v>
      </c>
      <c r="AU32" s="153">
        <v>0.3448</v>
      </c>
      <c r="AV32" s="153">
        <v>838.0</v>
      </c>
      <c r="AW32" s="153">
        <v>0.0</v>
      </c>
      <c r="AX32" s="153">
        <v>0.35</v>
      </c>
      <c r="AY32" s="153">
        <v>0.12</v>
      </c>
      <c r="AZ32" s="153">
        <v>0.0</v>
      </c>
      <c r="BA32" s="153">
        <v>0.0</v>
      </c>
      <c r="BB32" s="153">
        <v>0.0</v>
      </c>
      <c r="BD32" s="153">
        <v>290.0</v>
      </c>
      <c r="BE32" s="153">
        <v>0.0489</v>
      </c>
      <c r="BF32" s="153">
        <v>0.0072</v>
      </c>
      <c r="BG32" s="153">
        <v>0.0418</v>
      </c>
      <c r="BH32" s="153">
        <v>0.0227</v>
      </c>
      <c r="BI32" s="153">
        <v>0.3276</v>
      </c>
      <c r="BJ32" s="153">
        <v>0.0107</v>
      </c>
      <c r="BK32" s="153">
        <v>0.0</v>
      </c>
      <c r="BL32" s="153">
        <v>0.0107</v>
      </c>
      <c r="BM32" s="153">
        <v>0.0012</v>
      </c>
      <c r="BN32" s="153">
        <v>0.0172</v>
      </c>
      <c r="BO32" s="153">
        <v>0.0084</v>
      </c>
      <c r="BP32" s="153">
        <v>0.0036</v>
      </c>
      <c r="BQ32" s="153">
        <v>0.0048</v>
      </c>
      <c r="BR32" s="153">
        <v>0.0084</v>
      </c>
      <c r="BS32" s="153">
        <v>0.0286</v>
      </c>
      <c r="BT32" s="153">
        <v>0.0036</v>
      </c>
      <c r="BU32" s="153">
        <v>0.0251</v>
      </c>
      <c r="BV32" s="153">
        <v>0.0084</v>
      </c>
      <c r="BW32" s="153">
        <v>0.0119</v>
      </c>
      <c r="BX32" s="153">
        <v>0.0</v>
      </c>
      <c r="BY32" s="153">
        <v>0.0119</v>
      </c>
      <c r="BZ32" s="153">
        <v>0.006</v>
      </c>
      <c r="CA32" s="153">
        <v>0.0</v>
      </c>
      <c r="CB32" s="153">
        <v>0.0</v>
      </c>
      <c r="CC32" s="153">
        <v>0.0</v>
      </c>
      <c r="CD32" s="153">
        <v>0.0</v>
      </c>
      <c r="CE32" s="153">
        <v>0.0095</v>
      </c>
      <c r="CF32" s="153">
        <v>0.0</v>
      </c>
      <c r="CG32" s="153">
        <v>0.0095</v>
      </c>
      <c r="CH32" s="153">
        <v>0.0012</v>
      </c>
      <c r="CI32" s="153">
        <v>0.0012</v>
      </c>
      <c r="CJ32" s="153">
        <v>0.0</v>
      </c>
      <c r="CK32" s="153">
        <v>0.0012</v>
      </c>
      <c r="CL32" s="153">
        <v>0.0</v>
      </c>
      <c r="CM32" s="153">
        <v>0.12</v>
      </c>
      <c r="CN32" s="153">
        <v>0.24</v>
      </c>
      <c r="CO32" s="153">
        <v>50.0</v>
      </c>
      <c r="CP32" s="153">
        <v>0.0</v>
      </c>
      <c r="CQ32" s="153">
        <v>0.0</v>
      </c>
      <c r="CR32" s="153">
        <v>0.0</v>
      </c>
      <c r="CS32" s="153">
        <v>0.12</v>
      </c>
      <c r="CT32" s="153">
        <v>0.0</v>
      </c>
      <c r="CU32" s="153">
        <v>0.0</v>
      </c>
      <c r="CV32" s="153">
        <v>0.0</v>
      </c>
      <c r="CW32" s="153">
        <v>0.47</v>
      </c>
      <c r="CX32" s="153">
        <v>0.0</v>
      </c>
      <c r="CY32" s="153">
        <v>0.0</v>
      </c>
      <c r="CZ32" s="153">
        <v>0.7</v>
      </c>
      <c r="DA32" s="153">
        <v>0.0</v>
      </c>
      <c r="DB32" s="153">
        <v>0.7</v>
      </c>
      <c r="DC32" s="153">
        <v>0.57</v>
      </c>
      <c r="DD32" s="153">
        <v>0.0</v>
      </c>
      <c r="DE32" s="153">
        <v>0.57</v>
      </c>
      <c r="DF32" s="153">
        <v>0.06</v>
      </c>
      <c r="DG32" s="153">
        <v>0.0</v>
      </c>
      <c r="DH32" s="153">
        <v>0.06</v>
      </c>
      <c r="DI32" s="153">
        <v>0.06</v>
      </c>
      <c r="DJ32" s="153">
        <v>0.0</v>
      </c>
      <c r="DK32" s="153">
        <v>0.06</v>
      </c>
      <c r="DL32" s="153">
        <v>0.01</v>
      </c>
      <c r="DM32" s="153">
        <v>0.0</v>
      </c>
      <c r="DN32" s="153">
        <v>0.01</v>
      </c>
    </row>
    <row r="33">
      <c r="A33" s="235">
        <v>46257.0</v>
      </c>
      <c r="B33" s="236" t="s">
        <v>5</v>
      </c>
      <c r="C33" s="236" t="s">
        <v>133</v>
      </c>
      <c r="D33" s="236">
        <v>1433.0</v>
      </c>
      <c r="E33" s="236">
        <v>36.99</v>
      </c>
      <c r="F33" s="236">
        <v>0.0</v>
      </c>
      <c r="G33" s="236">
        <v>0.0</v>
      </c>
      <c r="H33" s="236">
        <v>0.0</v>
      </c>
      <c r="I33" s="236"/>
      <c r="J33" s="236">
        <v>5.06</v>
      </c>
      <c r="K33" s="236">
        <v>4.27</v>
      </c>
      <c r="L33" s="236">
        <v>4.03</v>
      </c>
      <c r="M33" s="236">
        <v>0.9436</v>
      </c>
      <c r="N33" s="236">
        <v>0.061</v>
      </c>
      <c r="O33" s="236">
        <v>0.0472</v>
      </c>
      <c r="P33" s="236">
        <v>1.0598</v>
      </c>
      <c r="Q33" s="236">
        <v>5.53</v>
      </c>
      <c r="R33" s="236">
        <v>4.99</v>
      </c>
      <c r="S33" s="236">
        <v>0.54</v>
      </c>
      <c r="T33" s="236">
        <v>0.0</v>
      </c>
      <c r="U33" s="236">
        <v>5.53</v>
      </c>
      <c r="V33" s="236">
        <v>5.55</v>
      </c>
      <c r="W33" s="236">
        <v>1.2997</v>
      </c>
      <c r="X33" s="236">
        <v>0.0</v>
      </c>
      <c r="Y33" s="236">
        <v>200.0</v>
      </c>
      <c r="Z33" s="236">
        <v>200.0</v>
      </c>
      <c r="AA33" s="236">
        <v>228.0</v>
      </c>
      <c r="AB33" s="236">
        <v>49.9668</v>
      </c>
      <c r="AC33" s="236">
        <v>0.8176</v>
      </c>
      <c r="AD33" s="236">
        <v>3.87</v>
      </c>
      <c r="AE33" s="236">
        <v>2.0</v>
      </c>
      <c r="AF33" s="236">
        <v>3.0</v>
      </c>
      <c r="AG33" s="236">
        <v>5.0</v>
      </c>
      <c r="AH33" s="236">
        <v>8.0</v>
      </c>
      <c r="AI33" s="236">
        <v>79.55</v>
      </c>
      <c r="AJ33" s="236">
        <v>38.66</v>
      </c>
      <c r="AK33" s="236">
        <v>1.12</v>
      </c>
      <c r="AL33" s="236">
        <v>0.8842</v>
      </c>
      <c r="AM33" s="236">
        <v>0.0</v>
      </c>
      <c r="AN33" s="153">
        <v>0.0</v>
      </c>
      <c r="AO33" s="153">
        <v>0.0</v>
      </c>
      <c r="AP33" s="153">
        <v>0.0</v>
      </c>
      <c r="AQ33" s="153">
        <v>0.3901</v>
      </c>
      <c r="AR33" s="153">
        <v>0.0314</v>
      </c>
      <c r="AS33" s="153">
        <v>0.3587</v>
      </c>
      <c r="AT33" s="153">
        <v>0.5443</v>
      </c>
      <c r="AU33" s="153">
        <v>0.1275</v>
      </c>
      <c r="AV33" s="153">
        <v>1433.0</v>
      </c>
      <c r="AW33" s="153">
        <v>0.0</v>
      </c>
      <c r="AX33" s="153">
        <v>5.53</v>
      </c>
      <c r="AY33" s="153">
        <v>0.0</v>
      </c>
      <c r="AZ33" s="153">
        <v>0.0</v>
      </c>
      <c r="BA33" s="153">
        <v>0.0</v>
      </c>
      <c r="BB33" s="153">
        <v>0.0</v>
      </c>
      <c r="BC33" s="153">
        <v>10.0</v>
      </c>
      <c r="BD33" s="153">
        <v>265.0</v>
      </c>
      <c r="BE33" s="153">
        <v>0.3699</v>
      </c>
      <c r="BF33" s="153">
        <v>0.0314</v>
      </c>
      <c r="BG33" s="153">
        <v>0.3385</v>
      </c>
      <c r="BH33" s="153">
        <v>0.5394</v>
      </c>
      <c r="BI33" s="153">
        <v>0.1264</v>
      </c>
      <c r="BJ33" s="153">
        <v>0.0202</v>
      </c>
      <c r="BK33" s="153">
        <v>0.0</v>
      </c>
      <c r="BL33" s="153">
        <v>0.0202</v>
      </c>
      <c r="BM33" s="153">
        <v>0.0049</v>
      </c>
      <c r="BN33" s="153">
        <v>0.0011</v>
      </c>
      <c r="BO33" s="153">
        <v>0.037</v>
      </c>
      <c r="BP33" s="153">
        <v>0.023</v>
      </c>
      <c r="BQ33" s="153">
        <v>0.014</v>
      </c>
      <c r="BR33" s="153">
        <v>0.2484</v>
      </c>
      <c r="BS33" s="153">
        <v>0.2645</v>
      </c>
      <c r="BT33" s="153">
        <v>0.0</v>
      </c>
      <c r="BU33" s="153">
        <v>0.2645</v>
      </c>
      <c r="BV33" s="153">
        <v>0.1486</v>
      </c>
      <c r="BW33" s="153">
        <v>0.0684</v>
      </c>
      <c r="BX33" s="153">
        <v>0.0084</v>
      </c>
      <c r="BY33" s="153">
        <v>0.06</v>
      </c>
      <c r="BZ33" s="153">
        <v>0.1424</v>
      </c>
      <c r="CA33" s="153">
        <v>0.0</v>
      </c>
      <c r="CB33" s="153">
        <v>0.0</v>
      </c>
      <c r="CC33" s="153">
        <v>0.0</v>
      </c>
      <c r="CD33" s="153">
        <v>7.0E-4</v>
      </c>
      <c r="CE33" s="153">
        <v>0.0195</v>
      </c>
      <c r="CF33" s="153">
        <v>0.0</v>
      </c>
      <c r="CG33" s="153">
        <v>0.0195</v>
      </c>
      <c r="CH33" s="153">
        <v>0.0021</v>
      </c>
      <c r="CI33" s="153">
        <v>7.0E-4</v>
      </c>
      <c r="CJ33" s="153">
        <v>0.0</v>
      </c>
      <c r="CK33" s="153">
        <v>7.0E-4</v>
      </c>
      <c r="CL33" s="153">
        <v>0.0021</v>
      </c>
      <c r="CM33" s="153">
        <v>0.04</v>
      </c>
      <c r="CN33" s="153">
        <v>0.35</v>
      </c>
      <c r="CO33" s="153">
        <v>12.8</v>
      </c>
      <c r="CP33" s="153">
        <v>0.04</v>
      </c>
      <c r="CQ33" s="153">
        <v>0.0</v>
      </c>
      <c r="CR33" s="153">
        <v>0.0</v>
      </c>
      <c r="CS33" s="153">
        <v>0.0</v>
      </c>
      <c r="CT33" s="153">
        <v>0.0</v>
      </c>
      <c r="CU33" s="153">
        <v>13.0</v>
      </c>
      <c r="CV33" s="153">
        <v>0.0</v>
      </c>
      <c r="CW33" s="153">
        <v>5.53</v>
      </c>
      <c r="CX33" s="153">
        <v>0.0</v>
      </c>
      <c r="CY33" s="153">
        <v>0.0</v>
      </c>
      <c r="CZ33" s="153">
        <v>2.2</v>
      </c>
      <c r="DA33" s="153">
        <v>0.0</v>
      </c>
      <c r="DB33" s="153">
        <v>2.2</v>
      </c>
      <c r="DC33" s="153">
        <v>2.2</v>
      </c>
      <c r="DD33" s="153">
        <v>0.0</v>
      </c>
      <c r="DE33" s="153">
        <v>2.2</v>
      </c>
      <c r="DF33" s="153">
        <v>0.0</v>
      </c>
      <c r="DG33" s="153">
        <v>0.0</v>
      </c>
      <c r="DH33" s="153">
        <v>0.0</v>
      </c>
      <c r="DI33" s="153">
        <v>0.0</v>
      </c>
      <c r="DJ33" s="153">
        <v>0.0</v>
      </c>
      <c r="DK33" s="153">
        <v>0.0</v>
      </c>
      <c r="DL33" s="153">
        <v>0.0</v>
      </c>
      <c r="DM33" s="153">
        <v>0.0</v>
      </c>
      <c r="DN33" s="153">
        <v>0.0</v>
      </c>
    </row>
    <row r="34">
      <c r="A34" s="235">
        <v>46257.0</v>
      </c>
      <c r="B34" s="236" t="s">
        <v>5</v>
      </c>
      <c r="C34" s="236" t="s">
        <v>134</v>
      </c>
      <c r="D34" s="236">
        <v>654.0</v>
      </c>
      <c r="E34" s="236">
        <v>16.88</v>
      </c>
      <c r="F34" s="236">
        <v>0.0</v>
      </c>
      <c r="G34" s="236">
        <v>0.0</v>
      </c>
      <c r="H34" s="236">
        <v>0.0</v>
      </c>
      <c r="I34" s="236"/>
      <c r="J34" s="236">
        <v>15.74</v>
      </c>
      <c r="K34" s="236">
        <v>13.58</v>
      </c>
      <c r="L34" s="236">
        <v>12.59</v>
      </c>
      <c r="M34" s="236">
        <v>0.9267</v>
      </c>
      <c r="N34" s="236">
        <v>0.0868</v>
      </c>
      <c r="O34" s="236">
        <v>0.0639</v>
      </c>
      <c r="P34" s="236">
        <v>1.0791</v>
      </c>
      <c r="Q34" s="236">
        <v>40.15</v>
      </c>
      <c r="R34" s="236">
        <v>31.77</v>
      </c>
      <c r="S34" s="236">
        <v>8.39</v>
      </c>
      <c r="T34" s="236">
        <v>0.0</v>
      </c>
      <c r="U34" s="236">
        <v>40.15</v>
      </c>
      <c r="V34" s="236">
        <v>42.89</v>
      </c>
      <c r="W34" s="236">
        <v>3.1581</v>
      </c>
      <c r="X34" s="236">
        <v>0.0</v>
      </c>
      <c r="Y34" s="236">
        <v>237.0</v>
      </c>
      <c r="Z34" s="236">
        <v>254.0</v>
      </c>
      <c r="AA34" s="236">
        <v>299.0</v>
      </c>
      <c r="AB34" s="236">
        <v>49.6641</v>
      </c>
      <c r="AC34" s="236">
        <v>0.8683</v>
      </c>
      <c r="AD34" s="236">
        <v>11.54</v>
      </c>
      <c r="AE34" s="236">
        <v>9.0</v>
      </c>
      <c r="AF34" s="236">
        <v>11.0</v>
      </c>
      <c r="AG34" s="236">
        <v>15.0</v>
      </c>
      <c r="AH34" s="236">
        <v>17.0</v>
      </c>
      <c r="AI34" s="236">
        <v>89.76</v>
      </c>
      <c r="AJ34" s="236">
        <v>40.06</v>
      </c>
      <c r="AK34" s="236">
        <v>0.46</v>
      </c>
      <c r="AL34" s="236">
        <v>0.6988</v>
      </c>
      <c r="AM34" s="236">
        <v>0.0</v>
      </c>
      <c r="AN34" s="153">
        <v>0.0</v>
      </c>
      <c r="AO34" s="153">
        <v>0.0</v>
      </c>
      <c r="AP34" s="153">
        <v>0.0</v>
      </c>
      <c r="AQ34" s="153">
        <v>2.474</v>
      </c>
      <c r="AR34" s="153">
        <v>0.3624</v>
      </c>
      <c r="AS34" s="153">
        <v>2.1116</v>
      </c>
      <c r="AT34" s="153">
        <v>3.4572</v>
      </c>
      <c r="AU34" s="153">
        <v>0.2546</v>
      </c>
      <c r="AV34" s="153">
        <v>654.0</v>
      </c>
      <c r="AW34" s="153">
        <v>0.0</v>
      </c>
      <c r="AX34" s="153">
        <v>38.47</v>
      </c>
      <c r="AY34" s="153">
        <v>1.23</v>
      </c>
      <c r="AZ34" s="153">
        <v>0.11</v>
      </c>
      <c r="BA34" s="153">
        <v>0.0</v>
      </c>
      <c r="BB34" s="153">
        <v>0.34</v>
      </c>
      <c r="BC34" s="153">
        <v>23.0</v>
      </c>
      <c r="BD34" s="153">
        <v>405.0</v>
      </c>
      <c r="BE34" s="153">
        <v>2.2492</v>
      </c>
      <c r="BF34" s="153">
        <v>0.3532</v>
      </c>
      <c r="BG34" s="153">
        <v>1.896</v>
      </c>
      <c r="BH34" s="153">
        <v>3.1223</v>
      </c>
      <c r="BI34" s="153">
        <v>0.2299</v>
      </c>
      <c r="BJ34" s="153">
        <v>0.2248</v>
      </c>
      <c r="BK34" s="153">
        <v>0.0092</v>
      </c>
      <c r="BL34" s="153">
        <v>0.2156</v>
      </c>
      <c r="BM34" s="153">
        <v>0.3349</v>
      </c>
      <c r="BN34" s="153">
        <v>0.0247</v>
      </c>
      <c r="BO34" s="153">
        <v>0.4817</v>
      </c>
      <c r="BP34" s="153">
        <v>0.1697</v>
      </c>
      <c r="BQ34" s="153">
        <v>0.3119</v>
      </c>
      <c r="BR34" s="153">
        <v>1.2232</v>
      </c>
      <c r="BS34" s="153">
        <v>1.1468</v>
      </c>
      <c r="BT34" s="153">
        <v>0.0642</v>
      </c>
      <c r="BU34" s="153">
        <v>1.0826</v>
      </c>
      <c r="BV34" s="153">
        <v>0.9633</v>
      </c>
      <c r="BW34" s="153">
        <v>0.6208</v>
      </c>
      <c r="BX34" s="153">
        <v>0.1193</v>
      </c>
      <c r="BY34" s="153">
        <v>0.5015</v>
      </c>
      <c r="BZ34" s="153">
        <v>0.9358</v>
      </c>
      <c r="CA34" s="153">
        <v>0.0107</v>
      </c>
      <c r="CB34" s="153">
        <v>0.0</v>
      </c>
      <c r="CC34" s="153">
        <v>0.0107</v>
      </c>
      <c r="CD34" s="153">
        <v>0.0933</v>
      </c>
      <c r="CE34" s="153">
        <v>0.1697</v>
      </c>
      <c r="CF34" s="153">
        <v>0.0092</v>
      </c>
      <c r="CG34" s="153">
        <v>0.1606</v>
      </c>
      <c r="CH34" s="153">
        <v>0.133</v>
      </c>
      <c r="CI34" s="153">
        <v>0.0443</v>
      </c>
      <c r="CJ34" s="153">
        <v>0.0</v>
      </c>
      <c r="CK34" s="153">
        <v>0.0443</v>
      </c>
      <c r="CL34" s="153">
        <v>0.1086</v>
      </c>
      <c r="CM34" s="153">
        <v>13.92</v>
      </c>
      <c r="CN34" s="153">
        <v>19.42</v>
      </c>
      <c r="CO34" s="153">
        <v>71.69</v>
      </c>
      <c r="CP34" s="153">
        <v>11.16</v>
      </c>
      <c r="CQ34" s="153">
        <v>0.0</v>
      </c>
      <c r="CR34" s="153">
        <v>1.47</v>
      </c>
      <c r="CS34" s="153">
        <v>1.29</v>
      </c>
      <c r="CT34" s="153">
        <v>0.0</v>
      </c>
      <c r="CU34" s="153">
        <v>24.0</v>
      </c>
      <c r="CV34" s="153">
        <v>0.0</v>
      </c>
      <c r="CW34" s="153">
        <v>40.15</v>
      </c>
      <c r="CX34" s="153">
        <v>0.0</v>
      </c>
      <c r="CY34" s="153">
        <v>0.0</v>
      </c>
      <c r="CZ34" s="153">
        <v>28.77</v>
      </c>
      <c r="DA34" s="153">
        <v>0.0</v>
      </c>
      <c r="DB34" s="153">
        <v>28.77</v>
      </c>
      <c r="DC34" s="153">
        <v>27.55</v>
      </c>
      <c r="DD34" s="153">
        <v>0.0</v>
      </c>
      <c r="DE34" s="153">
        <v>27.55</v>
      </c>
      <c r="DF34" s="153">
        <v>0.61</v>
      </c>
      <c r="DG34" s="153">
        <v>0.0</v>
      </c>
      <c r="DH34" s="153">
        <v>0.61</v>
      </c>
      <c r="DI34" s="153">
        <v>0.6</v>
      </c>
      <c r="DJ34" s="153">
        <v>0.0</v>
      </c>
      <c r="DK34" s="153">
        <v>0.6</v>
      </c>
      <c r="DL34" s="153">
        <v>0.0</v>
      </c>
      <c r="DM34" s="153">
        <v>0.0</v>
      </c>
      <c r="DN34" s="153">
        <v>0.0</v>
      </c>
    </row>
    <row r="35">
      <c r="A35" s="235">
        <v>46257.0</v>
      </c>
      <c r="B35" s="236" t="s">
        <v>5</v>
      </c>
      <c r="C35" s="236" t="s">
        <v>135</v>
      </c>
      <c r="D35" s="236">
        <v>504.0</v>
      </c>
      <c r="E35" s="236">
        <v>13.01</v>
      </c>
      <c r="F35" s="236">
        <v>2.99</v>
      </c>
      <c r="G35" s="236">
        <v>0.0059</v>
      </c>
      <c r="H35" s="236">
        <v>0.2</v>
      </c>
      <c r="I35" s="236">
        <v>2.99</v>
      </c>
      <c r="J35" s="236">
        <v>36.4</v>
      </c>
      <c r="K35" s="236">
        <v>29.28</v>
      </c>
      <c r="L35" s="236">
        <v>25.36</v>
      </c>
      <c r="M35" s="236">
        <v>0.8659</v>
      </c>
      <c r="N35" s="236">
        <v>0.1616</v>
      </c>
      <c r="O35" s="236">
        <v>0.1046</v>
      </c>
      <c r="P35" s="236">
        <v>1.1549</v>
      </c>
      <c r="Q35" s="236">
        <v>101.38</v>
      </c>
      <c r="R35" s="236">
        <v>85.89</v>
      </c>
      <c r="S35" s="236">
        <v>15.49</v>
      </c>
      <c r="T35" s="236">
        <v>0.0</v>
      </c>
      <c r="U35" s="236">
        <v>101.38</v>
      </c>
      <c r="V35" s="236">
        <v>92.46</v>
      </c>
      <c r="W35" s="236">
        <v>3.1576</v>
      </c>
      <c r="X35" s="236">
        <v>0.0</v>
      </c>
      <c r="Y35" s="236">
        <v>271.0</v>
      </c>
      <c r="Z35" s="236">
        <v>340.0</v>
      </c>
      <c r="AA35" s="236">
        <v>408.0</v>
      </c>
      <c r="AB35" s="236">
        <v>50.4225</v>
      </c>
      <c r="AC35" s="236">
        <v>0.9037</v>
      </c>
      <c r="AD35" s="236">
        <v>19.36</v>
      </c>
      <c r="AE35" s="236">
        <v>11.0</v>
      </c>
      <c r="AF35" s="236">
        <v>19.0</v>
      </c>
      <c r="AG35" s="236">
        <v>27.0</v>
      </c>
      <c r="AH35" s="236">
        <v>32.0</v>
      </c>
      <c r="AI35" s="236">
        <v>76.79</v>
      </c>
      <c r="AJ35" s="236">
        <v>29.17</v>
      </c>
      <c r="AK35" s="236">
        <v>1.59</v>
      </c>
      <c r="AL35" s="236">
        <v>0.5119</v>
      </c>
      <c r="AM35" s="236">
        <v>2.18</v>
      </c>
      <c r="AN35" s="153">
        <v>2.18</v>
      </c>
      <c r="AO35" s="153">
        <v>0.99</v>
      </c>
      <c r="AP35" s="153">
        <v>0.6</v>
      </c>
      <c r="AQ35" s="153">
        <v>6.4921</v>
      </c>
      <c r="AR35" s="153">
        <v>0.1845</v>
      </c>
      <c r="AS35" s="153">
        <v>6.3075</v>
      </c>
      <c r="AT35" s="153">
        <v>4.5992</v>
      </c>
      <c r="AU35" s="153">
        <v>0.1571</v>
      </c>
      <c r="AV35" s="153">
        <v>504.0</v>
      </c>
      <c r="AW35" s="153">
        <v>0.0</v>
      </c>
      <c r="AX35" s="153">
        <v>87.66</v>
      </c>
      <c r="AY35" s="153">
        <v>11.86</v>
      </c>
      <c r="AZ35" s="153">
        <v>0.53</v>
      </c>
      <c r="BA35" s="153">
        <v>0.0</v>
      </c>
      <c r="BB35" s="153">
        <v>1.34</v>
      </c>
      <c r="BC35" s="153">
        <v>45.0</v>
      </c>
      <c r="BD35" s="153">
        <v>635.0</v>
      </c>
      <c r="BE35" s="153">
        <v>5.0139</v>
      </c>
      <c r="BF35" s="153">
        <v>0.1429</v>
      </c>
      <c r="BG35" s="153">
        <v>4.871</v>
      </c>
      <c r="BH35" s="153">
        <v>2.6825</v>
      </c>
      <c r="BI35" s="153">
        <v>0.0916</v>
      </c>
      <c r="BJ35" s="153">
        <v>1.4782</v>
      </c>
      <c r="BK35" s="153">
        <v>0.0417</v>
      </c>
      <c r="BL35" s="153">
        <v>1.4365</v>
      </c>
      <c r="BM35" s="153">
        <v>1.9167</v>
      </c>
      <c r="BN35" s="153">
        <v>0.0655</v>
      </c>
      <c r="BO35" s="153">
        <v>1.5179</v>
      </c>
      <c r="BP35" s="153">
        <v>0.0774</v>
      </c>
      <c r="BQ35" s="153">
        <v>1.4405</v>
      </c>
      <c r="BR35" s="153">
        <v>1.0952</v>
      </c>
      <c r="BS35" s="153">
        <v>2.1667</v>
      </c>
      <c r="BT35" s="153">
        <v>0.0298</v>
      </c>
      <c r="BU35" s="153">
        <v>2.1369</v>
      </c>
      <c r="BV35" s="153">
        <v>0.8353</v>
      </c>
      <c r="BW35" s="153">
        <v>1.3294</v>
      </c>
      <c r="BX35" s="153">
        <v>0.0357</v>
      </c>
      <c r="BY35" s="153">
        <v>1.2937</v>
      </c>
      <c r="BZ35" s="153">
        <v>0.752</v>
      </c>
      <c r="CA35" s="153">
        <v>0.1627</v>
      </c>
      <c r="CB35" s="153">
        <v>0.0</v>
      </c>
      <c r="CC35" s="153">
        <v>0.1627</v>
      </c>
      <c r="CD35" s="153">
        <v>0.498</v>
      </c>
      <c r="CE35" s="153">
        <v>0.6885</v>
      </c>
      <c r="CF35" s="153">
        <v>0.0119</v>
      </c>
      <c r="CG35" s="153">
        <v>0.6766</v>
      </c>
      <c r="CH35" s="153">
        <v>0.6091</v>
      </c>
      <c r="CI35" s="153">
        <v>0.627</v>
      </c>
      <c r="CJ35" s="153">
        <v>0.0298</v>
      </c>
      <c r="CK35" s="153">
        <v>0.5972</v>
      </c>
      <c r="CL35" s="153">
        <v>0.8095</v>
      </c>
      <c r="CM35" s="153">
        <v>108.91</v>
      </c>
      <c r="CN35" s="153">
        <v>73.61</v>
      </c>
      <c r="CO35" s="153">
        <v>147.96</v>
      </c>
      <c r="CP35" s="153">
        <v>91.69</v>
      </c>
      <c r="CQ35" s="153">
        <v>0.0</v>
      </c>
      <c r="CR35" s="153">
        <v>6.75</v>
      </c>
      <c r="CS35" s="153">
        <v>10.48</v>
      </c>
      <c r="CT35" s="153">
        <v>0.0</v>
      </c>
      <c r="CU35" s="153">
        <v>73.0</v>
      </c>
      <c r="CV35" s="153">
        <v>0.0</v>
      </c>
      <c r="CW35" s="153">
        <v>101.38</v>
      </c>
      <c r="CX35" s="153">
        <v>0.0</v>
      </c>
      <c r="CY35" s="153">
        <v>0.0</v>
      </c>
      <c r="CZ35" s="153">
        <v>101.47</v>
      </c>
      <c r="DA35" s="153">
        <v>0.0</v>
      </c>
      <c r="DB35" s="153">
        <v>101.47</v>
      </c>
      <c r="DC35" s="153">
        <v>94.72</v>
      </c>
      <c r="DD35" s="153">
        <v>0.0</v>
      </c>
      <c r="DE35" s="153">
        <v>94.72</v>
      </c>
      <c r="DF35" s="153">
        <v>3.41</v>
      </c>
      <c r="DG35" s="153">
        <v>0.0</v>
      </c>
      <c r="DH35" s="153">
        <v>3.41</v>
      </c>
      <c r="DI35" s="153">
        <v>3.08</v>
      </c>
      <c r="DJ35" s="153">
        <v>0.0</v>
      </c>
      <c r="DK35" s="153">
        <v>3.08</v>
      </c>
      <c r="DL35" s="153">
        <v>0.26</v>
      </c>
      <c r="DM35" s="153">
        <v>0.0</v>
      </c>
      <c r="DN35" s="153">
        <v>0.26</v>
      </c>
    </row>
    <row r="36">
      <c r="A36" s="235">
        <v>46257.0</v>
      </c>
      <c r="B36" s="236" t="s">
        <v>5</v>
      </c>
      <c r="C36" s="236" t="s">
        <v>136</v>
      </c>
      <c r="D36" s="236">
        <v>354.0</v>
      </c>
      <c r="E36" s="236">
        <v>9.14</v>
      </c>
      <c r="F36" s="236">
        <v>6.64</v>
      </c>
      <c r="G36" s="236">
        <v>0.0188</v>
      </c>
      <c r="H36" s="236">
        <v>0.85</v>
      </c>
      <c r="I36" s="236">
        <v>2.2133</v>
      </c>
      <c r="J36" s="236">
        <v>87.96</v>
      </c>
      <c r="K36" s="236">
        <v>62.94</v>
      </c>
      <c r="L36" s="236">
        <v>52.47</v>
      </c>
      <c r="M36" s="236">
        <v>0.8337</v>
      </c>
      <c r="N36" s="236">
        <v>0.203</v>
      </c>
      <c r="O36" s="236">
        <v>0.1344</v>
      </c>
      <c r="P36" s="236">
        <v>1.1995</v>
      </c>
      <c r="Q36" s="236">
        <v>249.21</v>
      </c>
      <c r="R36" s="236">
        <v>210.45</v>
      </c>
      <c r="S36" s="236">
        <v>38.76</v>
      </c>
      <c r="T36" s="236">
        <v>1.98</v>
      </c>
      <c r="U36" s="236">
        <v>247.23</v>
      </c>
      <c r="V36" s="236">
        <v>227.54</v>
      </c>
      <c r="W36" s="236">
        <v>3.6154</v>
      </c>
      <c r="X36" s="236">
        <v>0.79</v>
      </c>
      <c r="Y36" s="236">
        <v>341.0</v>
      </c>
      <c r="Z36" s="236">
        <v>431.0</v>
      </c>
      <c r="AA36" s="236">
        <v>584.0</v>
      </c>
      <c r="AB36" s="236">
        <v>52.104</v>
      </c>
      <c r="AC36" s="236">
        <v>0.8419</v>
      </c>
      <c r="AD36" s="236">
        <v>30.84</v>
      </c>
      <c r="AE36" s="236">
        <v>15.0</v>
      </c>
      <c r="AF36" s="236">
        <v>29.0</v>
      </c>
      <c r="AG36" s="236">
        <v>44.0</v>
      </c>
      <c r="AH36" s="236">
        <v>54.0</v>
      </c>
      <c r="AI36" s="236">
        <v>52.26</v>
      </c>
      <c r="AJ36" s="236">
        <v>6.5</v>
      </c>
      <c r="AK36" s="236">
        <v>0.28</v>
      </c>
      <c r="AL36" s="236">
        <v>0.3333</v>
      </c>
      <c r="AM36" s="236">
        <v>29.94</v>
      </c>
      <c r="AN36" s="153">
        <v>29.94</v>
      </c>
      <c r="AO36" s="153">
        <v>25.42</v>
      </c>
      <c r="AP36" s="153">
        <v>16.38</v>
      </c>
      <c r="AQ36" s="153">
        <v>14.2881</v>
      </c>
      <c r="AR36" s="153">
        <v>0.0593</v>
      </c>
      <c r="AS36" s="153">
        <v>14.2288</v>
      </c>
      <c r="AT36" s="153">
        <v>9.7458</v>
      </c>
      <c r="AU36" s="153">
        <v>0.1548</v>
      </c>
      <c r="AV36" s="153">
        <v>354.0</v>
      </c>
      <c r="AW36" s="153">
        <v>0.0</v>
      </c>
      <c r="AX36" s="153">
        <v>182.97</v>
      </c>
      <c r="AY36" s="153">
        <v>53.77</v>
      </c>
      <c r="AZ36" s="153">
        <v>1.84</v>
      </c>
      <c r="BA36" s="153">
        <v>1.98</v>
      </c>
      <c r="BB36" s="153">
        <v>8.66</v>
      </c>
      <c r="BC36" s="153">
        <v>85.0</v>
      </c>
      <c r="BD36" s="153">
        <v>940.0</v>
      </c>
      <c r="BE36" s="153">
        <v>9.5706</v>
      </c>
      <c r="BF36" s="153">
        <v>0.0424</v>
      </c>
      <c r="BG36" s="153">
        <v>9.5282</v>
      </c>
      <c r="BH36" s="153">
        <v>4.887</v>
      </c>
      <c r="BI36" s="153">
        <v>0.0776</v>
      </c>
      <c r="BJ36" s="153">
        <v>4.7175</v>
      </c>
      <c r="BK36" s="153">
        <v>0.0169</v>
      </c>
      <c r="BL36" s="153">
        <v>4.7006</v>
      </c>
      <c r="BM36" s="153">
        <v>4.8588</v>
      </c>
      <c r="BN36" s="153">
        <v>0.0772</v>
      </c>
      <c r="BO36" s="153">
        <v>3.065</v>
      </c>
      <c r="BP36" s="153">
        <v>0.0339</v>
      </c>
      <c r="BQ36" s="153">
        <v>3.0311</v>
      </c>
      <c r="BR36" s="153">
        <v>1.678</v>
      </c>
      <c r="BS36" s="153">
        <v>4.1977</v>
      </c>
      <c r="BT36" s="153">
        <v>0.0085</v>
      </c>
      <c r="BU36" s="153">
        <v>4.1893</v>
      </c>
      <c r="BV36" s="153">
        <v>1.8418</v>
      </c>
      <c r="BW36" s="153">
        <v>2.3079</v>
      </c>
      <c r="BX36" s="153">
        <v>0.0</v>
      </c>
      <c r="BY36" s="153">
        <v>2.3079</v>
      </c>
      <c r="BZ36" s="153">
        <v>1.3672</v>
      </c>
      <c r="CA36" s="153">
        <v>0.6384</v>
      </c>
      <c r="CB36" s="153">
        <v>0.0</v>
      </c>
      <c r="CC36" s="153">
        <v>0.6384</v>
      </c>
      <c r="CD36" s="153">
        <v>1.1723</v>
      </c>
      <c r="CE36" s="153">
        <v>1.8644</v>
      </c>
      <c r="CF36" s="153">
        <v>0.0085</v>
      </c>
      <c r="CG36" s="153">
        <v>1.8559</v>
      </c>
      <c r="CH36" s="153">
        <v>1.5085</v>
      </c>
      <c r="CI36" s="153">
        <v>2.2147</v>
      </c>
      <c r="CJ36" s="153">
        <v>0.0085</v>
      </c>
      <c r="CK36" s="153">
        <v>2.2062</v>
      </c>
      <c r="CL36" s="153">
        <v>2.178</v>
      </c>
      <c r="CM36" s="153">
        <v>391.4</v>
      </c>
      <c r="CN36" s="153">
        <v>96.61</v>
      </c>
      <c r="CO36" s="153">
        <v>405.14</v>
      </c>
      <c r="CP36" s="153">
        <v>346.43</v>
      </c>
      <c r="CQ36" s="153">
        <v>0.0</v>
      </c>
      <c r="CR36" s="153">
        <v>16.27</v>
      </c>
      <c r="CS36" s="153">
        <v>28.7</v>
      </c>
      <c r="CT36" s="153">
        <v>0.0</v>
      </c>
      <c r="CU36" s="153">
        <v>129.0</v>
      </c>
      <c r="CV36" s="153">
        <v>0.0</v>
      </c>
      <c r="CW36" s="153">
        <v>249.21</v>
      </c>
      <c r="CX36" s="153">
        <v>0.0</v>
      </c>
      <c r="CY36" s="153">
        <v>0.0</v>
      </c>
      <c r="CZ36" s="153">
        <v>293.71</v>
      </c>
      <c r="DA36" s="153">
        <v>0.23</v>
      </c>
      <c r="DB36" s="153">
        <v>293.49</v>
      </c>
      <c r="DC36" s="153">
        <v>271.36</v>
      </c>
      <c r="DD36" s="153">
        <v>0.06</v>
      </c>
      <c r="DE36" s="153">
        <v>271.3</v>
      </c>
      <c r="DF36" s="153">
        <v>10.99</v>
      </c>
      <c r="DG36" s="153">
        <v>0.06</v>
      </c>
      <c r="DH36" s="153">
        <v>10.93</v>
      </c>
      <c r="DI36" s="153">
        <v>9.42</v>
      </c>
      <c r="DJ36" s="153">
        <v>0.06</v>
      </c>
      <c r="DK36" s="153">
        <v>9.36</v>
      </c>
      <c r="DL36" s="153">
        <v>1.95</v>
      </c>
      <c r="DM36" s="153">
        <v>0.06</v>
      </c>
      <c r="DN36" s="153">
        <v>1.89</v>
      </c>
    </row>
    <row r="37">
      <c r="A37" s="235">
        <v>46257.0</v>
      </c>
      <c r="B37" s="236" t="s">
        <v>5</v>
      </c>
      <c r="C37" s="236" t="s">
        <v>137</v>
      </c>
      <c r="D37" s="236">
        <v>91.0</v>
      </c>
      <c r="E37" s="236">
        <v>2.35</v>
      </c>
      <c r="F37" s="236">
        <v>8.67</v>
      </c>
      <c r="G37" s="236">
        <v>0.0953</v>
      </c>
      <c r="H37" s="236">
        <v>6.59</v>
      </c>
      <c r="I37" s="236">
        <v>1.445</v>
      </c>
      <c r="J37" s="236">
        <v>232.87</v>
      </c>
      <c r="K37" s="236">
        <v>172.09</v>
      </c>
      <c r="L37" s="236">
        <v>137.51</v>
      </c>
      <c r="M37" s="236">
        <v>0.799</v>
      </c>
      <c r="N37" s="236">
        <v>0.2383</v>
      </c>
      <c r="O37" s="236">
        <v>0.1444</v>
      </c>
      <c r="P37" s="236">
        <v>1.2515</v>
      </c>
      <c r="Q37" s="236">
        <v>620.32</v>
      </c>
      <c r="R37" s="236">
        <v>517.24</v>
      </c>
      <c r="S37" s="236">
        <v>103.08</v>
      </c>
      <c r="T37" s="236">
        <v>26.37</v>
      </c>
      <c r="U37" s="236">
        <v>593.95</v>
      </c>
      <c r="V37" s="236">
        <v>832.42</v>
      </c>
      <c r="W37" s="236">
        <v>4.8372</v>
      </c>
      <c r="X37" s="236">
        <v>4.25</v>
      </c>
      <c r="Y37" s="236">
        <v>435.0</v>
      </c>
      <c r="Z37" s="236">
        <v>685.0</v>
      </c>
      <c r="AA37" s="236">
        <v>1075.0</v>
      </c>
      <c r="AB37" s="236">
        <v>55.9404</v>
      </c>
      <c r="AC37" s="236">
        <v>0.7234</v>
      </c>
      <c r="AD37" s="236">
        <v>64.73</v>
      </c>
      <c r="AE37" s="236">
        <v>23.0</v>
      </c>
      <c r="AF37" s="236">
        <v>47.0</v>
      </c>
      <c r="AG37" s="236">
        <v>90.0</v>
      </c>
      <c r="AH37" s="236">
        <v>132.0</v>
      </c>
      <c r="AI37" s="236">
        <v>29.67</v>
      </c>
      <c r="AJ37" s="236">
        <v>5.49</v>
      </c>
      <c r="AK37" s="236">
        <v>2.2</v>
      </c>
      <c r="AL37" s="236">
        <v>0.1868</v>
      </c>
      <c r="AM37" s="236">
        <v>84.62</v>
      </c>
      <c r="AN37" s="153">
        <v>84.62</v>
      </c>
      <c r="AO37" s="153">
        <v>83.52</v>
      </c>
      <c r="AP37" s="153">
        <v>81.32</v>
      </c>
      <c r="AQ37" s="153">
        <v>34.8022</v>
      </c>
      <c r="AR37" s="153">
        <v>5.0</v>
      </c>
      <c r="AS37" s="153">
        <v>29.8022</v>
      </c>
      <c r="AT37" s="153">
        <v>27.2308</v>
      </c>
      <c r="AU37" s="153">
        <v>0.1582</v>
      </c>
      <c r="AV37" s="153">
        <v>91.0</v>
      </c>
      <c r="AW37" s="153">
        <v>0.0</v>
      </c>
      <c r="AX37" s="153">
        <v>394.51</v>
      </c>
      <c r="AY37" s="153">
        <v>174.84</v>
      </c>
      <c r="AZ37" s="153">
        <v>6.76</v>
      </c>
      <c r="BA37" s="153">
        <v>26.37</v>
      </c>
      <c r="BB37" s="153">
        <v>17.85</v>
      </c>
      <c r="BC37" s="153">
        <v>304.0</v>
      </c>
      <c r="BD37" s="153">
        <v>1500.0</v>
      </c>
      <c r="BE37" s="153">
        <v>22.9121</v>
      </c>
      <c r="BF37" s="153">
        <v>4.8462</v>
      </c>
      <c r="BG37" s="153">
        <v>18.0659</v>
      </c>
      <c r="BH37" s="153">
        <v>14.5714</v>
      </c>
      <c r="BI37" s="153">
        <v>0.0847</v>
      </c>
      <c r="BJ37" s="153">
        <v>11.8901</v>
      </c>
      <c r="BK37" s="153">
        <v>0.1538</v>
      </c>
      <c r="BL37" s="153">
        <v>11.7363</v>
      </c>
      <c r="BM37" s="153">
        <v>12.6593</v>
      </c>
      <c r="BN37" s="153">
        <v>0.0736</v>
      </c>
      <c r="BO37" s="153">
        <v>7.4615</v>
      </c>
      <c r="BP37" s="153">
        <v>1.3516</v>
      </c>
      <c r="BQ37" s="153">
        <v>6.1099</v>
      </c>
      <c r="BR37" s="153">
        <v>4.7802</v>
      </c>
      <c r="BS37" s="153">
        <v>9.0879</v>
      </c>
      <c r="BT37" s="153">
        <v>1.6154</v>
      </c>
      <c r="BU37" s="153">
        <v>7.4725</v>
      </c>
      <c r="BV37" s="153">
        <v>5.7253</v>
      </c>
      <c r="BW37" s="153">
        <v>6.3626</v>
      </c>
      <c r="BX37" s="153">
        <v>1.8791</v>
      </c>
      <c r="BY37" s="153">
        <v>4.4835</v>
      </c>
      <c r="BZ37" s="153">
        <v>4.0659</v>
      </c>
      <c r="CA37" s="153">
        <v>2.0659</v>
      </c>
      <c r="CB37" s="153">
        <v>0.0549</v>
      </c>
      <c r="CC37" s="153">
        <v>2.011</v>
      </c>
      <c r="CD37" s="153">
        <v>2.8352</v>
      </c>
      <c r="CE37" s="153">
        <v>4.4505</v>
      </c>
      <c r="CF37" s="153">
        <v>0.033</v>
      </c>
      <c r="CG37" s="153">
        <v>4.4176</v>
      </c>
      <c r="CH37" s="153">
        <v>4.5385</v>
      </c>
      <c r="CI37" s="153">
        <v>5.3736</v>
      </c>
      <c r="CJ37" s="153">
        <v>0.0659</v>
      </c>
      <c r="CK37" s="153">
        <v>5.3077</v>
      </c>
      <c r="CL37" s="153">
        <v>5.2857</v>
      </c>
      <c r="CM37" s="153">
        <v>1227.92</v>
      </c>
      <c r="CN37" s="153">
        <v>100.0</v>
      </c>
      <c r="CO37" s="153">
        <v>1227.92</v>
      </c>
      <c r="CP37" s="153">
        <v>1161.16</v>
      </c>
      <c r="CQ37" s="153">
        <v>0.0</v>
      </c>
      <c r="CR37" s="153">
        <v>21.98</v>
      </c>
      <c r="CS37" s="153">
        <v>44.78</v>
      </c>
      <c r="CT37" s="153">
        <v>0.0</v>
      </c>
      <c r="CU37" s="153">
        <v>42.0</v>
      </c>
      <c r="CV37" s="153">
        <v>0.0</v>
      </c>
      <c r="CW37" s="153">
        <v>620.32</v>
      </c>
      <c r="CX37" s="153">
        <v>0.0</v>
      </c>
      <c r="CY37" s="153">
        <v>0.0</v>
      </c>
      <c r="CZ37" s="153">
        <v>723.08</v>
      </c>
      <c r="DA37" s="153">
        <v>3.63</v>
      </c>
      <c r="DB37" s="153">
        <v>719.45</v>
      </c>
      <c r="DC37" s="153">
        <v>673.57</v>
      </c>
      <c r="DD37" s="153">
        <v>1.65</v>
      </c>
      <c r="DE37" s="153">
        <v>671.92</v>
      </c>
      <c r="DF37" s="153">
        <v>22.47</v>
      </c>
      <c r="DG37" s="153">
        <v>0.66</v>
      </c>
      <c r="DH37" s="153">
        <v>21.81</v>
      </c>
      <c r="DI37" s="153">
        <v>17.64</v>
      </c>
      <c r="DJ37" s="153">
        <v>0.66</v>
      </c>
      <c r="DK37" s="153">
        <v>16.98</v>
      </c>
      <c r="DL37" s="153">
        <v>9.4</v>
      </c>
      <c r="DM37" s="153">
        <v>0.66</v>
      </c>
      <c r="DN37" s="153">
        <v>8.74</v>
      </c>
    </row>
    <row r="38">
      <c r="A38" s="235">
        <v>46258.0</v>
      </c>
      <c r="B38" s="236" t="s">
        <v>4</v>
      </c>
      <c r="C38" s="236" t="s">
        <v>423</v>
      </c>
      <c r="D38" s="236">
        <v>879.0</v>
      </c>
      <c r="E38" s="236">
        <v>22.04</v>
      </c>
      <c r="F38" s="236">
        <v>0.0</v>
      </c>
      <c r="G38" s="236">
        <v>0.0</v>
      </c>
      <c r="H38" s="236">
        <v>0.0</v>
      </c>
      <c r="I38" s="236"/>
      <c r="J38" s="236">
        <v>1.66</v>
      </c>
      <c r="K38" s="236">
        <v>0.12</v>
      </c>
      <c r="L38" s="236">
        <v>0.0</v>
      </c>
      <c r="M38" s="236">
        <v>0.0</v>
      </c>
      <c r="N38" s="236">
        <v>1.0</v>
      </c>
      <c r="O38" s="236">
        <v>1.0</v>
      </c>
      <c r="P38" s="236"/>
      <c r="Q38" s="236">
        <v>1.91</v>
      </c>
      <c r="R38" s="236">
        <v>1.89</v>
      </c>
      <c r="S38" s="236">
        <v>0.02</v>
      </c>
      <c r="T38" s="236">
        <v>0.0</v>
      </c>
      <c r="U38" s="236">
        <v>1.91</v>
      </c>
      <c r="V38" s="236">
        <v>0.57</v>
      </c>
      <c r="W38" s="236">
        <v>4.6729</v>
      </c>
      <c r="X38" s="236">
        <v>0.0</v>
      </c>
      <c r="Y38" s="236">
        <v>200.0</v>
      </c>
      <c r="Z38" s="236">
        <v>200.0</v>
      </c>
      <c r="AA38" s="236">
        <v>200.0</v>
      </c>
      <c r="AB38" s="236">
        <v>49.6237</v>
      </c>
      <c r="AC38" s="236">
        <v>0.7145</v>
      </c>
      <c r="AD38" s="237"/>
      <c r="AE38" s="237"/>
      <c r="AF38" s="237"/>
      <c r="AG38" s="237"/>
      <c r="AH38" s="237"/>
      <c r="AI38" s="236">
        <v>0.0</v>
      </c>
      <c r="AJ38" s="236">
        <v>0.0</v>
      </c>
      <c r="AK38" s="236">
        <v>0.0</v>
      </c>
      <c r="AL38" s="236">
        <v>0.8817</v>
      </c>
      <c r="AM38" s="237"/>
      <c r="AQ38" s="153">
        <v>0.1013</v>
      </c>
      <c r="AR38" s="153">
        <v>0.0034</v>
      </c>
      <c r="AS38" s="153">
        <v>0.0978</v>
      </c>
      <c r="AT38" s="153">
        <v>0.0262</v>
      </c>
      <c r="AU38" s="153">
        <v>0.215</v>
      </c>
      <c r="AV38" s="153">
        <v>879.0</v>
      </c>
      <c r="AW38" s="153">
        <v>0.0</v>
      </c>
      <c r="AX38" s="153">
        <v>0.98</v>
      </c>
      <c r="AY38" s="153">
        <v>0.89</v>
      </c>
      <c r="AZ38" s="153">
        <v>0.03</v>
      </c>
      <c r="BA38" s="153">
        <v>0.0</v>
      </c>
      <c r="BB38" s="153">
        <v>0.0</v>
      </c>
      <c r="BD38" s="153">
        <v>407.0</v>
      </c>
      <c r="BE38" s="153">
        <v>0.0603</v>
      </c>
      <c r="BF38" s="153">
        <v>0.0034</v>
      </c>
      <c r="BG38" s="153">
        <v>0.0569</v>
      </c>
      <c r="BH38" s="153">
        <v>0.0171</v>
      </c>
      <c r="BI38" s="153">
        <v>0.1402</v>
      </c>
      <c r="BJ38" s="153">
        <v>0.041</v>
      </c>
      <c r="BK38" s="153">
        <v>0.0</v>
      </c>
      <c r="BL38" s="153">
        <v>0.041</v>
      </c>
      <c r="BM38" s="153">
        <v>0.0091</v>
      </c>
      <c r="BN38" s="153">
        <v>0.0748</v>
      </c>
      <c r="BO38" s="153">
        <v>0.0091</v>
      </c>
      <c r="BP38" s="153">
        <v>0.0</v>
      </c>
      <c r="BQ38" s="153">
        <v>0.0091</v>
      </c>
      <c r="BR38" s="153">
        <v>0.0034</v>
      </c>
      <c r="BS38" s="153">
        <v>0.025</v>
      </c>
      <c r="BT38" s="153">
        <v>0.0</v>
      </c>
      <c r="BU38" s="153">
        <v>0.025</v>
      </c>
      <c r="BV38" s="153">
        <v>0.0057</v>
      </c>
      <c r="BW38" s="153">
        <v>0.0262</v>
      </c>
      <c r="BX38" s="153">
        <v>0.0034</v>
      </c>
      <c r="BY38" s="153">
        <v>0.0228</v>
      </c>
      <c r="BZ38" s="153">
        <v>0.008</v>
      </c>
      <c r="CA38" s="153">
        <v>0.0091</v>
      </c>
      <c r="CB38" s="153">
        <v>0.0</v>
      </c>
      <c r="CC38" s="153">
        <v>0.0091</v>
      </c>
      <c r="CD38" s="153">
        <v>0.0034</v>
      </c>
      <c r="CE38" s="153">
        <v>0.0193</v>
      </c>
      <c r="CF38" s="153">
        <v>0.0</v>
      </c>
      <c r="CG38" s="153">
        <v>0.0193</v>
      </c>
      <c r="CH38" s="153">
        <v>0.0034</v>
      </c>
      <c r="CI38" s="153">
        <v>0.0125</v>
      </c>
      <c r="CJ38" s="153">
        <v>0.0</v>
      </c>
      <c r="CK38" s="153">
        <v>0.0125</v>
      </c>
      <c r="CL38" s="153">
        <v>0.0023</v>
      </c>
      <c r="CM38" s="153">
        <v>0.1</v>
      </c>
      <c r="CN38" s="153">
        <v>0.23</v>
      </c>
      <c r="CO38" s="153">
        <v>45.0</v>
      </c>
      <c r="CP38" s="153">
        <v>0.0</v>
      </c>
      <c r="CQ38" s="153">
        <v>0.0</v>
      </c>
      <c r="CR38" s="153">
        <v>0.05</v>
      </c>
      <c r="CS38" s="153">
        <v>0.06</v>
      </c>
      <c r="CT38" s="153">
        <v>0.0</v>
      </c>
      <c r="CU38" s="153">
        <v>0.0</v>
      </c>
      <c r="CV38" s="153">
        <v>0.0</v>
      </c>
      <c r="CW38" s="153">
        <v>1.91</v>
      </c>
      <c r="CX38" s="153">
        <v>0.0</v>
      </c>
      <c r="CY38" s="153">
        <v>0.0</v>
      </c>
      <c r="CZ38" s="153">
        <v>1.19</v>
      </c>
      <c r="DA38" s="153">
        <v>0.0</v>
      </c>
      <c r="DB38" s="153">
        <v>1.19</v>
      </c>
      <c r="DC38" s="153">
        <v>1.18</v>
      </c>
      <c r="DD38" s="153">
        <v>0.0</v>
      </c>
      <c r="DE38" s="153">
        <v>1.18</v>
      </c>
      <c r="DF38" s="153">
        <v>0.01</v>
      </c>
      <c r="DG38" s="153">
        <v>0.0</v>
      </c>
      <c r="DH38" s="153">
        <v>0.01</v>
      </c>
      <c r="DI38" s="153">
        <v>0.0</v>
      </c>
      <c r="DJ38" s="153">
        <v>0.0</v>
      </c>
      <c r="DK38" s="153">
        <v>0.0</v>
      </c>
      <c r="DL38" s="153">
        <v>0.0</v>
      </c>
      <c r="DM38" s="153">
        <v>0.0</v>
      </c>
      <c r="DN38" s="153">
        <v>0.0</v>
      </c>
    </row>
    <row r="39">
      <c r="A39" s="235">
        <v>46258.0</v>
      </c>
      <c r="B39" s="236" t="s">
        <v>4</v>
      </c>
      <c r="C39" s="236" t="s">
        <v>133</v>
      </c>
      <c r="D39" s="236">
        <v>1373.0</v>
      </c>
      <c r="E39" s="236">
        <v>34.43</v>
      </c>
      <c r="F39" s="236">
        <v>0.0</v>
      </c>
      <c r="G39" s="236">
        <v>0.0</v>
      </c>
      <c r="H39" s="236">
        <v>0.0</v>
      </c>
      <c r="I39" s="236"/>
      <c r="J39" s="236">
        <v>5.24</v>
      </c>
      <c r="K39" s="236">
        <v>4.29</v>
      </c>
      <c r="L39" s="236">
        <v>3.95</v>
      </c>
      <c r="M39" s="236">
        <v>0.9205</v>
      </c>
      <c r="N39" s="236">
        <v>0.0844</v>
      </c>
      <c r="O39" s="236">
        <v>0.0539</v>
      </c>
      <c r="P39" s="236">
        <v>1.0863</v>
      </c>
      <c r="Q39" s="236">
        <v>8.1</v>
      </c>
      <c r="R39" s="236">
        <v>7.09</v>
      </c>
      <c r="S39" s="236">
        <v>1.01</v>
      </c>
      <c r="T39" s="236">
        <v>0.0</v>
      </c>
      <c r="U39" s="236">
        <v>8.1</v>
      </c>
      <c r="V39" s="236">
        <v>6.19</v>
      </c>
      <c r="W39" s="236">
        <v>1.4434</v>
      </c>
      <c r="X39" s="236">
        <v>0.0</v>
      </c>
      <c r="Y39" s="236">
        <v>200.0</v>
      </c>
      <c r="Z39" s="236">
        <v>204.0</v>
      </c>
      <c r="AA39" s="236">
        <v>241.0</v>
      </c>
      <c r="AB39" s="236">
        <v>50.0026</v>
      </c>
      <c r="AC39" s="236">
        <v>0.8458</v>
      </c>
      <c r="AD39" s="236">
        <v>3.77</v>
      </c>
      <c r="AE39" s="236">
        <v>2.0</v>
      </c>
      <c r="AF39" s="236">
        <v>3.0</v>
      </c>
      <c r="AG39" s="236">
        <v>5.0</v>
      </c>
      <c r="AH39" s="236">
        <v>8.0</v>
      </c>
      <c r="AI39" s="236">
        <v>77.13</v>
      </c>
      <c r="AJ39" s="236">
        <v>37.65</v>
      </c>
      <c r="AK39" s="236">
        <v>1.09</v>
      </c>
      <c r="AL39" s="236">
        <v>0.8339</v>
      </c>
      <c r="AM39" s="237"/>
      <c r="AQ39" s="153">
        <v>0.5127</v>
      </c>
      <c r="AR39" s="153">
        <v>0.0262</v>
      </c>
      <c r="AS39" s="153">
        <v>0.4865</v>
      </c>
      <c r="AT39" s="153">
        <v>0.5302</v>
      </c>
      <c r="AU39" s="153">
        <v>0.1236</v>
      </c>
      <c r="AV39" s="153">
        <v>1373.0</v>
      </c>
      <c r="AW39" s="153">
        <v>0.0</v>
      </c>
      <c r="AX39" s="153">
        <v>7.8</v>
      </c>
      <c r="AY39" s="153">
        <v>0.29</v>
      </c>
      <c r="AZ39" s="153">
        <v>0.0</v>
      </c>
      <c r="BA39" s="153">
        <v>0.0</v>
      </c>
      <c r="BB39" s="153">
        <v>0.01</v>
      </c>
      <c r="BC39" s="153">
        <v>10.0</v>
      </c>
      <c r="BD39" s="153">
        <v>300.0</v>
      </c>
      <c r="BE39" s="153">
        <v>0.4814</v>
      </c>
      <c r="BF39" s="153">
        <v>0.0262</v>
      </c>
      <c r="BG39" s="153">
        <v>0.4552</v>
      </c>
      <c r="BH39" s="153">
        <v>0.4909</v>
      </c>
      <c r="BI39" s="153">
        <v>0.1145</v>
      </c>
      <c r="BJ39" s="153">
        <v>0.0313</v>
      </c>
      <c r="BK39" s="153">
        <v>0.0</v>
      </c>
      <c r="BL39" s="153">
        <v>0.0313</v>
      </c>
      <c r="BM39" s="153">
        <v>0.0393</v>
      </c>
      <c r="BN39" s="153">
        <v>0.0092</v>
      </c>
      <c r="BO39" s="153">
        <v>0.0881</v>
      </c>
      <c r="BP39" s="153">
        <v>0.0153</v>
      </c>
      <c r="BQ39" s="153">
        <v>0.0728</v>
      </c>
      <c r="BR39" s="153">
        <v>0.2425</v>
      </c>
      <c r="BS39" s="153">
        <v>0.327</v>
      </c>
      <c r="BT39" s="153">
        <v>0.0022</v>
      </c>
      <c r="BU39" s="153">
        <v>0.3248</v>
      </c>
      <c r="BV39" s="153">
        <v>0.1311</v>
      </c>
      <c r="BW39" s="153">
        <v>0.0663</v>
      </c>
      <c r="BX39" s="153">
        <v>0.0087</v>
      </c>
      <c r="BY39" s="153">
        <v>0.0575</v>
      </c>
      <c r="BZ39" s="153">
        <v>0.1173</v>
      </c>
      <c r="CA39" s="153">
        <v>0.0029</v>
      </c>
      <c r="CB39" s="153">
        <v>0.0</v>
      </c>
      <c r="CC39" s="153">
        <v>0.0029</v>
      </c>
      <c r="CD39" s="153">
        <v>0.0131</v>
      </c>
      <c r="CE39" s="153">
        <v>0.0211</v>
      </c>
      <c r="CF39" s="153">
        <v>0.0</v>
      </c>
      <c r="CG39" s="153">
        <v>0.0211</v>
      </c>
      <c r="CH39" s="153">
        <v>0.0138</v>
      </c>
      <c r="CI39" s="153">
        <v>0.0073</v>
      </c>
      <c r="CJ39" s="153">
        <v>0.0</v>
      </c>
      <c r="CK39" s="153">
        <v>0.0073</v>
      </c>
      <c r="CL39" s="153">
        <v>0.0124</v>
      </c>
      <c r="CM39" s="153">
        <v>0.5</v>
      </c>
      <c r="CN39" s="153">
        <v>1.53</v>
      </c>
      <c r="CO39" s="153">
        <v>32.62</v>
      </c>
      <c r="CP39" s="153">
        <v>0.47</v>
      </c>
      <c r="CQ39" s="153">
        <v>0.0</v>
      </c>
      <c r="CR39" s="153">
        <v>0.03</v>
      </c>
      <c r="CS39" s="153">
        <v>0.0</v>
      </c>
      <c r="CT39" s="153">
        <v>0.0</v>
      </c>
      <c r="CU39" s="153">
        <v>0.0</v>
      </c>
      <c r="CV39" s="153">
        <v>0.0</v>
      </c>
      <c r="CW39" s="153">
        <v>8.1</v>
      </c>
      <c r="CX39" s="153">
        <v>0.0</v>
      </c>
      <c r="CY39" s="153">
        <v>0.0</v>
      </c>
      <c r="CZ39" s="153">
        <v>2.43</v>
      </c>
      <c r="DA39" s="153">
        <v>0.0</v>
      </c>
      <c r="DB39" s="153">
        <v>2.43</v>
      </c>
      <c r="DC39" s="153">
        <v>2.4</v>
      </c>
      <c r="DD39" s="153">
        <v>0.0</v>
      </c>
      <c r="DE39" s="153">
        <v>2.4</v>
      </c>
      <c r="DF39" s="153">
        <v>0.0</v>
      </c>
      <c r="DG39" s="153">
        <v>0.0</v>
      </c>
      <c r="DH39" s="153">
        <v>0.0</v>
      </c>
      <c r="DI39" s="153">
        <v>0.02</v>
      </c>
      <c r="DJ39" s="153">
        <v>0.0</v>
      </c>
      <c r="DK39" s="153">
        <v>0.02</v>
      </c>
      <c r="DL39" s="153">
        <v>0.0</v>
      </c>
      <c r="DM39" s="153">
        <v>0.0</v>
      </c>
      <c r="DN39" s="153">
        <v>0.0</v>
      </c>
    </row>
    <row r="40">
      <c r="A40" s="235">
        <v>46258.0</v>
      </c>
      <c r="B40" s="236" t="s">
        <v>4</v>
      </c>
      <c r="C40" s="236" t="s">
        <v>134</v>
      </c>
      <c r="D40" s="236">
        <v>657.0</v>
      </c>
      <c r="E40" s="236">
        <v>16.47</v>
      </c>
      <c r="F40" s="236">
        <v>0.0</v>
      </c>
      <c r="G40" s="236">
        <v>0.0</v>
      </c>
      <c r="H40" s="236">
        <v>0.0</v>
      </c>
      <c r="I40" s="236"/>
      <c r="J40" s="236">
        <v>16.57</v>
      </c>
      <c r="K40" s="236">
        <v>13.48</v>
      </c>
      <c r="L40" s="236">
        <v>12.29</v>
      </c>
      <c r="M40" s="236">
        <v>0.9119</v>
      </c>
      <c r="N40" s="236">
        <v>0.1059</v>
      </c>
      <c r="O40" s="236">
        <v>0.0743</v>
      </c>
      <c r="P40" s="236">
        <v>1.0966</v>
      </c>
      <c r="Q40" s="236">
        <v>58.24</v>
      </c>
      <c r="R40" s="236">
        <v>42.92</v>
      </c>
      <c r="S40" s="236">
        <v>15.31</v>
      </c>
      <c r="T40" s="236">
        <v>0.0</v>
      </c>
      <c r="U40" s="236">
        <v>58.24</v>
      </c>
      <c r="V40" s="236">
        <v>57.38</v>
      </c>
      <c r="W40" s="236">
        <v>4.258</v>
      </c>
      <c r="X40" s="236">
        <v>0.0</v>
      </c>
      <c r="Y40" s="236">
        <v>246.0</v>
      </c>
      <c r="Z40" s="236">
        <v>277.0</v>
      </c>
      <c r="AA40" s="236">
        <v>354.0</v>
      </c>
      <c r="AB40" s="236">
        <v>49.6557</v>
      </c>
      <c r="AC40" s="236">
        <v>0.8934</v>
      </c>
      <c r="AD40" s="236">
        <v>10.93</v>
      </c>
      <c r="AE40" s="236">
        <v>8.0</v>
      </c>
      <c r="AF40" s="236">
        <v>11.0</v>
      </c>
      <c r="AG40" s="236">
        <v>14.0</v>
      </c>
      <c r="AH40" s="236">
        <v>17.0</v>
      </c>
      <c r="AI40" s="236">
        <v>85.08</v>
      </c>
      <c r="AJ40" s="236">
        <v>36.83</v>
      </c>
      <c r="AK40" s="236">
        <v>0.91</v>
      </c>
      <c r="AL40" s="236">
        <v>0.6804</v>
      </c>
      <c r="AM40" s="237"/>
      <c r="AQ40" s="153">
        <v>4.2542</v>
      </c>
      <c r="AR40" s="153">
        <v>0.4429</v>
      </c>
      <c r="AS40" s="153">
        <v>3.8113</v>
      </c>
      <c r="AT40" s="153">
        <v>3.3516</v>
      </c>
      <c r="AU40" s="153">
        <v>0.2487</v>
      </c>
      <c r="AV40" s="153">
        <v>657.0</v>
      </c>
      <c r="AW40" s="153">
        <v>0.0</v>
      </c>
      <c r="AX40" s="153">
        <v>53.75</v>
      </c>
      <c r="AY40" s="153">
        <v>3.89</v>
      </c>
      <c r="AZ40" s="153">
        <v>0.26</v>
      </c>
      <c r="BA40" s="153">
        <v>0.0</v>
      </c>
      <c r="BB40" s="153">
        <v>0.34</v>
      </c>
      <c r="BC40" s="153">
        <v>25.0</v>
      </c>
      <c r="BD40" s="153">
        <v>546.0</v>
      </c>
      <c r="BE40" s="153">
        <v>3.8037</v>
      </c>
      <c r="BF40" s="153">
        <v>0.4384</v>
      </c>
      <c r="BG40" s="153">
        <v>3.3653</v>
      </c>
      <c r="BH40" s="153">
        <v>2.8919</v>
      </c>
      <c r="BI40" s="153">
        <v>0.2146</v>
      </c>
      <c r="BJ40" s="153">
        <v>0.4505</v>
      </c>
      <c r="BK40" s="153">
        <v>0.0046</v>
      </c>
      <c r="BL40" s="153">
        <v>0.446</v>
      </c>
      <c r="BM40" s="153">
        <v>0.4597</v>
      </c>
      <c r="BN40" s="153">
        <v>0.0341</v>
      </c>
      <c r="BO40" s="153">
        <v>1.2177</v>
      </c>
      <c r="BP40" s="153">
        <v>0.137</v>
      </c>
      <c r="BQ40" s="153">
        <v>1.0807</v>
      </c>
      <c r="BR40" s="153">
        <v>1.1857</v>
      </c>
      <c r="BS40" s="153">
        <v>1.8721</v>
      </c>
      <c r="BT40" s="153">
        <v>0.0868</v>
      </c>
      <c r="BU40" s="153">
        <v>1.7854</v>
      </c>
      <c r="BV40" s="153">
        <v>0.9026</v>
      </c>
      <c r="BW40" s="153">
        <v>0.7139</v>
      </c>
      <c r="BX40" s="153">
        <v>0.2146</v>
      </c>
      <c r="BY40" s="153">
        <v>0.4992</v>
      </c>
      <c r="BZ40" s="153">
        <v>0.8037</v>
      </c>
      <c r="CA40" s="153">
        <v>0.0472</v>
      </c>
      <c r="CB40" s="153">
        <v>0.0</v>
      </c>
      <c r="CC40" s="153">
        <v>0.0472</v>
      </c>
      <c r="CD40" s="153">
        <v>0.0989</v>
      </c>
      <c r="CE40" s="153">
        <v>0.2572</v>
      </c>
      <c r="CF40" s="153">
        <v>0.0046</v>
      </c>
      <c r="CG40" s="153">
        <v>0.2527</v>
      </c>
      <c r="CH40" s="153">
        <v>0.1492</v>
      </c>
      <c r="CI40" s="153">
        <v>0.1461</v>
      </c>
      <c r="CJ40" s="153">
        <v>0.0</v>
      </c>
      <c r="CK40" s="153">
        <v>0.1461</v>
      </c>
      <c r="CL40" s="153">
        <v>0.2116</v>
      </c>
      <c r="CM40" s="153">
        <v>20.38</v>
      </c>
      <c r="CN40" s="153">
        <v>23.29</v>
      </c>
      <c r="CO40" s="153">
        <v>87.52</v>
      </c>
      <c r="CP40" s="153">
        <v>18.71</v>
      </c>
      <c r="CQ40" s="153">
        <v>0.0</v>
      </c>
      <c r="CR40" s="153">
        <v>1.52</v>
      </c>
      <c r="CS40" s="153">
        <v>0.14</v>
      </c>
      <c r="CT40" s="153">
        <v>0.0</v>
      </c>
      <c r="CU40" s="153">
        <v>0.0</v>
      </c>
      <c r="CV40" s="153">
        <v>0.0</v>
      </c>
      <c r="CW40" s="153">
        <v>58.24</v>
      </c>
      <c r="CX40" s="153">
        <v>0.0</v>
      </c>
      <c r="CY40" s="153">
        <v>0.0</v>
      </c>
      <c r="CZ40" s="153">
        <v>29.27</v>
      </c>
      <c r="DA40" s="153">
        <v>0.0</v>
      </c>
      <c r="DB40" s="153">
        <v>29.27</v>
      </c>
      <c r="DC40" s="153">
        <v>28.55</v>
      </c>
      <c r="DD40" s="153">
        <v>0.0</v>
      </c>
      <c r="DE40" s="153">
        <v>28.55</v>
      </c>
      <c r="DF40" s="153">
        <v>0.33</v>
      </c>
      <c r="DG40" s="153">
        <v>0.0</v>
      </c>
      <c r="DH40" s="153">
        <v>0.33</v>
      </c>
      <c r="DI40" s="153">
        <v>0.39</v>
      </c>
      <c r="DJ40" s="153">
        <v>0.0</v>
      </c>
      <c r="DK40" s="153">
        <v>0.39</v>
      </c>
      <c r="DL40" s="153">
        <v>0.0</v>
      </c>
      <c r="DM40" s="153">
        <v>0.0</v>
      </c>
      <c r="DN40" s="153">
        <v>0.0</v>
      </c>
    </row>
    <row r="41">
      <c r="A41" s="235">
        <v>46258.0</v>
      </c>
      <c r="B41" s="236" t="s">
        <v>4</v>
      </c>
      <c r="C41" s="236" t="s">
        <v>135</v>
      </c>
      <c r="D41" s="236">
        <v>550.0</v>
      </c>
      <c r="E41" s="236">
        <v>13.79</v>
      </c>
      <c r="F41" s="236">
        <v>0.84</v>
      </c>
      <c r="G41" s="236">
        <v>0.0015</v>
      </c>
      <c r="H41" s="236">
        <v>0.18</v>
      </c>
      <c r="I41" s="236">
        <v>0.84</v>
      </c>
      <c r="J41" s="236">
        <v>37.41</v>
      </c>
      <c r="K41" s="236">
        <v>27.66</v>
      </c>
      <c r="L41" s="236">
        <v>23.96</v>
      </c>
      <c r="M41" s="236">
        <v>0.8663</v>
      </c>
      <c r="N41" s="236">
        <v>0.1713</v>
      </c>
      <c r="O41" s="236">
        <v>0.1162</v>
      </c>
      <c r="P41" s="236">
        <v>1.1543</v>
      </c>
      <c r="Q41" s="236">
        <v>141.34</v>
      </c>
      <c r="R41" s="236">
        <v>103.05</v>
      </c>
      <c r="S41" s="236">
        <v>38.29</v>
      </c>
      <c r="T41" s="236">
        <v>0.36</v>
      </c>
      <c r="U41" s="236">
        <v>140.97</v>
      </c>
      <c r="V41" s="236">
        <v>154.27</v>
      </c>
      <c r="W41" s="236">
        <v>5.5782</v>
      </c>
      <c r="X41" s="236">
        <v>0.26</v>
      </c>
      <c r="Y41" s="236">
        <v>305.0</v>
      </c>
      <c r="Z41" s="236">
        <v>386.0</v>
      </c>
      <c r="AA41" s="236">
        <v>513.0</v>
      </c>
      <c r="AB41" s="236">
        <v>49.8397</v>
      </c>
      <c r="AC41" s="236">
        <v>0.9003</v>
      </c>
      <c r="AD41" s="236">
        <v>18.33</v>
      </c>
      <c r="AE41" s="236">
        <v>10.0</v>
      </c>
      <c r="AF41" s="236">
        <v>19.0</v>
      </c>
      <c r="AG41" s="236">
        <v>25.0</v>
      </c>
      <c r="AH41" s="236">
        <v>32.0</v>
      </c>
      <c r="AI41" s="236">
        <v>74.0</v>
      </c>
      <c r="AJ41" s="236">
        <v>24.0</v>
      </c>
      <c r="AK41" s="236">
        <v>1.45</v>
      </c>
      <c r="AL41" s="236">
        <v>0.4618</v>
      </c>
      <c r="AM41" s="237"/>
      <c r="AQ41" s="153">
        <v>9.7364</v>
      </c>
      <c r="AR41" s="153">
        <v>0.8782</v>
      </c>
      <c r="AS41" s="153">
        <v>8.8582</v>
      </c>
      <c r="AT41" s="153">
        <v>5.6382</v>
      </c>
      <c r="AU41" s="153">
        <v>0.2039</v>
      </c>
      <c r="AV41" s="153">
        <v>550.0</v>
      </c>
      <c r="AW41" s="153">
        <v>0.0</v>
      </c>
      <c r="AX41" s="153">
        <v>114.28</v>
      </c>
      <c r="AY41" s="153">
        <v>23.21</v>
      </c>
      <c r="AZ41" s="153">
        <v>0.99</v>
      </c>
      <c r="BA41" s="153">
        <v>0.36</v>
      </c>
      <c r="BB41" s="153">
        <v>2.49</v>
      </c>
      <c r="BC41" s="153">
        <v>47.0</v>
      </c>
      <c r="BD41" s="153">
        <v>846.0</v>
      </c>
      <c r="BE41" s="153">
        <v>7.0745</v>
      </c>
      <c r="BF41" s="153">
        <v>0.8564</v>
      </c>
      <c r="BG41" s="153">
        <v>6.2182</v>
      </c>
      <c r="BH41" s="153">
        <v>3.2073</v>
      </c>
      <c r="BI41" s="153">
        <v>0.116</v>
      </c>
      <c r="BJ41" s="153">
        <v>2.6618</v>
      </c>
      <c r="BK41" s="153">
        <v>0.0218</v>
      </c>
      <c r="BL41" s="153">
        <v>2.64</v>
      </c>
      <c r="BM41" s="153">
        <v>2.4309</v>
      </c>
      <c r="BN41" s="153">
        <v>0.0879</v>
      </c>
      <c r="BO41" s="153">
        <v>2.3636</v>
      </c>
      <c r="BP41" s="153">
        <v>0.2473</v>
      </c>
      <c r="BQ41" s="153">
        <v>2.1164</v>
      </c>
      <c r="BR41" s="153">
        <v>1.2018</v>
      </c>
      <c r="BS41" s="153">
        <v>3.1527</v>
      </c>
      <c r="BT41" s="153">
        <v>0.28</v>
      </c>
      <c r="BU41" s="153">
        <v>2.8727</v>
      </c>
      <c r="BV41" s="153">
        <v>1.18</v>
      </c>
      <c r="BW41" s="153">
        <v>1.5582</v>
      </c>
      <c r="BX41" s="153">
        <v>0.3291</v>
      </c>
      <c r="BY41" s="153">
        <v>1.2291</v>
      </c>
      <c r="BZ41" s="153">
        <v>0.8255</v>
      </c>
      <c r="CA41" s="153">
        <v>0.3091</v>
      </c>
      <c r="CB41" s="153">
        <v>0.0018</v>
      </c>
      <c r="CC41" s="153">
        <v>0.3073</v>
      </c>
      <c r="CD41" s="153">
        <v>0.5473</v>
      </c>
      <c r="CE41" s="153">
        <v>1.1582</v>
      </c>
      <c r="CF41" s="153">
        <v>0.0073</v>
      </c>
      <c r="CG41" s="153">
        <v>1.1509</v>
      </c>
      <c r="CH41" s="153">
        <v>0.7873</v>
      </c>
      <c r="CI41" s="153">
        <v>1.1945</v>
      </c>
      <c r="CJ41" s="153">
        <v>0.0127</v>
      </c>
      <c r="CK41" s="153">
        <v>1.1818</v>
      </c>
      <c r="CL41" s="153">
        <v>1.0964</v>
      </c>
      <c r="CM41" s="153">
        <v>142.05</v>
      </c>
      <c r="CN41" s="153">
        <v>76.73</v>
      </c>
      <c r="CO41" s="153">
        <v>185.13</v>
      </c>
      <c r="CP41" s="153">
        <v>135.3</v>
      </c>
      <c r="CQ41" s="153">
        <v>0.0</v>
      </c>
      <c r="CR41" s="153">
        <v>6.04</v>
      </c>
      <c r="CS41" s="153">
        <v>0.71</v>
      </c>
      <c r="CT41" s="153">
        <v>0.0</v>
      </c>
      <c r="CU41" s="153">
        <v>0.0</v>
      </c>
      <c r="CV41" s="153">
        <v>0.0</v>
      </c>
      <c r="CW41" s="153">
        <v>141.34</v>
      </c>
      <c r="CX41" s="153">
        <v>0.0</v>
      </c>
      <c r="CY41" s="153">
        <v>0.0</v>
      </c>
      <c r="CZ41" s="153">
        <v>117.86</v>
      </c>
      <c r="DA41" s="153">
        <v>0.0</v>
      </c>
      <c r="DB41" s="153">
        <v>117.86</v>
      </c>
      <c r="DC41" s="153">
        <v>113.95</v>
      </c>
      <c r="DD41" s="153">
        <v>0.0</v>
      </c>
      <c r="DE41" s="153">
        <v>113.95</v>
      </c>
      <c r="DF41" s="153">
        <v>2.09</v>
      </c>
      <c r="DG41" s="153">
        <v>0.0</v>
      </c>
      <c r="DH41" s="153">
        <v>2.09</v>
      </c>
      <c r="DI41" s="153">
        <v>1.83</v>
      </c>
      <c r="DJ41" s="153">
        <v>0.0</v>
      </c>
      <c r="DK41" s="153">
        <v>1.83</v>
      </c>
      <c r="DL41" s="153">
        <v>0.0</v>
      </c>
      <c r="DM41" s="153">
        <v>0.0</v>
      </c>
      <c r="DN41" s="153">
        <v>0.0</v>
      </c>
    </row>
    <row r="42">
      <c r="A42" s="235">
        <v>46258.0</v>
      </c>
      <c r="B42" s="236" t="s">
        <v>4</v>
      </c>
      <c r="C42" s="236" t="s">
        <v>136</v>
      </c>
      <c r="D42" s="236">
        <v>425.0</v>
      </c>
      <c r="E42" s="236">
        <v>10.66</v>
      </c>
      <c r="F42" s="236">
        <v>22.69</v>
      </c>
      <c r="G42" s="236">
        <v>0.0534</v>
      </c>
      <c r="H42" s="236">
        <v>1.41</v>
      </c>
      <c r="I42" s="236">
        <v>3.7817</v>
      </c>
      <c r="J42" s="236">
        <v>87.33</v>
      </c>
      <c r="K42" s="236">
        <v>59.27</v>
      </c>
      <c r="L42" s="236">
        <v>48.48</v>
      </c>
      <c r="M42" s="236">
        <v>0.8179</v>
      </c>
      <c r="N42" s="236">
        <v>0.2242</v>
      </c>
      <c r="O42" s="236">
        <v>0.1446</v>
      </c>
      <c r="P42" s="236">
        <v>1.2226</v>
      </c>
      <c r="Q42" s="236">
        <v>294.69</v>
      </c>
      <c r="R42" s="236">
        <v>224.04</v>
      </c>
      <c r="S42" s="236">
        <v>70.65</v>
      </c>
      <c r="T42" s="236">
        <v>3.29</v>
      </c>
      <c r="U42" s="236">
        <v>291.4</v>
      </c>
      <c r="V42" s="236">
        <v>264.35</v>
      </c>
      <c r="W42" s="236">
        <v>4.4601</v>
      </c>
      <c r="X42" s="236">
        <v>1.12</v>
      </c>
      <c r="Y42" s="236">
        <v>373.0</v>
      </c>
      <c r="Z42" s="236">
        <v>483.0</v>
      </c>
      <c r="AA42" s="236">
        <v>767.0</v>
      </c>
      <c r="AB42" s="236">
        <v>51.8825</v>
      </c>
      <c r="AC42" s="236">
        <v>0.8403</v>
      </c>
      <c r="AD42" s="236">
        <v>28.92</v>
      </c>
      <c r="AE42" s="236">
        <v>14.0</v>
      </c>
      <c r="AF42" s="236">
        <v>24.0</v>
      </c>
      <c r="AG42" s="236">
        <v>40.0</v>
      </c>
      <c r="AH42" s="236">
        <v>53.0</v>
      </c>
      <c r="AI42" s="236">
        <v>42.12</v>
      </c>
      <c r="AJ42" s="236">
        <v>7.06</v>
      </c>
      <c r="AK42" s="236">
        <v>1.18</v>
      </c>
      <c r="AL42" s="236">
        <v>0.2918</v>
      </c>
      <c r="AM42" s="237"/>
      <c r="AQ42" s="153">
        <v>18.0706</v>
      </c>
      <c r="AR42" s="153">
        <v>0.3576</v>
      </c>
      <c r="AS42" s="153">
        <v>17.7129</v>
      </c>
      <c r="AT42" s="153">
        <v>11.92</v>
      </c>
      <c r="AU42" s="153">
        <v>0.2011</v>
      </c>
      <c r="AV42" s="153">
        <v>425.0</v>
      </c>
      <c r="AW42" s="153">
        <v>0.0</v>
      </c>
      <c r="AX42" s="153">
        <v>201.54</v>
      </c>
      <c r="AY42" s="153">
        <v>82.96</v>
      </c>
      <c r="AZ42" s="153">
        <v>1.75</v>
      </c>
      <c r="BA42" s="153">
        <v>3.29</v>
      </c>
      <c r="BB42" s="153">
        <v>5.14</v>
      </c>
      <c r="BC42" s="153">
        <v>105.0</v>
      </c>
      <c r="BD42" s="153">
        <v>1339.0</v>
      </c>
      <c r="BE42" s="153">
        <v>11.7059</v>
      </c>
      <c r="BF42" s="153">
        <v>0.2894</v>
      </c>
      <c r="BG42" s="153">
        <v>11.4165</v>
      </c>
      <c r="BH42" s="153">
        <v>5.7647</v>
      </c>
      <c r="BI42" s="153">
        <v>0.0973</v>
      </c>
      <c r="BJ42" s="153">
        <v>6.3647</v>
      </c>
      <c r="BK42" s="153">
        <v>0.0682</v>
      </c>
      <c r="BL42" s="153">
        <v>6.2965</v>
      </c>
      <c r="BM42" s="153">
        <v>6.1553</v>
      </c>
      <c r="BN42" s="153">
        <v>0.1039</v>
      </c>
      <c r="BO42" s="153">
        <v>4.2353</v>
      </c>
      <c r="BP42" s="153">
        <v>0.0565</v>
      </c>
      <c r="BQ42" s="153">
        <v>4.1788</v>
      </c>
      <c r="BR42" s="153">
        <v>2.0918</v>
      </c>
      <c r="BS42" s="153">
        <v>5.0071</v>
      </c>
      <c r="BT42" s="153">
        <v>0.0706</v>
      </c>
      <c r="BU42" s="153">
        <v>4.9365</v>
      </c>
      <c r="BV42" s="153">
        <v>2.2565</v>
      </c>
      <c r="BW42" s="153">
        <v>2.4635</v>
      </c>
      <c r="BX42" s="153">
        <v>0.1624</v>
      </c>
      <c r="BY42" s="153">
        <v>2.3012</v>
      </c>
      <c r="BZ42" s="153">
        <v>1.4165</v>
      </c>
      <c r="CA42" s="153">
        <v>1.1388</v>
      </c>
      <c r="CB42" s="153">
        <v>0.0118</v>
      </c>
      <c r="CC42" s="153">
        <v>1.1271</v>
      </c>
      <c r="CD42" s="153">
        <v>1.3553</v>
      </c>
      <c r="CE42" s="153">
        <v>2.4588</v>
      </c>
      <c r="CF42" s="153">
        <v>0.0212</v>
      </c>
      <c r="CG42" s="153">
        <v>2.4376</v>
      </c>
      <c r="CH42" s="153">
        <v>2.1271</v>
      </c>
      <c r="CI42" s="153">
        <v>2.7671</v>
      </c>
      <c r="CJ42" s="153">
        <v>0.0353</v>
      </c>
      <c r="CK42" s="153">
        <v>2.7318</v>
      </c>
      <c r="CL42" s="153">
        <v>2.6729</v>
      </c>
      <c r="CM42" s="153">
        <v>441.96</v>
      </c>
      <c r="CN42" s="153">
        <v>97.88</v>
      </c>
      <c r="CO42" s="153">
        <v>451.53</v>
      </c>
      <c r="CP42" s="153">
        <v>426.95</v>
      </c>
      <c r="CQ42" s="153">
        <v>0.0</v>
      </c>
      <c r="CR42" s="153">
        <v>13.69</v>
      </c>
      <c r="CS42" s="153">
        <v>1.32</v>
      </c>
      <c r="CT42" s="153">
        <v>0.0</v>
      </c>
      <c r="CU42" s="153">
        <v>0.0</v>
      </c>
      <c r="CV42" s="153">
        <v>0.0</v>
      </c>
      <c r="CW42" s="153">
        <v>294.69</v>
      </c>
      <c r="CX42" s="153">
        <v>0.0</v>
      </c>
      <c r="CY42" s="153">
        <v>0.0</v>
      </c>
      <c r="CZ42" s="153">
        <v>263.07</v>
      </c>
      <c r="DA42" s="153">
        <v>0.21</v>
      </c>
      <c r="DB42" s="153">
        <v>262.86</v>
      </c>
      <c r="DC42" s="153">
        <v>251.18</v>
      </c>
      <c r="DD42" s="153">
        <v>0.21</v>
      </c>
      <c r="DE42" s="153">
        <v>250.96</v>
      </c>
      <c r="DF42" s="153">
        <v>7.06</v>
      </c>
      <c r="DG42" s="153">
        <v>0.0</v>
      </c>
      <c r="DH42" s="153">
        <v>7.06</v>
      </c>
      <c r="DI42" s="153">
        <v>4.84</v>
      </c>
      <c r="DJ42" s="153">
        <v>0.0</v>
      </c>
      <c r="DK42" s="153">
        <v>4.84</v>
      </c>
      <c r="DL42" s="153">
        <v>0.0</v>
      </c>
      <c r="DM42" s="153">
        <v>0.0</v>
      </c>
      <c r="DN42" s="153">
        <v>0.0</v>
      </c>
    </row>
    <row r="43">
      <c r="A43" s="235">
        <v>46258.0</v>
      </c>
      <c r="B43" s="236" t="s">
        <v>4</v>
      </c>
      <c r="C43" s="236" t="s">
        <v>137</v>
      </c>
      <c r="D43" s="236">
        <v>104.0</v>
      </c>
      <c r="E43" s="236">
        <v>2.61</v>
      </c>
      <c r="F43" s="236">
        <v>21.51</v>
      </c>
      <c r="G43" s="236">
        <v>0.2068</v>
      </c>
      <c r="H43" s="236">
        <v>7.69</v>
      </c>
      <c r="I43" s="236">
        <v>2.6887</v>
      </c>
      <c r="J43" s="236">
        <v>230.41</v>
      </c>
      <c r="K43" s="236">
        <v>160.09</v>
      </c>
      <c r="L43" s="236">
        <v>124.71</v>
      </c>
      <c r="M43" s="236">
        <v>0.779</v>
      </c>
      <c r="N43" s="236">
        <v>0.2568</v>
      </c>
      <c r="O43" s="236">
        <v>0.1493</v>
      </c>
      <c r="P43" s="236">
        <v>1.2837</v>
      </c>
      <c r="Q43" s="236">
        <v>664.38</v>
      </c>
      <c r="R43" s="236">
        <v>497.03</v>
      </c>
      <c r="S43" s="236">
        <v>167.36</v>
      </c>
      <c r="T43" s="236">
        <v>36.06</v>
      </c>
      <c r="U43" s="236">
        <v>628.33</v>
      </c>
      <c r="V43" s="236">
        <v>558.17</v>
      </c>
      <c r="W43" s="236">
        <v>3.4867</v>
      </c>
      <c r="X43" s="236">
        <v>5.43</v>
      </c>
      <c r="Y43" s="236">
        <v>529.0</v>
      </c>
      <c r="Z43" s="236">
        <v>917.0</v>
      </c>
      <c r="AA43" s="236">
        <v>1240.0</v>
      </c>
      <c r="AB43" s="236">
        <v>54.8955</v>
      </c>
      <c r="AC43" s="236">
        <v>0.7309</v>
      </c>
      <c r="AD43" s="236">
        <v>51.46</v>
      </c>
      <c r="AE43" s="236">
        <v>21.0</v>
      </c>
      <c r="AF43" s="236">
        <v>42.0</v>
      </c>
      <c r="AG43" s="236">
        <v>66.0</v>
      </c>
      <c r="AH43" s="236">
        <v>109.0</v>
      </c>
      <c r="AI43" s="236">
        <v>18.27</v>
      </c>
      <c r="AJ43" s="236">
        <v>1.92</v>
      </c>
      <c r="AK43" s="236">
        <v>0.0</v>
      </c>
      <c r="AL43" s="236">
        <v>0.1346</v>
      </c>
      <c r="AM43" s="237"/>
      <c r="AQ43" s="153">
        <v>38.7115</v>
      </c>
      <c r="AR43" s="153">
        <v>0.2788</v>
      </c>
      <c r="AS43" s="153">
        <v>38.4327</v>
      </c>
      <c r="AT43" s="153">
        <v>28.25</v>
      </c>
      <c r="AU43" s="153">
        <v>0.1765</v>
      </c>
      <c r="AV43" s="153">
        <v>104.0</v>
      </c>
      <c r="AW43" s="153">
        <v>0.0</v>
      </c>
      <c r="AX43" s="153">
        <v>432.12</v>
      </c>
      <c r="AY43" s="153">
        <v>172.16</v>
      </c>
      <c r="AZ43" s="153">
        <v>6.35</v>
      </c>
      <c r="BA43" s="153">
        <v>36.06</v>
      </c>
      <c r="BB43" s="153">
        <v>17.7</v>
      </c>
      <c r="BC43" s="153">
        <v>197.0</v>
      </c>
      <c r="BD43" s="153">
        <v>1920.0</v>
      </c>
      <c r="BE43" s="153">
        <v>23.5</v>
      </c>
      <c r="BF43" s="153">
        <v>0.1154</v>
      </c>
      <c r="BG43" s="153">
        <v>23.3846</v>
      </c>
      <c r="BH43" s="153">
        <v>15.6731</v>
      </c>
      <c r="BI43" s="153">
        <v>0.0979</v>
      </c>
      <c r="BJ43" s="153">
        <v>15.2115</v>
      </c>
      <c r="BK43" s="153">
        <v>0.1635</v>
      </c>
      <c r="BL43" s="153">
        <v>15.0481</v>
      </c>
      <c r="BM43" s="153">
        <v>12.5769</v>
      </c>
      <c r="BN43" s="153">
        <v>0.0786</v>
      </c>
      <c r="BO43" s="153">
        <v>8.4712</v>
      </c>
      <c r="BP43" s="153">
        <v>0.0192</v>
      </c>
      <c r="BQ43" s="153">
        <v>8.4519</v>
      </c>
      <c r="BR43" s="153">
        <v>5.625</v>
      </c>
      <c r="BS43" s="153">
        <v>9.9038</v>
      </c>
      <c r="BT43" s="153">
        <v>0.0192</v>
      </c>
      <c r="BU43" s="153">
        <v>9.8846</v>
      </c>
      <c r="BV43" s="153">
        <v>6.3077</v>
      </c>
      <c r="BW43" s="153">
        <v>5.125</v>
      </c>
      <c r="BX43" s="153">
        <v>0.0769</v>
      </c>
      <c r="BY43" s="153">
        <v>5.0481</v>
      </c>
      <c r="BZ43" s="153">
        <v>3.7404</v>
      </c>
      <c r="CA43" s="153">
        <v>3.4327</v>
      </c>
      <c r="CB43" s="153">
        <v>0.0385</v>
      </c>
      <c r="CC43" s="153">
        <v>3.3942</v>
      </c>
      <c r="CD43" s="153">
        <v>3.1635</v>
      </c>
      <c r="CE43" s="153">
        <v>5.6058</v>
      </c>
      <c r="CF43" s="153">
        <v>0.0769</v>
      </c>
      <c r="CG43" s="153">
        <v>5.5288</v>
      </c>
      <c r="CH43" s="153">
        <v>4.3269</v>
      </c>
      <c r="CI43" s="153">
        <v>6.1731</v>
      </c>
      <c r="CJ43" s="153">
        <v>0.0481</v>
      </c>
      <c r="CK43" s="153">
        <v>6.125</v>
      </c>
      <c r="CL43" s="153">
        <v>5.0865</v>
      </c>
      <c r="CM43" s="153">
        <v>1303.17</v>
      </c>
      <c r="CN43" s="153">
        <v>100.0</v>
      </c>
      <c r="CO43" s="153">
        <v>1303.17</v>
      </c>
      <c r="CP43" s="153">
        <v>1280.63</v>
      </c>
      <c r="CQ43" s="153">
        <v>0.0</v>
      </c>
      <c r="CR43" s="153">
        <v>19.04</v>
      </c>
      <c r="CS43" s="153">
        <v>3.51</v>
      </c>
      <c r="CT43" s="153">
        <v>0.0</v>
      </c>
      <c r="CU43" s="153">
        <v>0.0</v>
      </c>
      <c r="CV43" s="153">
        <v>0.0</v>
      </c>
      <c r="CW43" s="153">
        <v>664.38</v>
      </c>
      <c r="CX43" s="153">
        <v>0.0</v>
      </c>
      <c r="CY43" s="153">
        <v>0.0</v>
      </c>
      <c r="CZ43" s="153">
        <v>595.0</v>
      </c>
      <c r="DA43" s="153">
        <v>2.4</v>
      </c>
      <c r="DB43" s="153">
        <v>592.6</v>
      </c>
      <c r="DC43" s="153">
        <v>569.52</v>
      </c>
      <c r="DD43" s="153">
        <v>1.25</v>
      </c>
      <c r="DE43" s="153">
        <v>568.27</v>
      </c>
      <c r="DF43" s="153">
        <v>15.48</v>
      </c>
      <c r="DG43" s="153">
        <v>0.38</v>
      </c>
      <c r="DH43" s="153">
        <v>15.1</v>
      </c>
      <c r="DI43" s="153">
        <v>8.17</v>
      </c>
      <c r="DJ43" s="153">
        <v>0.38</v>
      </c>
      <c r="DK43" s="153">
        <v>7.79</v>
      </c>
      <c r="DL43" s="153">
        <v>1.83</v>
      </c>
      <c r="DM43" s="153">
        <v>0.38</v>
      </c>
      <c r="DN43" s="153">
        <v>1.44</v>
      </c>
    </row>
    <row r="44">
      <c r="A44" s="235">
        <v>46258.0</v>
      </c>
      <c r="B44" s="236" t="s">
        <v>5</v>
      </c>
      <c r="C44" s="236" t="s">
        <v>423</v>
      </c>
      <c r="D44" s="236">
        <v>839.0</v>
      </c>
      <c r="E44" s="236">
        <v>21.26</v>
      </c>
      <c r="F44" s="236">
        <v>0.0</v>
      </c>
      <c r="G44" s="236">
        <v>0.0</v>
      </c>
      <c r="H44" s="236">
        <v>0.0</v>
      </c>
      <c r="I44" s="236"/>
      <c r="J44" s="236">
        <v>1.49</v>
      </c>
      <c r="K44" s="236">
        <v>0.07</v>
      </c>
      <c r="L44" s="236">
        <v>0.0</v>
      </c>
      <c r="M44" s="236">
        <v>0.0</v>
      </c>
      <c r="N44" s="236">
        <v>1.0</v>
      </c>
      <c r="O44" s="236">
        <v>1.0</v>
      </c>
      <c r="P44" s="236"/>
      <c r="Q44" s="236">
        <v>1.88</v>
      </c>
      <c r="R44" s="236">
        <v>1.82</v>
      </c>
      <c r="S44" s="236">
        <v>0.06</v>
      </c>
      <c r="T44" s="236">
        <v>0.0</v>
      </c>
      <c r="U44" s="236">
        <v>1.88</v>
      </c>
      <c r="V44" s="236">
        <v>0.72</v>
      </c>
      <c r="W44" s="236">
        <v>10.5263</v>
      </c>
      <c r="X44" s="236">
        <v>0.0</v>
      </c>
      <c r="Y44" s="236">
        <v>200.0</v>
      </c>
      <c r="Z44" s="236">
        <v>200.0</v>
      </c>
      <c r="AA44" s="236">
        <v>200.0</v>
      </c>
      <c r="AB44" s="236">
        <v>50.0255</v>
      </c>
      <c r="AC44" s="236">
        <v>0.6217</v>
      </c>
      <c r="AD44" s="237"/>
      <c r="AE44" s="237"/>
      <c r="AF44" s="237"/>
      <c r="AG44" s="237"/>
      <c r="AH44" s="237"/>
      <c r="AI44" s="236">
        <v>0.0</v>
      </c>
      <c r="AJ44" s="236">
        <v>0.0</v>
      </c>
      <c r="AK44" s="236">
        <v>0.0</v>
      </c>
      <c r="AL44" s="236">
        <v>0.9011</v>
      </c>
      <c r="AM44" s="236">
        <v>0.0</v>
      </c>
      <c r="AN44" s="153">
        <v>0.0</v>
      </c>
      <c r="AO44" s="153">
        <v>0.0</v>
      </c>
      <c r="AP44" s="153">
        <v>0.0</v>
      </c>
      <c r="AQ44" s="153">
        <v>0.0942</v>
      </c>
      <c r="AR44" s="153">
        <v>0.0</v>
      </c>
      <c r="AS44" s="153">
        <v>0.0942</v>
      </c>
      <c r="AT44" s="153">
        <v>0.0226</v>
      </c>
      <c r="AU44" s="153">
        <v>0.3333</v>
      </c>
      <c r="AV44" s="153">
        <v>839.0</v>
      </c>
      <c r="AW44" s="153">
        <v>0.0</v>
      </c>
      <c r="AX44" s="153">
        <v>0.46</v>
      </c>
      <c r="AY44" s="153">
        <v>1.42</v>
      </c>
      <c r="AZ44" s="153">
        <v>0.0</v>
      </c>
      <c r="BA44" s="153">
        <v>0.0</v>
      </c>
      <c r="BB44" s="153">
        <v>0.0</v>
      </c>
      <c r="BD44" s="153">
        <v>340.0</v>
      </c>
      <c r="BE44" s="153">
        <v>0.0513</v>
      </c>
      <c r="BF44" s="153">
        <v>0.0</v>
      </c>
      <c r="BG44" s="153">
        <v>0.0513</v>
      </c>
      <c r="BH44" s="153">
        <v>0.0143</v>
      </c>
      <c r="BI44" s="153">
        <v>0.2105</v>
      </c>
      <c r="BJ44" s="153">
        <v>0.0429</v>
      </c>
      <c r="BK44" s="153">
        <v>0.0</v>
      </c>
      <c r="BL44" s="153">
        <v>0.0429</v>
      </c>
      <c r="BM44" s="153">
        <v>0.0083</v>
      </c>
      <c r="BN44" s="153">
        <v>0.1228</v>
      </c>
      <c r="BO44" s="153">
        <v>0.006</v>
      </c>
      <c r="BP44" s="153">
        <v>0.0</v>
      </c>
      <c r="BQ44" s="153">
        <v>0.006</v>
      </c>
      <c r="BR44" s="153">
        <v>0.006</v>
      </c>
      <c r="BS44" s="153">
        <v>0.0322</v>
      </c>
      <c r="BT44" s="153">
        <v>0.0</v>
      </c>
      <c r="BU44" s="153">
        <v>0.0322</v>
      </c>
      <c r="BV44" s="153">
        <v>0.0048</v>
      </c>
      <c r="BW44" s="153">
        <v>0.0131</v>
      </c>
      <c r="BX44" s="153">
        <v>0.0</v>
      </c>
      <c r="BY44" s="153">
        <v>0.0131</v>
      </c>
      <c r="BZ44" s="153">
        <v>0.0036</v>
      </c>
      <c r="CA44" s="153">
        <v>0.0131</v>
      </c>
      <c r="CB44" s="153">
        <v>0.0</v>
      </c>
      <c r="CC44" s="153">
        <v>0.0131</v>
      </c>
      <c r="CD44" s="153">
        <v>0.0012</v>
      </c>
      <c r="CE44" s="153">
        <v>0.0155</v>
      </c>
      <c r="CF44" s="153">
        <v>0.0</v>
      </c>
      <c r="CG44" s="153">
        <v>0.0155</v>
      </c>
      <c r="CH44" s="153">
        <v>0.0036</v>
      </c>
      <c r="CI44" s="153">
        <v>0.0143</v>
      </c>
      <c r="CJ44" s="153">
        <v>0.0</v>
      </c>
      <c r="CK44" s="153">
        <v>0.0143</v>
      </c>
      <c r="CL44" s="153">
        <v>0.0036</v>
      </c>
      <c r="CM44" s="153">
        <v>0.39</v>
      </c>
      <c r="CN44" s="153">
        <v>0.6</v>
      </c>
      <c r="CO44" s="153">
        <v>66.0</v>
      </c>
      <c r="CP44" s="153">
        <v>0.0</v>
      </c>
      <c r="CQ44" s="153">
        <v>0.0</v>
      </c>
      <c r="CR44" s="153">
        <v>0.05</v>
      </c>
      <c r="CS44" s="153">
        <v>0.35</v>
      </c>
      <c r="CT44" s="153">
        <v>0.0</v>
      </c>
      <c r="CU44" s="153">
        <v>2.0</v>
      </c>
      <c r="CV44" s="153">
        <v>0.0</v>
      </c>
      <c r="CW44" s="153">
        <v>1.88</v>
      </c>
      <c r="CX44" s="153">
        <v>0.0</v>
      </c>
      <c r="CY44" s="153">
        <v>0.0</v>
      </c>
      <c r="CZ44" s="153">
        <v>1.6</v>
      </c>
      <c r="DA44" s="153">
        <v>0.0</v>
      </c>
      <c r="DB44" s="153">
        <v>1.6</v>
      </c>
      <c r="DC44" s="153">
        <v>1.38</v>
      </c>
      <c r="DD44" s="153">
        <v>0.0</v>
      </c>
      <c r="DE44" s="153">
        <v>1.38</v>
      </c>
      <c r="DF44" s="153">
        <v>0.15</v>
      </c>
      <c r="DG44" s="153">
        <v>0.0</v>
      </c>
      <c r="DH44" s="153">
        <v>0.15</v>
      </c>
      <c r="DI44" s="153">
        <v>0.06</v>
      </c>
      <c r="DJ44" s="153">
        <v>0.0</v>
      </c>
      <c r="DK44" s="153">
        <v>0.06</v>
      </c>
      <c r="DL44" s="153">
        <v>0.0</v>
      </c>
      <c r="DM44" s="153">
        <v>0.0</v>
      </c>
      <c r="DN44" s="153">
        <v>0.0</v>
      </c>
    </row>
    <row r="45">
      <c r="A45" s="235">
        <v>46258.0</v>
      </c>
      <c r="B45" s="236" t="s">
        <v>5</v>
      </c>
      <c r="C45" s="236" t="s">
        <v>133</v>
      </c>
      <c r="D45" s="236">
        <v>1392.0</v>
      </c>
      <c r="E45" s="236">
        <v>35.28</v>
      </c>
      <c r="F45" s="236">
        <v>0.0</v>
      </c>
      <c r="G45" s="236">
        <v>0.0</v>
      </c>
      <c r="H45" s="236">
        <v>0.0</v>
      </c>
      <c r="I45" s="236"/>
      <c r="J45" s="236">
        <v>5.02</v>
      </c>
      <c r="K45" s="236">
        <v>4.18</v>
      </c>
      <c r="L45" s="236">
        <v>3.88</v>
      </c>
      <c r="M45" s="236">
        <v>0.9284</v>
      </c>
      <c r="N45" s="236">
        <v>0.0736</v>
      </c>
      <c r="O45" s="236">
        <v>0.0517</v>
      </c>
      <c r="P45" s="236">
        <v>1.0771</v>
      </c>
      <c r="Q45" s="236">
        <v>6.33</v>
      </c>
      <c r="R45" s="236">
        <v>5.65</v>
      </c>
      <c r="S45" s="236">
        <v>0.68</v>
      </c>
      <c r="T45" s="236">
        <v>0.0</v>
      </c>
      <c r="U45" s="236">
        <v>6.33</v>
      </c>
      <c r="V45" s="236">
        <v>5.14</v>
      </c>
      <c r="W45" s="236">
        <v>1.2302</v>
      </c>
      <c r="X45" s="236">
        <v>0.0</v>
      </c>
      <c r="Y45" s="236">
        <v>200.0</v>
      </c>
      <c r="Z45" s="236">
        <v>202.0</v>
      </c>
      <c r="AA45" s="236">
        <v>230.0</v>
      </c>
      <c r="AB45" s="236">
        <v>49.9329</v>
      </c>
      <c r="AC45" s="236">
        <v>0.8378</v>
      </c>
      <c r="AD45" s="236">
        <v>3.7</v>
      </c>
      <c r="AE45" s="236">
        <v>2.0</v>
      </c>
      <c r="AF45" s="236">
        <v>3.0</v>
      </c>
      <c r="AG45" s="236">
        <v>5.0</v>
      </c>
      <c r="AH45" s="236">
        <v>7.0</v>
      </c>
      <c r="AI45" s="236">
        <v>76.22</v>
      </c>
      <c r="AJ45" s="236">
        <v>36.21</v>
      </c>
      <c r="AK45" s="236">
        <v>1.22</v>
      </c>
      <c r="AL45" s="236">
        <v>0.8211</v>
      </c>
      <c r="AM45" s="236">
        <v>0.0</v>
      </c>
      <c r="AN45" s="153">
        <v>0.0</v>
      </c>
      <c r="AO45" s="153">
        <v>0.0</v>
      </c>
      <c r="AP45" s="153">
        <v>0.0</v>
      </c>
      <c r="AQ45" s="153">
        <v>0.4519</v>
      </c>
      <c r="AR45" s="153">
        <v>0.0216</v>
      </c>
      <c r="AS45" s="153">
        <v>0.4303</v>
      </c>
      <c r="AT45" s="153">
        <v>0.4978</v>
      </c>
      <c r="AU45" s="153">
        <v>0.1192</v>
      </c>
      <c r="AV45" s="153">
        <v>1392.0</v>
      </c>
      <c r="AW45" s="153">
        <v>0.0</v>
      </c>
      <c r="AX45" s="153">
        <v>6.22</v>
      </c>
      <c r="AY45" s="153">
        <v>0.09</v>
      </c>
      <c r="AZ45" s="153">
        <v>0.02</v>
      </c>
      <c r="BA45" s="153">
        <v>0.0</v>
      </c>
      <c r="BB45" s="153">
        <v>0.0</v>
      </c>
      <c r="BC45" s="153">
        <v>10.0</v>
      </c>
      <c r="BD45" s="153">
        <v>283.0</v>
      </c>
      <c r="BE45" s="153">
        <v>0.4289</v>
      </c>
      <c r="BF45" s="153">
        <v>0.0216</v>
      </c>
      <c r="BG45" s="153">
        <v>0.4073</v>
      </c>
      <c r="BH45" s="153">
        <v>0.4741</v>
      </c>
      <c r="BI45" s="153">
        <v>0.1136</v>
      </c>
      <c r="BJ45" s="153">
        <v>0.023</v>
      </c>
      <c r="BK45" s="153">
        <v>0.0</v>
      </c>
      <c r="BL45" s="153">
        <v>0.023</v>
      </c>
      <c r="BM45" s="153">
        <v>0.0237</v>
      </c>
      <c r="BN45" s="153">
        <v>0.0057</v>
      </c>
      <c r="BO45" s="153">
        <v>0.033</v>
      </c>
      <c r="BP45" s="153">
        <v>0.0129</v>
      </c>
      <c r="BQ45" s="153">
        <v>0.0201</v>
      </c>
      <c r="BR45" s="153">
        <v>0.2234</v>
      </c>
      <c r="BS45" s="153">
        <v>0.3154</v>
      </c>
      <c r="BT45" s="153">
        <v>0.0</v>
      </c>
      <c r="BU45" s="153">
        <v>0.3154</v>
      </c>
      <c r="BV45" s="153">
        <v>0.1257</v>
      </c>
      <c r="BW45" s="153">
        <v>0.0805</v>
      </c>
      <c r="BX45" s="153">
        <v>0.0086</v>
      </c>
      <c r="BY45" s="153">
        <v>0.0718</v>
      </c>
      <c r="BZ45" s="153">
        <v>0.125</v>
      </c>
      <c r="CA45" s="153">
        <v>7.0E-4</v>
      </c>
      <c r="CB45" s="153">
        <v>0.0</v>
      </c>
      <c r="CC45" s="153">
        <v>7.0E-4</v>
      </c>
      <c r="CD45" s="153">
        <v>0.0057</v>
      </c>
      <c r="CE45" s="153">
        <v>0.0208</v>
      </c>
      <c r="CF45" s="153">
        <v>0.0</v>
      </c>
      <c r="CG45" s="153">
        <v>0.0208</v>
      </c>
      <c r="CH45" s="153">
        <v>0.0086</v>
      </c>
      <c r="CI45" s="153">
        <v>0.0014</v>
      </c>
      <c r="CJ45" s="153">
        <v>0.0</v>
      </c>
      <c r="CK45" s="153">
        <v>0.0014</v>
      </c>
      <c r="CL45" s="153">
        <v>0.0093</v>
      </c>
      <c r="CM45" s="153">
        <v>0.28</v>
      </c>
      <c r="CN45" s="153">
        <v>0.86</v>
      </c>
      <c r="CO45" s="153">
        <v>32.0</v>
      </c>
      <c r="CP45" s="153">
        <v>0.19</v>
      </c>
      <c r="CQ45" s="153">
        <v>0.0</v>
      </c>
      <c r="CR45" s="153">
        <v>0.09</v>
      </c>
      <c r="CS45" s="153">
        <v>0.0</v>
      </c>
      <c r="CT45" s="153">
        <v>0.0</v>
      </c>
      <c r="CU45" s="153">
        <v>10.0</v>
      </c>
      <c r="CV45" s="153">
        <v>0.0</v>
      </c>
      <c r="CW45" s="153">
        <v>6.33</v>
      </c>
      <c r="CX45" s="153">
        <v>0.0</v>
      </c>
      <c r="CY45" s="153">
        <v>0.0</v>
      </c>
      <c r="CZ45" s="153">
        <v>2.85</v>
      </c>
      <c r="DA45" s="153">
        <v>0.0</v>
      </c>
      <c r="DB45" s="153">
        <v>2.85</v>
      </c>
      <c r="DC45" s="153">
        <v>2.84</v>
      </c>
      <c r="DD45" s="153">
        <v>0.0</v>
      </c>
      <c r="DE45" s="153">
        <v>2.84</v>
      </c>
      <c r="DF45" s="153">
        <v>0.01</v>
      </c>
      <c r="DG45" s="153">
        <v>0.0</v>
      </c>
      <c r="DH45" s="153">
        <v>0.01</v>
      </c>
      <c r="DI45" s="153">
        <v>0.0</v>
      </c>
      <c r="DJ45" s="153">
        <v>0.0</v>
      </c>
      <c r="DK45" s="153">
        <v>0.0</v>
      </c>
      <c r="DL45" s="153">
        <v>0.0</v>
      </c>
      <c r="DM45" s="153">
        <v>0.0</v>
      </c>
      <c r="DN45" s="153">
        <v>0.0</v>
      </c>
    </row>
    <row r="46">
      <c r="A46" s="235">
        <v>46258.0</v>
      </c>
      <c r="B46" s="236" t="s">
        <v>5</v>
      </c>
      <c r="C46" s="236" t="s">
        <v>134</v>
      </c>
      <c r="D46" s="236">
        <v>680.0</v>
      </c>
      <c r="E46" s="236">
        <v>17.23</v>
      </c>
      <c r="F46" s="236">
        <v>1.55</v>
      </c>
      <c r="G46" s="236">
        <v>0.0023</v>
      </c>
      <c r="H46" s="236">
        <v>0.29</v>
      </c>
      <c r="I46" s="236">
        <v>0.775</v>
      </c>
      <c r="J46" s="236">
        <v>16.8</v>
      </c>
      <c r="K46" s="236">
        <v>13.7</v>
      </c>
      <c r="L46" s="236">
        <v>12.32</v>
      </c>
      <c r="M46" s="236">
        <v>0.8996</v>
      </c>
      <c r="N46" s="236">
        <v>0.1172</v>
      </c>
      <c r="O46" s="236">
        <v>0.0817</v>
      </c>
      <c r="P46" s="236">
        <v>1.1116</v>
      </c>
      <c r="Q46" s="236">
        <v>46.51</v>
      </c>
      <c r="R46" s="236">
        <v>38.23</v>
      </c>
      <c r="S46" s="236">
        <v>8.28</v>
      </c>
      <c r="T46" s="236">
        <v>0.74</v>
      </c>
      <c r="U46" s="236">
        <v>45.78</v>
      </c>
      <c r="V46" s="236">
        <v>46.47</v>
      </c>
      <c r="W46" s="236">
        <v>3.3927</v>
      </c>
      <c r="X46" s="236">
        <v>1.58</v>
      </c>
      <c r="Y46" s="236">
        <v>236.0</v>
      </c>
      <c r="Z46" s="236">
        <v>265.0</v>
      </c>
      <c r="AA46" s="236">
        <v>340.0</v>
      </c>
      <c r="AB46" s="236">
        <v>49.8758</v>
      </c>
      <c r="AC46" s="236">
        <v>0.9193</v>
      </c>
      <c r="AD46" s="236">
        <v>10.72</v>
      </c>
      <c r="AE46" s="236">
        <v>7.0</v>
      </c>
      <c r="AF46" s="236">
        <v>11.0</v>
      </c>
      <c r="AG46" s="236">
        <v>14.0</v>
      </c>
      <c r="AH46" s="236">
        <v>17.0</v>
      </c>
      <c r="AI46" s="236">
        <v>82.21</v>
      </c>
      <c r="AJ46" s="236">
        <v>36.18</v>
      </c>
      <c r="AK46" s="236">
        <v>0.88</v>
      </c>
      <c r="AL46" s="236">
        <v>0.6324</v>
      </c>
      <c r="AM46" s="236">
        <v>0.0</v>
      </c>
      <c r="AN46" s="153">
        <v>0.0</v>
      </c>
      <c r="AO46" s="153">
        <v>0.0</v>
      </c>
      <c r="AP46" s="153">
        <v>0.0</v>
      </c>
      <c r="AQ46" s="153">
        <v>2.9544</v>
      </c>
      <c r="AR46" s="153">
        <v>0.3441</v>
      </c>
      <c r="AS46" s="153">
        <v>2.6103</v>
      </c>
      <c r="AT46" s="153">
        <v>3.2515</v>
      </c>
      <c r="AU46" s="153">
        <v>0.2374</v>
      </c>
      <c r="AV46" s="153">
        <v>680.0</v>
      </c>
      <c r="AW46" s="153">
        <v>0.0</v>
      </c>
      <c r="AX46" s="153">
        <v>38.93</v>
      </c>
      <c r="AY46" s="153">
        <v>6.43</v>
      </c>
      <c r="AZ46" s="153">
        <v>0.23</v>
      </c>
      <c r="BA46" s="153">
        <v>0.74</v>
      </c>
      <c r="BB46" s="153">
        <v>0.18</v>
      </c>
      <c r="BC46" s="153">
        <v>25.0</v>
      </c>
      <c r="BD46" s="153">
        <v>465.0</v>
      </c>
      <c r="BE46" s="153">
        <v>2.5265</v>
      </c>
      <c r="BF46" s="153">
        <v>0.3265</v>
      </c>
      <c r="BG46" s="153">
        <v>2.2</v>
      </c>
      <c r="BH46" s="153">
        <v>2.7309</v>
      </c>
      <c r="BI46" s="153">
        <v>0.1994</v>
      </c>
      <c r="BJ46" s="153">
        <v>0.4279</v>
      </c>
      <c r="BK46" s="153">
        <v>0.0176</v>
      </c>
      <c r="BL46" s="153">
        <v>0.4103</v>
      </c>
      <c r="BM46" s="153">
        <v>0.5206</v>
      </c>
      <c r="BN46" s="153">
        <v>0.038</v>
      </c>
      <c r="BO46" s="153">
        <v>0.7044</v>
      </c>
      <c r="BP46" s="153">
        <v>0.1647</v>
      </c>
      <c r="BQ46" s="153">
        <v>0.5397</v>
      </c>
      <c r="BR46" s="153">
        <v>1.1426</v>
      </c>
      <c r="BS46" s="153">
        <v>1.2368</v>
      </c>
      <c r="BT46" s="153">
        <v>0.0632</v>
      </c>
      <c r="BU46" s="153">
        <v>1.1735</v>
      </c>
      <c r="BV46" s="153">
        <v>0.8382</v>
      </c>
      <c r="BW46" s="153">
        <v>0.5853</v>
      </c>
      <c r="BX46" s="153">
        <v>0.0985</v>
      </c>
      <c r="BY46" s="153">
        <v>0.4868</v>
      </c>
      <c r="BZ46" s="153">
        <v>0.75</v>
      </c>
      <c r="CA46" s="153">
        <v>0.0691</v>
      </c>
      <c r="CB46" s="153">
        <v>0.0015</v>
      </c>
      <c r="CC46" s="153">
        <v>0.0676</v>
      </c>
      <c r="CD46" s="153">
        <v>0.1515</v>
      </c>
      <c r="CE46" s="153">
        <v>0.2309</v>
      </c>
      <c r="CF46" s="153">
        <v>0.0059</v>
      </c>
      <c r="CG46" s="153">
        <v>0.225</v>
      </c>
      <c r="CH46" s="153">
        <v>0.1721</v>
      </c>
      <c r="CI46" s="153">
        <v>0.1279</v>
      </c>
      <c r="CJ46" s="153">
        <v>0.0103</v>
      </c>
      <c r="CK46" s="153">
        <v>0.1176</v>
      </c>
      <c r="CL46" s="153">
        <v>0.1971</v>
      </c>
      <c r="CM46" s="153">
        <v>22.9</v>
      </c>
      <c r="CN46" s="153">
        <v>28.82</v>
      </c>
      <c r="CO46" s="153">
        <v>79.44</v>
      </c>
      <c r="CP46" s="153">
        <v>18.63</v>
      </c>
      <c r="CQ46" s="153">
        <v>0.94</v>
      </c>
      <c r="CR46" s="153">
        <v>1.71</v>
      </c>
      <c r="CS46" s="153">
        <v>1.62</v>
      </c>
      <c r="CT46" s="153">
        <v>0.0</v>
      </c>
      <c r="CU46" s="153">
        <v>44.0</v>
      </c>
      <c r="CV46" s="153">
        <v>0.19</v>
      </c>
      <c r="CW46" s="153">
        <v>46.7</v>
      </c>
      <c r="CX46" s="153">
        <v>0.09</v>
      </c>
      <c r="CY46" s="153">
        <v>1.03</v>
      </c>
      <c r="CZ46" s="153">
        <v>41.88</v>
      </c>
      <c r="DA46" s="153">
        <v>0.0</v>
      </c>
      <c r="DB46" s="153">
        <v>41.88</v>
      </c>
      <c r="DC46" s="153">
        <v>39.34</v>
      </c>
      <c r="DD46" s="153">
        <v>0.0</v>
      </c>
      <c r="DE46" s="153">
        <v>39.34</v>
      </c>
      <c r="DF46" s="153">
        <v>1.34</v>
      </c>
      <c r="DG46" s="153">
        <v>0.0</v>
      </c>
      <c r="DH46" s="153">
        <v>1.34</v>
      </c>
      <c r="DI46" s="153">
        <v>1.19</v>
      </c>
      <c r="DJ46" s="153">
        <v>0.0</v>
      </c>
      <c r="DK46" s="153">
        <v>1.19</v>
      </c>
      <c r="DL46" s="153">
        <v>0.01</v>
      </c>
      <c r="DM46" s="153">
        <v>0.0</v>
      </c>
      <c r="DN46" s="153">
        <v>0.01</v>
      </c>
    </row>
    <row r="47">
      <c r="A47" s="235">
        <v>46258.0</v>
      </c>
      <c r="B47" s="236" t="s">
        <v>5</v>
      </c>
      <c r="C47" s="236" t="s">
        <v>135</v>
      </c>
      <c r="D47" s="236">
        <v>541.0</v>
      </c>
      <c r="E47" s="236">
        <v>13.71</v>
      </c>
      <c r="F47" s="236">
        <v>0.0</v>
      </c>
      <c r="G47" s="236">
        <v>0.0</v>
      </c>
      <c r="H47" s="236">
        <v>0.0</v>
      </c>
      <c r="I47" s="236"/>
      <c r="J47" s="236">
        <v>36.15</v>
      </c>
      <c r="K47" s="236">
        <v>27.43</v>
      </c>
      <c r="L47" s="236">
        <v>23.75</v>
      </c>
      <c r="M47" s="236">
        <v>0.8659</v>
      </c>
      <c r="N47" s="236">
        <v>0.1624</v>
      </c>
      <c r="O47" s="236">
        <v>0.1078</v>
      </c>
      <c r="P47" s="236">
        <v>1.1549</v>
      </c>
      <c r="Q47" s="236">
        <v>115.39</v>
      </c>
      <c r="R47" s="236">
        <v>100.97</v>
      </c>
      <c r="S47" s="236">
        <v>14.42</v>
      </c>
      <c r="T47" s="236">
        <v>0.0</v>
      </c>
      <c r="U47" s="236">
        <v>115.39</v>
      </c>
      <c r="V47" s="236">
        <v>89.65</v>
      </c>
      <c r="W47" s="236">
        <v>3.268</v>
      </c>
      <c r="X47" s="236">
        <v>0.0</v>
      </c>
      <c r="Y47" s="236">
        <v>270.0</v>
      </c>
      <c r="Z47" s="236">
        <v>345.0</v>
      </c>
      <c r="AA47" s="236">
        <v>476.0</v>
      </c>
      <c r="AB47" s="236">
        <v>50.66</v>
      </c>
      <c r="AC47" s="236">
        <v>0.8759</v>
      </c>
      <c r="AD47" s="236">
        <v>18.04</v>
      </c>
      <c r="AE47" s="236">
        <v>10.0</v>
      </c>
      <c r="AF47" s="236">
        <v>18.0</v>
      </c>
      <c r="AG47" s="236">
        <v>26.0</v>
      </c>
      <c r="AH47" s="236">
        <v>31.0</v>
      </c>
      <c r="AI47" s="236">
        <v>70.24</v>
      </c>
      <c r="AJ47" s="236">
        <v>25.32</v>
      </c>
      <c r="AK47" s="236">
        <v>0.74</v>
      </c>
      <c r="AL47" s="236">
        <v>0.4621</v>
      </c>
      <c r="AM47" s="236">
        <v>2.59</v>
      </c>
      <c r="AN47" s="153">
        <v>2.59</v>
      </c>
      <c r="AO47" s="153">
        <v>0.55</v>
      </c>
      <c r="AP47" s="153">
        <v>0.37</v>
      </c>
      <c r="AQ47" s="153">
        <v>8.0665</v>
      </c>
      <c r="AR47" s="153">
        <v>0.122</v>
      </c>
      <c r="AS47" s="153">
        <v>7.9445</v>
      </c>
      <c r="AT47" s="153">
        <v>4.8115</v>
      </c>
      <c r="AU47" s="153">
        <v>0.1754</v>
      </c>
      <c r="AV47" s="153">
        <v>541.0</v>
      </c>
      <c r="AW47" s="153">
        <v>0.0</v>
      </c>
      <c r="AX47" s="153">
        <v>81.89</v>
      </c>
      <c r="AY47" s="153">
        <v>30.18</v>
      </c>
      <c r="AZ47" s="153">
        <v>0.62</v>
      </c>
      <c r="BA47" s="153">
        <v>0.0</v>
      </c>
      <c r="BB47" s="153">
        <v>2.7</v>
      </c>
      <c r="BC47" s="153">
        <v>40.0</v>
      </c>
      <c r="BD47" s="153">
        <v>800.0</v>
      </c>
      <c r="BE47" s="153">
        <v>6.1996</v>
      </c>
      <c r="BF47" s="153">
        <v>0.1109</v>
      </c>
      <c r="BG47" s="153">
        <v>6.0887</v>
      </c>
      <c r="BH47" s="153">
        <v>2.9797</v>
      </c>
      <c r="BI47" s="153">
        <v>0.1086</v>
      </c>
      <c r="BJ47" s="153">
        <v>1.8669</v>
      </c>
      <c r="BK47" s="153">
        <v>0.0111</v>
      </c>
      <c r="BL47" s="153">
        <v>1.8558</v>
      </c>
      <c r="BM47" s="153">
        <v>1.8318</v>
      </c>
      <c r="BN47" s="153">
        <v>0.0668</v>
      </c>
      <c r="BO47" s="153">
        <v>2.3826</v>
      </c>
      <c r="BP47" s="153">
        <v>0.0555</v>
      </c>
      <c r="BQ47" s="153">
        <v>2.3272</v>
      </c>
      <c r="BR47" s="153">
        <v>1.1978</v>
      </c>
      <c r="BS47" s="153">
        <v>2.6192</v>
      </c>
      <c r="BT47" s="153">
        <v>0.0277</v>
      </c>
      <c r="BU47" s="153">
        <v>2.5915</v>
      </c>
      <c r="BV47" s="153">
        <v>1.0333</v>
      </c>
      <c r="BW47" s="153">
        <v>1.1978</v>
      </c>
      <c r="BX47" s="153">
        <v>0.0277</v>
      </c>
      <c r="BY47" s="153">
        <v>1.1701</v>
      </c>
      <c r="BZ47" s="153">
        <v>0.7486</v>
      </c>
      <c r="CA47" s="153">
        <v>0.2921</v>
      </c>
      <c r="CB47" s="153">
        <v>0.0</v>
      </c>
      <c r="CC47" s="153">
        <v>0.2921</v>
      </c>
      <c r="CD47" s="153">
        <v>0.4584</v>
      </c>
      <c r="CE47" s="153">
        <v>0.719</v>
      </c>
      <c r="CF47" s="153">
        <v>0.0</v>
      </c>
      <c r="CG47" s="153">
        <v>0.719</v>
      </c>
      <c r="CH47" s="153">
        <v>0.5804</v>
      </c>
      <c r="CI47" s="153">
        <v>0.8558</v>
      </c>
      <c r="CJ47" s="153">
        <v>0.0111</v>
      </c>
      <c r="CK47" s="153">
        <v>0.8447</v>
      </c>
      <c r="CL47" s="153">
        <v>0.793</v>
      </c>
      <c r="CM47" s="153">
        <v>125.91</v>
      </c>
      <c r="CN47" s="153">
        <v>76.16</v>
      </c>
      <c r="CO47" s="153">
        <v>165.34</v>
      </c>
      <c r="CP47" s="153">
        <v>96.16</v>
      </c>
      <c r="CQ47" s="153">
        <v>16.08</v>
      </c>
      <c r="CR47" s="153">
        <v>5.03</v>
      </c>
      <c r="CS47" s="153">
        <v>8.64</v>
      </c>
      <c r="CT47" s="153">
        <v>0.0</v>
      </c>
      <c r="CU47" s="153">
        <v>97.0</v>
      </c>
      <c r="CV47" s="153">
        <v>1.88</v>
      </c>
      <c r="CW47" s="153">
        <v>117.27</v>
      </c>
      <c r="CX47" s="153">
        <v>2.55</v>
      </c>
      <c r="CY47" s="153">
        <v>18.63</v>
      </c>
      <c r="CZ47" s="153">
        <v>143.23</v>
      </c>
      <c r="DA47" s="153">
        <v>0.0</v>
      </c>
      <c r="DB47" s="153">
        <v>143.23</v>
      </c>
      <c r="DC47" s="153">
        <v>133.66</v>
      </c>
      <c r="DD47" s="153">
        <v>0.0</v>
      </c>
      <c r="DE47" s="153">
        <v>133.66</v>
      </c>
      <c r="DF47" s="153">
        <v>4.68</v>
      </c>
      <c r="DG47" s="153">
        <v>0.0</v>
      </c>
      <c r="DH47" s="153">
        <v>4.68</v>
      </c>
      <c r="DI47" s="153">
        <v>4.06</v>
      </c>
      <c r="DJ47" s="153">
        <v>0.0</v>
      </c>
      <c r="DK47" s="153">
        <v>4.06</v>
      </c>
      <c r="DL47" s="153">
        <v>0.83</v>
      </c>
      <c r="DM47" s="153">
        <v>0.0</v>
      </c>
      <c r="DN47" s="153">
        <v>0.83</v>
      </c>
    </row>
    <row r="48">
      <c r="A48" s="235">
        <v>46258.0</v>
      </c>
      <c r="B48" s="236" t="s">
        <v>5</v>
      </c>
      <c r="C48" s="236" t="s">
        <v>136</v>
      </c>
      <c r="D48" s="236">
        <v>399.0</v>
      </c>
      <c r="E48" s="236">
        <v>10.11</v>
      </c>
      <c r="F48" s="236">
        <v>45.38</v>
      </c>
      <c r="G48" s="236">
        <v>0.1137</v>
      </c>
      <c r="H48" s="236">
        <v>2.26</v>
      </c>
      <c r="I48" s="236">
        <v>5.0422</v>
      </c>
      <c r="J48" s="236">
        <v>92.34</v>
      </c>
      <c r="K48" s="236">
        <v>64.08</v>
      </c>
      <c r="L48" s="236">
        <v>52.2</v>
      </c>
      <c r="M48" s="236">
        <v>0.8145</v>
      </c>
      <c r="N48" s="236">
        <v>0.2249</v>
      </c>
      <c r="O48" s="236">
        <v>0.1479</v>
      </c>
      <c r="P48" s="236">
        <v>1.2277</v>
      </c>
      <c r="Q48" s="236">
        <v>284.73</v>
      </c>
      <c r="R48" s="236">
        <v>250.23</v>
      </c>
      <c r="S48" s="236">
        <v>34.5</v>
      </c>
      <c r="T48" s="236">
        <v>13.03</v>
      </c>
      <c r="U48" s="236">
        <v>271.7</v>
      </c>
      <c r="V48" s="236">
        <v>343.11</v>
      </c>
      <c r="W48" s="236">
        <v>5.3543</v>
      </c>
      <c r="X48" s="236">
        <v>4.58</v>
      </c>
      <c r="Y48" s="236">
        <v>336.0</v>
      </c>
      <c r="Z48" s="236">
        <v>449.0</v>
      </c>
      <c r="AA48" s="236">
        <v>677.0</v>
      </c>
      <c r="AB48" s="236">
        <v>53.1009</v>
      </c>
      <c r="AC48" s="236">
        <v>0.8351</v>
      </c>
      <c r="AD48" s="236">
        <v>28.89</v>
      </c>
      <c r="AE48" s="236">
        <v>14.0</v>
      </c>
      <c r="AF48" s="236">
        <v>24.0</v>
      </c>
      <c r="AG48" s="236">
        <v>42.0</v>
      </c>
      <c r="AH48" s="236">
        <v>55.0</v>
      </c>
      <c r="AI48" s="236">
        <v>44.36</v>
      </c>
      <c r="AJ48" s="236">
        <v>7.02</v>
      </c>
      <c r="AK48" s="236">
        <v>0.25</v>
      </c>
      <c r="AL48" s="236">
        <v>0.2682</v>
      </c>
      <c r="AM48" s="236">
        <v>30.83</v>
      </c>
      <c r="AN48" s="153">
        <v>30.83</v>
      </c>
      <c r="AO48" s="153">
        <v>24.31</v>
      </c>
      <c r="AP48" s="153">
        <v>16.54</v>
      </c>
      <c r="AQ48" s="153">
        <v>20.609</v>
      </c>
      <c r="AR48" s="153">
        <v>1.8145</v>
      </c>
      <c r="AS48" s="153">
        <v>18.7945</v>
      </c>
      <c r="AT48" s="153">
        <v>12.4185</v>
      </c>
      <c r="AU48" s="153">
        <v>0.1938</v>
      </c>
      <c r="AV48" s="153">
        <v>399.0</v>
      </c>
      <c r="AW48" s="153">
        <v>0.0</v>
      </c>
      <c r="AX48" s="153">
        <v>168.1</v>
      </c>
      <c r="AY48" s="153">
        <v>97.43</v>
      </c>
      <c r="AZ48" s="153">
        <v>1.48</v>
      </c>
      <c r="BA48" s="153">
        <v>13.03</v>
      </c>
      <c r="BB48" s="153">
        <v>4.69</v>
      </c>
      <c r="BC48" s="153">
        <v>80.0</v>
      </c>
      <c r="BD48" s="153">
        <v>1185.0</v>
      </c>
      <c r="BE48" s="153">
        <v>14.8922</v>
      </c>
      <c r="BF48" s="153">
        <v>1.7744</v>
      </c>
      <c r="BG48" s="153">
        <v>13.1178</v>
      </c>
      <c r="BH48" s="153">
        <v>6.9875</v>
      </c>
      <c r="BI48" s="153">
        <v>0.109</v>
      </c>
      <c r="BJ48" s="153">
        <v>5.7168</v>
      </c>
      <c r="BK48" s="153">
        <v>0.0401</v>
      </c>
      <c r="BL48" s="153">
        <v>5.6767</v>
      </c>
      <c r="BM48" s="153">
        <v>5.4311</v>
      </c>
      <c r="BN48" s="153">
        <v>0.0848</v>
      </c>
      <c r="BO48" s="153">
        <v>5.4386</v>
      </c>
      <c r="BP48" s="153">
        <v>0.5138</v>
      </c>
      <c r="BQ48" s="153">
        <v>4.9248</v>
      </c>
      <c r="BR48" s="153">
        <v>2.5263</v>
      </c>
      <c r="BS48" s="153">
        <v>6.0802</v>
      </c>
      <c r="BT48" s="153">
        <v>0.5138</v>
      </c>
      <c r="BU48" s="153">
        <v>5.5664</v>
      </c>
      <c r="BV48" s="153">
        <v>2.609</v>
      </c>
      <c r="BW48" s="153">
        <v>3.3734</v>
      </c>
      <c r="BX48" s="153">
        <v>0.7469</v>
      </c>
      <c r="BY48" s="153">
        <v>2.6266</v>
      </c>
      <c r="BZ48" s="153">
        <v>1.8521</v>
      </c>
      <c r="CA48" s="153">
        <v>1.1729</v>
      </c>
      <c r="CB48" s="153">
        <v>0.0125</v>
      </c>
      <c r="CC48" s="153">
        <v>1.1604</v>
      </c>
      <c r="CD48" s="153">
        <v>1.3434</v>
      </c>
      <c r="CE48" s="153">
        <v>1.8797</v>
      </c>
      <c r="CF48" s="153">
        <v>0.01</v>
      </c>
      <c r="CG48" s="153">
        <v>1.8697</v>
      </c>
      <c r="CH48" s="153">
        <v>1.6516</v>
      </c>
      <c r="CI48" s="153">
        <v>2.6642</v>
      </c>
      <c r="CJ48" s="153">
        <v>0.0175</v>
      </c>
      <c r="CK48" s="153">
        <v>2.6466</v>
      </c>
      <c r="CL48" s="153">
        <v>2.4361</v>
      </c>
      <c r="CM48" s="153">
        <v>459.56</v>
      </c>
      <c r="CN48" s="153">
        <v>97.99</v>
      </c>
      <c r="CO48" s="153">
        <v>468.96</v>
      </c>
      <c r="CP48" s="153">
        <v>354.13</v>
      </c>
      <c r="CQ48" s="153">
        <v>68.33</v>
      </c>
      <c r="CR48" s="153">
        <v>13.28</v>
      </c>
      <c r="CS48" s="153">
        <v>23.81</v>
      </c>
      <c r="CT48" s="153">
        <v>0.0</v>
      </c>
      <c r="CU48" s="153">
        <v>198.0</v>
      </c>
      <c r="CV48" s="153">
        <v>12.88</v>
      </c>
      <c r="CW48" s="153">
        <v>297.61</v>
      </c>
      <c r="CX48" s="153">
        <v>9.91</v>
      </c>
      <c r="CY48" s="153">
        <v>78.25</v>
      </c>
      <c r="CZ48" s="153">
        <v>354.51</v>
      </c>
      <c r="DA48" s="153">
        <v>0.11</v>
      </c>
      <c r="DB48" s="153">
        <v>354.4</v>
      </c>
      <c r="DC48" s="153">
        <v>334.97</v>
      </c>
      <c r="DD48" s="153">
        <v>0.11</v>
      </c>
      <c r="DE48" s="153">
        <v>334.86</v>
      </c>
      <c r="DF48" s="153">
        <v>10.59</v>
      </c>
      <c r="DG48" s="153">
        <v>0.0</v>
      </c>
      <c r="DH48" s="153">
        <v>10.59</v>
      </c>
      <c r="DI48" s="153">
        <v>7.06</v>
      </c>
      <c r="DJ48" s="153">
        <v>0.0</v>
      </c>
      <c r="DK48" s="153">
        <v>7.06</v>
      </c>
      <c r="DL48" s="153">
        <v>1.89</v>
      </c>
      <c r="DM48" s="153">
        <v>0.0</v>
      </c>
      <c r="DN48" s="153">
        <v>1.89</v>
      </c>
    </row>
    <row r="49">
      <c r="A49" s="235">
        <v>46258.0</v>
      </c>
      <c r="B49" s="236" t="s">
        <v>5</v>
      </c>
      <c r="C49" s="236" t="s">
        <v>137</v>
      </c>
      <c r="D49" s="236">
        <v>95.0</v>
      </c>
      <c r="E49" s="236">
        <v>2.41</v>
      </c>
      <c r="F49" s="236">
        <v>13.18</v>
      </c>
      <c r="G49" s="236">
        <v>0.1387</v>
      </c>
      <c r="H49" s="236">
        <v>4.21</v>
      </c>
      <c r="I49" s="236">
        <v>3.295</v>
      </c>
      <c r="J49" s="236">
        <v>207.13</v>
      </c>
      <c r="K49" s="236">
        <v>150.47</v>
      </c>
      <c r="L49" s="236">
        <v>118.33</v>
      </c>
      <c r="M49" s="236">
        <v>0.7864</v>
      </c>
      <c r="N49" s="236">
        <v>0.2547</v>
      </c>
      <c r="O49" s="236">
        <v>0.1551</v>
      </c>
      <c r="P49" s="236">
        <v>1.2717</v>
      </c>
      <c r="Q49" s="236">
        <v>609.35</v>
      </c>
      <c r="R49" s="236">
        <v>519.35</v>
      </c>
      <c r="S49" s="236">
        <v>90.0</v>
      </c>
      <c r="T49" s="236">
        <v>29.47</v>
      </c>
      <c r="U49" s="236">
        <v>579.87</v>
      </c>
      <c r="V49" s="236">
        <v>576.84</v>
      </c>
      <c r="W49" s="236">
        <v>3.8335</v>
      </c>
      <c r="X49" s="236">
        <v>4.84</v>
      </c>
      <c r="Y49" s="236">
        <v>446.0</v>
      </c>
      <c r="Z49" s="236">
        <v>655.0</v>
      </c>
      <c r="AA49" s="236">
        <v>1085.0</v>
      </c>
      <c r="AB49" s="236">
        <v>56.7496</v>
      </c>
      <c r="AC49" s="236">
        <v>0.7904</v>
      </c>
      <c r="AD49" s="236">
        <v>51.74</v>
      </c>
      <c r="AE49" s="236">
        <v>19.0</v>
      </c>
      <c r="AF49" s="236">
        <v>38.0</v>
      </c>
      <c r="AG49" s="236">
        <v>69.0</v>
      </c>
      <c r="AH49" s="236">
        <v>119.0</v>
      </c>
      <c r="AI49" s="236">
        <v>21.05</v>
      </c>
      <c r="AJ49" s="236">
        <v>1.05</v>
      </c>
      <c r="AK49" s="236">
        <v>0.0</v>
      </c>
      <c r="AL49" s="236">
        <v>0.1895</v>
      </c>
      <c r="AM49" s="236">
        <v>76.84</v>
      </c>
      <c r="AN49" s="153">
        <v>76.84</v>
      </c>
      <c r="AO49" s="153">
        <v>74.74</v>
      </c>
      <c r="AP49" s="153">
        <v>72.63</v>
      </c>
      <c r="AQ49" s="153">
        <v>36.7789</v>
      </c>
      <c r="AR49" s="153">
        <v>0.3579</v>
      </c>
      <c r="AS49" s="153">
        <v>36.4211</v>
      </c>
      <c r="AT49" s="153">
        <v>27.3263</v>
      </c>
      <c r="AU49" s="153">
        <v>0.1816</v>
      </c>
      <c r="AV49" s="153">
        <v>95.0</v>
      </c>
      <c r="AW49" s="153">
        <v>0.0</v>
      </c>
      <c r="AX49" s="153">
        <v>337.58</v>
      </c>
      <c r="AY49" s="153">
        <v>226.61</v>
      </c>
      <c r="AZ49" s="153">
        <v>5.84</v>
      </c>
      <c r="BA49" s="153">
        <v>29.47</v>
      </c>
      <c r="BB49" s="153">
        <v>9.84</v>
      </c>
      <c r="BC49" s="153">
        <v>189.0</v>
      </c>
      <c r="BD49" s="153">
        <v>1910.0</v>
      </c>
      <c r="BE49" s="153">
        <v>23.0737</v>
      </c>
      <c r="BF49" s="153">
        <v>0.1263</v>
      </c>
      <c r="BG49" s="153">
        <v>22.9474</v>
      </c>
      <c r="BH49" s="153">
        <v>13.7474</v>
      </c>
      <c r="BI49" s="153">
        <v>0.0914</v>
      </c>
      <c r="BJ49" s="153">
        <v>13.7053</v>
      </c>
      <c r="BK49" s="153">
        <v>0.2316</v>
      </c>
      <c r="BL49" s="153">
        <v>13.4737</v>
      </c>
      <c r="BM49" s="153">
        <v>13.5789</v>
      </c>
      <c r="BN49" s="153">
        <v>0.0902</v>
      </c>
      <c r="BO49" s="153">
        <v>7.9263</v>
      </c>
      <c r="BP49" s="153">
        <v>0.0421</v>
      </c>
      <c r="BQ49" s="153">
        <v>7.8842</v>
      </c>
      <c r="BR49" s="153">
        <v>4.7579</v>
      </c>
      <c r="BS49" s="153">
        <v>9.1158</v>
      </c>
      <c r="BT49" s="153">
        <v>0.0421</v>
      </c>
      <c r="BU49" s="153">
        <v>9.0737</v>
      </c>
      <c r="BV49" s="153">
        <v>5.4526</v>
      </c>
      <c r="BW49" s="153">
        <v>6.0316</v>
      </c>
      <c r="BX49" s="153">
        <v>0.0421</v>
      </c>
      <c r="BY49" s="153">
        <v>5.9895</v>
      </c>
      <c r="BZ49" s="153">
        <v>3.5368</v>
      </c>
      <c r="CA49" s="153">
        <v>3.2421</v>
      </c>
      <c r="CB49" s="153">
        <v>0.0842</v>
      </c>
      <c r="CC49" s="153">
        <v>3.1579</v>
      </c>
      <c r="CD49" s="153">
        <v>3.6316</v>
      </c>
      <c r="CE49" s="153">
        <v>4.0737</v>
      </c>
      <c r="CF49" s="153">
        <v>0.0421</v>
      </c>
      <c r="CG49" s="153">
        <v>4.0316</v>
      </c>
      <c r="CH49" s="153">
        <v>4.2</v>
      </c>
      <c r="CI49" s="153">
        <v>6.3895</v>
      </c>
      <c r="CJ49" s="153">
        <v>0.1053</v>
      </c>
      <c r="CK49" s="153">
        <v>6.2842</v>
      </c>
      <c r="CL49" s="153">
        <v>5.7474</v>
      </c>
      <c r="CM49" s="153">
        <v>1207.17</v>
      </c>
      <c r="CN49" s="153">
        <v>100.0</v>
      </c>
      <c r="CO49" s="153">
        <v>1207.17</v>
      </c>
      <c r="CP49" s="153">
        <v>949.4</v>
      </c>
      <c r="CQ49" s="153">
        <v>181.25</v>
      </c>
      <c r="CR49" s="153">
        <v>16.84</v>
      </c>
      <c r="CS49" s="153">
        <v>59.68</v>
      </c>
      <c r="CT49" s="153">
        <v>0.0</v>
      </c>
      <c r="CU49" s="153">
        <v>75.0</v>
      </c>
      <c r="CV49" s="153">
        <v>46.6</v>
      </c>
      <c r="CW49" s="153">
        <v>655.95</v>
      </c>
      <c r="CX49" s="153">
        <v>24.18</v>
      </c>
      <c r="CY49" s="153">
        <v>205.42</v>
      </c>
      <c r="CZ49" s="153">
        <v>734.05</v>
      </c>
      <c r="DA49" s="153">
        <v>0.47</v>
      </c>
      <c r="DB49" s="153">
        <v>733.58</v>
      </c>
      <c r="DC49" s="153">
        <v>695.84</v>
      </c>
      <c r="DD49" s="153">
        <v>0.47</v>
      </c>
      <c r="DE49" s="153">
        <v>695.37</v>
      </c>
      <c r="DF49" s="153">
        <v>26.53</v>
      </c>
      <c r="DG49" s="153">
        <v>0.0</v>
      </c>
      <c r="DH49" s="153">
        <v>26.53</v>
      </c>
      <c r="DI49" s="153">
        <v>10.11</v>
      </c>
      <c r="DJ49" s="153">
        <v>0.0</v>
      </c>
      <c r="DK49" s="153">
        <v>10.11</v>
      </c>
      <c r="DL49" s="153">
        <v>1.58</v>
      </c>
      <c r="DM49" s="153">
        <v>0.0</v>
      </c>
      <c r="DN49" s="153">
        <v>1.58</v>
      </c>
    </row>
    <row r="50">
      <c r="A50" s="235">
        <v>46259.0</v>
      </c>
      <c r="B50" s="236" t="s">
        <v>4</v>
      </c>
      <c r="C50" s="236" t="s">
        <v>423</v>
      </c>
      <c r="D50" s="236">
        <v>796.0</v>
      </c>
      <c r="E50" s="236">
        <v>17.3</v>
      </c>
      <c r="F50" s="236">
        <v>1.05</v>
      </c>
      <c r="G50" s="236">
        <v>0.0013</v>
      </c>
      <c r="H50" s="236">
        <v>0.13</v>
      </c>
      <c r="I50" s="236">
        <v>1.05</v>
      </c>
      <c r="J50" s="236">
        <v>1.97</v>
      </c>
      <c r="K50" s="236">
        <v>0.27</v>
      </c>
      <c r="L50" s="236">
        <v>0.0</v>
      </c>
      <c r="M50" s="236">
        <v>0.0</v>
      </c>
      <c r="N50" s="236">
        <v>1.0</v>
      </c>
      <c r="O50" s="236">
        <v>1.0</v>
      </c>
      <c r="P50" s="236"/>
      <c r="Q50" s="236">
        <v>2.22</v>
      </c>
      <c r="R50" s="236">
        <v>2.19</v>
      </c>
      <c r="S50" s="236">
        <v>0.04</v>
      </c>
      <c r="T50" s="236">
        <v>0.0</v>
      </c>
      <c r="U50" s="236">
        <v>2.22</v>
      </c>
      <c r="V50" s="236">
        <v>0.88</v>
      </c>
      <c r="W50" s="236">
        <v>3.271</v>
      </c>
      <c r="X50" s="236">
        <v>0.0</v>
      </c>
      <c r="Y50" s="236">
        <v>200.0</v>
      </c>
      <c r="Z50" s="236">
        <v>200.0</v>
      </c>
      <c r="AA50" s="236">
        <v>202.0</v>
      </c>
      <c r="AB50" s="236">
        <v>49.6214</v>
      </c>
      <c r="AC50" s="236">
        <v>0.6685</v>
      </c>
      <c r="AD50" s="237"/>
      <c r="AE50" s="237"/>
      <c r="AF50" s="237"/>
      <c r="AG50" s="237"/>
      <c r="AH50" s="237"/>
      <c r="AI50" s="236">
        <v>0.0</v>
      </c>
      <c r="AJ50" s="236">
        <v>0.0</v>
      </c>
      <c r="AK50" s="236">
        <v>0.0</v>
      </c>
      <c r="AL50" s="236">
        <v>0.8832</v>
      </c>
      <c r="AQ50" s="153">
        <v>0.1533</v>
      </c>
      <c r="AR50" s="153">
        <v>0.0</v>
      </c>
      <c r="AS50" s="153">
        <v>0.1533</v>
      </c>
      <c r="AT50" s="153">
        <v>0.0389</v>
      </c>
      <c r="AU50" s="153">
        <v>0.1449</v>
      </c>
      <c r="AV50" s="153">
        <v>796.0</v>
      </c>
      <c r="AW50" s="153">
        <v>0.0</v>
      </c>
      <c r="AX50" s="153">
        <v>1.24</v>
      </c>
      <c r="AY50" s="153">
        <v>0.96</v>
      </c>
      <c r="AZ50" s="153">
        <v>0.03</v>
      </c>
      <c r="BA50" s="153">
        <v>0.0</v>
      </c>
      <c r="BB50" s="153">
        <v>0.0</v>
      </c>
      <c r="BD50" s="153">
        <v>476.0</v>
      </c>
      <c r="BE50" s="153">
        <v>0.0641</v>
      </c>
      <c r="BF50" s="153">
        <v>0.0</v>
      </c>
      <c r="BG50" s="153">
        <v>0.0641</v>
      </c>
      <c r="BH50" s="153">
        <v>0.0101</v>
      </c>
      <c r="BI50" s="153">
        <v>0.0374</v>
      </c>
      <c r="BJ50" s="153">
        <v>0.0892</v>
      </c>
      <c r="BK50" s="153">
        <v>0.0</v>
      </c>
      <c r="BL50" s="153">
        <v>0.0892</v>
      </c>
      <c r="BM50" s="153">
        <v>0.0289</v>
      </c>
      <c r="BN50" s="153">
        <v>0.1075</v>
      </c>
      <c r="BO50" s="153">
        <v>0.0151</v>
      </c>
      <c r="BP50" s="153">
        <v>0.0</v>
      </c>
      <c r="BQ50" s="153">
        <v>0.0151</v>
      </c>
      <c r="BR50" s="153">
        <v>0.0063</v>
      </c>
      <c r="BS50" s="153">
        <v>0.0264</v>
      </c>
      <c r="BT50" s="153">
        <v>0.0</v>
      </c>
      <c r="BU50" s="153">
        <v>0.0264</v>
      </c>
      <c r="BV50" s="153">
        <v>0.0025</v>
      </c>
      <c r="BW50" s="153">
        <v>0.0226</v>
      </c>
      <c r="BX50" s="153">
        <v>0.0</v>
      </c>
      <c r="BY50" s="153">
        <v>0.0226</v>
      </c>
      <c r="BZ50" s="153">
        <v>0.0013</v>
      </c>
      <c r="CA50" s="153">
        <v>0.0075</v>
      </c>
      <c r="CB50" s="153">
        <v>0.0</v>
      </c>
      <c r="CC50" s="153">
        <v>0.0075</v>
      </c>
      <c r="CD50" s="153">
        <v>0.0063</v>
      </c>
      <c r="CE50" s="153">
        <v>0.049</v>
      </c>
      <c r="CF50" s="153">
        <v>0.0</v>
      </c>
      <c r="CG50" s="153">
        <v>0.049</v>
      </c>
      <c r="CH50" s="153">
        <v>0.0176</v>
      </c>
      <c r="CI50" s="153">
        <v>0.0327</v>
      </c>
      <c r="CJ50" s="153">
        <v>0.0</v>
      </c>
      <c r="CK50" s="153">
        <v>0.0327</v>
      </c>
      <c r="CL50" s="153">
        <v>0.005</v>
      </c>
      <c r="CM50" s="153">
        <v>0.86</v>
      </c>
      <c r="CN50" s="153">
        <v>0.25</v>
      </c>
      <c r="CO50" s="153">
        <v>342.5</v>
      </c>
      <c r="CP50" s="153">
        <v>0.75</v>
      </c>
      <c r="CQ50" s="153">
        <v>0.0</v>
      </c>
      <c r="CR50" s="153">
        <v>0.05</v>
      </c>
      <c r="CS50" s="153">
        <v>0.06</v>
      </c>
      <c r="CT50" s="153">
        <v>0.0</v>
      </c>
      <c r="CU50" s="153">
        <v>0.0</v>
      </c>
      <c r="CV50" s="153">
        <v>0.0</v>
      </c>
      <c r="CW50" s="153">
        <v>2.22</v>
      </c>
      <c r="CX50" s="153">
        <v>0.0</v>
      </c>
      <c r="CY50" s="153">
        <v>0.0</v>
      </c>
      <c r="CZ50" s="153">
        <v>1.49</v>
      </c>
      <c r="DA50" s="153">
        <v>0.0</v>
      </c>
      <c r="DB50" s="153">
        <v>1.49</v>
      </c>
      <c r="DC50" s="153">
        <v>1.46</v>
      </c>
      <c r="DD50" s="153">
        <v>0.0</v>
      </c>
      <c r="DE50" s="153">
        <v>1.46</v>
      </c>
      <c r="DF50" s="153">
        <v>0.01</v>
      </c>
      <c r="DG50" s="153">
        <v>0.0</v>
      </c>
      <c r="DH50" s="153">
        <v>0.01</v>
      </c>
      <c r="DI50" s="153">
        <v>0.01</v>
      </c>
      <c r="DJ50" s="153">
        <v>0.0</v>
      </c>
      <c r="DK50" s="153">
        <v>0.01</v>
      </c>
      <c r="DL50" s="153">
        <v>0.0</v>
      </c>
      <c r="DM50" s="153">
        <v>0.0</v>
      </c>
      <c r="DN50" s="153">
        <v>0.0</v>
      </c>
    </row>
    <row r="51">
      <c r="A51" s="235">
        <v>46259.0</v>
      </c>
      <c r="B51" s="236" t="s">
        <v>4</v>
      </c>
      <c r="C51" s="236" t="s">
        <v>133</v>
      </c>
      <c r="D51" s="236">
        <v>1328.0</v>
      </c>
      <c r="E51" s="236">
        <v>28.86</v>
      </c>
      <c r="F51" s="236">
        <v>0.0</v>
      </c>
      <c r="G51" s="236">
        <v>0.0</v>
      </c>
      <c r="H51" s="236">
        <v>0.0</v>
      </c>
      <c r="I51" s="236"/>
      <c r="J51" s="236">
        <v>5.17</v>
      </c>
      <c r="K51" s="236">
        <v>4.37</v>
      </c>
      <c r="L51" s="236">
        <v>4.04</v>
      </c>
      <c r="M51" s="236">
        <v>0.9257</v>
      </c>
      <c r="N51" s="236">
        <v>0.0807</v>
      </c>
      <c r="O51" s="236">
        <v>0.0565</v>
      </c>
      <c r="P51" s="236">
        <v>1.0803</v>
      </c>
      <c r="Q51" s="236">
        <v>9.52</v>
      </c>
      <c r="R51" s="236">
        <v>8.09</v>
      </c>
      <c r="S51" s="236">
        <v>1.43</v>
      </c>
      <c r="T51" s="236">
        <v>0.0</v>
      </c>
      <c r="U51" s="236">
        <v>9.52</v>
      </c>
      <c r="V51" s="236">
        <v>7.42</v>
      </c>
      <c r="W51" s="236">
        <v>1.6992</v>
      </c>
      <c r="X51" s="236">
        <v>0.0</v>
      </c>
      <c r="Y51" s="236">
        <v>200.0</v>
      </c>
      <c r="Z51" s="236">
        <v>212.0</v>
      </c>
      <c r="AA51" s="236">
        <v>254.0</v>
      </c>
      <c r="AB51" s="236">
        <v>49.9636</v>
      </c>
      <c r="AC51" s="236">
        <v>0.8392</v>
      </c>
      <c r="AD51" s="236">
        <v>3.91</v>
      </c>
      <c r="AE51" s="236">
        <v>2.0</v>
      </c>
      <c r="AF51" s="236">
        <v>3.0</v>
      </c>
      <c r="AG51" s="236">
        <v>6.0</v>
      </c>
      <c r="AH51" s="236">
        <v>8.0</v>
      </c>
      <c r="AI51" s="236">
        <v>78.84</v>
      </c>
      <c r="AJ51" s="236">
        <v>38.1</v>
      </c>
      <c r="AK51" s="236">
        <v>1.66</v>
      </c>
      <c r="AL51" s="236">
        <v>0.8381</v>
      </c>
      <c r="AQ51" s="153">
        <v>0.6807</v>
      </c>
      <c r="AR51" s="153">
        <v>0.0565</v>
      </c>
      <c r="AS51" s="153">
        <v>0.6242</v>
      </c>
      <c r="AT51" s="153">
        <v>0.6664</v>
      </c>
      <c r="AU51" s="153">
        <v>0.1527</v>
      </c>
      <c r="AV51" s="153">
        <v>1328.0</v>
      </c>
      <c r="AW51" s="153">
        <v>0.0</v>
      </c>
      <c r="AX51" s="153">
        <v>9.45</v>
      </c>
      <c r="AY51" s="153">
        <v>0.0</v>
      </c>
      <c r="AZ51" s="153">
        <v>0.06</v>
      </c>
      <c r="BA51" s="153">
        <v>0.0</v>
      </c>
      <c r="BB51" s="153">
        <v>0.01</v>
      </c>
      <c r="BC51" s="153">
        <v>12.0</v>
      </c>
      <c r="BD51" s="153">
        <v>325.0</v>
      </c>
      <c r="BE51" s="153">
        <v>0.6325</v>
      </c>
      <c r="BF51" s="153">
        <v>0.0542</v>
      </c>
      <c r="BG51" s="153">
        <v>0.5783</v>
      </c>
      <c r="BH51" s="153">
        <v>0.5889</v>
      </c>
      <c r="BI51" s="153">
        <v>0.1349</v>
      </c>
      <c r="BJ51" s="153">
        <v>0.0482</v>
      </c>
      <c r="BK51" s="153">
        <v>0.0023</v>
      </c>
      <c r="BL51" s="153">
        <v>0.0459</v>
      </c>
      <c r="BM51" s="153">
        <v>0.0776</v>
      </c>
      <c r="BN51" s="153">
        <v>0.0178</v>
      </c>
      <c r="BO51" s="153">
        <v>0.1242</v>
      </c>
      <c r="BP51" s="153">
        <v>0.0271</v>
      </c>
      <c r="BQ51" s="153">
        <v>0.0971</v>
      </c>
      <c r="BR51" s="153">
        <v>0.2613</v>
      </c>
      <c r="BS51" s="153">
        <v>0.384</v>
      </c>
      <c r="BT51" s="153">
        <v>0.0158</v>
      </c>
      <c r="BU51" s="153">
        <v>0.3682</v>
      </c>
      <c r="BV51" s="153">
        <v>0.1724</v>
      </c>
      <c r="BW51" s="153">
        <v>0.1242</v>
      </c>
      <c r="BX51" s="153">
        <v>0.0113</v>
      </c>
      <c r="BY51" s="153">
        <v>0.113</v>
      </c>
      <c r="BZ51" s="153">
        <v>0.1551</v>
      </c>
      <c r="CA51" s="153">
        <v>8.0E-4</v>
      </c>
      <c r="CB51" s="153">
        <v>0.0</v>
      </c>
      <c r="CC51" s="153">
        <v>8.0E-4</v>
      </c>
      <c r="CD51" s="153">
        <v>0.0233</v>
      </c>
      <c r="CE51" s="153">
        <v>0.0429</v>
      </c>
      <c r="CF51" s="153">
        <v>0.0023</v>
      </c>
      <c r="CG51" s="153">
        <v>0.0407</v>
      </c>
      <c r="CH51" s="153">
        <v>0.0294</v>
      </c>
      <c r="CI51" s="153">
        <v>0.0045</v>
      </c>
      <c r="CJ51" s="153">
        <v>0.0</v>
      </c>
      <c r="CK51" s="153">
        <v>0.0045</v>
      </c>
      <c r="CL51" s="153">
        <v>0.0248</v>
      </c>
      <c r="CM51" s="153">
        <v>0.76</v>
      </c>
      <c r="CN51" s="153">
        <v>2.11</v>
      </c>
      <c r="CO51" s="153">
        <v>35.89</v>
      </c>
      <c r="CP51" s="153">
        <v>0.7</v>
      </c>
      <c r="CQ51" s="153">
        <v>0.0</v>
      </c>
      <c r="CR51" s="153">
        <v>0.06</v>
      </c>
      <c r="CS51" s="153">
        <v>0.0</v>
      </c>
      <c r="CT51" s="153">
        <v>0.0</v>
      </c>
      <c r="CU51" s="153">
        <v>0.0</v>
      </c>
      <c r="CV51" s="153">
        <v>0.0</v>
      </c>
      <c r="CW51" s="153">
        <v>9.52</v>
      </c>
      <c r="CX51" s="153">
        <v>0.0</v>
      </c>
      <c r="CY51" s="153">
        <v>0.0</v>
      </c>
      <c r="CZ51" s="153">
        <v>3.19</v>
      </c>
      <c r="DA51" s="153">
        <v>0.0</v>
      </c>
      <c r="DB51" s="153">
        <v>3.19</v>
      </c>
      <c r="DC51" s="153">
        <v>3.18</v>
      </c>
      <c r="DD51" s="153">
        <v>0.0</v>
      </c>
      <c r="DE51" s="153">
        <v>3.18</v>
      </c>
      <c r="DF51" s="153">
        <v>0.01</v>
      </c>
      <c r="DG51" s="153">
        <v>0.0</v>
      </c>
      <c r="DH51" s="153">
        <v>0.01</v>
      </c>
      <c r="DI51" s="153">
        <v>0.0</v>
      </c>
      <c r="DJ51" s="153">
        <v>0.0</v>
      </c>
      <c r="DK51" s="153">
        <v>0.0</v>
      </c>
      <c r="DL51" s="153">
        <v>0.0</v>
      </c>
      <c r="DM51" s="153">
        <v>0.0</v>
      </c>
      <c r="DN51" s="153">
        <v>0.0</v>
      </c>
    </row>
    <row r="52">
      <c r="A52" s="235">
        <v>46259.0</v>
      </c>
      <c r="B52" s="236" t="s">
        <v>4</v>
      </c>
      <c r="C52" s="236" t="s">
        <v>134</v>
      </c>
      <c r="D52" s="236">
        <v>792.0</v>
      </c>
      <c r="E52" s="236">
        <v>17.21</v>
      </c>
      <c r="F52" s="236">
        <v>0.0</v>
      </c>
      <c r="G52" s="236">
        <v>0.0</v>
      </c>
      <c r="H52" s="236">
        <v>0.0</v>
      </c>
      <c r="I52" s="236"/>
      <c r="J52" s="236">
        <v>16.87</v>
      </c>
      <c r="K52" s="236">
        <v>13.48</v>
      </c>
      <c r="L52" s="236">
        <v>12.29</v>
      </c>
      <c r="M52" s="236">
        <v>0.9117</v>
      </c>
      <c r="N52" s="236">
        <v>0.1079</v>
      </c>
      <c r="O52" s="236">
        <v>0.0752</v>
      </c>
      <c r="P52" s="236">
        <v>1.0969</v>
      </c>
      <c r="Q52" s="236">
        <v>61.87</v>
      </c>
      <c r="R52" s="236">
        <v>45.84</v>
      </c>
      <c r="S52" s="236">
        <v>16.03</v>
      </c>
      <c r="T52" s="236">
        <v>0.0</v>
      </c>
      <c r="U52" s="236">
        <v>61.87</v>
      </c>
      <c r="V52" s="236">
        <v>40.59</v>
      </c>
      <c r="W52" s="236">
        <v>3.0111</v>
      </c>
      <c r="X52" s="236">
        <v>0.0</v>
      </c>
      <c r="Y52" s="236">
        <v>255.0</v>
      </c>
      <c r="Z52" s="236">
        <v>297.0</v>
      </c>
      <c r="AA52" s="236">
        <v>379.0</v>
      </c>
      <c r="AB52" s="236">
        <v>49.6246</v>
      </c>
      <c r="AC52" s="236">
        <v>0.8913</v>
      </c>
      <c r="AD52" s="236">
        <v>10.93</v>
      </c>
      <c r="AE52" s="236">
        <v>7.0</v>
      </c>
      <c r="AF52" s="236">
        <v>11.0</v>
      </c>
      <c r="AG52" s="236">
        <v>14.0</v>
      </c>
      <c r="AH52" s="236">
        <v>18.0</v>
      </c>
      <c r="AI52" s="236">
        <v>82.2</v>
      </c>
      <c r="AJ52" s="236">
        <v>35.73</v>
      </c>
      <c r="AK52" s="236">
        <v>1.52</v>
      </c>
      <c r="AL52" s="236">
        <v>0.6313</v>
      </c>
      <c r="AQ52" s="153">
        <v>4.2134</v>
      </c>
      <c r="AR52" s="153">
        <v>0.2045</v>
      </c>
      <c r="AS52" s="153">
        <v>4.0088</v>
      </c>
      <c r="AT52" s="153">
        <v>2.8182</v>
      </c>
      <c r="AU52" s="153">
        <v>0.209</v>
      </c>
      <c r="AV52" s="153">
        <v>792.0</v>
      </c>
      <c r="AW52" s="153">
        <v>0.0</v>
      </c>
      <c r="AX52" s="153">
        <v>56.93</v>
      </c>
      <c r="AY52" s="153">
        <v>4.2</v>
      </c>
      <c r="AZ52" s="153">
        <v>0.4</v>
      </c>
      <c r="BA52" s="153">
        <v>0.0</v>
      </c>
      <c r="BB52" s="153">
        <v>0.33</v>
      </c>
      <c r="BC52" s="153">
        <v>26.0</v>
      </c>
      <c r="BD52" s="153">
        <v>590.0</v>
      </c>
      <c r="BE52" s="153">
        <v>3.6351</v>
      </c>
      <c r="BF52" s="153">
        <v>0.1856</v>
      </c>
      <c r="BG52" s="153">
        <v>3.4495</v>
      </c>
      <c r="BH52" s="153">
        <v>2.2967</v>
      </c>
      <c r="BI52" s="153">
        <v>0.1704</v>
      </c>
      <c r="BJ52" s="153">
        <v>0.5783</v>
      </c>
      <c r="BK52" s="153">
        <v>0.0189</v>
      </c>
      <c r="BL52" s="153">
        <v>0.5593</v>
      </c>
      <c r="BM52" s="153">
        <v>0.5215</v>
      </c>
      <c r="BN52" s="153">
        <v>0.0387</v>
      </c>
      <c r="BO52" s="153">
        <v>1.1528</v>
      </c>
      <c r="BP52" s="153">
        <v>0.0758</v>
      </c>
      <c r="BQ52" s="153">
        <v>1.077</v>
      </c>
      <c r="BR52" s="153">
        <v>0.9495</v>
      </c>
      <c r="BS52" s="153">
        <v>1.8081</v>
      </c>
      <c r="BT52" s="153">
        <v>0.0227</v>
      </c>
      <c r="BU52" s="153">
        <v>1.7854</v>
      </c>
      <c r="BV52" s="153">
        <v>0.7361</v>
      </c>
      <c r="BW52" s="153">
        <v>0.6742</v>
      </c>
      <c r="BX52" s="153">
        <v>0.0871</v>
      </c>
      <c r="BY52" s="153">
        <v>0.5871</v>
      </c>
      <c r="BZ52" s="153">
        <v>0.6111</v>
      </c>
      <c r="CA52" s="153">
        <v>0.0341</v>
      </c>
      <c r="CB52" s="153">
        <v>0.0</v>
      </c>
      <c r="CC52" s="153">
        <v>0.0341</v>
      </c>
      <c r="CD52" s="153">
        <v>0.154</v>
      </c>
      <c r="CE52" s="153">
        <v>0.3258</v>
      </c>
      <c r="CF52" s="153">
        <v>0.0</v>
      </c>
      <c r="CG52" s="153">
        <v>0.3258</v>
      </c>
      <c r="CH52" s="153">
        <v>0.1402</v>
      </c>
      <c r="CI52" s="153">
        <v>0.2184</v>
      </c>
      <c r="CJ52" s="153">
        <v>0.0189</v>
      </c>
      <c r="CK52" s="153">
        <v>0.1995</v>
      </c>
      <c r="CL52" s="153">
        <v>0.2273</v>
      </c>
      <c r="CM52" s="153">
        <v>30.54</v>
      </c>
      <c r="CN52" s="153">
        <v>34.34</v>
      </c>
      <c r="CO52" s="153">
        <v>88.93</v>
      </c>
      <c r="CP52" s="153">
        <v>27.51</v>
      </c>
      <c r="CQ52" s="153">
        <v>0.0</v>
      </c>
      <c r="CR52" s="153">
        <v>2.37</v>
      </c>
      <c r="CS52" s="153">
        <v>0.66</v>
      </c>
      <c r="CT52" s="153">
        <v>0.0</v>
      </c>
      <c r="CU52" s="153">
        <v>0.0</v>
      </c>
      <c r="CV52" s="153">
        <v>0.0</v>
      </c>
      <c r="CW52" s="153">
        <v>61.87</v>
      </c>
      <c r="CX52" s="153">
        <v>0.0</v>
      </c>
      <c r="CY52" s="153">
        <v>0.0</v>
      </c>
      <c r="CZ52" s="153">
        <v>27.73</v>
      </c>
      <c r="DA52" s="153">
        <v>0.0</v>
      </c>
      <c r="DB52" s="153">
        <v>27.73</v>
      </c>
      <c r="DC52" s="153">
        <v>26.31</v>
      </c>
      <c r="DD52" s="153">
        <v>0.0</v>
      </c>
      <c r="DE52" s="153">
        <v>26.31</v>
      </c>
      <c r="DF52" s="153">
        <v>0.62</v>
      </c>
      <c r="DG52" s="153">
        <v>0.0</v>
      </c>
      <c r="DH52" s="153">
        <v>0.62</v>
      </c>
      <c r="DI52" s="153">
        <v>0.8</v>
      </c>
      <c r="DJ52" s="153">
        <v>0.0</v>
      </c>
      <c r="DK52" s="153">
        <v>0.8</v>
      </c>
      <c r="DL52" s="153">
        <v>0.0</v>
      </c>
      <c r="DM52" s="153">
        <v>0.0</v>
      </c>
      <c r="DN52" s="153">
        <v>0.0</v>
      </c>
    </row>
    <row r="53">
      <c r="A53" s="235">
        <v>46259.0</v>
      </c>
      <c r="B53" s="236" t="s">
        <v>4</v>
      </c>
      <c r="C53" s="236" t="s">
        <v>135</v>
      </c>
      <c r="D53" s="236">
        <v>794.0</v>
      </c>
      <c r="E53" s="236">
        <v>17.26</v>
      </c>
      <c r="F53" s="236">
        <v>23.35</v>
      </c>
      <c r="G53" s="236">
        <v>0.0294</v>
      </c>
      <c r="H53" s="236">
        <v>0.63</v>
      </c>
      <c r="I53" s="236">
        <v>4.67</v>
      </c>
      <c r="J53" s="236">
        <v>36.77</v>
      </c>
      <c r="K53" s="236">
        <v>27.26</v>
      </c>
      <c r="L53" s="236">
        <v>23.45</v>
      </c>
      <c r="M53" s="236">
        <v>0.8603</v>
      </c>
      <c r="N53" s="236">
        <v>0.1781</v>
      </c>
      <c r="O53" s="236">
        <v>0.1167</v>
      </c>
      <c r="P53" s="236">
        <v>1.1624</v>
      </c>
      <c r="Q53" s="236">
        <v>136.51</v>
      </c>
      <c r="R53" s="236">
        <v>100.69</v>
      </c>
      <c r="S53" s="236">
        <v>35.82</v>
      </c>
      <c r="T53" s="236">
        <v>2.27</v>
      </c>
      <c r="U53" s="236">
        <v>134.24</v>
      </c>
      <c r="V53" s="236">
        <v>109.89</v>
      </c>
      <c r="W53" s="236">
        <v>4.031</v>
      </c>
      <c r="X53" s="236">
        <v>1.66</v>
      </c>
      <c r="Y53" s="236">
        <v>308.0</v>
      </c>
      <c r="Z53" s="236">
        <v>402.0</v>
      </c>
      <c r="AA53" s="236">
        <v>538.0</v>
      </c>
      <c r="AB53" s="236">
        <v>50.8285</v>
      </c>
      <c r="AC53" s="236">
        <v>0.8745</v>
      </c>
      <c r="AD53" s="236">
        <v>17.63</v>
      </c>
      <c r="AE53" s="236">
        <v>9.0</v>
      </c>
      <c r="AF53" s="236">
        <v>17.0</v>
      </c>
      <c r="AG53" s="236">
        <v>26.0</v>
      </c>
      <c r="AH53" s="236">
        <v>33.0</v>
      </c>
      <c r="AI53" s="236">
        <v>69.27</v>
      </c>
      <c r="AJ53" s="236">
        <v>25.57</v>
      </c>
      <c r="AK53" s="236">
        <v>1.13</v>
      </c>
      <c r="AL53" s="236">
        <v>0.4484</v>
      </c>
      <c r="AQ53" s="153">
        <v>8.3312</v>
      </c>
      <c r="AR53" s="153">
        <v>0.1977</v>
      </c>
      <c r="AS53" s="153">
        <v>8.1335</v>
      </c>
      <c r="AT53" s="153">
        <v>4.966</v>
      </c>
      <c r="AU53" s="153">
        <v>0.1822</v>
      </c>
      <c r="AV53" s="153">
        <v>794.0</v>
      </c>
      <c r="AW53" s="153">
        <v>0.0</v>
      </c>
      <c r="AX53" s="153">
        <v>107.41</v>
      </c>
      <c r="AY53" s="153">
        <v>23.78</v>
      </c>
      <c r="AZ53" s="153">
        <v>0.93</v>
      </c>
      <c r="BA53" s="153">
        <v>2.27</v>
      </c>
      <c r="BB53" s="153">
        <v>2.12</v>
      </c>
      <c r="BC53" s="153">
        <v>44.0</v>
      </c>
      <c r="BD53" s="153">
        <v>905.0</v>
      </c>
      <c r="BE53" s="153">
        <v>5.7859</v>
      </c>
      <c r="BF53" s="153">
        <v>0.1889</v>
      </c>
      <c r="BG53" s="153">
        <v>5.597</v>
      </c>
      <c r="BH53" s="153">
        <v>2.7821</v>
      </c>
      <c r="BI53" s="153">
        <v>0.1021</v>
      </c>
      <c r="BJ53" s="153">
        <v>2.5453</v>
      </c>
      <c r="BK53" s="153">
        <v>0.0088</v>
      </c>
      <c r="BL53" s="153">
        <v>2.5365</v>
      </c>
      <c r="BM53" s="153">
        <v>2.1839</v>
      </c>
      <c r="BN53" s="153">
        <v>0.0801</v>
      </c>
      <c r="BO53" s="153">
        <v>1.8778</v>
      </c>
      <c r="BP53" s="153">
        <v>0.0252</v>
      </c>
      <c r="BQ53" s="153">
        <v>1.8526</v>
      </c>
      <c r="BR53" s="153">
        <v>1.073</v>
      </c>
      <c r="BS53" s="153">
        <v>2.7015</v>
      </c>
      <c r="BT53" s="153">
        <v>0.029</v>
      </c>
      <c r="BU53" s="153">
        <v>2.6725</v>
      </c>
      <c r="BV53" s="153">
        <v>0.9887</v>
      </c>
      <c r="BW53" s="153">
        <v>1.2065</v>
      </c>
      <c r="BX53" s="153">
        <v>0.1348</v>
      </c>
      <c r="BY53" s="153">
        <v>1.0718</v>
      </c>
      <c r="BZ53" s="153">
        <v>0.7204</v>
      </c>
      <c r="CA53" s="153">
        <v>0.2846</v>
      </c>
      <c r="CB53" s="153">
        <v>0.0038</v>
      </c>
      <c r="CC53" s="153">
        <v>0.2809</v>
      </c>
      <c r="CD53" s="153">
        <v>0.4685</v>
      </c>
      <c r="CE53" s="153">
        <v>1.1511</v>
      </c>
      <c r="CF53" s="153">
        <v>0.0025</v>
      </c>
      <c r="CG53" s="153">
        <v>1.1486</v>
      </c>
      <c r="CH53" s="153">
        <v>0.7657</v>
      </c>
      <c r="CI53" s="153">
        <v>1.1096</v>
      </c>
      <c r="CJ53" s="153">
        <v>0.0025</v>
      </c>
      <c r="CK53" s="153">
        <v>1.1071</v>
      </c>
      <c r="CL53" s="153">
        <v>0.9496</v>
      </c>
      <c r="CM53" s="153">
        <v>155.79</v>
      </c>
      <c r="CN53" s="153">
        <v>80.73</v>
      </c>
      <c r="CO53" s="153">
        <v>192.97</v>
      </c>
      <c r="CP53" s="153">
        <v>141.62</v>
      </c>
      <c r="CQ53" s="153">
        <v>0.0</v>
      </c>
      <c r="CR53" s="153">
        <v>6.07</v>
      </c>
      <c r="CS53" s="153">
        <v>8.09</v>
      </c>
      <c r="CT53" s="153">
        <v>0.0</v>
      </c>
      <c r="CU53" s="153">
        <v>0.0</v>
      </c>
      <c r="CV53" s="153">
        <v>0.0</v>
      </c>
      <c r="CW53" s="153">
        <v>136.51</v>
      </c>
      <c r="CX53" s="153">
        <v>0.0</v>
      </c>
      <c r="CY53" s="153">
        <v>0.0</v>
      </c>
      <c r="CZ53" s="153">
        <v>84.48</v>
      </c>
      <c r="DA53" s="153">
        <v>0.06</v>
      </c>
      <c r="DB53" s="153">
        <v>84.42</v>
      </c>
      <c r="DC53" s="153">
        <v>80.47</v>
      </c>
      <c r="DD53" s="153">
        <v>0.06</v>
      </c>
      <c r="DE53" s="153">
        <v>80.41</v>
      </c>
      <c r="DF53" s="153">
        <v>2.29</v>
      </c>
      <c r="DG53" s="153">
        <v>0.0</v>
      </c>
      <c r="DH53" s="153">
        <v>2.29</v>
      </c>
      <c r="DI53" s="153">
        <v>1.71</v>
      </c>
      <c r="DJ53" s="153">
        <v>0.0</v>
      </c>
      <c r="DK53" s="153">
        <v>1.71</v>
      </c>
      <c r="DL53" s="153">
        <v>0.01</v>
      </c>
      <c r="DM53" s="153">
        <v>0.0</v>
      </c>
      <c r="DN53" s="153">
        <v>0.01</v>
      </c>
    </row>
    <row r="54">
      <c r="A54" s="235">
        <v>46259.0</v>
      </c>
      <c r="B54" s="236" t="s">
        <v>4</v>
      </c>
      <c r="C54" s="236" t="s">
        <v>136</v>
      </c>
      <c r="D54" s="236">
        <v>693.0</v>
      </c>
      <c r="E54" s="236">
        <v>15.06</v>
      </c>
      <c r="F54" s="236">
        <v>103.85</v>
      </c>
      <c r="G54" s="236">
        <v>0.1499</v>
      </c>
      <c r="H54" s="236">
        <v>3.46</v>
      </c>
      <c r="I54" s="236">
        <v>4.3271</v>
      </c>
      <c r="J54" s="236">
        <v>90.66</v>
      </c>
      <c r="K54" s="236">
        <v>63.74</v>
      </c>
      <c r="L54" s="236">
        <v>50.64</v>
      </c>
      <c r="M54" s="236">
        <v>0.7946</v>
      </c>
      <c r="N54" s="236">
        <v>0.25</v>
      </c>
      <c r="O54" s="236">
        <v>0.1429</v>
      </c>
      <c r="P54" s="236">
        <v>1.2586</v>
      </c>
      <c r="Q54" s="236">
        <v>320.67</v>
      </c>
      <c r="R54" s="236">
        <v>251.77</v>
      </c>
      <c r="S54" s="236">
        <v>68.9</v>
      </c>
      <c r="T54" s="236">
        <v>12.34</v>
      </c>
      <c r="U54" s="236">
        <v>308.33</v>
      </c>
      <c r="V54" s="236">
        <v>287.16</v>
      </c>
      <c r="W54" s="236">
        <v>4.5054</v>
      </c>
      <c r="X54" s="236">
        <v>3.85</v>
      </c>
      <c r="Y54" s="236">
        <v>388.0</v>
      </c>
      <c r="Z54" s="236">
        <v>546.0</v>
      </c>
      <c r="AA54" s="236">
        <v>799.0</v>
      </c>
      <c r="AB54" s="236">
        <v>52.7901</v>
      </c>
      <c r="AC54" s="236">
        <v>0.8095</v>
      </c>
      <c r="AD54" s="236">
        <v>29.86</v>
      </c>
      <c r="AE54" s="236">
        <v>13.0</v>
      </c>
      <c r="AF54" s="236">
        <v>26.0</v>
      </c>
      <c r="AG54" s="236">
        <v>43.0</v>
      </c>
      <c r="AH54" s="236">
        <v>58.0</v>
      </c>
      <c r="AI54" s="236">
        <v>47.33</v>
      </c>
      <c r="AJ54" s="236">
        <v>9.38</v>
      </c>
      <c r="AK54" s="236">
        <v>0.72</v>
      </c>
      <c r="AL54" s="236">
        <v>0.2828</v>
      </c>
      <c r="AQ54" s="153">
        <v>17.7446</v>
      </c>
      <c r="AR54" s="153">
        <v>0.417</v>
      </c>
      <c r="AS54" s="153">
        <v>17.3276</v>
      </c>
      <c r="AT54" s="153">
        <v>12.3478</v>
      </c>
      <c r="AU54" s="153">
        <v>0.1937</v>
      </c>
      <c r="AV54" s="153">
        <v>693.0</v>
      </c>
      <c r="AW54" s="153">
        <v>0.0</v>
      </c>
      <c r="AX54" s="153">
        <v>199.52</v>
      </c>
      <c r="AY54" s="153">
        <v>102.05</v>
      </c>
      <c r="AZ54" s="153">
        <v>2.11</v>
      </c>
      <c r="BA54" s="153">
        <v>12.34</v>
      </c>
      <c r="BB54" s="153">
        <v>4.65</v>
      </c>
      <c r="BC54" s="153">
        <v>92.0</v>
      </c>
      <c r="BD54" s="153">
        <v>1680.0</v>
      </c>
      <c r="BE54" s="153">
        <v>11.3261</v>
      </c>
      <c r="BF54" s="153">
        <v>0.2987</v>
      </c>
      <c r="BG54" s="153">
        <v>11.0274</v>
      </c>
      <c r="BH54" s="153">
        <v>6.3247</v>
      </c>
      <c r="BI54" s="153">
        <v>0.0992</v>
      </c>
      <c r="BJ54" s="153">
        <v>6.4185</v>
      </c>
      <c r="BK54" s="153">
        <v>0.1183</v>
      </c>
      <c r="BL54" s="153">
        <v>6.3001</v>
      </c>
      <c r="BM54" s="153">
        <v>6.0231</v>
      </c>
      <c r="BN54" s="153">
        <v>0.0945</v>
      </c>
      <c r="BO54" s="153">
        <v>4.1948</v>
      </c>
      <c r="BP54" s="153">
        <v>0.0794</v>
      </c>
      <c r="BQ54" s="153">
        <v>4.1154</v>
      </c>
      <c r="BR54" s="153">
        <v>2.2886</v>
      </c>
      <c r="BS54" s="153">
        <v>4.6955</v>
      </c>
      <c r="BT54" s="153">
        <v>0.075</v>
      </c>
      <c r="BU54" s="153">
        <v>4.6205</v>
      </c>
      <c r="BV54" s="153">
        <v>2.4358</v>
      </c>
      <c r="BW54" s="153">
        <v>2.4358</v>
      </c>
      <c r="BX54" s="153">
        <v>0.1443</v>
      </c>
      <c r="BY54" s="153">
        <v>2.2915</v>
      </c>
      <c r="BZ54" s="153">
        <v>1.6003</v>
      </c>
      <c r="CA54" s="153">
        <v>1.1717</v>
      </c>
      <c r="CB54" s="153">
        <v>0.0245</v>
      </c>
      <c r="CC54" s="153">
        <v>1.1472</v>
      </c>
      <c r="CD54" s="153">
        <v>1.4791</v>
      </c>
      <c r="CE54" s="153">
        <v>2.3593</v>
      </c>
      <c r="CF54" s="153">
        <v>0.0447</v>
      </c>
      <c r="CG54" s="153">
        <v>2.3146</v>
      </c>
      <c r="CH54" s="153">
        <v>2.0433</v>
      </c>
      <c r="CI54" s="153">
        <v>2.8874</v>
      </c>
      <c r="CJ54" s="153">
        <v>0.0491</v>
      </c>
      <c r="CK54" s="153">
        <v>2.8384</v>
      </c>
      <c r="CL54" s="153">
        <v>2.5007</v>
      </c>
      <c r="CM54" s="153">
        <v>489.01</v>
      </c>
      <c r="CN54" s="153">
        <v>98.27</v>
      </c>
      <c r="CO54" s="153">
        <v>497.63</v>
      </c>
      <c r="CP54" s="153">
        <v>451.57</v>
      </c>
      <c r="CQ54" s="153">
        <v>0.0</v>
      </c>
      <c r="CR54" s="153">
        <v>14.43</v>
      </c>
      <c r="CS54" s="153">
        <v>23.01</v>
      </c>
      <c r="CT54" s="153">
        <v>0.0</v>
      </c>
      <c r="CU54" s="153">
        <v>0.0</v>
      </c>
      <c r="CV54" s="153">
        <v>0.0</v>
      </c>
      <c r="CW54" s="153">
        <v>320.67</v>
      </c>
      <c r="CX54" s="153">
        <v>0.0</v>
      </c>
      <c r="CY54" s="153">
        <v>0.0</v>
      </c>
      <c r="CZ54" s="153">
        <v>230.92</v>
      </c>
      <c r="DA54" s="153">
        <v>0.8</v>
      </c>
      <c r="DB54" s="153">
        <v>230.12</v>
      </c>
      <c r="DC54" s="153">
        <v>216.78</v>
      </c>
      <c r="DD54" s="153">
        <v>0.54</v>
      </c>
      <c r="DE54" s="153">
        <v>216.24</v>
      </c>
      <c r="DF54" s="153">
        <v>7.96</v>
      </c>
      <c r="DG54" s="153">
        <v>0.09</v>
      </c>
      <c r="DH54" s="153">
        <v>7.87</v>
      </c>
      <c r="DI54" s="153">
        <v>5.41</v>
      </c>
      <c r="DJ54" s="153">
        <v>0.09</v>
      </c>
      <c r="DK54" s="153">
        <v>5.32</v>
      </c>
      <c r="DL54" s="153">
        <v>0.76</v>
      </c>
      <c r="DM54" s="153">
        <v>0.09</v>
      </c>
      <c r="DN54" s="153">
        <v>0.68</v>
      </c>
    </row>
    <row r="55">
      <c r="A55" s="235">
        <v>46259.0</v>
      </c>
      <c r="B55" s="236" t="s">
        <v>4</v>
      </c>
      <c r="C55" s="236" t="s">
        <v>137</v>
      </c>
      <c r="D55" s="236">
        <v>198.0</v>
      </c>
      <c r="E55" s="236">
        <v>4.3</v>
      </c>
      <c r="F55" s="236">
        <v>77.91</v>
      </c>
      <c r="G55" s="236">
        <v>0.3935</v>
      </c>
      <c r="H55" s="236">
        <v>8.59</v>
      </c>
      <c r="I55" s="236">
        <v>4.5829</v>
      </c>
      <c r="J55" s="236">
        <v>242.21</v>
      </c>
      <c r="K55" s="236">
        <v>172.91</v>
      </c>
      <c r="L55" s="236">
        <v>134.9</v>
      </c>
      <c r="M55" s="236">
        <v>0.7802</v>
      </c>
      <c r="N55" s="236">
        <v>0.2596</v>
      </c>
      <c r="O55" s="236">
        <v>0.1398</v>
      </c>
      <c r="P55" s="236">
        <v>1.2818</v>
      </c>
      <c r="Q55" s="236">
        <v>737.71</v>
      </c>
      <c r="R55" s="236">
        <v>558.7</v>
      </c>
      <c r="S55" s="236">
        <v>179.02</v>
      </c>
      <c r="T55" s="236">
        <v>43.94</v>
      </c>
      <c r="U55" s="236">
        <v>693.77</v>
      </c>
      <c r="V55" s="236">
        <v>668.69</v>
      </c>
      <c r="W55" s="236">
        <v>3.8673</v>
      </c>
      <c r="X55" s="236">
        <v>5.96</v>
      </c>
      <c r="Y55" s="236">
        <v>565.0</v>
      </c>
      <c r="Z55" s="236">
        <v>916.0</v>
      </c>
      <c r="AA55" s="236">
        <v>1264.0</v>
      </c>
      <c r="AB55" s="236">
        <v>54.459</v>
      </c>
      <c r="AC55" s="236">
        <v>0.7736</v>
      </c>
      <c r="AD55" s="236">
        <v>61.49</v>
      </c>
      <c r="AE55" s="236">
        <v>27.0</v>
      </c>
      <c r="AF55" s="236">
        <v>44.0</v>
      </c>
      <c r="AG55" s="236">
        <v>77.0</v>
      </c>
      <c r="AH55" s="236">
        <v>138.0</v>
      </c>
      <c r="AI55" s="236">
        <v>24.24</v>
      </c>
      <c r="AJ55" s="236">
        <v>5.05</v>
      </c>
      <c r="AK55" s="236">
        <v>0.51</v>
      </c>
      <c r="AL55" s="236">
        <v>0.1515</v>
      </c>
      <c r="AQ55" s="153">
        <v>41.5909</v>
      </c>
      <c r="AR55" s="153">
        <v>0.5253</v>
      </c>
      <c r="AS55" s="153">
        <v>41.0657</v>
      </c>
      <c r="AT55" s="153">
        <v>29.8131</v>
      </c>
      <c r="AU55" s="153">
        <v>0.1724</v>
      </c>
      <c r="AV55" s="153">
        <v>198.0</v>
      </c>
      <c r="AW55" s="153">
        <v>0.0</v>
      </c>
      <c r="AX55" s="153">
        <v>461.87</v>
      </c>
      <c r="AY55" s="153">
        <v>210.68</v>
      </c>
      <c r="AZ55" s="153">
        <v>6.24</v>
      </c>
      <c r="BA55" s="153">
        <v>43.94</v>
      </c>
      <c r="BB55" s="153">
        <v>14.98</v>
      </c>
      <c r="BC55" s="153">
        <v>244.0</v>
      </c>
      <c r="BD55" s="153">
        <v>2021.0</v>
      </c>
      <c r="BE55" s="153">
        <v>25.0657</v>
      </c>
      <c r="BF55" s="153">
        <v>0.1515</v>
      </c>
      <c r="BG55" s="153">
        <v>24.9141</v>
      </c>
      <c r="BH55" s="153">
        <v>14.9495</v>
      </c>
      <c r="BI55" s="153">
        <v>0.0865</v>
      </c>
      <c r="BJ55" s="153">
        <v>16.5253</v>
      </c>
      <c r="BK55" s="153">
        <v>0.3737</v>
      </c>
      <c r="BL55" s="153">
        <v>16.1515</v>
      </c>
      <c r="BM55" s="153">
        <v>14.8636</v>
      </c>
      <c r="BN55" s="153">
        <v>0.086</v>
      </c>
      <c r="BO55" s="153">
        <v>9.0859</v>
      </c>
      <c r="BP55" s="153">
        <v>0.0505</v>
      </c>
      <c r="BQ55" s="153">
        <v>9.0354</v>
      </c>
      <c r="BR55" s="153">
        <v>5.3485</v>
      </c>
      <c r="BS55" s="153">
        <v>10.404</v>
      </c>
      <c r="BT55" s="153">
        <v>0.0505</v>
      </c>
      <c r="BU55" s="153">
        <v>10.3535</v>
      </c>
      <c r="BV55" s="153">
        <v>5.9091</v>
      </c>
      <c r="BW55" s="153">
        <v>5.5758</v>
      </c>
      <c r="BX55" s="153">
        <v>0.0505</v>
      </c>
      <c r="BY55" s="153">
        <v>5.5253</v>
      </c>
      <c r="BZ55" s="153">
        <v>3.6919</v>
      </c>
      <c r="CA55" s="153">
        <v>3.6566</v>
      </c>
      <c r="CB55" s="153">
        <v>0.0758</v>
      </c>
      <c r="CC55" s="153">
        <v>3.5808</v>
      </c>
      <c r="CD55" s="153">
        <v>3.8182</v>
      </c>
      <c r="CE55" s="153">
        <v>5.8687</v>
      </c>
      <c r="CF55" s="153">
        <v>0.1414</v>
      </c>
      <c r="CG55" s="153">
        <v>5.7273</v>
      </c>
      <c r="CH55" s="153">
        <v>5.1566</v>
      </c>
      <c r="CI55" s="153">
        <v>7.0</v>
      </c>
      <c r="CJ55" s="153">
        <v>0.1566</v>
      </c>
      <c r="CK55" s="153">
        <v>6.8434</v>
      </c>
      <c r="CL55" s="153">
        <v>5.8889</v>
      </c>
      <c r="CM55" s="153">
        <v>1460.61</v>
      </c>
      <c r="CN55" s="153">
        <v>100.0</v>
      </c>
      <c r="CO55" s="153">
        <v>1460.61</v>
      </c>
      <c r="CP55" s="153">
        <v>1406.74</v>
      </c>
      <c r="CQ55" s="153">
        <v>0.0</v>
      </c>
      <c r="CR55" s="153">
        <v>19.09</v>
      </c>
      <c r="CS55" s="153">
        <v>34.77</v>
      </c>
      <c r="CT55" s="153">
        <v>0.0</v>
      </c>
      <c r="CU55" s="153">
        <v>0.0</v>
      </c>
      <c r="CV55" s="153">
        <v>0.0</v>
      </c>
      <c r="CW55" s="153">
        <v>737.71</v>
      </c>
      <c r="CX55" s="153">
        <v>0.0</v>
      </c>
      <c r="CY55" s="153">
        <v>0.0</v>
      </c>
      <c r="CZ55" s="153">
        <v>618.76</v>
      </c>
      <c r="DA55" s="153">
        <v>2.75</v>
      </c>
      <c r="DB55" s="153">
        <v>616.01</v>
      </c>
      <c r="DC55" s="153">
        <v>584.82</v>
      </c>
      <c r="DD55" s="153">
        <v>1.54</v>
      </c>
      <c r="DE55" s="153">
        <v>583.28</v>
      </c>
      <c r="DF55" s="153">
        <v>17.2</v>
      </c>
      <c r="DG55" s="153">
        <v>0.4</v>
      </c>
      <c r="DH55" s="153">
        <v>16.79</v>
      </c>
      <c r="DI55" s="153">
        <v>12.37</v>
      </c>
      <c r="DJ55" s="153">
        <v>0.4</v>
      </c>
      <c r="DK55" s="153">
        <v>11.97</v>
      </c>
      <c r="DL55" s="153">
        <v>4.37</v>
      </c>
      <c r="DM55" s="153">
        <v>0.4</v>
      </c>
      <c r="DN55" s="153">
        <v>3.96</v>
      </c>
    </row>
    <row r="56">
      <c r="A56" s="235">
        <v>46259.0</v>
      </c>
      <c r="B56" s="236" t="s">
        <v>5</v>
      </c>
      <c r="C56" s="236" t="s">
        <v>423</v>
      </c>
      <c r="D56" s="236">
        <v>875.0</v>
      </c>
      <c r="E56" s="236">
        <v>18.21</v>
      </c>
      <c r="F56" s="236">
        <v>0.0</v>
      </c>
      <c r="G56" s="236">
        <v>0.0</v>
      </c>
      <c r="H56" s="236">
        <v>0.0</v>
      </c>
      <c r="I56" s="236"/>
      <c r="J56" s="236">
        <v>1.67</v>
      </c>
      <c r="K56" s="236">
        <v>0.24</v>
      </c>
      <c r="L56" s="236">
        <v>0.0</v>
      </c>
      <c r="M56" s="236">
        <v>0.0</v>
      </c>
      <c r="N56" s="236">
        <v>1.0</v>
      </c>
      <c r="O56" s="236">
        <v>1.0</v>
      </c>
      <c r="P56" s="236"/>
      <c r="Q56" s="236">
        <v>1.4</v>
      </c>
      <c r="R56" s="236">
        <v>1.39</v>
      </c>
      <c r="S56" s="236">
        <v>0.01</v>
      </c>
      <c r="T56" s="236">
        <v>0.0</v>
      </c>
      <c r="U56" s="236">
        <v>1.4</v>
      </c>
      <c r="V56" s="236">
        <v>1.03</v>
      </c>
      <c r="W56" s="236">
        <v>4.3478</v>
      </c>
      <c r="X56" s="236">
        <v>0.0</v>
      </c>
      <c r="Y56" s="236">
        <v>200.0</v>
      </c>
      <c r="Z56" s="236">
        <v>200.0</v>
      </c>
      <c r="AA56" s="236">
        <v>200.0</v>
      </c>
      <c r="AB56" s="236">
        <v>49.5292</v>
      </c>
      <c r="AC56" s="236">
        <v>0.7079</v>
      </c>
      <c r="AD56" s="237"/>
      <c r="AE56" s="237"/>
      <c r="AF56" s="237"/>
      <c r="AG56" s="237"/>
      <c r="AH56" s="237"/>
      <c r="AI56" s="236">
        <v>0.0</v>
      </c>
      <c r="AJ56" s="236">
        <v>0.0</v>
      </c>
      <c r="AK56" s="236">
        <v>0.0</v>
      </c>
      <c r="AL56" s="236">
        <v>0.8789</v>
      </c>
      <c r="AM56" s="153">
        <v>0.0</v>
      </c>
      <c r="AN56" s="153">
        <v>0.0</v>
      </c>
      <c r="AO56" s="153">
        <v>0.0</v>
      </c>
      <c r="AP56" s="153">
        <v>0.0</v>
      </c>
      <c r="AQ56" s="153">
        <v>0.1383</v>
      </c>
      <c r="AR56" s="153">
        <v>0.0137</v>
      </c>
      <c r="AS56" s="153">
        <v>0.1246</v>
      </c>
      <c r="AT56" s="153">
        <v>0.0606</v>
      </c>
      <c r="AU56" s="153">
        <v>0.256</v>
      </c>
      <c r="AV56" s="153">
        <v>875.0</v>
      </c>
      <c r="AW56" s="153">
        <v>0.0</v>
      </c>
      <c r="AX56" s="153">
        <v>1.17</v>
      </c>
      <c r="AY56" s="153">
        <v>0.22</v>
      </c>
      <c r="AZ56" s="153">
        <v>0.01</v>
      </c>
      <c r="BA56" s="153">
        <v>0.0</v>
      </c>
      <c r="BB56" s="153">
        <v>0.0</v>
      </c>
      <c r="BD56" s="153">
        <v>438.0</v>
      </c>
      <c r="BE56" s="153">
        <v>0.0903</v>
      </c>
      <c r="BF56" s="153">
        <v>0.0137</v>
      </c>
      <c r="BG56" s="153">
        <v>0.0766</v>
      </c>
      <c r="BH56" s="153">
        <v>0.0309</v>
      </c>
      <c r="BI56" s="153">
        <v>0.1304</v>
      </c>
      <c r="BJ56" s="153">
        <v>0.048</v>
      </c>
      <c r="BK56" s="153">
        <v>0.0</v>
      </c>
      <c r="BL56" s="153">
        <v>0.048</v>
      </c>
      <c r="BM56" s="153">
        <v>0.0297</v>
      </c>
      <c r="BN56" s="153">
        <v>0.1256</v>
      </c>
      <c r="BO56" s="153">
        <v>0.0114</v>
      </c>
      <c r="BP56" s="153">
        <v>0.0034</v>
      </c>
      <c r="BQ56" s="153">
        <v>0.008</v>
      </c>
      <c r="BR56" s="153">
        <v>0.0126</v>
      </c>
      <c r="BS56" s="153">
        <v>0.0503</v>
      </c>
      <c r="BT56" s="153">
        <v>0.0069</v>
      </c>
      <c r="BU56" s="153">
        <v>0.0434</v>
      </c>
      <c r="BV56" s="153">
        <v>0.0137</v>
      </c>
      <c r="BW56" s="153">
        <v>0.0286</v>
      </c>
      <c r="BX56" s="153">
        <v>0.0034</v>
      </c>
      <c r="BY56" s="153">
        <v>0.0251</v>
      </c>
      <c r="BZ56" s="153">
        <v>0.0046</v>
      </c>
      <c r="CA56" s="153">
        <v>0.0034</v>
      </c>
      <c r="CB56" s="153">
        <v>0.0</v>
      </c>
      <c r="CC56" s="153">
        <v>0.0034</v>
      </c>
      <c r="CD56" s="153">
        <v>0.0069</v>
      </c>
      <c r="CE56" s="153">
        <v>0.0331</v>
      </c>
      <c r="CF56" s="153">
        <v>0.0</v>
      </c>
      <c r="CG56" s="153">
        <v>0.0331</v>
      </c>
      <c r="CH56" s="153">
        <v>0.0149</v>
      </c>
      <c r="CI56" s="153">
        <v>0.0114</v>
      </c>
      <c r="CJ56" s="153">
        <v>0.0</v>
      </c>
      <c r="CK56" s="153">
        <v>0.0114</v>
      </c>
      <c r="CL56" s="153">
        <v>0.008</v>
      </c>
      <c r="CM56" s="153">
        <v>0.19</v>
      </c>
      <c r="CN56" s="153">
        <v>0.46</v>
      </c>
      <c r="CO56" s="153">
        <v>42.5</v>
      </c>
      <c r="CP56" s="153">
        <v>0.0</v>
      </c>
      <c r="CQ56" s="153">
        <v>0.0</v>
      </c>
      <c r="CR56" s="153">
        <v>0.05</v>
      </c>
      <c r="CS56" s="153">
        <v>0.15</v>
      </c>
      <c r="CT56" s="153">
        <v>0.0</v>
      </c>
      <c r="CU56" s="153">
        <v>8.0</v>
      </c>
      <c r="CV56" s="153">
        <v>0.01</v>
      </c>
      <c r="CW56" s="153">
        <v>1.41</v>
      </c>
      <c r="CX56" s="153">
        <v>0.0</v>
      </c>
      <c r="CY56" s="153">
        <v>0.0</v>
      </c>
      <c r="CZ56" s="153">
        <v>2.52</v>
      </c>
      <c r="DA56" s="153">
        <v>0.0</v>
      </c>
      <c r="DB56" s="153">
        <v>2.52</v>
      </c>
      <c r="DC56" s="153">
        <v>2.4</v>
      </c>
      <c r="DD56" s="153">
        <v>0.0</v>
      </c>
      <c r="DE56" s="153">
        <v>2.4</v>
      </c>
      <c r="DF56" s="153">
        <v>0.11</v>
      </c>
      <c r="DG56" s="153">
        <v>0.0</v>
      </c>
      <c r="DH56" s="153">
        <v>0.11</v>
      </c>
      <c r="DI56" s="153">
        <v>0.01</v>
      </c>
      <c r="DJ56" s="153">
        <v>0.0</v>
      </c>
      <c r="DK56" s="153">
        <v>0.01</v>
      </c>
      <c r="DL56" s="153">
        <v>0.0</v>
      </c>
      <c r="DM56" s="153">
        <v>0.0</v>
      </c>
      <c r="DN56" s="153">
        <v>0.0</v>
      </c>
    </row>
    <row r="57">
      <c r="A57" s="235">
        <v>46259.0</v>
      </c>
      <c r="B57" s="236" t="s">
        <v>5</v>
      </c>
      <c r="C57" s="236" t="s">
        <v>133</v>
      </c>
      <c r="D57" s="236">
        <v>1453.0</v>
      </c>
      <c r="E57" s="236">
        <v>30.24</v>
      </c>
      <c r="F57" s="236">
        <v>0.0</v>
      </c>
      <c r="G57" s="236">
        <v>0.0</v>
      </c>
      <c r="H57" s="236">
        <v>0.0</v>
      </c>
      <c r="I57" s="236"/>
      <c r="J57" s="236">
        <v>5.15</v>
      </c>
      <c r="K57" s="236">
        <v>4.26</v>
      </c>
      <c r="L57" s="236">
        <v>3.97</v>
      </c>
      <c r="M57" s="236">
        <v>0.931</v>
      </c>
      <c r="N57" s="236">
        <v>0.0772</v>
      </c>
      <c r="O57" s="236">
        <v>0.055</v>
      </c>
      <c r="P57" s="236">
        <v>1.0741</v>
      </c>
      <c r="Q57" s="236">
        <v>7.48</v>
      </c>
      <c r="R57" s="236">
        <v>6.7</v>
      </c>
      <c r="S57" s="236">
        <v>0.78</v>
      </c>
      <c r="T57" s="236">
        <v>0.0</v>
      </c>
      <c r="U57" s="236">
        <v>7.48</v>
      </c>
      <c r="V57" s="236">
        <v>7.5</v>
      </c>
      <c r="W57" s="236">
        <v>1.7606</v>
      </c>
      <c r="X57" s="236">
        <v>0.0</v>
      </c>
      <c r="Y57" s="236">
        <v>200.0</v>
      </c>
      <c r="Z57" s="236">
        <v>212.0</v>
      </c>
      <c r="AA57" s="236">
        <v>240.0</v>
      </c>
      <c r="AB57" s="236">
        <v>49.9501</v>
      </c>
      <c r="AC57" s="236">
        <v>0.8336</v>
      </c>
      <c r="AD57" s="236">
        <v>3.79</v>
      </c>
      <c r="AE57" s="236">
        <v>2.0</v>
      </c>
      <c r="AF57" s="236">
        <v>3.0</v>
      </c>
      <c r="AG57" s="236">
        <v>5.0</v>
      </c>
      <c r="AH57" s="236">
        <v>8.0</v>
      </c>
      <c r="AI57" s="236">
        <v>77.49</v>
      </c>
      <c r="AJ57" s="236">
        <v>37.03</v>
      </c>
      <c r="AK57" s="236">
        <v>1.51</v>
      </c>
      <c r="AL57" s="236">
        <v>0.8424</v>
      </c>
      <c r="AM57" s="153">
        <v>0.0</v>
      </c>
      <c r="AN57" s="153">
        <v>0.0</v>
      </c>
      <c r="AO57" s="153">
        <v>0.0</v>
      </c>
      <c r="AP57" s="153">
        <v>0.0</v>
      </c>
      <c r="AQ57" s="153">
        <v>0.5423</v>
      </c>
      <c r="AR57" s="153">
        <v>0.0434</v>
      </c>
      <c r="AS57" s="153">
        <v>0.499</v>
      </c>
      <c r="AT57" s="153">
        <v>0.4962</v>
      </c>
      <c r="AU57" s="153">
        <v>0.1165</v>
      </c>
      <c r="AV57" s="153">
        <v>1453.0</v>
      </c>
      <c r="AW57" s="153">
        <v>0.0</v>
      </c>
      <c r="AX57" s="153">
        <v>7.33</v>
      </c>
      <c r="AY57" s="153">
        <v>0.1</v>
      </c>
      <c r="AZ57" s="153">
        <v>0.04</v>
      </c>
      <c r="BA57" s="153">
        <v>0.0</v>
      </c>
      <c r="BB57" s="153">
        <v>0.0</v>
      </c>
      <c r="BC57" s="153">
        <v>11.0</v>
      </c>
      <c r="BD57" s="153">
        <v>295.0</v>
      </c>
      <c r="BE57" s="153">
        <v>0.5038</v>
      </c>
      <c r="BF57" s="153">
        <v>0.0434</v>
      </c>
      <c r="BG57" s="153">
        <v>0.4604</v>
      </c>
      <c r="BH57" s="153">
        <v>0.4756</v>
      </c>
      <c r="BI57" s="153">
        <v>0.1116</v>
      </c>
      <c r="BJ57" s="153">
        <v>0.0385</v>
      </c>
      <c r="BK57" s="153">
        <v>0.0</v>
      </c>
      <c r="BL57" s="153">
        <v>0.0385</v>
      </c>
      <c r="BM57" s="153">
        <v>0.0206</v>
      </c>
      <c r="BN57" s="153">
        <v>0.0048</v>
      </c>
      <c r="BO57" s="153">
        <v>0.0613</v>
      </c>
      <c r="BP57" s="153">
        <v>0.0206</v>
      </c>
      <c r="BQ57" s="153">
        <v>0.0406</v>
      </c>
      <c r="BR57" s="153">
        <v>0.2292</v>
      </c>
      <c r="BS57" s="153">
        <v>0.3235</v>
      </c>
      <c r="BT57" s="153">
        <v>0.0103</v>
      </c>
      <c r="BU57" s="153">
        <v>0.3131</v>
      </c>
      <c r="BV57" s="153">
        <v>0.1259</v>
      </c>
      <c r="BW57" s="153">
        <v>0.1191</v>
      </c>
      <c r="BX57" s="153">
        <v>0.0124</v>
      </c>
      <c r="BY57" s="153">
        <v>0.1067</v>
      </c>
      <c r="BZ57" s="153">
        <v>0.1204</v>
      </c>
      <c r="CA57" s="153">
        <v>7.0E-4</v>
      </c>
      <c r="CB57" s="153">
        <v>0.0</v>
      </c>
      <c r="CC57" s="153">
        <v>7.0E-4</v>
      </c>
      <c r="CD57" s="153">
        <v>0.0048</v>
      </c>
      <c r="CE57" s="153">
        <v>0.033</v>
      </c>
      <c r="CF57" s="153">
        <v>0.0</v>
      </c>
      <c r="CG57" s="153">
        <v>0.033</v>
      </c>
      <c r="CH57" s="153">
        <v>0.0089</v>
      </c>
      <c r="CI57" s="153">
        <v>0.0048</v>
      </c>
      <c r="CJ57" s="153">
        <v>0.0</v>
      </c>
      <c r="CK57" s="153">
        <v>0.0048</v>
      </c>
      <c r="CL57" s="153">
        <v>0.0069</v>
      </c>
      <c r="CM57" s="153">
        <v>0.93</v>
      </c>
      <c r="CN57" s="153">
        <v>1.79</v>
      </c>
      <c r="CO57" s="153">
        <v>51.85</v>
      </c>
      <c r="CP57" s="153">
        <v>0.85</v>
      </c>
      <c r="CQ57" s="153">
        <v>0.02</v>
      </c>
      <c r="CR57" s="153">
        <v>0.06</v>
      </c>
      <c r="CS57" s="153">
        <v>0.0</v>
      </c>
      <c r="CT57" s="153">
        <v>0.0</v>
      </c>
      <c r="CU57" s="153">
        <v>5.0</v>
      </c>
      <c r="CV57" s="153">
        <v>0.0</v>
      </c>
      <c r="CW57" s="153">
        <v>7.48</v>
      </c>
      <c r="CX57" s="153">
        <v>0.0</v>
      </c>
      <c r="CY57" s="153">
        <v>0.02</v>
      </c>
      <c r="CZ57" s="153">
        <v>4.26</v>
      </c>
      <c r="DA57" s="153">
        <v>0.0</v>
      </c>
      <c r="DB57" s="153">
        <v>4.26</v>
      </c>
      <c r="DC57" s="153">
        <v>4.26</v>
      </c>
      <c r="DD57" s="153">
        <v>0.0</v>
      </c>
      <c r="DE57" s="153">
        <v>4.26</v>
      </c>
      <c r="DF57" s="153">
        <v>0.0</v>
      </c>
      <c r="DG57" s="153">
        <v>0.0</v>
      </c>
      <c r="DH57" s="153">
        <v>0.0</v>
      </c>
      <c r="DI57" s="153">
        <v>0.0</v>
      </c>
      <c r="DJ57" s="153">
        <v>0.0</v>
      </c>
      <c r="DK57" s="153">
        <v>0.0</v>
      </c>
      <c r="DL57" s="153">
        <v>0.0</v>
      </c>
      <c r="DM57" s="153">
        <v>0.0</v>
      </c>
      <c r="DN57" s="153">
        <v>0.0</v>
      </c>
    </row>
    <row r="58">
      <c r="A58" s="235">
        <v>46259.0</v>
      </c>
      <c r="B58" s="236" t="s">
        <v>5</v>
      </c>
      <c r="C58" s="236" t="s">
        <v>134</v>
      </c>
      <c r="D58" s="236">
        <v>838.0</v>
      </c>
      <c r="E58" s="236">
        <v>17.44</v>
      </c>
      <c r="F58" s="236">
        <v>1.16</v>
      </c>
      <c r="G58" s="236">
        <v>0.0014</v>
      </c>
      <c r="H58" s="236">
        <v>0.12</v>
      </c>
      <c r="I58" s="236">
        <v>1.16</v>
      </c>
      <c r="J58" s="236">
        <v>16.26</v>
      </c>
      <c r="K58" s="236">
        <v>13.59</v>
      </c>
      <c r="L58" s="236">
        <v>11.94</v>
      </c>
      <c r="M58" s="236">
        <v>0.8788</v>
      </c>
      <c r="N58" s="236">
        <v>0.1393</v>
      </c>
      <c r="O58" s="236">
        <v>0.0833</v>
      </c>
      <c r="P58" s="236">
        <v>1.1379</v>
      </c>
      <c r="Q58" s="236">
        <v>44.95</v>
      </c>
      <c r="R58" s="236">
        <v>36.86</v>
      </c>
      <c r="S58" s="236">
        <v>8.08</v>
      </c>
      <c r="T58" s="236">
        <v>0.24</v>
      </c>
      <c r="U58" s="236">
        <v>44.71</v>
      </c>
      <c r="V58" s="236">
        <v>35.56</v>
      </c>
      <c r="W58" s="236">
        <v>2.6166</v>
      </c>
      <c r="X58" s="236">
        <v>0.53</v>
      </c>
      <c r="Y58" s="236">
        <v>240.0</v>
      </c>
      <c r="Z58" s="236">
        <v>280.0</v>
      </c>
      <c r="AA58" s="236">
        <v>344.0</v>
      </c>
      <c r="AB58" s="236">
        <v>49.8799</v>
      </c>
      <c r="AC58" s="236">
        <v>0.8968</v>
      </c>
      <c r="AD58" s="236">
        <v>10.52</v>
      </c>
      <c r="AE58" s="236">
        <v>7.0</v>
      </c>
      <c r="AF58" s="236">
        <v>11.0</v>
      </c>
      <c r="AG58" s="236">
        <v>14.0</v>
      </c>
      <c r="AH58" s="236">
        <v>17.0</v>
      </c>
      <c r="AI58" s="236">
        <v>80.07</v>
      </c>
      <c r="AJ58" s="236">
        <v>32.7</v>
      </c>
      <c r="AK58" s="236">
        <v>0.84</v>
      </c>
      <c r="AL58" s="236">
        <v>0.6504</v>
      </c>
      <c r="AM58" s="153">
        <v>0.24</v>
      </c>
      <c r="AN58" s="153">
        <v>0.24</v>
      </c>
      <c r="AO58" s="153">
        <v>0.12</v>
      </c>
      <c r="AP58" s="153">
        <v>0.0</v>
      </c>
      <c r="AQ58" s="153">
        <v>2.9224</v>
      </c>
      <c r="AR58" s="153">
        <v>0.1897</v>
      </c>
      <c r="AS58" s="153">
        <v>2.7327</v>
      </c>
      <c r="AT58" s="153">
        <v>2.457</v>
      </c>
      <c r="AU58" s="153">
        <v>0.1808</v>
      </c>
      <c r="AV58" s="153">
        <v>838.0</v>
      </c>
      <c r="AW58" s="153">
        <v>0.0</v>
      </c>
      <c r="AX58" s="153">
        <v>40.92</v>
      </c>
      <c r="AY58" s="153">
        <v>3.27</v>
      </c>
      <c r="AZ58" s="153">
        <v>0.23</v>
      </c>
      <c r="BA58" s="153">
        <v>0.24</v>
      </c>
      <c r="BB58" s="153">
        <v>0.28</v>
      </c>
      <c r="BC58" s="153">
        <v>25.0</v>
      </c>
      <c r="BD58" s="153">
        <v>510.0</v>
      </c>
      <c r="BE58" s="153">
        <v>2.4475</v>
      </c>
      <c r="BF58" s="153">
        <v>0.1683</v>
      </c>
      <c r="BG58" s="153">
        <v>2.2792</v>
      </c>
      <c r="BH58" s="153">
        <v>1.9189</v>
      </c>
      <c r="BI58" s="153">
        <v>0.1412</v>
      </c>
      <c r="BJ58" s="153">
        <v>0.4749</v>
      </c>
      <c r="BK58" s="153">
        <v>0.0215</v>
      </c>
      <c r="BL58" s="153">
        <v>0.4535</v>
      </c>
      <c r="BM58" s="153">
        <v>0.5382</v>
      </c>
      <c r="BN58" s="153">
        <v>0.0396</v>
      </c>
      <c r="BO58" s="153">
        <v>0.7661</v>
      </c>
      <c r="BP58" s="153">
        <v>0.0907</v>
      </c>
      <c r="BQ58" s="153">
        <v>0.6754</v>
      </c>
      <c r="BR58" s="153">
        <v>0.8532</v>
      </c>
      <c r="BS58" s="153">
        <v>1.0895</v>
      </c>
      <c r="BT58" s="153">
        <v>0.0263</v>
      </c>
      <c r="BU58" s="153">
        <v>1.0632</v>
      </c>
      <c r="BV58" s="153">
        <v>0.5692</v>
      </c>
      <c r="BW58" s="153">
        <v>0.5919</v>
      </c>
      <c r="BX58" s="153">
        <v>0.0513</v>
      </c>
      <c r="BY58" s="153">
        <v>0.5406</v>
      </c>
      <c r="BZ58" s="153">
        <v>0.4964</v>
      </c>
      <c r="CA58" s="153">
        <v>0.0382</v>
      </c>
      <c r="CB58" s="153">
        <v>0.0012</v>
      </c>
      <c r="CC58" s="153">
        <v>0.037</v>
      </c>
      <c r="CD58" s="153">
        <v>0.1611</v>
      </c>
      <c r="CE58" s="153">
        <v>0.2709</v>
      </c>
      <c r="CF58" s="153">
        <v>0.0012</v>
      </c>
      <c r="CG58" s="153">
        <v>0.2697</v>
      </c>
      <c r="CH58" s="153">
        <v>0.1587</v>
      </c>
      <c r="CI58" s="153">
        <v>0.1659</v>
      </c>
      <c r="CJ58" s="153">
        <v>0.0191</v>
      </c>
      <c r="CK58" s="153">
        <v>0.1468</v>
      </c>
      <c r="CL58" s="153">
        <v>0.2184</v>
      </c>
      <c r="CM58" s="153">
        <v>27.01</v>
      </c>
      <c r="CN58" s="153">
        <v>33.77</v>
      </c>
      <c r="CO58" s="153">
        <v>79.98</v>
      </c>
      <c r="CP58" s="153">
        <v>22.4</v>
      </c>
      <c r="CQ58" s="153">
        <v>2.05</v>
      </c>
      <c r="CR58" s="153">
        <v>2.34</v>
      </c>
      <c r="CS58" s="153">
        <v>0.23</v>
      </c>
      <c r="CT58" s="153">
        <v>0.0</v>
      </c>
      <c r="CU58" s="153">
        <v>45.0</v>
      </c>
      <c r="CV58" s="153">
        <v>0.3</v>
      </c>
      <c r="CW58" s="153">
        <v>45.25</v>
      </c>
      <c r="CX58" s="153">
        <v>0.38</v>
      </c>
      <c r="CY58" s="153">
        <v>2.42</v>
      </c>
      <c r="CZ58" s="153">
        <v>45.94</v>
      </c>
      <c r="DA58" s="153">
        <v>0.0</v>
      </c>
      <c r="DB58" s="153">
        <v>45.94</v>
      </c>
      <c r="DC58" s="153">
        <v>44.51</v>
      </c>
      <c r="DD58" s="153">
        <v>0.0</v>
      </c>
      <c r="DE58" s="153">
        <v>44.51</v>
      </c>
      <c r="DF58" s="153">
        <v>0.7</v>
      </c>
      <c r="DG58" s="153">
        <v>0.0</v>
      </c>
      <c r="DH58" s="153">
        <v>0.7</v>
      </c>
      <c r="DI58" s="153">
        <v>0.73</v>
      </c>
      <c r="DJ58" s="153">
        <v>0.0</v>
      </c>
      <c r="DK58" s="153">
        <v>0.73</v>
      </c>
      <c r="DL58" s="153">
        <v>0.0</v>
      </c>
      <c r="DM58" s="153">
        <v>0.0</v>
      </c>
      <c r="DN58" s="153">
        <v>0.0</v>
      </c>
    </row>
    <row r="59">
      <c r="A59" s="235">
        <v>46259.0</v>
      </c>
      <c r="B59" s="236" t="s">
        <v>5</v>
      </c>
      <c r="C59" s="236" t="s">
        <v>135</v>
      </c>
      <c r="D59" s="236">
        <v>803.0</v>
      </c>
      <c r="E59" s="236">
        <v>16.71</v>
      </c>
      <c r="F59" s="236">
        <v>5.82</v>
      </c>
      <c r="G59" s="236">
        <v>0.0072</v>
      </c>
      <c r="H59" s="236">
        <v>0.37</v>
      </c>
      <c r="I59" s="236">
        <v>1.94</v>
      </c>
      <c r="J59" s="236">
        <v>37.61</v>
      </c>
      <c r="K59" s="236">
        <v>27.39</v>
      </c>
      <c r="L59" s="236">
        <v>23.54</v>
      </c>
      <c r="M59" s="236">
        <v>0.8593</v>
      </c>
      <c r="N59" s="236">
        <v>0.1755</v>
      </c>
      <c r="O59" s="236">
        <v>0.1127</v>
      </c>
      <c r="P59" s="236">
        <v>1.1637</v>
      </c>
      <c r="Q59" s="236">
        <v>104.76</v>
      </c>
      <c r="R59" s="236">
        <v>88.65</v>
      </c>
      <c r="S59" s="236">
        <v>16.11</v>
      </c>
      <c r="T59" s="236">
        <v>0.87</v>
      </c>
      <c r="U59" s="236">
        <v>103.89</v>
      </c>
      <c r="V59" s="236">
        <v>110.4</v>
      </c>
      <c r="W59" s="236">
        <v>4.0303</v>
      </c>
      <c r="X59" s="236">
        <v>0.83</v>
      </c>
      <c r="Y59" s="236">
        <v>277.0</v>
      </c>
      <c r="Z59" s="236">
        <v>361.0</v>
      </c>
      <c r="AA59" s="236">
        <v>499.0</v>
      </c>
      <c r="AB59" s="236">
        <v>50.5896</v>
      </c>
      <c r="AC59" s="236">
        <v>0.8706</v>
      </c>
      <c r="AD59" s="236">
        <v>17.88</v>
      </c>
      <c r="AE59" s="236">
        <v>8.0</v>
      </c>
      <c r="AF59" s="236">
        <v>16.0</v>
      </c>
      <c r="AG59" s="236">
        <v>26.0</v>
      </c>
      <c r="AH59" s="236">
        <v>34.0</v>
      </c>
      <c r="AI59" s="236">
        <v>66.0</v>
      </c>
      <c r="AJ59" s="236">
        <v>25.78</v>
      </c>
      <c r="AK59" s="236">
        <v>2.86</v>
      </c>
      <c r="AL59" s="236">
        <v>0.4433</v>
      </c>
      <c r="AM59" s="153">
        <v>3.99</v>
      </c>
      <c r="AN59" s="153">
        <v>3.99</v>
      </c>
      <c r="AO59" s="153">
        <v>1.25</v>
      </c>
      <c r="AP59" s="153">
        <v>0.62</v>
      </c>
      <c r="AQ59" s="153">
        <v>7.8506</v>
      </c>
      <c r="AR59" s="153">
        <v>0.3512</v>
      </c>
      <c r="AS59" s="153">
        <v>7.4994</v>
      </c>
      <c r="AT59" s="153">
        <v>4.944</v>
      </c>
      <c r="AU59" s="153">
        <v>0.1805</v>
      </c>
      <c r="AV59" s="153">
        <v>803.0</v>
      </c>
      <c r="AW59" s="153">
        <v>0.0</v>
      </c>
      <c r="AX59" s="153">
        <v>81.75</v>
      </c>
      <c r="AY59" s="153">
        <v>19.04</v>
      </c>
      <c r="AZ59" s="153">
        <v>1.11</v>
      </c>
      <c r="BA59" s="153">
        <v>0.87</v>
      </c>
      <c r="BB59" s="153">
        <v>1.99</v>
      </c>
      <c r="BC59" s="153">
        <v>52.0</v>
      </c>
      <c r="BD59" s="153">
        <v>870.0</v>
      </c>
      <c r="BE59" s="153">
        <v>5.8879</v>
      </c>
      <c r="BF59" s="153">
        <v>0.3362</v>
      </c>
      <c r="BG59" s="153">
        <v>5.5517</v>
      </c>
      <c r="BH59" s="153">
        <v>2.8443</v>
      </c>
      <c r="BI59" s="153">
        <v>0.1038</v>
      </c>
      <c r="BJ59" s="153">
        <v>1.9626</v>
      </c>
      <c r="BK59" s="153">
        <v>0.0149</v>
      </c>
      <c r="BL59" s="153">
        <v>1.9477</v>
      </c>
      <c r="BM59" s="153">
        <v>2.0996</v>
      </c>
      <c r="BN59" s="153">
        <v>0.0767</v>
      </c>
      <c r="BO59" s="153">
        <v>2.1283</v>
      </c>
      <c r="BP59" s="153">
        <v>0.0909</v>
      </c>
      <c r="BQ59" s="153">
        <v>2.0374</v>
      </c>
      <c r="BR59" s="153">
        <v>1.1108</v>
      </c>
      <c r="BS59" s="153">
        <v>2.4521</v>
      </c>
      <c r="BT59" s="153">
        <v>0.1171</v>
      </c>
      <c r="BU59" s="153">
        <v>2.335</v>
      </c>
      <c r="BV59" s="153">
        <v>0.9963</v>
      </c>
      <c r="BW59" s="153">
        <v>1.3076</v>
      </c>
      <c r="BX59" s="153">
        <v>0.1283</v>
      </c>
      <c r="BY59" s="153">
        <v>1.1793</v>
      </c>
      <c r="BZ59" s="153">
        <v>0.7372</v>
      </c>
      <c r="CA59" s="153">
        <v>0.2702</v>
      </c>
      <c r="CB59" s="153">
        <v>0.0012</v>
      </c>
      <c r="CC59" s="153">
        <v>0.269</v>
      </c>
      <c r="CD59" s="153">
        <v>0.5318</v>
      </c>
      <c r="CE59" s="153">
        <v>0.7497</v>
      </c>
      <c r="CF59" s="153">
        <v>0.005</v>
      </c>
      <c r="CG59" s="153">
        <v>0.7447</v>
      </c>
      <c r="CH59" s="153">
        <v>0.6401</v>
      </c>
      <c r="CI59" s="153">
        <v>0.9427</v>
      </c>
      <c r="CJ59" s="153">
        <v>0.0087</v>
      </c>
      <c r="CK59" s="153">
        <v>0.934</v>
      </c>
      <c r="CL59" s="153">
        <v>0.9278</v>
      </c>
      <c r="CM59" s="153">
        <v>140.6</v>
      </c>
      <c r="CN59" s="153">
        <v>78.21</v>
      </c>
      <c r="CO59" s="153">
        <v>179.77</v>
      </c>
      <c r="CP59" s="153">
        <v>112.33</v>
      </c>
      <c r="CQ59" s="153">
        <v>20.0</v>
      </c>
      <c r="CR59" s="153">
        <v>5.98</v>
      </c>
      <c r="CS59" s="153">
        <v>2.29</v>
      </c>
      <c r="CT59" s="153">
        <v>0.0</v>
      </c>
      <c r="CU59" s="153">
        <v>157.0</v>
      </c>
      <c r="CV59" s="153">
        <v>2.02</v>
      </c>
      <c r="CW59" s="153">
        <v>106.78</v>
      </c>
      <c r="CX59" s="153">
        <v>3.79</v>
      </c>
      <c r="CY59" s="153">
        <v>23.79</v>
      </c>
      <c r="CZ59" s="153">
        <v>137.11</v>
      </c>
      <c r="DA59" s="153">
        <v>0.1</v>
      </c>
      <c r="DB59" s="153">
        <v>137.01</v>
      </c>
      <c r="DC59" s="153">
        <v>131.55</v>
      </c>
      <c r="DD59" s="153">
        <v>0.02</v>
      </c>
      <c r="DE59" s="153">
        <v>131.53</v>
      </c>
      <c r="DF59" s="153">
        <v>3.11</v>
      </c>
      <c r="DG59" s="153">
        <v>0.02</v>
      </c>
      <c r="DH59" s="153">
        <v>3.09</v>
      </c>
      <c r="DI59" s="153">
        <v>2.3</v>
      </c>
      <c r="DJ59" s="153">
        <v>0.02</v>
      </c>
      <c r="DK59" s="153">
        <v>2.27</v>
      </c>
      <c r="DL59" s="153">
        <v>0.15</v>
      </c>
      <c r="DM59" s="153">
        <v>0.02</v>
      </c>
      <c r="DN59" s="153">
        <v>0.12</v>
      </c>
    </row>
    <row r="60">
      <c r="A60" s="235">
        <v>46259.0</v>
      </c>
      <c r="B60" s="236" t="s">
        <v>5</v>
      </c>
      <c r="C60" s="236" t="s">
        <v>136</v>
      </c>
      <c r="D60" s="236">
        <v>658.0</v>
      </c>
      <c r="E60" s="236">
        <v>13.69</v>
      </c>
      <c r="F60" s="236">
        <v>155.44</v>
      </c>
      <c r="G60" s="236">
        <v>0.2362</v>
      </c>
      <c r="H60" s="236">
        <v>3.65</v>
      </c>
      <c r="I60" s="236">
        <v>6.4767</v>
      </c>
      <c r="J60" s="236">
        <v>98.89</v>
      </c>
      <c r="K60" s="236">
        <v>67.1</v>
      </c>
      <c r="L60" s="236">
        <v>52.1</v>
      </c>
      <c r="M60" s="236">
        <v>0.7765</v>
      </c>
      <c r="N60" s="236">
        <v>0.2639</v>
      </c>
      <c r="O60" s="236">
        <v>0.1471</v>
      </c>
      <c r="P60" s="236">
        <v>1.2879</v>
      </c>
      <c r="Q60" s="236">
        <v>263.45</v>
      </c>
      <c r="R60" s="236">
        <v>224.84</v>
      </c>
      <c r="S60" s="236">
        <v>38.61</v>
      </c>
      <c r="T60" s="236">
        <v>16.34</v>
      </c>
      <c r="U60" s="236">
        <v>247.11</v>
      </c>
      <c r="V60" s="236">
        <v>311.63</v>
      </c>
      <c r="W60" s="236">
        <v>4.6444</v>
      </c>
      <c r="X60" s="236">
        <v>6.2</v>
      </c>
      <c r="Y60" s="236">
        <v>348.0</v>
      </c>
      <c r="Z60" s="236">
        <v>487.0</v>
      </c>
      <c r="AA60" s="236">
        <v>740.0</v>
      </c>
      <c r="AB60" s="236">
        <v>52.9265</v>
      </c>
      <c r="AC60" s="236">
        <v>0.8072</v>
      </c>
      <c r="AD60" s="236">
        <v>30.48</v>
      </c>
      <c r="AE60" s="236">
        <v>13.0</v>
      </c>
      <c r="AF60" s="236">
        <v>26.0</v>
      </c>
      <c r="AG60" s="236">
        <v>44.0</v>
      </c>
      <c r="AH60" s="236">
        <v>61.0</v>
      </c>
      <c r="AI60" s="236">
        <v>48.18</v>
      </c>
      <c r="AJ60" s="236">
        <v>10.49</v>
      </c>
      <c r="AK60" s="236">
        <v>0.91</v>
      </c>
      <c r="AL60" s="236">
        <v>0.2219</v>
      </c>
      <c r="AM60" s="153">
        <v>23.25</v>
      </c>
      <c r="AN60" s="153">
        <v>23.25</v>
      </c>
      <c r="AO60" s="153">
        <v>17.02</v>
      </c>
      <c r="AP60" s="153">
        <v>12.31</v>
      </c>
      <c r="AQ60" s="153">
        <v>18.1505</v>
      </c>
      <c r="AR60" s="153">
        <v>1.3146</v>
      </c>
      <c r="AS60" s="153">
        <v>16.8359</v>
      </c>
      <c r="AT60" s="153">
        <v>12.7492</v>
      </c>
      <c r="AU60" s="153">
        <v>0.19</v>
      </c>
      <c r="AV60" s="153">
        <v>658.0</v>
      </c>
      <c r="AW60" s="153">
        <v>0.0</v>
      </c>
      <c r="AX60" s="153">
        <v>167.33</v>
      </c>
      <c r="AY60" s="153">
        <v>72.05</v>
      </c>
      <c r="AZ60" s="153">
        <v>2.21</v>
      </c>
      <c r="BA60" s="153">
        <v>16.34</v>
      </c>
      <c r="BB60" s="153">
        <v>5.52</v>
      </c>
      <c r="BC60" s="153">
        <v>92.0</v>
      </c>
      <c r="BD60" s="153">
        <v>1360.0</v>
      </c>
      <c r="BE60" s="153">
        <v>12.5562</v>
      </c>
      <c r="BF60" s="153">
        <v>1.2082</v>
      </c>
      <c r="BG60" s="153">
        <v>11.348</v>
      </c>
      <c r="BH60" s="153">
        <v>6.9195</v>
      </c>
      <c r="BI60" s="153">
        <v>0.1031</v>
      </c>
      <c r="BJ60" s="153">
        <v>5.5942</v>
      </c>
      <c r="BK60" s="153">
        <v>0.1064</v>
      </c>
      <c r="BL60" s="153">
        <v>5.4878</v>
      </c>
      <c r="BM60" s="153">
        <v>5.8298</v>
      </c>
      <c r="BN60" s="153">
        <v>0.0869</v>
      </c>
      <c r="BO60" s="153">
        <v>4.3647</v>
      </c>
      <c r="BP60" s="153">
        <v>0.3921</v>
      </c>
      <c r="BQ60" s="153">
        <v>3.9726</v>
      </c>
      <c r="BR60" s="153">
        <v>2.4605</v>
      </c>
      <c r="BS60" s="153">
        <v>5.1854</v>
      </c>
      <c r="BT60" s="153">
        <v>0.4012</v>
      </c>
      <c r="BU60" s="153">
        <v>4.7842</v>
      </c>
      <c r="BV60" s="153">
        <v>2.7249</v>
      </c>
      <c r="BW60" s="153">
        <v>3.0061</v>
      </c>
      <c r="BX60" s="153">
        <v>0.4149</v>
      </c>
      <c r="BY60" s="153">
        <v>2.5912</v>
      </c>
      <c r="BZ60" s="153">
        <v>1.734</v>
      </c>
      <c r="CA60" s="153">
        <v>1.0334</v>
      </c>
      <c r="CB60" s="153">
        <v>0.035</v>
      </c>
      <c r="CC60" s="153">
        <v>0.9985</v>
      </c>
      <c r="CD60" s="153">
        <v>1.5669</v>
      </c>
      <c r="CE60" s="153">
        <v>1.7888</v>
      </c>
      <c r="CF60" s="153">
        <v>0.038</v>
      </c>
      <c r="CG60" s="153">
        <v>1.7508</v>
      </c>
      <c r="CH60" s="153">
        <v>1.7872</v>
      </c>
      <c r="CI60" s="153">
        <v>2.772</v>
      </c>
      <c r="CJ60" s="153">
        <v>0.0334</v>
      </c>
      <c r="CK60" s="153">
        <v>2.7386</v>
      </c>
      <c r="CL60" s="153">
        <v>2.4757</v>
      </c>
      <c r="CM60" s="153">
        <v>461.19</v>
      </c>
      <c r="CN60" s="153">
        <v>98.02</v>
      </c>
      <c r="CO60" s="153">
        <v>470.49</v>
      </c>
      <c r="CP60" s="153">
        <v>377.47</v>
      </c>
      <c r="CQ60" s="153">
        <v>65.64</v>
      </c>
      <c r="CR60" s="153">
        <v>12.89</v>
      </c>
      <c r="CS60" s="153">
        <v>5.19</v>
      </c>
      <c r="CT60" s="153">
        <v>0.0</v>
      </c>
      <c r="CU60" s="153">
        <v>333.0</v>
      </c>
      <c r="CV60" s="153">
        <v>11.54</v>
      </c>
      <c r="CW60" s="153">
        <v>274.99</v>
      </c>
      <c r="CX60" s="153">
        <v>10.21</v>
      </c>
      <c r="CY60" s="153">
        <v>75.85</v>
      </c>
      <c r="CZ60" s="153">
        <v>325.32</v>
      </c>
      <c r="DA60" s="153">
        <v>1.05</v>
      </c>
      <c r="DB60" s="153">
        <v>324.27</v>
      </c>
      <c r="DC60" s="153">
        <v>309.41</v>
      </c>
      <c r="DD60" s="153">
        <v>0.5</v>
      </c>
      <c r="DE60" s="153">
        <v>308.91</v>
      </c>
      <c r="DF60" s="153">
        <v>10.0</v>
      </c>
      <c r="DG60" s="153">
        <v>0.18</v>
      </c>
      <c r="DH60" s="153">
        <v>9.82</v>
      </c>
      <c r="DI60" s="153">
        <v>5.36</v>
      </c>
      <c r="DJ60" s="153">
        <v>0.18</v>
      </c>
      <c r="DK60" s="153">
        <v>5.17</v>
      </c>
      <c r="DL60" s="153">
        <v>0.55</v>
      </c>
      <c r="DM60" s="153">
        <v>0.18</v>
      </c>
      <c r="DN60" s="153">
        <v>0.36</v>
      </c>
    </row>
    <row r="61">
      <c r="A61" s="235">
        <v>46259.0</v>
      </c>
      <c r="B61" s="236" t="s">
        <v>5</v>
      </c>
      <c r="C61" s="236" t="s">
        <v>137</v>
      </c>
      <c r="D61" s="236">
        <v>178.0</v>
      </c>
      <c r="E61" s="236">
        <v>3.7</v>
      </c>
      <c r="F61" s="236">
        <v>161.7</v>
      </c>
      <c r="G61" s="236">
        <v>0.9084</v>
      </c>
      <c r="H61" s="236">
        <v>10.11</v>
      </c>
      <c r="I61" s="236">
        <v>8.9833</v>
      </c>
      <c r="J61" s="236">
        <v>226.7</v>
      </c>
      <c r="K61" s="236">
        <v>160.7</v>
      </c>
      <c r="L61" s="236">
        <v>121.49</v>
      </c>
      <c r="M61" s="236">
        <v>0.756</v>
      </c>
      <c r="N61" s="236">
        <v>0.2854</v>
      </c>
      <c r="O61" s="236">
        <v>0.1469</v>
      </c>
      <c r="P61" s="236">
        <v>1.3227</v>
      </c>
      <c r="Q61" s="236">
        <v>584.51</v>
      </c>
      <c r="R61" s="236">
        <v>484.09</v>
      </c>
      <c r="S61" s="236">
        <v>100.42</v>
      </c>
      <c r="T61" s="236">
        <v>69.94</v>
      </c>
      <c r="U61" s="236">
        <v>514.57</v>
      </c>
      <c r="V61" s="236">
        <v>634.27</v>
      </c>
      <c r="W61" s="236">
        <v>3.9469</v>
      </c>
      <c r="X61" s="236">
        <v>11.97</v>
      </c>
      <c r="Y61" s="236">
        <v>497.0</v>
      </c>
      <c r="Z61" s="236">
        <v>751.0</v>
      </c>
      <c r="AA61" s="236">
        <v>1185.0</v>
      </c>
      <c r="AB61" s="236">
        <v>56.2402</v>
      </c>
      <c r="AC61" s="236">
        <v>0.8209</v>
      </c>
      <c r="AD61" s="236">
        <v>55.53</v>
      </c>
      <c r="AE61" s="236">
        <v>25.0</v>
      </c>
      <c r="AF61" s="236">
        <v>40.0</v>
      </c>
      <c r="AG61" s="236">
        <v>69.0</v>
      </c>
      <c r="AH61" s="236">
        <v>111.0</v>
      </c>
      <c r="AI61" s="236">
        <v>21.35</v>
      </c>
      <c r="AJ61" s="236">
        <v>3.37</v>
      </c>
      <c r="AK61" s="236">
        <v>0.0</v>
      </c>
      <c r="AL61" s="236">
        <v>0.1517</v>
      </c>
      <c r="AM61" s="153">
        <v>53.37</v>
      </c>
      <c r="AN61" s="153">
        <v>53.37</v>
      </c>
      <c r="AO61" s="153">
        <v>51.12</v>
      </c>
      <c r="AP61" s="153">
        <v>50.0</v>
      </c>
      <c r="AQ61" s="153">
        <v>34.4326</v>
      </c>
      <c r="AR61" s="153">
        <v>0.8764</v>
      </c>
      <c r="AS61" s="153">
        <v>33.5562</v>
      </c>
      <c r="AT61" s="153">
        <v>29.1798</v>
      </c>
      <c r="AU61" s="153">
        <v>0.1816</v>
      </c>
      <c r="AV61" s="153">
        <v>178.0</v>
      </c>
      <c r="AW61" s="153">
        <v>0.0</v>
      </c>
      <c r="AX61" s="153">
        <v>345.31</v>
      </c>
      <c r="AY61" s="153">
        <v>157.13</v>
      </c>
      <c r="AZ61" s="153">
        <v>5.39</v>
      </c>
      <c r="BA61" s="153">
        <v>69.94</v>
      </c>
      <c r="BB61" s="153">
        <v>6.74</v>
      </c>
      <c r="BC61" s="153">
        <v>268.0</v>
      </c>
      <c r="BD61" s="153">
        <v>2147.0</v>
      </c>
      <c r="BE61" s="153">
        <v>21.5</v>
      </c>
      <c r="BF61" s="153">
        <v>0.4045</v>
      </c>
      <c r="BG61" s="153">
        <v>21.0955</v>
      </c>
      <c r="BH61" s="153">
        <v>15.7978</v>
      </c>
      <c r="BI61" s="153">
        <v>0.0983</v>
      </c>
      <c r="BJ61" s="153">
        <v>12.9326</v>
      </c>
      <c r="BK61" s="153">
        <v>0.4719</v>
      </c>
      <c r="BL61" s="153">
        <v>12.4607</v>
      </c>
      <c r="BM61" s="153">
        <v>13.382</v>
      </c>
      <c r="BN61" s="153">
        <v>0.0833</v>
      </c>
      <c r="BO61" s="153">
        <v>7.4831</v>
      </c>
      <c r="BP61" s="153">
        <v>0.1348</v>
      </c>
      <c r="BQ61" s="153">
        <v>7.3483</v>
      </c>
      <c r="BR61" s="153">
        <v>5.4045</v>
      </c>
      <c r="BS61" s="153">
        <v>8.2865</v>
      </c>
      <c r="BT61" s="153">
        <v>0.1348</v>
      </c>
      <c r="BU61" s="153">
        <v>8.1517</v>
      </c>
      <c r="BV61" s="153">
        <v>5.9607</v>
      </c>
      <c r="BW61" s="153">
        <v>5.7303</v>
      </c>
      <c r="BX61" s="153">
        <v>0.1348</v>
      </c>
      <c r="BY61" s="153">
        <v>5.5955</v>
      </c>
      <c r="BZ61" s="153">
        <v>4.4326</v>
      </c>
      <c r="CA61" s="153">
        <v>2.6461</v>
      </c>
      <c r="CB61" s="153">
        <v>0.1517</v>
      </c>
      <c r="CC61" s="153">
        <v>2.4944</v>
      </c>
      <c r="CD61" s="153">
        <v>3.3933</v>
      </c>
      <c r="CE61" s="153">
        <v>4.1461</v>
      </c>
      <c r="CF61" s="153">
        <v>0.1685</v>
      </c>
      <c r="CG61" s="153">
        <v>3.9775</v>
      </c>
      <c r="CH61" s="153">
        <v>4.2865</v>
      </c>
      <c r="CI61" s="153">
        <v>6.1404</v>
      </c>
      <c r="CJ61" s="153">
        <v>0.1517</v>
      </c>
      <c r="CK61" s="153">
        <v>5.9888</v>
      </c>
      <c r="CL61" s="153">
        <v>5.7022</v>
      </c>
      <c r="CM61" s="153">
        <v>1243.33</v>
      </c>
      <c r="CN61" s="153">
        <v>99.44</v>
      </c>
      <c r="CO61" s="153">
        <v>1250.35</v>
      </c>
      <c r="CP61" s="153">
        <v>1041.99</v>
      </c>
      <c r="CQ61" s="153">
        <v>166.02</v>
      </c>
      <c r="CR61" s="153">
        <v>20.9</v>
      </c>
      <c r="CS61" s="153">
        <v>14.41</v>
      </c>
      <c r="CT61" s="153">
        <v>0.0</v>
      </c>
      <c r="CU61" s="153">
        <v>145.0</v>
      </c>
      <c r="CV61" s="153">
        <v>59.61</v>
      </c>
      <c r="CW61" s="153">
        <v>644.12</v>
      </c>
      <c r="CX61" s="153">
        <v>17.15</v>
      </c>
      <c r="CY61" s="153">
        <v>183.17</v>
      </c>
      <c r="CZ61" s="153">
        <v>711.4</v>
      </c>
      <c r="DA61" s="153">
        <v>5.25</v>
      </c>
      <c r="DB61" s="153">
        <v>706.15</v>
      </c>
      <c r="DC61" s="153">
        <v>676.43</v>
      </c>
      <c r="DD61" s="153">
        <v>3.9</v>
      </c>
      <c r="DE61" s="153">
        <v>672.53</v>
      </c>
      <c r="DF61" s="153">
        <v>21.52</v>
      </c>
      <c r="DG61" s="153">
        <v>0.45</v>
      </c>
      <c r="DH61" s="153">
        <v>21.07</v>
      </c>
      <c r="DI61" s="153">
        <v>10.93</v>
      </c>
      <c r="DJ61" s="153">
        <v>0.45</v>
      </c>
      <c r="DK61" s="153">
        <v>10.48</v>
      </c>
      <c r="DL61" s="153">
        <v>2.53</v>
      </c>
      <c r="DM61" s="153">
        <v>0.45</v>
      </c>
      <c r="DN61" s="153">
        <v>2.08</v>
      </c>
    </row>
    <row r="62">
      <c r="A62" s="250">
        <v>46260.0</v>
      </c>
      <c r="B62" s="153" t="s">
        <v>4</v>
      </c>
      <c r="C62" s="153" t="s">
        <v>423</v>
      </c>
      <c r="D62" s="153">
        <v>747.0</v>
      </c>
      <c r="E62" s="153">
        <v>17.07</v>
      </c>
      <c r="F62" s="153">
        <v>0.0</v>
      </c>
      <c r="G62" s="153">
        <v>0.0</v>
      </c>
      <c r="H62" s="153">
        <v>0.0</v>
      </c>
      <c r="J62" s="153">
        <v>2.04</v>
      </c>
      <c r="K62" s="153">
        <v>0.28</v>
      </c>
      <c r="L62" s="153">
        <v>0.0</v>
      </c>
      <c r="M62" s="153">
        <v>0.0</v>
      </c>
      <c r="N62" s="153">
        <v>1.0</v>
      </c>
      <c r="O62" s="153">
        <v>1.0</v>
      </c>
      <c r="Q62" s="153">
        <v>2.81</v>
      </c>
      <c r="R62" s="153">
        <v>2.79</v>
      </c>
      <c r="S62" s="153">
        <v>0.02</v>
      </c>
      <c r="T62" s="153">
        <v>0.0</v>
      </c>
      <c r="U62" s="153">
        <v>2.81</v>
      </c>
      <c r="V62" s="153">
        <v>1.47</v>
      </c>
      <c r="W62" s="153">
        <v>5.314</v>
      </c>
      <c r="X62" s="153">
        <v>0.0</v>
      </c>
      <c r="Y62" s="153">
        <v>200.0</v>
      </c>
      <c r="Z62" s="153">
        <v>200.0</v>
      </c>
      <c r="AA62" s="153">
        <v>223.0</v>
      </c>
      <c r="AB62" s="153">
        <v>49.2242</v>
      </c>
      <c r="AC62" s="153">
        <v>0.7066</v>
      </c>
      <c r="AI62" s="153">
        <v>0.0</v>
      </c>
      <c r="AJ62" s="153">
        <v>0.0</v>
      </c>
      <c r="AK62" s="153">
        <v>0.0</v>
      </c>
      <c r="AQ62" s="153">
        <v>0.1258</v>
      </c>
      <c r="AR62" s="153">
        <v>0.008</v>
      </c>
      <c r="AS62" s="153">
        <v>0.1178</v>
      </c>
      <c r="AT62" s="153">
        <v>0.0977</v>
      </c>
      <c r="AU62" s="153">
        <v>0.3527</v>
      </c>
      <c r="AV62" s="153">
        <v>747.0</v>
      </c>
      <c r="AW62" s="153">
        <v>0.0</v>
      </c>
      <c r="AX62" s="153">
        <v>1.9</v>
      </c>
      <c r="AY62" s="153">
        <v>0.88</v>
      </c>
      <c r="AZ62" s="153">
        <v>0.03</v>
      </c>
      <c r="BA62" s="153">
        <v>0.0</v>
      </c>
      <c r="BB62" s="153">
        <v>0.0</v>
      </c>
      <c r="BD62" s="153">
        <v>440.0</v>
      </c>
      <c r="BE62" s="153">
        <v>0.0562</v>
      </c>
      <c r="BF62" s="153">
        <v>0.008</v>
      </c>
      <c r="BG62" s="153">
        <v>0.0482</v>
      </c>
      <c r="BH62" s="153">
        <v>0.0495</v>
      </c>
      <c r="BI62" s="153">
        <v>0.1787</v>
      </c>
      <c r="BJ62" s="153">
        <v>0.0696</v>
      </c>
      <c r="BK62" s="153">
        <v>0.0</v>
      </c>
      <c r="BL62" s="153">
        <v>0.0696</v>
      </c>
      <c r="BM62" s="153">
        <v>0.0482</v>
      </c>
      <c r="BN62" s="153">
        <v>0.1739</v>
      </c>
      <c r="BO62" s="153">
        <v>0.0214</v>
      </c>
      <c r="BP62" s="153">
        <v>0.008</v>
      </c>
      <c r="BQ62" s="153">
        <v>0.0134</v>
      </c>
      <c r="BR62" s="153">
        <v>0.0174</v>
      </c>
      <c r="BS62" s="153">
        <v>0.0201</v>
      </c>
      <c r="BT62" s="153">
        <v>0.0</v>
      </c>
      <c r="BU62" s="153">
        <v>0.0201</v>
      </c>
      <c r="BV62" s="153">
        <v>0.0161</v>
      </c>
      <c r="BW62" s="153">
        <v>0.0147</v>
      </c>
      <c r="BX62" s="153">
        <v>0.0</v>
      </c>
      <c r="BY62" s="153">
        <v>0.0147</v>
      </c>
      <c r="BZ62" s="153">
        <v>0.0161</v>
      </c>
      <c r="CA62" s="153">
        <v>0.0067</v>
      </c>
      <c r="CB62" s="153">
        <v>0.0</v>
      </c>
      <c r="CC62" s="153">
        <v>0.0067</v>
      </c>
      <c r="CD62" s="153">
        <v>0.0094</v>
      </c>
      <c r="CE62" s="153">
        <v>0.0348</v>
      </c>
      <c r="CF62" s="153">
        <v>0.0</v>
      </c>
      <c r="CG62" s="153">
        <v>0.0348</v>
      </c>
      <c r="CH62" s="153">
        <v>0.0281</v>
      </c>
      <c r="CI62" s="153">
        <v>0.0281</v>
      </c>
      <c r="CJ62" s="153">
        <v>0.0</v>
      </c>
      <c r="CK62" s="153">
        <v>0.0281</v>
      </c>
      <c r="CL62" s="153">
        <v>0.0107</v>
      </c>
      <c r="CM62" s="153">
        <v>0.33</v>
      </c>
      <c r="CN62" s="153">
        <v>0.67</v>
      </c>
      <c r="CO62" s="153">
        <v>49.0</v>
      </c>
      <c r="CP62" s="153">
        <v>0.0</v>
      </c>
      <c r="CQ62" s="153">
        <v>0.0</v>
      </c>
      <c r="CR62" s="153">
        <v>0.0</v>
      </c>
      <c r="CS62" s="153">
        <v>0.33</v>
      </c>
      <c r="CT62" s="153">
        <v>0.0</v>
      </c>
      <c r="CU62" s="153">
        <v>0.0</v>
      </c>
      <c r="CV62" s="153">
        <v>0.0</v>
      </c>
      <c r="CW62" s="153">
        <v>2.81</v>
      </c>
      <c r="CX62" s="153">
        <v>0.0</v>
      </c>
      <c r="CY62" s="153">
        <v>0.0</v>
      </c>
      <c r="CZ62" s="153">
        <v>3.11</v>
      </c>
      <c r="DA62" s="153">
        <v>0.0</v>
      </c>
      <c r="DB62" s="153">
        <v>3.11</v>
      </c>
      <c r="DC62" s="153">
        <v>3.03</v>
      </c>
      <c r="DD62" s="153">
        <v>0.0</v>
      </c>
      <c r="DE62" s="153">
        <v>3.03</v>
      </c>
      <c r="DF62" s="153">
        <v>0.08</v>
      </c>
      <c r="DG62" s="153">
        <v>0.0</v>
      </c>
      <c r="DH62" s="153">
        <v>0.08</v>
      </c>
      <c r="DI62" s="153">
        <v>0.0</v>
      </c>
      <c r="DJ62" s="153">
        <v>0.0</v>
      </c>
      <c r="DK62" s="153">
        <v>0.0</v>
      </c>
      <c r="DL62" s="153">
        <v>0.0</v>
      </c>
      <c r="DM62" s="153">
        <v>0.0</v>
      </c>
      <c r="DN62" s="153">
        <v>0.0</v>
      </c>
    </row>
    <row r="63">
      <c r="A63" s="250">
        <v>46260.0</v>
      </c>
      <c r="B63" s="153" t="s">
        <v>4</v>
      </c>
      <c r="C63" s="153" t="s">
        <v>133</v>
      </c>
      <c r="D63" s="153">
        <v>1128.0</v>
      </c>
      <c r="E63" s="153">
        <v>25.78</v>
      </c>
      <c r="F63" s="153">
        <v>0.0</v>
      </c>
      <c r="G63" s="153">
        <v>0.0</v>
      </c>
      <c r="H63" s="153">
        <v>0.0</v>
      </c>
      <c r="J63" s="153">
        <v>5.37</v>
      </c>
      <c r="K63" s="153">
        <v>4.46</v>
      </c>
      <c r="L63" s="153">
        <v>4.07</v>
      </c>
      <c r="M63" s="153">
        <v>0.9131</v>
      </c>
      <c r="N63" s="153">
        <v>0.0929</v>
      </c>
      <c r="O63" s="153">
        <v>0.061</v>
      </c>
      <c r="P63" s="153">
        <v>1.0952</v>
      </c>
      <c r="Q63" s="153">
        <v>12.08</v>
      </c>
      <c r="R63" s="153">
        <v>10.33</v>
      </c>
      <c r="S63" s="153">
        <v>1.75</v>
      </c>
      <c r="T63" s="153">
        <v>0.89</v>
      </c>
      <c r="U63" s="153">
        <v>11.2</v>
      </c>
      <c r="V63" s="153">
        <v>9.09</v>
      </c>
      <c r="W63" s="153">
        <v>2.0386</v>
      </c>
      <c r="X63" s="153">
        <v>7.34</v>
      </c>
      <c r="Y63" s="153">
        <v>200.0</v>
      </c>
      <c r="Z63" s="153">
        <v>221.0</v>
      </c>
      <c r="AA63" s="153">
        <v>263.0</v>
      </c>
      <c r="AB63" s="153">
        <v>49.934</v>
      </c>
      <c r="AC63" s="153">
        <v>0.8583</v>
      </c>
      <c r="AD63" s="153">
        <v>3.9</v>
      </c>
      <c r="AE63" s="153">
        <v>2.0</v>
      </c>
      <c r="AF63" s="153">
        <v>3.0</v>
      </c>
      <c r="AG63" s="153">
        <v>5.0</v>
      </c>
      <c r="AH63" s="153">
        <v>8.0</v>
      </c>
      <c r="AI63" s="153">
        <v>77.04</v>
      </c>
      <c r="AJ63" s="153">
        <v>37.5</v>
      </c>
      <c r="AK63" s="153">
        <v>2.3</v>
      </c>
      <c r="AQ63" s="153">
        <v>0.7704</v>
      </c>
      <c r="AR63" s="153">
        <v>0.0984</v>
      </c>
      <c r="AS63" s="153">
        <v>0.672</v>
      </c>
      <c r="AT63" s="153">
        <v>0.6587</v>
      </c>
      <c r="AU63" s="153">
        <v>0.1478</v>
      </c>
      <c r="AV63" s="153">
        <v>1128.0</v>
      </c>
      <c r="AW63" s="153">
        <v>0.0</v>
      </c>
      <c r="AX63" s="153">
        <v>10.98</v>
      </c>
      <c r="AY63" s="153">
        <v>0.12</v>
      </c>
      <c r="AZ63" s="153">
        <v>0.1</v>
      </c>
      <c r="BA63" s="153">
        <v>0.89</v>
      </c>
      <c r="BB63" s="153">
        <v>0.01</v>
      </c>
      <c r="BC63" s="153">
        <v>12.0</v>
      </c>
      <c r="BD63" s="153">
        <v>374.0</v>
      </c>
      <c r="BE63" s="153">
        <v>0.695</v>
      </c>
      <c r="BF63" s="153">
        <v>0.0851</v>
      </c>
      <c r="BG63" s="153">
        <v>0.6099</v>
      </c>
      <c r="BH63" s="153">
        <v>0.6046</v>
      </c>
      <c r="BI63" s="153">
        <v>0.1356</v>
      </c>
      <c r="BJ63" s="153">
        <v>0.0754</v>
      </c>
      <c r="BK63" s="153">
        <v>0.0133</v>
      </c>
      <c r="BL63" s="153">
        <v>0.0621</v>
      </c>
      <c r="BM63" s="153">
        <v>0.0541</v>
      </c>
      <c r="BN63" s="153">
        <v>0.0121</v>
      </c>
      <c r="BO63" s="153">
        <v>0.1401</v>
      </c>
      <c r="BP63" s="153">
        <v>0.0275</v>
      </c>
      <c r="BQ63" s="153">
        <v>0.1126</v>
      </c>
      <c r="BR63" s="153">
        <v>0.281</v>
      </c>
      <c r="BS63" s="153">
        <v>0.4016</v>
      </c>
      <c r="BT63" s="153">
        <v>0.0142</v>
      </c>
      <c r="BU63" s="153">
        <v>0.3874</v>
      </c>
      <c r="BV63" s="153">
        <v>0.1746</v>
      </c>
      <c r="BW63" s="153">
        <v>0.1534</v>
      </c>
      <c r="BX63" s="153">
        <v>0.0434</v>
      </c>
      <c r="BY63" s="153">
        <v>0.1099</v>
      </c>
      <c r="BZ63" s="153">
        <v>0.1489</v>
      </c>
      <c r="CA63" s="153">
        <v>0.0062</v>
      </c>
      <c r="CB63" s="153">
        <v>0.0035</v>
      </c>
      <c r="CC63" s="153">
        <v>0.0027</v>
      </c>
      <c r="CD63" s="153">
        <v>0.0124</v>
      </c>
      <c r="CE63" s="153">
        <v>0.0532</v>
      </c>
      <c r="CF63" s="153">
        <v>0.0062</v>
      </c>
      <c r="CG63" s="153">
        <v>0.047</v>
      </c>
      <c r="CH63" s="153">
        <v>0.0213</v>
      </c>
      <c r="CI63" s="153">
        <v>0.016</v>
      </c>
      <c r="CJ63" s="153">
        <v>0.0035</v>
      </c>
      <c r="CK63" s="153">
        <v>0.0124</v>
      </c>
      <c r="CL63" s="153">
        <v>0.0204</v>
      </c>
      <c r="CM63" s="153">
        <v>1.59</v>
      </c>
      <c r="CN63" s="153">
        <v>4.43</v>
      </c>
      <c r="CO63" s="153">
        <v>35.8</v>
      </c>
      <c r="CP63" s="153">
        <v>1.52</v>
      </c>
      <c r="CQ63" s="153">
        <v>0.0</v>
      </c>
      <c r="CR63" s="153">
        <v>0.07</v>
      </c>
      <c r="CS63" s="153">
        <v>0.0</v>
      </c>
      <c r="CT63" s="153">
        <v>0.0</v>
      </c>
      <c r="CU63" s="153">
        <v>0.0</v>
      </c>
      <c r="CV63" s="153">
        <v>0.0</v>
      </c>
      <c r="CW63" s="153">
        <v>12.08</v>
      </c>
      <c r="CX63" s="153">
        <v>0.0</v>
      </c>
      <c r="CY63" s="153">
        <v>0.0</v>
      </c>
      <c r="CZ63" s="153">
        <v>7.07</v>
      </c>
      <c r="DA63" s="153">
        <v>0.11</v>
      </c>
      <c r="DB63" s="153">
        <v>6.97</v>
      </c>
      <c r="DC63" s="153">
        <v>6.95</v>
      </c>
      <c r="DD63" s="153">
        <v>0.11</v>
      </c>
      <c r="DE63" s="153">
        <v>6.85</v>
      </c>
      <c r="DF63" s="153">
        <v>0.08</v>
      </c>
      <c r="DG63" s="153">
        <v>0.0</v>
      </c>
      <c r="DH63" s="153">
        <v>0.08</v>
      </c>
      <c r="DI63" s="153">
        <v>0.04</v>
      </c>
      <c r="DJ63" s="153">
        <v>0.0</v>
      </c>
      <c r="DK63" s="153">
        <v>0.04</v>
      </c>
      <c r="DL63" s="153">
        <v>0.0</v>
      </c>
      <c r="DM63" s="153">
        <v>0.0</v>
      </c>
      <c r="DN63" s="153">
        <v>0.0</v>
      </c>
    </row>
    <row r="64">
      <c r="A64" s="250">
        <v>46260.0</v>
      </c>
      <c r="B64" s="153" t="s">
        <v>4</v>
      </c>
      <c r="C64" s="153" t="s">
        <v>134</v>
      </c>
      <c r="D64" s="153">
        <v>778.0</v>
      </c>
      <c r="E64" s="153">
        <v>17.78</v>
      </c>
      <c r="F64" s="153">
        <v>0.0</v>
      </c>
      <c r="G64" s="153">
        <v>0.0</v>
      </c>
      <c r="H64" s="153">
        <v>0.0</v>
      </c>
      <c r="J64" s="153">
        <v>16.22</v>
      </c>
      <c r="K64" s="153">
        <v>12.93</v>
      </c>
      <c r="L64" s="153">
        <v>11.34</v>
      </c>
      <c r="M64" s="153">
        <v>0.8772</v>
      </c>
      <c r="N64" s="153">
        <v>0.151</v>
      </c>
      <c r="O64" s="153">
        <v>0.099</v>
      </c>
      <c r="P64" s="153">
        <v>1.14</v>
      </c>
      <c r="Q64" s="153">
        <v>58.53</v>
      </c>
      <c r="R64" s="153">
        <v>42.97</v>
      </c>
      <c r="S64" s="153">
        <v>15.55</v>
      </c>
      <c r="T64" s="153">
        <v>0.0</v>
      </c>
      <c r="U64" s="153">
        <v>58.53</v>
      </c>
      <c r="V64" s="153">
        <v>46.27</v>
      </c>
      <c r="W64" s="153">
        <v>3.58</v>
      </c>
      <c r="X64" s="153">
        <v>0.0</v>
      </c>
      <c r="Y64" s="153">
        <v>254.0</v>
      </c>
      <c r="Z64" s="153">
        <v>327.0</v>
      </c>
      <c r="AA64" s="153">
        <v>406.0</v>
      </c>
      <c r="AB64" s="153">
        <v>50.184</v>
      </c>
      <c r="AC64" s="153">
        <v>0.8961</v>
      </c>
      <c r="AD64" s="153">
        <v>9.97</v>
      </c>
      <c r="AE64" s="153">
        <v>6.0</v>
      </c>
      <c r="AF64" s="153">
        <v>10.0</v>
      </c>
      <c r="AG64" s="153">
        <v>13.0</v>
      </c>
      <c r="AH64" s="153">
        <v>17.0</v>
      </c>
      <c r="AI64" s="153">
        <v>76.48</v>
      </c>
      <c r="AJ64" s="153">
        <v>30.98</v>
      </c>
      <c r="AK64" s="153">
        <v>0.77</v>
      </c>
      <c r="AQ64" s="153">
        <v>3.6774</v>
      </c>
      <c r="AR64" s="153">
        <v>0.108</v>
      </c>
      <c r="AS64" s="153">
        <v>3.5694</v>
      </c>
      <c r="AT64" s="153">
        <v>2.6157</v>
      </c>
      <c r="AU64" s="153">
        <v>0.2024</v>
      </c>
      <c r="AV64" s="153">
        <v>778.0</v>
      </c>
      <c r="AW64" s="153">
        <v>0.0</v>
      </c>
      <c r="AX64" s="153">
        <v>53.91</v>
      </c>
      <c r="AY64" s="153">
        <v>3.42</v>
      </c>
      <c r="AZ64" s="153">
        <v>0.51</v>
      </c>
      <c r="BA64" s="153">
        <v>0.0</v>
      </c>
      <c r="BB64" s="153">
        <v>0.69</v>
      </c>
      <c r="BC64" s="153">
        <v>25.0</v>
      </c>
      <c r="BD64" s="153">
        <v>665.0</v>
      </c>
      <c r="BE64" s="153">
        <v>2.973</v>
      </c>
      <c r="BF64" s="153">
        <v>0.0887</v>
      </c>
      <c r="BG64" s="153">
        <v>2.8843</v>
      </c>
      <c r="BH64" s="153">
        <v>1.8676</v>
      </c>
      <c r="BI64" s="153">
        <v>0.1445</v>
      </c>
      <c r="BJ64" s="153">
        <v>0.7044</v>
      </c>
      <c r="BK64" s="153">
        <v>0.0193</v>
      </c>
      <c r="BL64" s="153">
        <v>0.6851</v>
      </c>
      <c r="BM64" s="153">
        <v>0.7481</v>
      </c>
      <c r="BN64" s="153">
        <v>0.0579</v>
      </c>
      <c r="BO64" s="153">
        <v>1.0154</v>
      </c>
      <c r="BP64" s="153">
        <v>0.0347</v>
      </c>
      <c r="BQ64" s="153">
        <v>0.9807</v>
      </c>
      <c r="BR64" s="153">
        <v>0.7853</v>
      </c>
      <c r="BS64" s="153">
        <v>1.4293</v>
      </c>
      <c r="BT64" s="153">
        <v>0.0077</v>
      </c>
      <c r="BU64" s="153">
        <v>1.4216</v>
      </c>
      <c r="BV64" s="153">
        <v>0.5835</v>
      </c>
      <c r="BW64" s="153">
        <v>0.5283</v>
      </c>
      <c r="BX64" s="153">
        <v>0.0463</v>
      </c>
      <c r="BY64" s="153">
        <v>0.482</v>
      </c>
      <c r="BZ64" s="153">
        <v>0.4987</v>
      </c>
      <c r="CA64" s="153">
        <v>0.0321</v>
      </c>
      <c r="CB64" s="153">
        <v>0.0</v>
      </c>
      <c r="CC64" s="153">
        <v>0.0321</v>
      </c>
      <c r="CD64" s="153">
        <v>0.1838</v>
      </c>
      <c r="CE64" s="153">
        <v>0.3792</v>
      </c>
      <c r="CF64" s="153">
        <v>0.0039</v>
      </c>
      <c r="CG64" s="153">
        <v>0.3753</v>
      </c>
      <c r="CH64" s="153">
        <v>0.2674</v>
      </c>
      <c r="CI64" s="153">
        <v>0.2931</v>
      </c>
      <c r="CJ64" s="153">
        <v>0.0154</v>
      </c>
      <c r="CK64" s="153">
        <v>0.2776</v>
      </c>
      <c r="CL64" s="153">
        <v>0.2969</v>
      </c>
      <c r="CM64" s="153">
        <v>42.82</v>
      </c>
      <c r="CN64" s="153">
        <v>42.8</v>
      </c>
      <c r="CO64" s="153">
        <v>100.05</v>
      </c>
      <c r="CP64" s="153">
        <v>38.88</v>
      </c>
      <c r="CQ64" s="153">
        <v>0.0</v>
      </c>
      <c r="CR64" s="153">
        <v>2.16</v>
      </c>
      <c r="CS64" s="153">
        <v>1.79</v>
      </c>
      <c r="CT64" s="153">
        <v>0.0</v>
      </c>
      <c r="CU64" s="153">
        <v>0.0</v>
      </c>
      <c r="CV64" s="153">
        <v>0.0</v>
      </c>
      <c r="CW64" s="153">
        <v>58.53</v>
      </c>
      <c r="CX64" s="153">
        <v>0.0</v>
      </c>
      <c r="CY64" s="153">
        <v>0.0</v>
      </c>
      <c r="CZ64" s="153">
        <v>49.27</v>
      </c>
      <c r="DA64" s="153">
        <v>0.0</v>
      </c>
      <c r="DB64" s="153">
        <v>49.27</v>
      </c>
      <c r="DC64" s="153">
        <v>47.73</v>
      </c>
      <c r="DD64" s="153">
        <v>0.0</v>
      </c>
      <c r="DE64" s="153">
        <v>47.73</v>
      </c>
      <c r="DF64" s="153">
        <v>0.76</v>
      </c>
      <c r="DG64" s="153">
        <v>0.0</v>
      </c>
      <c r="DH64" s="153">
        <v>0.76</v>
      </c>
      <c r="DI64" s="153">
        <v>0.77</v>
      </c>
      <c r="DJ64" s="153">
        <v>0.0</v>
      </c>
      <c r="DK64" s="153">
        <v>0.77</v>
      </c>
      <c r="DL64" s="153">
        <v>0.0</v>
      </c>
      <c r="DM64" s="153">
        <v>0.0</v>
      </c>
      <c r="DN64" s="153">
        <v>0.0</v>
      </c>
    </row>
    <row r="65">
      <c r="A65" s="250">
        <v>46260.0</v>
      </c>
      <c r="B65" s="153" t="s">
        <v>4</v>
      </c>
      <c r="C65" s="153" t="s">
        <v>135</v>
      </c>
      <c r="D65" s="153">
        <v>791.0</v>
      </c>
      <c r="E65" s="153">
        <v>18.08</v>
      </c>
      <c r="F65" s="153">
        <v>7.68</v>
      </c>
      <c r="G65" s="153">
        <v>0.0097</v>
      </c>
      <c r="H65" s="153">
        <v>0.51</v>
      </c>
      <c r="I65" s="153">
        <v>1.92</v>
      </c>
      <c r="J65" s="153">
        <v>39.06</v>
      </c>
      <c r="K65" s="153">
        <v>26.62</v>
      </c>
      <c r="L65" s="153">
        <v>22.6</v>
      </c>
      <c r="M65" s="153">
        <v>0.849</v>
      </c>
      <c r="N65" s="153">
        <v>0.1958</v>
      </c>
      <c r="O65" s="153">
        <v>0.1271</v>
      </c>
      <c r="P65" s="153">
        <v>1.1778</v>
      </c>
      <c r="Q65" s="153">
        <v>132.12</v>
      </c>
      <c r="R65" s="153">
        <v>96.88</v>
      </c>
      <c r="S65" s="153">
        <v>35.25</v>
      </c>
      <c r="T65" s="153">
        <v>1.01</v>
      </c>
      <c r="U65" s="153">
        <v>131.11</v>
      </c>
      <c r="V65" s="153">
        <v>119.09</v>
      </c>
      <c r="W65" s="153">
        <v>4.4734</v>
      </c>
      <c r="X65" s="153">
        <v>0.77</v>
      </c>
      <c r="Y65" s="153">
        <v>316.0</v>
      </c>
      <c r="Z65" s="153">
        <v>413.0</v>
      </c>
      <c r="AA65" s="153">
        <v>585.0</v>
      </c>
      <c r="AB65" s="153">
        <v>50.993</v>
      </c>
      <c r="AC65" s="153">
        <v>0.8804</v>
      </c>
      <c r="AD65" s="153">
        <v>17.19</v>
      </c>
      <c r="AE65" s="153">
        <v>8.0</v>
      </c>
      <c r="AF65" s="153">
        <v>15.0</v>
      </c>
      <c r="AG65" s="153">
        <v>25.0</v>
      </c>
      <c r="AH65" s="153">
        <v>33.0</v>
      </c>
      <c r="AI65" s="153">
        <v>65.49</v>
      </c>
      <c r="AJ65" s="153">
        <v>24.53</v>
      </c>
      <c r="AK65" s="153">
        <v>1.9</v>
      </c>
      <c r="AQ65" s="153">
        <v>7.9987</v>
      </c>
      <c r="AR65" s="153">
        <v>0.2137</v>
      </c>
      <c r="AS65" s="153">
        <v>7.7851</v>
      </c>
      <c r="AT65" s="153">
        <v>5.3679</v>
      </c>
      <c r="AU65" s="153">
        <v>0.2016</v>
      </c>
      <c r="AV65" s="153">
        <v>791.0</v>
      </c>
      <c r="AW65" s="153">
        <v>0.0</v>
      </c>
      <c r="AX65" s="153">
        <v>108.3</v>
      </c>
      <c r="AY65" s="153">
        <v>18.54</v>
      </c>
      <c r="AZ65" s="153">
        <v>1.23</v>
      </c>
      <c r="BA65" s="153">
        <v>1.01</v>
      </c>
      <c r="BB65" s="153">
        <v>3.05</v>
      </c>
      <c r="BC65" s="153">
        <v>48.0</v>
      </c>
      <c r="BD65" s="153">
        <v>1016.0</v>
      </c>
      <c r="BE65" s="153">
        <v>5.5879</v>
      </c>
      <c r="BF65" s="153">
        <v>0.1934</v>
      </c>
      <c r="BG65" s="153">
        <v>5.3944</v>
      </c>
      <c r="BH65" s="153">
        <v>2.8091</v>
      </c>
      <c r="BI65" s="153">
        <v>0.1055</v>
      </c>
      <c r="BJ65" s="153">
        <v>2.4109</v>
      </c>
      <c r="BK65" s="153">
        <v>0.0202</v>
      </c>
      <c r="BL65" s="153">
        <v>2.3906</v>
      </c>
      <c r="BM65" s="153">
        <v>2.5588</v>
      </c>
      <c r="BN65" s="153">
        <v>0.0961</v>
      </c>
      <c r="BO65" s="153">
        <v>1.8786</v>
      </c>
      <c r="BP65" s="153">
        <v>0.0657</v>
      </c>
      <c r="BQ65" s="153">
        <v>1.8129</v>
      </c>
      <c r="BR65" s="153">
        <v>1.0531</v>
      </c>
      <c r="BS65" s="153">
        <v>2.5095</v>
      </c>
      <c r="BT65" s="153">
        <v>0.0392</v>
      </c>
      <c r="BU65" s="153">
        <v>2.4703</v>
      </c>
      <c r="BV65" s="153">
        <v>1.0746</v>
      </c>
      <c r="BW65" s="153">
        <v>1.1997</v>
      </c>
      <c r="BX65" s="153">
        <v>0.0885</v>
      </c>
      <c r="BY65" s="153">
        <v>1.1113</v>
      </c>
      <c r="BZ65" s="153">
        <v>0.6814</v>
      </c>
      <c r="CA65" s="153">
        <v>0.2946</v>
      </c>
      <c r="CB65" s="153">
        <v>0.0025</v>
      </c>
      <c r="CC65" s="153">
        <v>0.292</v>
      </c>
      <c r="CD65" s="153">
        <v>0.6561</v>
      </c>
      <c r="CE65" s="153">
        <v>1.0771</v>
      </c>
      <c r="CF65" s="153">
        <v>0.0013</v>
      </c>
      <c r="CG65" s="153">
        <v>1.0759</v>
      </c>
      <c r="CH65" s="153">
        <v>0.8609</v>
      </c>
      <c r="CI65" s="153">
        <v>1.0392</v>
      </c>
      <c r="CJ65" s="153">
        <v>0.0164</v>
      </c>
      <c r="CK65" s="153">
        <v>1.0228</v>
      </c>
      <c r="CL65" s="153">
        <v>1.0417</v>
      </c>
      <c r="CM65" s="153">
        <v>168.78</v>
      </c>
      <c r="CN65" s="153">
        <v>85.34</v>
      </c>
      <c r="CO65" s="153">
        <v>197.79</v>
      </c>
      <c r="CP65" s="153">
        <v>156.53</v>
      </c>
      <c r="CQ65" s="153">
        <v>0.0</v>
      </c>
      <c r="CR65" s="153">
        <v>5.34</v>
      </c>
      <c r="CS65" s="153">
        <v>6.92</v>
      </c>
      <c r="CT65" s="153">
        <v>0.0</v>
      </c>
      <c r="CU65" s="153">
        <v>0.0</v>
      </c>
      <c r="CV65" s="153">
        <v>0.0</v>
      </c>
      <c r="CW65" s="153">
        <v>132.12</v>
      </c>
      <c r="CX65" s="153">
        <v>0.0</v>
      </c>
      <c r="CY65" s="153">
        <v>0.0</v>
      </c>
      <c r="CZ65" s="153">
        <v>134.89</v>
      </c>
      <c r="DA65" s="153">
        <v>0.06</v>
      </c>
      <c r="DB65" s="153">
        <v>134.83</v>
      </c>
      <c r="DC65" s="153">
        <v>129.77</v>
      </c>
      <c r="DD65" s="153">
        <v>0.06</v>
      </c>
      <c r="DE65" s="153">
        <v>129.72</v>
      </c>
      <c r="DF65" s="153">
        <v>3.25</v>
      </c>
      <c r="DG65" s="153">
        <v>0.0</v>
      </c>
      <c r="DH65" s="153">
        <v>3.25</v>
      </c>
      <c r="DI65" s="153">
        <v>1.84</v>
      </c>
      <c r="DJ65" s="153">
        <v>0.0</v>
      </c>
      <c r="DK65" s="153">
        <v>1.84</v>
      </c>
      <c r="DL65" s="153">
        <v>0.03</v>
      </c>
      <c r="DM65" s="153">
        <v>0.0</v>
      </c>
      <c r="DN65" s="153">
        <v>0.03</v>
      </c>
    </row>
    <row r="66">
      <c r="A66" s="250">
        <v>46260.0</v>
      </c>
      <c r="B66" s="153" t="s">
        <v>4</v>
      </c>
      <c r="C66" s="153" t="s">
        <v>136</v>
      </c>
      <c r="D66" s="153">
        <v>725.0</v>
      </c>
      <c r="E66" s="153">
        <v>16.57</v>
      </c>
      <c r="F66" s="153">
        <v>217.3</v>
      </c>
      <c r="G66" s="153">
        <v>0.2997</v>
      </c>
      <c r="H66" s="153">
        <v>4.0</v>
      </c>
      <c r="I66" s="153">
        <v>7.4931</v>
      </c>
      <c r="J66" s="153">
        <v>92.53</v>
      </c>
      <c r="K66" s="153">
        <v>62.68</v>
      </c>
      <c r="L66" s="153">
        <v>47.94</v>
      </c>
      <c r="M66" s="153">
        <v>0.7648</v>
      </c>
      <c r="N66" s="153">
        <v>0.2838</v>
      </c>
      <c r="O66" s="153">
        <v>0.1558</v>
      </c>
      <c r="P66" s="153">
        <v>1.3075</v>
      </c>
      <c r="Q66" s="153">
        <v>263.83</v>
      </c>
      <c r="R66" s="153">
        <v>198.75</v>
      </c>
      <c r="S66" s="153">
        <v>65.08</v>
      </c>
      <c r="T66" s="153">
        <v>21.31</v>
      </c>
      <c r="U66" s="153">
        <v>242.52</v>
      </c>
      <c r="V66" s="153">
        <v>262.14</v>
      </c>
      <c r="W66" s="153">
        <v>4.1819</v>
      </c>
      <c r="X66" s="153">
        <v>8.08</v>
      </c>
      <c r="Y66" s="153">
        <v>365.0</v>
      </c>
      <c r="Z66" s="153">
        <v>530.0</v>
      </c>
      <c r="AA66" s="153">
        <v>874.0</v>
      </c>
      <c r="AB66" s="153">
        <v>52.6881</v>
      </c>
      <c r="AC66" s="153">
        <v>0.7871</v>
      </c>
      <c r="AD66" s="153">
        <v>29.1</v>
      </c>
      <c r="AE66" s="153">
        <v>11.0</v>
      </c>
      <c r="AF66" s="153">
        <v>23.0</v>
      </c>
      <c r="AG66" s="153">
        <v>42.0</v>
      </c>
      <c r="AH66" s="153">
        <v>61.0</v>
      </c>
      <c r="AI66" s="153">
        <v>42.21</v>
      </c>
      <c r="AJ66" s="153">
        <v>10.34</v>
      </c>
      <c r="AK66" s="153">
        <v>1.93</v>
      </c>
      <c r="AQ66" s="153">
        <v>15.5338</v>
      </c>
      <c r="AR66" s="153">
        <v>0.2745</v>
      </c>
      <c r="AS66" s="153">
        <v>15.2593</v>
      </c>
      <c r="AT66" s="153">
        <v>13.0097</v>
      </c>
      <c r="AU66" s="153">
        <v>0.2075</v>
      </c>
      <c r="AV66" s="153">
        <v>725.0</v>
      </c>
      <c r="AW66" s="153">
        <v>0.0</v>
      </c>
      <c r="AX66" s="153">
        <v>187.81</v>
      </c>
      <c r="AY66" s="153">
        <v>47.89</v>
      </c>
      <c r="AZ66" s="153">
        <v>2.72</v>
      </c>
      <c r="BA66" s="153">
        <v>21.31</v>
      </c>
      <c r="BB66" s="153">
        <v>4.1</v>
      </c>
      <c r="BC66" s="153">
        <v>118.0</v>
      </c>
      <c r="BD66" s="153">
        <v>1797.0</v>
      </c>
      <c r="BE66" s="153">
        <v>9.9903</v>
      </c>
      <c r="BF66" s="153">
        <v>0.1241</v>
      </c>
      <c r="BG66" s="153">
        <v>9.8662</v>
      </c>
      <c r="BH66" s="153">
        <v>5.9683</v>
      </c>
      <c r="BI66" s="153">
        <v>0.0952</v>
      </c>
      <c r="BJ66" s="153">
        <v>5.5434</v>
      </c>
      <c r="BK66" s="153">
        <v>0.1503</v>
      </c>
      <c r="BL66" s="153">
        <v>5.3931</v>
      </c>
      <c r="BM66" s="153">
        <v>7.0414</v>
      </c>
      <c r="BN66" s="153">
        <v>0.1123</v>
      </c>
      <c r="BO66" s="153">
        <v>3.7034</v>
      </c>
      <c r="BP66" s="153">
        <v>0.0414</v>
      </c>
      <c r="BQ66" s="153">
        <v>3.6621</v>
      </c>
      <c r="BR66" s="153">
        <v>2.1476</v>
      </c>
      <c r="BS66" s="153">
        <v>4.1172</v>
      </c>
      <c r="BT66" s="153">
        <v>0.0372</v>
      </c>
      <c r="BU66" s="153">
        <v>4.08</v>
      </c>
      <c r="BV66" s="153">
        <v>2.3766</v>
      </c>
      <c r="BW66" s="153">
        <v>2.1697</v>
      </c>
      <c r="BX66" s="153">
        <v>0.0455</v>
      </c>
      <c r="BY66" s="153">
        <v>2.1241</v>
      </c>
      <c r="BZ66" s="153">
        <v>1.4441</v>
      </c>
      <c r="CA66" s="153">
        <v>0.9503</v>
      </c>
      <c r="CB66" s="153">
        <v>0.04</v>
      </c>
      <c r="CC66" s="153">
        <v>0.9103</v>
      </c>
      <c r="CD66" s="153">
        <v>2.1172</v>
      </c>
      <c r="CE66" s="153">
        <v>2.1655</v>
      </c>
      <c r="CF66" s="153">
        <v>0.051</v>
      </c>
      <c r="CG66" s="153">
        <v>2.1145</v>
      </c>
      <c r="CH66" s="153">
        <v>2.0897</v>
      </c>
      <c r="CI66" s="153">
        <v>2.4276</v>
      </c>
      <c r="CJ66" s="153">
        <v>0.0593</v>
      </c>
      <c r="CK66" s="153">
        <v>2.3683</v>
      </c>
      <c r="CL66" s="153">
        <v>2.8345</v>
      </c>
      <c r="CM66" s="153">
        <v>470.03</v>
      </c>
      <c r="CN66" s="153">
        <v>97.52</v>
      </c>
      <c r="CO66" s="153">
        <v>481.99</v>
      </c>
      <c r="CP66" s="153">
        <v>450.38</v>
      </c>
      <c r="CQ66" s="153">
        <v>0.0</v>
      </c>
      <c r="CR66" s="153">
        <v>10.7</v>
      </c>
      <c r="CS66" s="153">
        <v>8.94</v>
      </c>
      <c r="CT66" s="153">
        <v>0.0</v>
      </c>
      <c r="CU66" s="153">
        <v>0.0</v>
      </c>
      <c r="CV66" s="153">
        <v>0.0</v>
      </c>
      <c r="CW66" s="153">
        <v>263.83</v>
      </c>
      <c r="CX66" s="153">
        <v>0.0</v>
      </c>
      <c r="CY66" s="153">
        <v>0.0</v>
      </c>
      <c r="CZ66" s="153">
        <v>272.02</v>
      </c>
      <c r="DA66" s="153">
        <v>1.04</v>
      </c>
      <c r="DB66" s="153">
        <v>270.98</v>
      </c>
      <c r="DC66" s="153">
        <v>258.14</v>
      </c>
      <c r="DD66" s="153">
        <v>0.71</v>
      </c>
      <c r="DE66" s="153">
        <v>257.43</v>
      </c>
      <c r="DF66" s="153">
        <v>8.37</v>
      </c>
      <c r="DG66" s="153">
        <v>0.11</v>
      </c>
      <c r="DH66" s="153">
        <v>8.26</v>
      </c>
      <c r="DI66" s="153">
        <v>4.59</v>
      </c>
      <c r="DJ66" s="153">
        <v>0.11</v>
      </c>
      <c r="DK66" s="153">
        <v>4.48</v>
      </c>
      <c r="DL66" s="153">
        <v>0.92</v>
      </c>
      <c r="DM66" s="153">
        <v>0.11</v>
      </c>
      <c r="DN66" s="153">
        <v>0.81</v>
      </c>
    </row>
    <row r="67">
      <c r="A67" s="250">
        <v>46260.0</v>
      </c>
      <c r="B67" s="153" t="s">
        <v>4</v>
      </c>
      <c r="C67" s="153" t="s">
        <v>137</v>
      </c>
      <c r="D67" s="153">
        <v>207.0</v>
      </c>
      <c r="E67" s="153">
        <v>4.73</v>
      </c>
      <c r="F67" s="153">
        <v>191.86</v>
      </c>
      <c r="G67" s="153">
        <v>0.9269</v>
      </c>
      <c r="H67" s="153">
        <v>8.21</v>
      </c>
      <c r="I67" s="153">
        <v>11.2859</v>
      </c>
      <c r="J67" s="153">
        <v>232.02</v>
      </c>
      <c r="K67" s="153">
        <v>168.19</v>
      </c>
      <c r="L67" s="153">
        <v>130.61</v>
      </c>
      <c r="M67" s="153">
        <v>0.7766</v>
      </c>
      <c r="N67" s="153">
        <v>0.2659</v>
      </c>
      <c r="O67" s="153">
        <v>0.1425</v>
      </c>
      <c r="P67" s="153">
        <v>1.2877</v>
      </c>
      <c r="Q67" s="153">
        <v>613.43</v>
      </c>
      <c r="R67" s="153">
        <v>449.1</v>
      </c>
      <c r="S67" s="153">
        <v>164.32</v>
      </c>
      <c r="T67" s="153">
        <v>59.66</v>
      </c>
      <c r="U67" s="153">
        <v>553.76</v>
      </c>
      <c r="V67" s="153">
        <v>626.57</v>
      </c>
      <c r="W67" s="153">
        <v>3.7254</v>
      </c>
      <c r="X67" s="153">
        <v>9.73</v>
      </c>
      <c r="Y67" s="153">
        <v>471.0</v>
      </c>
      <c r="Z67" s="153">
        <v>816.0</v>
      </c>
      <c r="AA67" s="153">
        <v>1148.0</v>
      </c>
      <c r="AB67" s="153">
        <v>56.535</v>
      </c>
      <c r="AC67" s="153">
        <v>0.8288</v>
      </c>
      <c r="AD67" s="153">
        <v>60.99</v>
      </c>
      <c r="AE67" s="153">
        <v>22.0</v>
      </c>
      <c r="AF67" s="153">
        <v>44.0</v>
      </c>
      <c r="AG67" s="153">
        <v>80.0</v>
      </c>
      <c r="AH67" s="153">
        <v>139.0</v>
      </c>
      <c r="AI67" s="153">
        <v>25.12</v>
      </c>
      <c r="AJ67" s="153">
        <v>6.76</v>
      </c>
      <c r="AK67" s="153">
        <v>0.0</v>
      </c>
      <c r="AQ67" s="153">
        <v>39.3816</v>
      </c>
      <c r="AR67" s="153">
        <v>0.9614</v>
      </c>
      <c r="AS67" s="153">
        <v>38.4203</v>
      </c>
      <c r="AT67" s="153">
        <v>33.4396</v>
      </c>
      <c r="AU67" s="153">
        <v>0.1988</v>
      </c>
      <c r="AV67" s="153">
        <v>207.0</v>
      </c>
      <c r="AW67" s="153">
        <v>0.0</v>
      </c>
      <c r="AX67" s="153">
        <v>427.32</v>
      </c>
      <c r="AY67" s="153">
        <v>108.96</v>
      </c>
      <c r="AZ67" s="153">
        <v>6.4</v>
      </c>
      <c r="BA67" s="153">
        <v>59.66</v>
      </c>
      <c r="BB67" s="153">
        <v>11.08</v>
      </c>
      <c r="BC67" s="153">
        <v>248.0</v>
      </c>
      <c r="BD67" s="153">
        <v>1890.0</v>
      </c>
      <c r="BE67" s="153">
        <v>24.1643</v>
      </c>
      <c r="BF67" s="153">
        <v>0.4058</v>
      </c>
      <c r="BG67" s="153">
        <v>23.7585</v>
      </c>
      <c r="BH67" s="153">
        <v>17.3092</v>
      </c>
      <c r="BI67" s="153">
        <v>0.1029</v>
      </c>
      <c r="BJ67" s="153">
        <v>15.2174</v>
      </c>
      <c r="BK67" s="153">
        <v>0.5556</v>
      </c>
      <c r="BL67" s="153">
        <v>14.6618</v>
      </c>
      <c r="BM67" s="153">
        <v>16.1304</v>
      </c>
      <c r="BN67" s="153">
        <v>0.0959</v>
      </c>
      <c r="BO67" s="153">
        <v>8.6715</v>
      </c>
      <c r="BP67" s="153">
        <v>0.1304</v>
      </c>
      <c r="BQ67" s="153">
        <v>8.5411</v>
      </c>
      <c r="BR67" s="153">
        <v>6.1546</v>
      </c>
      <c r="BS67" s="153">
        <v>9.7874</v>
      </c>
      <c r="BT67" s="153">
        <v>0.1304</v>
      </c>
      <c r="BU67" s="153">
        <v>9.657</v>
      </c>
      <c r="BV67" s="153">
        <v>6.8213</v>
      </c>
      <c r="BW67" s="153">
        <v>5.7053</v>
      </c>
      <c r="BX67" s="153">
        <v>0.1449</v>
      </c>
      <c r="BY67" s="153">
        <v>5.5604</v>
      </c>
      <c r="BZ67" s="153">
        <v>4.3333</v>
      </c>
      <c r="CA67" s="153">
        <v>3.2415</v>
      </c>
      <c r="CB67" s="153">
        <v>0.1691</v>
      </c>
      <c r="CC67" s="153">
        <v>3.0725</v>
      </c>
      <c r="CD67" s="153">
        <v>3.9469</v>
      </c>
      <c r="CE67" s="153">
        <v>5.628</v>
      </c>
      <c r="CF67" s="153">
        <v>0.1932</v>
      </c>
      <c r="CG67" s="153">
        <v>5.4348</v>
      </c>
      <c r="CH67" s="153">
        <v>5.7585</v>
      </c>
      <c r="CI67" s="153">
        <v>6.3478</v>
      </c>
      <c r="CJ67" s="153">
        <v>0.1932</v>
      </c>
      <c r="CK67" s="153">
        <v>6.1546</v>
      </c>
      <c r="CL67" s="153">
        <v>6.4251</v>
      </c>
      <c r="CM67" s="153">
        <v>1428.41</v>
      </c>
      <c r="CN67" s="153">
        <v>100.0</v>
      </c>
      <c r="CO67" s="153">
        <v>1428.41</v>
      </c>
      <c r="CP67" s="153">
        <v>1393.0</v>
      </c>
      <c r="CQ67" s="153">
        <v>0.0</v>
      </c>
      <c r="CR67" s="153">
        <v>24.44</v>
      </c>
      <c r="CS67" s="153">
        <v>10.97</v>
      </c>
      <c r="CT67" s="153">
        <v>0.0</v>
      </c>
      <c r="CU67" s="153">
        <v>0.0</v>
      </c>
      <c r="CV67" s="153">
        <v>0.0</v>
      </c>
      <c r="CW67" s="153">
        <v>613.43</v>
      </c>
      <c r="CX67" s="153">
        <v>0.0</v>
      </c>
      <c r="CY67" s="153">
        <v>0.0</v>
      </c>
      <c r="CZ67" s="153">
        <v>669.76</v>
      </c>
      <c r="DA67" s="153">
        <v>4.01</v>
      </c>
      <c r="DB67" s="153">
        <v>665.75</v>
      </c>
      <c r="DC67" s="153">
        <v>638.43</v>
      </c>
      <c r="DD67" s="153">
        <v>3.43</v>
      </c>
      <c r="DE67" s="153">
        <v>635.0</v>
      </c>
      <c r="DF67" s="153">
        <v>16.43</v>
      </c>
      <c r="DG67" s="153">
        <v>0.19</v>
      </c>
      <c r="DH67" s="153">
        <v>16.23</v>
      </c>
      <c r="DI67" s="153">
        <v>10.48</v>
      </c>
      <c r="DJ67" s="153">
        <v>0.19</v>
      </c>
      <c r="DK67" s="153">
        <v>10.29</v>
      </c>
      <c r="DL67" s="153">
        <v>4.42</v>
      </c>
      <c r="DM67" s="153">
        <v>0.19</v>
      </c>
      <c r="DN67" s="153">
        <v>4.23</v>
      </c>
    </row>
    <row r="68">
      <c r="A68" s="250">
        <v>46260.0</v>
      </c>
      <c r="B68" s="153" t="s">
        <v>5</v>
      </c>
      <c r="C68" s="153" t="s">
        <v>423</v>
      </c>
      <c r="D68" s="153">
        <v>752.0</v>
      </c>
      <c r="E68" s="153">
        <v>16.61</v>
      </c>
      <c r="F68" s="153">
        <v>9.62</v>
      </c>
      <c r="G68" s="153">
        <v>0.0128</v>
      </c>
      <c r="H68" s="153">
        <v>0.13</v>
      </c>
      <c r="I68" s="153">
        <v>9.62</v>
      </c>
      <c r="J68" s="153">
        <v>1.73</v>
      </c>
      <c r="K68" s="153">
        <v>0.3</v>
      </c>
      <c r="L68" s="153">
        <v>0.0</v>
      </c>
      <c r="M68" s="153">
        <v>0.0</v>
      </c>
      <c r="N68" s="153">
        <v>1.0</v>
      </c>
      <c r="O68" s="153">
        <v>1.0</v>
      </c>
      <c r="Q68" s="153">
        <v>2.28</v>
      </c>
      <c r="R68" s="153">
        <v>2.24</v>
      </c>
      <c r="S68" s="153">
        <v>0.05</v>
      </c>
      <c r="T68" s="153">
        <v>0.66</v>
      </c>
      <c r="U68" s="153">
        <v>1.62</v>
      </c>
      <c r="V68" s="153">
        <v>0.47</v>
      </c>
      <c r="W68" s="153">
        <v>1.5625</v>
      </c>
      <c r="X68" s="153">
        <v>29.12</v>
      </c>
      <c r="Y68" s="153">
        <v>200.0</v>
      </c>
      <c r="Z68" s="153">
        <v>200.0</v>
      </c>
      <c r="AA68" s="153">
        <v>204.0</v>
      </c>
      <c r="AB68" s="153">
        <v>49.6596</v>
      </c>
      <c r="AC68" s="153">
        <v>0.7188</v>
      </c>
      <c r="AI68" s="153">
        <v>0.0</v>
      </c>
      <c r="AJ68" s="153">
        <v>0.0</v>
      </c>
      <c r="AK68" s="153">
        <v>0.0</v>
      </c>
      <c r="AM68" s="153">
        <v>0.0</v>
      </c>
      <c r="AN68" s="153">
        <v>0.0</v>
      </c>
      <c r="AO68" s="153">
        <v>0.0</v>
      </c>
      <c r="AP68" s="153">
        <v>0.0</v>
      </c>
      <c r="AQ68" s="153">
        <v>0.1569</v>
      </c>
      <c r="AR68" s="153">
        <v>0.016</v>
      </c>
      <c r="AS68" s="153">
        <v>0.141</v>
      </c>
      <c r="AT68" s="153">
        <v>0.0785</v>
      </c>
      <c r="AU68" s="153">
        <v>0.2634</v>
      </c>
      <c r="AV68" s="153">
        <v>752.0</v>
      </c>
      <c r="AW68" s="153">
        <v>0.0</v>
      </c>
      <c r="AX68" s="153">
        <v>1.37</v>
      </c>
      <c r="AY68" s="153">
        <v>0.24</v>
      </c>
      <c r="AZ68" s="153">
        <v>0.0</v>
      </c>
      <c r="BA68" s="153">
        <v>0.66</v>
      </c>
      <c r="BB68" s="153">
        <v>0.01</v>
      </c>
      <c r="BD68" s="153">
        <v>415.0</v>
      </c>
      <c r="BE68" s="153">
        <v>0.0771</v>
      </c>
      <c r="BF68" s="153">
        <v>0.008</v>
      </c>
      <c r="BG68" s="153">
        <v>0.0691</v>
      </c>
      <c r="BH68" s="153">
        <v>0.0306</v>
      </c>
      <c r="BI68" s="153">
        <v>0.1027</v>
      </c>
      <c r="BJ68" s="153">
        <v>0.0798</v>
      </c>
      <c r="BK68" s="153">
        <v>0.008</v>
      </c>
      <c r="BL68" s="153">
        <v>0.0718</v>
      </c>
      <c r="BM68" s="153">
        <v>0.0479</v>
      </c>
      <c r="BN68" s="153">
        <v>0.1607</v>
      </c>
      <c r="BO68" s="153">
        <v>0.0239</v>
      </c>
      <c r="BP68" s="153">
        <v>0.0027</v>
      </c>
      <c r="BQ68" s="153">
        <v>0.0213</v>
      </c>
      <c r="BR68" s="153">
        <v>0.0133</v>
      </c>
      <c r="BS68" s="153">
        <v>0.0346</v>
      </c>
      <c r="BT68" s="153">
        <v>0.0027</v>
      </c>
      <c r="BU68" s="153">
        <v>0.0319</v>
      </c>
      <c r="BV68" s="153">
        <v>0.0093</v>
      </c>
      <c r="BW68" s="153">
        <v>0.0186</v>
      </c>
      <c r="BX68" s="153">
        <v>0.0027</v>
      </c>
      <c r="BY68" s="153">
        <v>0.016</v>
      </c>
      <c r="BZ68" s="153">
        <v>0.008</v>
      </c>
      <c r="CA68" s="153">
        <v>0.0053</v>
      </c>
      <c r="CB68" s="153">
        <v>0.0027</v>
      </c>
      <c r="CC68" s="153">
        <v>0.0027</v>
      </c>
      <c r="CD68" s="153">
        <v>0.0053</v>
      </c>
      <c r="CE68" s="153">
        <v>0.0452</v>
      </c>
      <c r="CF68" s="153">
        <v>0.0027</v>
      </c>
      <c r="CG68" s="153">
        <v>0.0426</v>
      </c>
      <c r="CH68" s="153">
        <v>0.0199</v>
      </c>
      <c r="CI68" s="153">
        <v>0.0293</v>
      </c>
      <c r="CJ68" s="153">
        <v>0.0027</v>
      </c>
      <c r="CK68" s="153">
        <v>0.0266</v>
      </c>
      <c r="CL68" s="153">
        <v>0.0226</v>
      </c>
      <c r="CM68" s="153">
        <v>0.07</v>
      </c>
      <c r="CN68" s="153">
        <v>0.27</v>
      </c>
      <c r="CO68" s="153">
        <v>25.0</v>
      </c>
      <c r="CP68" s="153">
        <v>0.0</v>
      </c>
      <c r="CQ68" s="153">
        <v>0.01</v>
      </c>
      <c r="CR68" s="153">
        <v>0.05</v>
      </c>
      <c r="CS68" s="153">
        <v>0.0</v>
      </c>
      <c r="CT68" s="153">
        <v>0.0</v>
      </c>
      <c r="CU68" s="153">
        <v>9.0</v>
      </c>
      <c r="CV68" s="153">
        <v>0.0</v>
      </c>
      <c r="CW68" s="153">
        <v>2.28</v>
      </c>
      <c r="CX68" s="153">
        <v>0.0</v>
      </c>
      <c r="CY68" s="153">
        <v>0.01</v>
      </c>
      <c r="CZ68" s="153">
        <v>3.17</v>
      </c>
      <c r="DA68" s="153">
        <v>0.0</v>
      </c>
      <c r="DB68" s="153">
        <v>3.17</v>
      </c>
      <c r="DC68" s="153">
        <v>3.13</v>
      </c>
      <c r="DD68" s="153">
        <v>0.0</v>
      </c>
      <c r="DE68" s="153">
        <v>3.13</v>
      </c>
      <c r="DF68" s="153">
        <v>0.01</v>
      </c>
      <c r="DG68" s="153">
        <v>0.0</v>
      </c>
      <c r="DH68" s="153">
        <v>0.01</v>
      </c>
      <c r="DI68" s="153">
        <v>0.03</v>
      </c>
      <c r="DJ68" s="153">
        <v>0.0</v>
      </c>
      <c r="DK68" s="153">
        <v>0.03</v>
      </c>
      <c r="DL68" s="153">
        <v>0.0</v>
      </c>
      <c r="DM68" s="153">
        <v>0.0</v>
      </c>
      <c r="DN68" s="153">
        <v>0.0</v>
      </c>
    </row>
    <row r="69">
      <c r="A69" s="250">
        <v>46260.0</v>
      </c>
      <c r="B69" s="153" t="s">
        <v>5</v>
      </c>
      <c r="C69" s="153" t="s">
        <v>133</v>
      </c>
      <c r="D69" s="153">
        <v>1164.0</v>
      </c>
      <c r="E69" s="153">
        <v>25.71</v>
      </c>
      <c r="F69" s="153">
        <v>0.0</v>
      </c>
      <c r="G69" s="153">
        <v>0.0</v>
      </c>
      <c r="H69" s="153">
        <v>0.0</v>
      </c>
      <c r="J69" s="153">
        <v>5.41</v>
      </c>
      <c r="K69" s="153">
        <v>4.53</v>
      </c>
      <c r="L69" s="153">
        <v>4.05</v>
      </c>
      <c r="M69" s="153">
        <v>0.8948</v>
      </c>
      <c r="N69" s="153">
        <v>0.1122</v>
      </c>
      <c r="O69" s="153">
        <v>0.0627</v>
      </c>
      <c r="P69" s="153">
        <v>1.1176</v>
      </c>
      <c r="Q69" s="153">
        <v>8.08</v>
      </c>
      <c r="R69" s="153">
        <v>7.19</v>
      </c>
      <c r="S69" s="153">
        <v>0.89</v>
      </c>
      <c r="T69" s="153">
        <v>0.0</v>
      </c>
      <c r="U69" s="153">
        <v>8.08</v>
      </c>
      <c r="V69" s="153">
        <v>7.39</v>
      </c>
      <c r="W69" s="153">
        <v>1.6303</v>
      </c>
      <c r="X69" s="153">
        <v>0.0</v>
      </c>
      <c r="Y69" s="153">
        <v>200.0</v>
      </c>
      <c r="Z69" s="153">
        <v>211.0</v>
      </c>
      <c r="AA69" s="153">
        <v>240.0</v>
      </c>
      <c r="AB69" s="153">
        <v>49.8526</v>
      </c>
      <c r="AC69" s="153">
        <v>0.8428</v>
      </c>
      <c r="AD69" s="153">
        <v>3.88</v>
      </c>
      <c r="AE69" s="153">
        <v>2.0</v>
      </c>
      <c r="AF69" s="153">
        <v>3.0</v>
      </c>
      <c r="AG69" s="153">
        <v>5.0</v>
      </c>
      <c r="AH69" s="153">
        <v>8.0</v>
      </c>
      <c r="AI69" s="153">
        <v>80.33</v>
      </c>
      <c r="AJ69" s="153">
        <v>37.11</v>
      </c>
      <c r="AK69" s="153">
        <v>2.06</v>
      </c>
      <c r="AM69" s="153">
        <v>0.17</v>
      </c>
      <c r="AN69" s="153">
        <v>0.17</v>
      </c>
      <c r="AO69" s="153">
        <v>0.0</v>
      </c>
      <c r="AP69" s="153">
        <v>0.0</v>
      </c>
      <c r="AQ69" s="153">
        <v>0.5241</v>
      </c>
      <c r="AR69" s="153">
        <v>0.0206</v>
      </c>
      <c r="AS69" s="153">
        <v>0.5034</v>
      </c>
      <c r="AT69" s="153">
        <v>0.5756</v>
      </c>
      <c r="AU69" s="153">
        <v>0.127</v>
      </c>
      <c r="AV69" s="153">
        <v>1164.0</v>
      </c>
      <c r="AW69" s="153">
        <v>0.0</v>
      </c>
      <c r="AX69" s="153">
        <v>7.93</v>
      </c>
      <c r="AY69" s="153">
        <v>0.12</v>
      </c>
      <c r="AZ69" s="153">
        <v>0.03</v>
      </c>
      <c r="BA69" s="153">
        <v>0.0</v>
      </c>
      <c r="BB69" s="153">
        <v>0.0</v>
      </c>
      <c r="BC69" s="153">
        <v>11.0</v>
      </c>
      <c r="BD69" s="153">
        <v>322.0</v>
      </c>
      <c r="BE69" s="153">
        <v>0.4605</v>
      </c>
      <c r="BF69" s="153">
        <v>0.0206</v>
      </c>
      <c r="BG69" s="153">
        <v>0.4399</v>
      </c>
      <c r="BH69" s="153">
        <v>0.506</v>
      </c>
      <c r="BI69" s="153">
        <v>0.1117</v>
      </c>
      <c r="BJ69" s="153">
        <v>0.0636</v>
      </c>
      <c r="BK69" s="153">
        <v>0.0</v>
      </c>
      <c r="BL69" s="153">
        <v>0.0636</v>
      </c>
      <c r="BM69" s="153">
        <v>0.0696</v>
      </c>
      <c r="BN69" s="153">
        <v>0.0154</v>
      </c>
      <c r="BO69" s="153">
        <v>0.067</v>
      </c>
      <c r="BP69" s="153">
        <v>0.018</v>
      </c>
      <c r="BQ69" s="153">
        <v>0.049</v>
      </c>
      <c r="BR69" s="153">
        <v>0.2397</v>
      </c>
      <c r="BS69" s="153">
        <v>0.2878</v>
      </c>
      <c r="BT69" s="153">
        <v>0.0</v>
      </c>
      <c r="BU69" s="153">
        <v>0.2878</v>
      </c>
      <c r="BV69" s="153">
        <v>0.1366</v>
      </c>
      <c r="BW69" s="153">
        <v>0.1057</v>
      </c>
      <c r="BX69" s="153">
        <v>0.0026</v>
      </c>
      <c r="BY69" s="153">
        <v>0.1031</v>
      </c>
      <c r="BZ69" s="153">
        <v>0.1297</v>
      </c>
      <c r="CA69" s="153">
        <v>0.0026</v>
      </c>
      <c r="CB69" s="153">
        <v>0.0</v>
      </c>
      <c r="CC69" s="153">
        <v>0.0026</v>
      </c>
      <c r="CD69" s="153">
        <v>0.018</v>
      </c>
      <c r="CE69" s="153">
        <v>0.049</v>
      </c>
      <c r="CF69" s="153">
        <v>0.0</v>
      </c>
      <c r="CG69" s="153">
        <v>0.049</v>
      </c>
      <c r="CH69" s="153">
        <v>0.0284</v>
      </c>
      <c r="CI69" s="153">
        <v>0.012</v>
      </c>
      <c r="CJ69" s="153">
        <v>0.0</v>
      </c>
      <c r="CK69" s="153">
        <v>0.012</v>
      </c>
      <c r="CL69" s="153">
        <v>0.0232</v>
      </c>
      <c r="CM69" s="153">
        <v>2.46</v>
      </c>
      <c r="CN69" s="153">
        <v>3.26</v>
      </c>
      <c r="CO69" s="153">
        <v>75.34</v>
      </c>
      <c r="CP69" s="153">
        <v>2.21</v>
      </c>
      <c r="CQ69" s="153">
        <v>0.11</v>
      </c>
      <c r="CR69" s="153">
        <v>0.14</v>
      </c>
      <c r="CS69" s="153">
        <v>0.0</v>
      </c>
      <c r="CT69" s="153">
        <v>0.0</v>
      </c>
      <c r="CU69" s="153">
        <v>4.0</v>
      </c>
      <c r="CV69" s="153">
        <v>0.02</v>
      </c>
      <c r="CW69" s="153">
        <v>8.1</v>
      </c>
      <c r="CX69" s="153">
        <v>0.01</v>
      </c>
      <c r="CY69" s="153">
        <v>0.12</v>
      </c>
      <c r="CZ69" s="153">
        <v>6.16</v>
      </c>
      <c r="DA69" s="153">
        <v>0.0</v>
      </c>
      <c r="DB69" s="153">
        <v>6.16</v>
      </c>
      <c r="DC69" s="153">
        <v>6.08</v>
      </c>
      <c r="DD69" s="153">
        <v>0.0</v>
      </c>
      <c r="DE69" s="153">
        <v>6.08</v>
      </c>
      <c r="DF69" s="153">
        <v>0.03</v>
      </c>
      <c r="DG69" s="153">
        <v>0.0</v>
      </c>
      <c r="DH69" s="153">
        <v>0.03</v>
      </c>
      <c r="DI69" s="153">
        <v>0.05</v>
      </c>
      <c r="DJ69" s="153">
        <v>0.0</v>
      </c>
      <c r="DK69" s="153">
        <v>0.05</v>
      </c>
      <c r="DL69" s="153">
        <v>0.0</v>
      </c>
      <c r="DM69" s="153">
        <v>0.0</v>
      </c>
      <c r="DN69" s="153">
        <v>0.0</v>
      </c>
    </row>
    <row r="70">
      <c r="A70" s="250">
        <v>46260.0</v>
      </c>
      <c r="B70" s="153" t="s">
        <v>5</v>
      </c>
      <c r="C70" s="153" t="s">
        <v>134</v>
      </c>
      <c r="D70" s="153">
        <v>824.0</v>
      </c>
      <c r="E70" s="153">
        <v>18.2</v>
      </c>
      <c r="F70" s="153">
        <v>3.07</v>
      </c>
      <c r="G70" s="153">
        <v>0.0037</v>
      </c>
      <c r="H70" s="153">
        <v>0.12</v>
      </c>
      <c r="I70" s="153">
        <v>3.07</v>
      </c>
      <c r="J70" s="153">
        <v>17.22</v>
      </c>
      <c r="K70" s="153">
        <v>13.48</v>
      </c>
      <c r="L70" s="153">
        <v>11.61</v>
      </c>
      <c r="M70" s="153">
        <v>0.8612</v>
      </c>
      <c r="N70" s="153">
        <v>0.1609</v>
      </c>
      <c r="O70" s="153">
        <v>0.0982</v>
      </c>
      <c r="P70" s="153">
        <v>1.1611</v>
      </c>
      <c r="Q70" s="153">
        <v>47.86</v>
      </c>
      <c r="R70" s="153">
        <v>40.62</v>
      </c>
      <c r="S70" s="153">
        <v>7.25</v>
      </c>
      <c r="T70" s="153">
        <v>0.0</v>
      </c>
      <c r="U70" s="153">
        <v>47.86</v>
      </c>
      <c r="V70" s="153">
        <v>50.0</v>
      </c>
      <c r="W70" s="153">
        <v>3.7104</v>
      </c>
      <c r="X70" s="153">
        <v>0.0</v>
      </c>
      <c r="Y70" s="153">
        <v>240.0</v>
      </c>
      <c r="Z70" s="153">
        <v>303.0</v>
      </c>
      <c r="AA70" s="153">
        <v>375.0</v>
      </c>
      <c r="AB70" s="153">
        <v>49.8271</v>
      </c>
      <c r="AC70" s="153">
        <v>0.8875</v>
      </c>
      <c r="AD70" s="153">
        <v>10.06</v>
      </c>
      <c r="AE70" s="153">
        <v>5.0</v>
      </c>
      <c r="AF70" s="153">
        <v>10.0</v>
      </c>
      <c r="AG70" s="153">
        <v>14.0</v>
      </c>
      <c r="AH70" s="153">
        <v>17.0</v>
      </c>
      <c r="AI70" s="153">
        <v>72.94</v>
      </c>
      <c r="AJ70" s="153">
        <v>32.52</v>
      </c>
      <c r="AK70" s="153">
        <v>1.58</v>
      </c>
      <c r="AM70" s="153">
        <v>0.49</v>
      </c>
      <c r="AN70" s="153">
        <v>0.49</v>
      </c>
      <c r="AO70" s="153">
        <v>0.24</v>
      </c>
      <c r="AP70" s="153">
        <v>0.0</v>
      </c>
      <c r="AQ70" s="153">
        <v>3.4782</v>
      </c>
      <c r="AR70" s="153">
        <v>0.3641</v>
      </c>
      <c r="AS70" s="153">
        <v>3.1141</v>
      </c>
      <c r="AT70" s="153">
        <v>2.6553</v>
      </c>
      <c r="AU70" s="153">
        <v>0.197</v>
      </c>
      <c r="AV70" s="153">
        <v>824.0</v>
      </c>
      <c r="AW70" s="153">
        <v>0.0</v>
      </c>
      <c r="AX70" s="153">
        <v>41.49</v>
      </c>
      <c r="AY70" s="153">
        <v>5.42</v>
      </c>
      <c r="AZ70" s="153">
        <v>0.45</v>
      </c>
      <c r="BA70" s="153">
        <v>0.0</v>
      </c>
      <c r="BB70" s="153">
        <v>0.5</v>
      </c>
      <c r="BC70" s="153">
        <v>28.0</v>
      </c>
      <c r="BD70" s="153">
        <v>628.0</v>
      </c>
      <c r="BE70" s="153">
        <v>2.7063</v>
      </c>
      <c r="BF70" s="153">
        <v>0.3459</v>
      </c>
      <c r="BG70" s="153">
        <v>2.3604</v>
      </c>
      <c r="BH70" s="153">
        <v>1.8641</v>
      </c>
      <c r="BI70" s="153">
        <v>0.1383</v>
      </c>
      <c r="BJ70" s="153">
        <v>0.7718</v>
      </c>
      <c r="BK70" s="153">
        <v>0.0182</v>
      </c>
      <c r="BL70" s="153">
        <v>0.7536</v>
      </c>
      <c r="BM70" s="153">
        <v>0.7913</v>
      </c>
      <c r="BN70" s="153">
        <v>0.0587</v>
      </c>
      <c r="BO70" s="153">
        <v>0.9017</v>
      </c>
      <c r="BP70" s="153">
        <v>0.1383</v>
      </c>
      <c r="BQ70" s="153">
        <v>0.7633</v>
      </c>
      <c r="BR70" s="153">
        <v>0.7961</v>
      </c>
      <c r="BS70" s="153">
        <v>1.1432</v>
      </c>
      <c r="BT70" s="153">
        <v>0.091</v>
      </c>
      <c r="BU70" s="153">
        <v>1.0522</v>
      </c>
      <c r="BV70" s="153">
        <v>0.568</v>
      </c>
      <c r="BW70" s="153">
        <v>0.6614</v>
      </c>
      <c r="BX70" s="153">
        <v>0.1165</v>
      </c>
      <c r="BY70" s="153">
        <v>0.5449</v>
      </c>
      <c r="BZ70" s="153">
        <v>0.5</v>
      </c>
      <c r="CA70" s="153">
        <v>0.0595</v>
      </c>
      <c r="CB70" s="153">
        <v>0.0</v>
      </c>
      <c r="CC70" s="153">
        <v>0.0595</v>
      </c>
      <c r="CD70" s="153">
        <v>0.2039</v>
      </c>
      <c r="CE70" s="153">
        <v>0.4757</v>
      </c>
      <c r="CF70" s="153">
        <v>0.0036</v>
      </c>
      <c r="CG70" s="153">
        <v>0.4721</v>
      </c>
      <c r="CH70" s="153">
        <v>0.267</v>
      </c>
      <c r="CI70" s="153">
        <v>0.2367</v>
      </c>
      <c r="CJ70" s="153">
        <v>0.0146</v>
      </c>
      <c r="CK70" s="153">
        <v>0.2221</v>
      </c>
      <c r="CL70" s="153">
        <v>0.3204</v>
      </c>
      <c r="CM70" s="153">
        <v>37.05</v>
      </c>
      <c r="CN70" s="153">
        <v>46.24</v>
      </c>
      <c r="CO70" s="153">
        <v>80.13</v>
      </c>
      <c r="CP70" s="153">
        <v>29.7</v>
      </c>
      <c r="CQ70" s="153">
        <v>4.49</v>
      </c>
      <c r="CR70" s="153">
        <v>2.62</v>
      </c>
      <c r="CS70" s="153">
        <v>0.24</v>
      </c>
      <c r="CT70" s="153">
        <v>0.0</v>
      </c>
      <c r="CU70" s="153">
        <v>42.0</v>
      </c>
      <c r="CV70" s="153">
        <v>0.59</v>
      </c>
      <c r="CW70" s="153">
        <v>48.46</v>
      </c>
      <c r="CX70" s="153">
        <v>0.99</v>
      </c>
      <c r="CY70" s="153">
        <v>5.49</v>
      </c>
      <c r="CZ70" s="153">
        <v>60.04</v>
      </c>
      <c r="DA70" s="153">
        <v>0.0</v>
      </c>
      <c r="DB70" s="153">
        <v>60.04</v>
      </c>
      <c r="DC70" s="153">
        <v>58.22</v>
      </c>
      <c r="DD70" s="153">
        <v>0.0</v>
      </c>
      <c r="DE70" s="153">
        <v>58.22</v>
      </c>
      <c r="DF70" s="153">
        <v>0.98</v>
      </c>
      <c r="DG70" s="153">
        <v>0.0</v>
      </c>
      <c r="DH70" s="153">
        <v>0.98</v>
      </c>
      <c r="DI70" s="153">
        <v>0.84</v>
      </c>
      <c r="DJ70" s="153">
        <v>0.0</v>
      </c>
      <c r="DK70" s="153">
        <v>0.84</v>
      </c>
      <c r="DL70" s="153">
        <v>0.0</v>
      </c>
      <c r="DM70" s="153">
        <v>0.0</v>
      </c>
      <c r="DN70" s="153">
        <v>0.0</v>
      </c>
    </row>
    <row r="71">
      <c r="A71" s="250">
        <v>46260.0</v>
      </c>
      <c r="B71" s="153" t="s">
        <v>5</v>
      </c>
      <c r="C71" s="153" t="s">
        <v>135</v>
      </c>
      <c r="D71" s="153">
        <v>834.0</v>
      </c>
      <c r="E71" s="153">
        <v>18.42</v>
      </c>
      <c r="F71" s="153">
        <v>4.73</v>
      </c>
      <c r="G71" s="153">
        <v>0.0057</v>
      </c>
      <c r="H71" s="153">
        <v>0.36</v>
      </c>
      <c r="I71" s="153">
        <v>1.5767</v>
      </c>
      <c r="J71" s="153">
        <v>37.29</v>
      </c>
      <c r="K71" s="153">
        <v>26.45</v>
      </c>
      <c r="L71" s="153">
        <v>22.09</v>
      </c>
      <c r="M71" s="153">
        <v>0.835</v>
      </c>
      <c r="N71" s="153">
        <v>0.2056</v>
      </c>
      <c r="O71" s="153">
        <v>0.13</v>
      </c>
      <c r="P71" s="153">
        <v>1.1976</v>
      </c>
      <c r="Q71" s="153">
        <v>107.66</v>
      </c>
      <c r="R71" s="153">
        <v>94.62</v>
      </c>
      <c r="S71" s="153">
        <v>13.04</v>
      </c>
      <c r="T71" s="153">
        <v>0.6</v>
      </c>
      <c r="U71" s="153">
        <v>107.06</v>
      </c>
      <c r="V71" s="153">
        <v>97.18</v>
      </c>
      <c r="W71" s="153">
        <v>3.6737</v>
      </c>
      <c r="X71" s="153">
        <v>0.56</v>
      </c>
      <c r="Y71" s="153">
        <v>275.0</v>
      </c>
      <c r="Z71" s="153">
        <v>361.0</v>
      </c>
      <c r="AA71" s="153">
        <v>513.0</v>
      </c>
      <c r="AB71" s="153">
        <v>50.7904</v>
      </c>
      <c r="AC71" s="153">
        <v>0.8684</v>
      </c>
      <c r="AD71" s="153">
        <v>16.4</v>
      </c>
      <c r="AE71" s="153">
        <v>7.0</v>
      </c>
      <c r="AF71" s="153">
        <v>15.0</v>
      </c>
      <c r="AG71" s="153">
        <v>24.0</v>
      </c>
      <c r="AH71" s="153">
        <v>31.0</v>
      </c>
      <c r="AI71" s="153">
        <v>63.31</v>
      </c>
      <c r="AJ71" s="153">
        <v>22.18</v>
      </c>
      <c r="AK71" s="153">
        <v>1.44</v>
      </c>
      <c r="AM71" s="153">
        <v>8.27</v>
      </c>
      <c r="AN71" s="153">
        <v>8.27</v>
      </c>
      <c r="AO71" s="153">
        <v>2.52</v>
      </c>
      <c r="AP71" s="153">
        <v>1.08</v>
      </c>
      <c r="AQ71" s="153">
        <v>7.56</v>
      </c>
      <c r="AR71" s="153">
        <v>0.0791</v>
      </c>
      <c r="AS71" s="153">
        <v>7.4808</v>
      </c>
      <c r="AT71" s="153">
        <v>4.7038</v>
      </c>
      <c r="AU71" s="153">
        <v>0.1778</v>
      </c>
      <c r="AV71" s="153">
        <v>834.0</v>
      </c>
      <c r="AW71" s="153">
        <v>0.0</v>
      </c>
      <c r="AX71" s="153">
        <v>75.86</v>
      </c>
      <c r="AY71" s="153">
        <v>28.31</v>
      </c>
      <c r="AZ71" s="153">
        <v>1.06</v>
      </c>
      <c r="BA71" s="153">
        <v>0.6</v>
      </c>
      <c r="BB71" s="153">
        <v>1.83</v>
      </c>
      <c r="BC71" s="153">
        <v>45.0</v>
      </c>
      <c r="BD71" s="153">
        <v>995.0</v>
      </c>
      <c r="BE71" s="153">
        <v>4.9868</v>
      </c>
      <c r="BF71" s="153">
        <v>0.0576</v>
      </c>
      <c r="BG71" s="153">
        <v>4.9293</v>
      </c>
      <c r="BH71" s="153">
        <v>2.4868</v>
      </c>
      <c r="BI71" s="153">
        <v>0.094</v>
      </c>
      <c r="BJ71" s="153">
        <v>2.5731</v>
      </c>
      <c r="BK71" s="153">
        <v>0.0216</v>
      </c>
      <c r="BL71" s="153">
        <v>2.5516</v>
      </c>
      <c r="BM71" s="153">
        <v>2.217</v>
      </c>
      <c r="BN71" s="153">
        <v>0.0838</v>
      </c>
      <c r="BO71" s="153">
        <v>1.7122</v>
      </c>
      <c r="BP71" s="153">
        <v>0.036</v>
      </c>
      <c r="BQ71" s="153">
        <v>1.6763</v>
      </c>
      <c r="BR71" s="153">
        <v>0.9532</v>
      </c>
      <c r="BS71" s="153">
        <v>2.0707</v>
      </c>
      <c r="BT71" s="153">
        <v>0.0072</v>
      </c>
      <c r="BU71" s="153">
        <v>2.0635</v>
      </c>
      <c r="BV71" s="153">
        <v>0.8909</v>
      </c>
      <c r="BW71" s="153">
        <v>1.2038</v>
      </c>
      <c r="BX71" s="153">
        <v>0.0144</v>
      </c>
      <c r="BY71" s="153">
        <v>1.1894</v>
      </c>
      <c r="BZ71" s="153">
        <v>0.6427</v>
      </c>
      <c r="CA71" s="153">
        <v>0.4257</v>
      </c>
      <c r="CB71" s="153">
        <v>0.0036</v>
      </c>
      <c r="CC71" s="153">
        <v>0.4221</v>
      </c>
      <c r="CD71" s="153">
        <v>0.5276</v>
      </c>
      <c r="CE71" s="153">
        <v>0.9592</v>
      </c>
      <c r="CF71" s="153">
        <v>0.0036</v>
      </c>
      <c r="CG71" s="153">
        <v>0.9556</v>
      </c>
      <c r="CH71" s="153">
        <v>0.6906</v>
      </c>
      <c r="CI71" s="153">
        <v>1.1882</v>
      </c>
      <c r="CJ71" s="153">
        <v>0.0144</v>
      </c>
      <c r="CK71" s="153">
        <v>1.1739</v>
      </c>
      <c r="CL71" s="153">
        <v>0.9988</v>
      </c>
      <c r="CM71" s="153">
        <v>141.03</v>
      </c>
      <c r="CN71" s="153">
        <v>82.61</v>
      </c>
      <c r="CO71" s="153">
        <v>170.71</v>
      </c>
      <c r="CP71" s="153">
        <v>113.48</v>
      </c>
      <c r="CQ71" s="153">
        <v>21.47</v>
      </c>
      <c r="CR71" s="153">
        <v>5.32</v>
      </c>
      <c r="CS71" s="153">
        <v>0.76</v>
      </c>
      <c r="CT71" s="153">
        <v>0.0</v>
      </c>
      <c r="CU71" s="153">
        <v>150.0</v>
      </c>
      <c r="CV71" s="153">
        <v>2.41</v>
      </c>
      <c r="CW71" s="153">
        <v>110.07</v>
      </c>
      <c r="CX71" s="153">
        <v>3.89</v>
      </c>
      <c r="CY71" s="153">
        <v>25.36</v>
      </c>
      <c r="CZ71" s="153">
        <v>138.51</v>
      </c>
      <c r="DA71" s="153">
        <v>0.0</v>
      </c>
      <c r="DB71" s="153">
        <v>138.51</v>
      </c>
      <c r="DC71" s="153">
        <v>133.11</v>
      </c>
      <c r="DD71" s="153">
        <v>0.0</v>
      </c>
      <c r="DE71" s="153">
        <v>133.11</v>
      </c>
      <c r="DF71" s="153">
        <v>3.53</v>
      </c>
      <c r="DG71" s="153">
        <v>0.0</v>
      </c>
      <c r="DH71" s="153">
        <v>3.53</v>
      </c>
      <c r="DI71" s="153">
        <v>1.82</v>
      </c>
      <c r="DJ71" s="153">
        <v>0.0</v>
      </c>
      <c r="DK71" s="153">
        <v>1.82</v>
      </c>
      <c r="DL71" s="153">
        <v>0.05</v>
      </c>
      <c r="DM71" s="153">
        <v>0.0</v>
      </c>
      <c r="DN71" s="153">
        <v>0.05</v>
      </c>
    </row>
    <row r="72">
      <c r="A72" s="250">
        <v>46260.0</v>
      </c>
      <c r="B72" s="153" t="s">
        <v>5</v>
      </c>
      <c r="C72" s="153" t="s">
        <v>136</v>
      </c>
      <c r="D72" s="153">
        <v>784.0</v>
      </c>
      <c r="E72" s="153">
        <v>17.32</v>
      </c>
      <c r="F72" s="153">
        <v>291.29</v>
      </c>
      <c r="G72" s="153">
        <v>0.3715</v>
      </c>
      <c r="H72" s="153">
        <v>4.34</v>
      </c>
      <c r="I72" s="153">
        <v>8.5674</v>
      </c>
      <c r="J72" s="153">
        <v>96.56</v>
      </c>
      <c r="K72" s="153">
        <v>64.99</v>
      </c>
      <c r="L72" s="153">
        <v>49.13</v>
      </c>
      <c r="M72" s="153">
        <v>0.756</v>
      </c>
      <c r="N72" s="153">
        <v>0.2953</v>
      </c>
      <c r="O72" s="153">
        <v>0.1624</v>
      </c>
      <c r="P72" s="153">
        <v>1.3228</v>
      </c>
      <c r="Q72" s="153">
        <v>287.53</v>
      </c>
      <c r="R72" s="153">
        <v>257.06</v>
      </c>
      <c r="S72" s="153">
        <v>30.47</v>
      </c>
      <c r="T72" s="153">
        <v>18.56</v>
      </c>
      <c r="U72" s="153">
        <v>268.97</v>
      </c>
      <c r="V72" s="153">
        <v>271.24</v>
      </c>
      <c r="W72" s="153">
        <v>4.1738</v>
      </c>
      <c r="X72" s="153">
        <v>6.45</v>
      </c>
      <c r="Y72" s="153">
        <v>346.0</v>
      </c>
      <c r="Z72" s="153">
        <v>504.0</v>
      </c>
      <c r="AA72" s="153">
        <v>844.0</v>
      </c>
      <c r="AB72" s="153">
        <v>52.8968</v>
      </c>
      <c r="AC72" s="153">
        <v>0.7922</v>
      </c>
      <c r="AD72" s="153">
        <v>27.82</v>
      </c>
      <c r="AE72" s="153">
        <v>10.0</v>
      </c>
      <c r="AF72" s="153">
        <v>21.0</v>
      </c>
      <c r="AG72" s="153">
        <v>41.0</v>
      </c>
      <c r="AH72" s="153">
        <v>56.0</v>
      </c>
      <c r="AI72" s="153">
        <v>39.92</v>
      </c>
      <c r="AJ72" s="153">
        <v>8.16</v>
      </c>
      <c r="AK72" s="153">
        <v>1.28</v>
      </c>
      <c r="AM72" s="153">
        <v>29.46</v>
      </c>
      <c r="AN72" s="153">
        <v>29.46</v>
      </c>
      <c r="AO72" s="153">
        <v>22.83</v>
      </c>
      <c r="AP72" s="153">
        <v>17.22</v>
      </c>
      <c r="AQ72" s="153">
        <v>15.9235</v>
      </c>
      <c r="AR72" s="153">
        <v>0.2168</v>
      </c>
      <c r="AS72" s="153">
        <v>15.7066</v>
      </c>
      <c r="AT72" s="153">
        <v>11.7844</v>
      </c>
      <c r="AU72" s="153">
        <v>0.1813</v>
      </c>
      <c r="AV72" s="153">
        <v>784.0</v>
      </c>
      <c r="AW72" s="153">
        <v>0.0</v>
      </c>
      <c r="AX72" s="153">
        <v>148.44</v>
      </c>
      <c r="AY72" s="153">
        <v>115.41</v>
      </c>
      <c r="AZ72" s="153">
        <v>2.28</v>
      </c>
      <c r="BA72" s="153">
        <v>18.56</v>
      </c>
      <c r="BB72" s="153">
        <v>2.84</v>
      </c>
      <c r="BC72" s="153">
        <v>110.0</v>
      </c>
      <c r="BD72" s="153">
        <v>1985.0</v>
      </c>
      <c r="BE72" s="153">
        <v>9.727</v>
      </c>
      <c r="BF72" s="153">
        <v>0.0995</v>
      </c>
      <c r="BG72" s="153">
        <v>9.6276</v>
      </c>
      <c r="BH72" s="153">
        <v>6.1454</v>
      </c>
      <c r="BI72" s="153">
        <v>0.0946</v>
      </c>
      <c r="BJ72" s="153">
        <v>6.1964</v>
      </c>
      <c r="BK72" s="153">
        <v>0.1173</v>
      </c>
      <c r="BL72" s="153">
        <v>6.0791</v>
      </c>
      <c r="BM72" s="153">
        <v>5.639</v>
      </c>
      <c r="BN72" s="153">
        <v>0.0868</v>
      </c>
      <c r="BO72" s="153">
        <v>3.2092</v>
      </c>
      <c r="BP72" s="153">
        <v>0.0306</v>
      </c>
      <c r="BQ72" s="153">
        <v>3.1786</v>
      </c>
      <c r="BR72" s="153">
        <v>2.1467</v>
      </c>
      <c r="BS72" s="153">
        <v>3.7959</v>
      </c>
      <c r="BT72" s="153">
        <v>0.0344</v>
      </c>
      <c r="BU72" s="153">
        <v>3.7615</v>
      </c>
      <c r="BV72" s="153">
        <v>2.3176</v>
      </c>
      <c r="BW72" s="153">
        <v>2.7219</v>
      </c>
      <c r="BX72" s="153">
        <v>0.0344</v>
      </c>
      <c r="BY72" s="153">
        <v>2.6875</v>
      </c>
      <c r="BZ72" s="153">
        <v>1.6811</v>
      </c>
      <c r="CA72" s="153">
        <v>1.3227</v>
      </c>
      <c r="CB72" s="153">
        <v>0.037</v>
      </c>
      <c r="CC72" s="153">
        <v>1.2857</v>
      </c>
      <c r="CD72" s="153">
        <v>1.4094</v>
      </c>
      <c r="CE72" s="153">
        <v>2.1173</v>
      </c>
      <c r="CF72" s="153">
        <v>0.0383</v>
      </c>
      <c r="CG72" s="153">
        <v>2.0791</v>
      </c>
      <c r="CH72" s="153">
        <v>1.7755</v>
      </c>
      <c r="CI72" s="153">
        <v>2.7564</v>
      </c>
      <c r="CJ72" s="153">
        <v>0.0421</v>
      </c>
      <c r="CK72" s="153">
        <v>2.7143</v>
      </c>
      <c r="CL72" s="153">
        <v>2.4541</v>
      </c>
      <c r="CM72" s="153">
        <v>445.4</v>
      </c>
      <c r="CN72" s="153">
        <v>98.09</v>
      </c>
      <c r="CO72" s="153">
        <v>454.08</v>
      </c>
      <c r="CP72" s="153">
        <v>363.75</v>
      </c>
      <c r="CQ72" s="153">
        <v>69.96</v>
      </c>
      <c r="CR72" s="153">
        <v>9.9</v>
      </c>
      <c r="CS72" s="153">
        <v>1.79</v>
      </c>
      <c r="CT72" s="153">
        <v>0.0</v>
      </c>
      <c r="CU72" s="153">
        <v>401.0</v>
      </c>
      <c r="CV72" s="153">
        <v>19.82</v>
      </c>
      <c r="CW72" s="153">
        <v>307.34</v>
      </c>
      <c r="CX72" s="153">
        <v>12.44</v>
      </c>
      <c r="CY72" s="153">
        <v>82.4</v>
      </c>
      <c r="CZ72" s="153">
        <v>313.4</v>
      </c>
      <c r="DA72" s="153">
        <v>0.63</v>
      </c>
      <c r="DB72" s="153">
        <v>312.77</v>
      </c>
      <c r="DC72" s="153">
        <v>297.56</v>
      </c>
      <c r="DD72" s="153">
        <v>0.24</v>
      </c>
      <c r="DE72" s="153">
        <v>297.32</v>
      </c>
      <c r="DF72" s="153">
        <v>10.37</v>
      </c>
      <c r="DG72" s="153">
        <v>0.13</v>
      </c>
      <c r="DH72" s="153">
        <v>10.24</v>
      </c>
      <c r="DI72" s="153">
        <v>5.13</v>
      </c>
      <c r="DJ72" s="153">
        <v>0.13</v>
      </c>
      <c r="DK72" s="153">
        <v>5.0</v>
      </c>
      <c r="DL72" s="153">
        <v>0.34</v>
      </c>
      <c r="DM72" s="153">
        <v>0.13</v>
      </c>
      <c r="DN72" s="153">
        <v>0.22</v>
      </c>
    </row>
    <row r="73">
      <c r="A73" s="250">
        <v>46260.0</v>
      </c>
      <c r="B73" s="153" t="s">
        <v>5</v>
      </c>
      <c r="C73" s="153" t="s">
        <v>137</v>
      </c>
      <c r="D73" s="153">
        <v>169.0</v>
      </c>
      <c r="E73" s="153">
        <v>3.73</v>
      </c>
      <c r="F73" s="153">
        <v>215.0</v>
      </c>
      <c r="G73" s="153">
        <v>1.2722</v>
      </c>
      <c r="H73" s="153">
        <v>11.24</v>
      </c>
      <c r="I73" s="153">
        <v>11.3158</v>
      </c>
      <c r="J73" s="153">
        <v>234.86</v>
      </c>
      <c r="K73" s="153">
        <v>165.64</v>
      </c>
      <c r="L73" s="153">
        <v>126.13</v>
      </c>
      <c r="M73" s="153">
        <v>0.7615</v>
      </c>
      <c r="N73" s="153">
        <v>0.2802</v>
      </c>
      <c r="O73" s="153">
        <v>0.1425</v>
      </c>
      <c r="P73" s="153">
        <v>1.3132</v>
      </c>
      <c r="Q73" s="153">
        <v>667.54</v>
      </c>
      <c r="R73" s="153">
        <v>579.58</v>
      </c>
      <c r="S73" s="153">
        <v>87.96</v>
      </c>
      <c r="T73" s="153">
        <v>91.72</v>
      </c>
      <c r="U73" s="153">
        <v>575.82</v>
      </c>
      <c r="V73" s="153">
        <v>985.21</v>
      </c>
      <c r="W73" s="153">
        <v>5.9479</v>
      </c>
      <c r="X73" s="153">
        <v>13.74</v>
      </c>
      <c r="Y73" s="153">
        <v>491.0</v>
      </c>
      <c r="Z73" s="153">
        <v>798.0</v>
      </c>
      <c r="AA73" s="153">
        <v>1266.0</v>
      </c>
      <c r="AB73" s="153">
        <v>57.0229</v>
      </c>
      <c r="AC73" s="153">
        <v>0.7873</v>
      </c>
      <c r="AD73" s="153">
        <v>57.66</v>
      </c>
      <c r="AE73" s="153">
        <v>26.0</v>
      </c>
      <c r="AF73" s="153">
        <v>45.0</v>
      </c>
      <c r="AG73" s="153">
        <v>69.0</v>
      </c>
      <c r="AH73" s="153">
        <v>113.0</v>
      </c>
      <c r="AI73" s="153">
        <v>22.49</v>
      </c>
      <c r="AJ73" s="153">
        <v>4.14</v>
      </c>
      <c r="AK73" s="153">
        <v>1.78</v>
      </c>
      <c r="AM73" s="153">
        <v>69.23</v>
      </c>
      <c r="AN73" s="153">
        <v>69.23</v>
      </c>
      <c r="AO73" s="153">
        <v>63.91</v>
      </c>
      <c r="AP73" s="153">
        <v>60.95</v>
      </c>
      <c r="AQ73" s="153">
        <v>41.8402</v>
      </c>
      <c r="AR73" s="153">
        <v>8.4675</v>
      </c>
      <c r="AS73" s="153">
        <v>33.3728</v>
      </c>
      <c r="AT73" s="153">
        <v>35.574</v>
      </c>
      <c r="AU73" s="153">
        <v>0.2148</v>
      </c>
      <c r="AV73" s="153">
        <v>169.0</v>
      </c>
      <c r="AW73" s="153">
        <v>0.0</v>
      </c>
      <c r="AX73" s="153">
        <v>340.65</v>
      </c>
      <c r="AY73" s="153">
        <v>222.9</v>
      </c>
      <c r="AZ73" s="153">
        <v>6.78</v>
      </c>
      <c r="BA73" s="153">
        <v>91.72</v>
      </c>
      <c r="BB73" s="153">
        <v>5.5</v>
      </c>
      <c r="BC73" s="153">
        <v>292.0</v>
      </c>
      <c r="BD73" s="153">
        <v>2057.0</v>
      </c>
      <c r="BE73" s="153">
        <v>27.5325</v>
      </c>
      <c r="BF73" s="153">
        <v>7.4379</v>
      </c>
      <c r="BG73" s="153">
        <v>20.0947</v>
      </c>
      <c r="BH73" s="153">
        <v>19.6391</v>
      </c>
      <c r="BI73" s="153">
        <v>0.1186</v>
      </c>
      <c r="BJ73" s="153">
        <v>14.3077</v>
      </c>
      <c r="BK73" s="153">
        <v>1.0296</v>
      </c>
      <c r="BL73" s="153">
        <v>13.2781</v>
      </c>
      <c r="BM73" s="153">
        <v>15.9349</v>
      </c>
      <c r="BN73" s="153">
        <v>0.0962</v>
      </c>
      <c r="BO73" s="153">
        <v>8.787</v>
      </c>
      <c r="BP73" s="153">
        <v>2.2071</v>
      </c>
      <c r="BQ73" s="153">
        <v>6.5799</v>
      </c>
      <c r="BR73" s="153">
        <v>6.432</v>
      </c>
      <c r="BS73" s="153">
        <v>9.929</v>
      </c>
      <c r="BT73" s="153">
        <v>2.3491</v>
      </c>
      <c r="BU73" s="153">
        <v>7.5799</v>
      </c>
      <c r="BV73" s="153">
        <v>7.1834</v>
      </c>
      <c r="BW73" s="153">
        <v>8.8166</v>
      </c>
      <c r="BX73" s="153">
        <v>2.8817</v>
      </c>
      <c r="BY73" s="153">
        <v>5.9349</v>
      </c>
      <c r="BZ73" s="153">
        <v>6.0237</v>
      </c>
      <c r="CA73" s="153">
        <v>2.9763</v>
      </c>
      <c r="CB73" s="153">
        <v>0.2426</v>
      </c>
      <c r="CC73" s="153">
        <v>2.7337</v>
      </c>
      <c r="CD73" s="153">
        <v>4.7692</v>
      </c>
      <c r="CE73" s="153">
        <v>4.7751</v>
      </c>
      <c r="CF73" s="153">
        <v>0.3136</v>
      </c>
      <c r="CG73" s="153">
        <v>4.4615</v>
      </c>
      <c r="CH73" s="153">
        <v>4.6095</v>
      </c>
      <c r="CI73" s="153">
        <v>6.5562</v>
      </c>
      <c r="CJ73" s="153">
        <v>0.4734</v>
      </c>
      <c r="CK73" s="153">
        <v>6.0828</v>
      </c>
      <c r="CL73" s="153">
        <v>6.5562</v>
      </c>
      <c r="CM73" s="153">
        <v>1278.4</v>
      </c>
      <c r="CN73" s="153">
        <v>100.0</v>
      </c>
      <c r="CO73" s="153">
        <v>1278.4</v>
      </c>
      <c r="CP73" s="153">
        <v>1038.74</v>
      </c>
      <c r="CQ73" s="153">
        <v>214.99</v>
      </c>
      <c r="CR73" s="153">
        <v>20.36</v>
      </c>
      <c r="CS73" s="153">
        <v>4.32</v>
      </c>
      <c r="CT73" s="153">
        <v>0.0</v>
      </c>
      <c r="CU73" s="153">
        <v>143.0</v>
      </c>
      <c r="CV73" s="153">
        <v>81.77</v>
      </c>
      <c r="CW73" s="153">
        <v>749.31</v>
      </c>
      <c r="CX73" s="153">
        <v>29.9</v>
      </c>
      <c r="CY73" s="153">
        <v>244.88</v>
      </c>
      <c r="CZ73" s="153">
        <v>731.42</v>
      </c>
      <c r="DA73" s="153">
        <v>9.41</v>
      </c>
      <c r="DB73" s="153">
        <v>722.01</v>
      </c>
      <c r="DC73" s="153">
        <v>696.27</v>
      </c>
      <c r="DD73" s="153">
        <v>7.99</v>
      </c>
      <c r="DE73" s="153">
        <v>688.28</v>
      </c>
      <c r="DF73" s="153">
        <v>21.01</v>
      </c>
      <c r="DG73" s="153">
        <v>0.47</v>
      </c>
      <c r="DH73" s="153">
        <v>20.53</v>
      </c>
      <c r="DI73" s="153">
        <v>12.72</v>
      </c>
      <c r="DJ73" s="153">
        <v>0.47</v>
      </c>
      <c r="DK73" s="153">
        <v>12.25</v>
      </c>
      <c r="DL73" s="153">
        <v>1.42</v>
      </c>
      <c r="DM73" s="153">
        <v>0.47</v>
      </c>
      <c r="DN73" s="153">
        <v>0.95</v>
      </c>
    </row>
    <row r="74">
      <c r="A74" s="250"/>
    </row>
    <row r="75">
      <c r="A75" s="250"/>
    </row>
    <row r="76">
      <c r="A76" s="250"/>
    </row>
    <row r="77">
      <c r="A77" s="250"/>
    </row>
    <row r="78">
      <c r="A78" s="250"/>
    </row>
    <row r="79">
      <c r="A79" s="250"/>
    </row>
    <row r="80">
      <c r="A80" s="250"/>
    </row>
    <row r="81">
      <c r="A81" s="250"/>
    </row>
    <row r="82">
      <c r="A82" s="250"/>
    </row>
    <row r="83">
      <c r="A83" s="250"/>
    </row>
    <row r="84">
      <c r="A84" s="250"/>
    </row>
    <row r="85">
      <c r="A85" s="250"/>
    </row>
    <row r="86">
      <c r="A86" s="250"/>
    </row>
    <row r="87">
      <c r="A87" s="250"/>
    </row>
    <row r="88">
      <c r="A88" s="250"/>
    </row>
    <row r="89">
      <c r="A89" s="250"/>
    </row>
    <row r="90">
      <c r="A90" s="250"/>
    </row>
    <row r="91">
      <c r="A91" s="250"/>
    </row>
    <row r="92">
      <c r="A92" s="250"/>
    </row>
    <row r="93">
      <c r="A93" s="250"/>
    </row>
    <row r="94">
      <c r="A94" s="250"/>
    </row>
    <row r="95">
      <c r="A95" s="250"/>
    </row>
    <row r="96">
      <c r="A96" s="250"/>
    </row>
    <row r="97">
      <c r="A97" s="250"/>
    </row>
    <row r="98">
      <c r="A98" s="250"/>
    </row>
    <row r="99">
      <c r="A99" s="250"/>
    </row>
    <row r="100">
      <c r="A100" s="250"/>
    </row>
    <row r="101">
      <c r="A101" s="250"/>
    </row>
    <row r="102">
      <c r="A102" s="250"/>
    </row>
    <row r="103">
      <c r="A103" s="250"/>
    </row>
    <row r="104">
      <c r="A104" s="250"/>
    </row>
    <row r="105">
      <c r="A105" s="250"/>
    </row>
    <row r="106">
      <c r="A106" s="250"/>
    </row>
    <row r="107">
      <c r="A107" s="250"/>
    </row>
    <row r="108">
      <c r="A108" s="250"/>
    </row>
    <row r="109">
      <c r="A109" s="250"/>
    </row>
    <row r="110">
      <c r="A110" s="250"/>
    </row>
    <row r="111">
      <c r="A111" s="250"/>
    </row>
    <row r="112">
      <c r="A112" s="250"/>
    </row>
    <row r="113">
      <c r="A113" s="250"/>
    </row>
    <row r="114">
      <c r="A114" s="250"/>
    </row>
    <row r="115">
      <c r="A115" s="250"/>
    </row>
    <row r="116">
      <c r="A116" s="250"/>
    </row>
    <row r="117">
      <c r="A117" s="250"/>
    </row>
    <row r="118">
      <c r="A118" s="250"/>
    </row>
    <row r="119">
      <c r="A119" s="250"/>
    </row>
    <row r="120">
      <c r="A120" s="250"/>
    </row>
    <row r="121">
      <c r="A121" s="250"/>
    </row>
    <row r="122">
      <c r="A122" s="250"/>
    </row>
    <row r="123">
      <c r="A123" s="250"/>
    </row>
    <row r="124">
      <c r="A124" s="250"/>
    </row>
    <row r="125">
      <c r="A125" s="250"/>
    </row>
    <row r="126">
      <c r="A126" s="250"/>
    </row>
    <row r="127">
      <c r="A127" s="250"/>
    </row>
    <row r="128">
      <c r="A128" s="250"/>
    </row>
    <row r="129">
      <c r="A129" s="250"/>
    </row>
    <row r="130">
      <c r="A130" s="250"/>
    </row>
    <row r="131">
      <c r="A131" s="250"/>
    </row>
    <row r="132">
      <c r="A132" s="250"/>
    </row>
    <row r="133">
      <c r="A133" s="250"/>
    </row>
    <row r="134">
      <c r="A134" s="250"/>
    </row>
    <row r="135">
      <c r="A135" s="250"/>
    </row>
    <row r="136">
      <c r="A136" s="250"/>
    </row>
    <row r="137">
      <c r="A137" s="250"/>
    </row>
    <row r="138">
      <c r="A138" s="250"/>
    </row>
    <row r="139">
      <c r="A139" s="250"/>
    </row>
    <row r="140">
      <c r="A140" s="250"/>
    </row>
    <row r="141">
      <c r="A141" s="250"/>
    </row>
    <row r="142">
      <c r="A142" s="250"/>
    </row>
    <row r="143">
      <c r="A143" s="250"/>
    </row>
    <row r="144">
      <c r="A144" s="250"/>
    </row>
    <row r="145">
      <c r="A145" s="250"/>
    </row>
    <row r="146">
      <c r="A146" s="250"/>
    </row>
    <row r="147">
      <c r="A147" s="250"/>
    </row>
    <row r="148">
      <c r="A148" s="250"/>
    </row>
    <row r="149">
      <c r="A149" s="250"/>
    </row>
    <row r="150">
      <c r="A150" s="250"/>
    </row>
    <row r="151">
      <c r="A151" s="250"/>
    </row>
    <row r="152">
      <c r="A152" s="250"/>
    </row>
    <row r="153">
      <c r="A153" s="250"/>
    </row>
    <row r="154">
      <c r="A154" s="250"/>
    </row>
    <row r="155">
      <c r="A155" s="250"/>
    </row>
    <row r="156">
      <c r="A156" s="250"/>
    </row>
    <row r="157">
      <c r="A157" s="250"/>
    </row>
    <row r="158">
      <c r="A158" s="250"/>
    </row>
    <row r="159">
      <c r="A159" s="250"/>
    </row>
    <row r="160">
      <c r="A160" s="250"/>
    </row>
    <row r="161">
      <c r="A161" s="250"/>
    </row>
    <row r="162">
      <c r="A162" s="250"/>
    </row>
    <row r="163">
      <c r="A163" s="250"/>
    </row>
    <row r="164">
      <c r="A164" s="250"/>
    </row>
    <row r="165">
      <c r="A165" s="250"/>
    </row>
    <row r="166">
      <c r="A166" s="250"/>
    </row>
    <row r="167">
      <c r="A167" s="250"/>
    </row>
    <row r="168">
      <c r="A168" s="250"/>
    </row>
    <row r="169">
      <c r="A169" s="250"/>
    </row>
    <row r="170">
      <c r="A170" s="250"/>
    </row>
    <row r="171">
      <c r="A171" s="250"/>
    </row>
    <row r="172">
      <c r="A172" s="250"/>
    </row>
    <row r="173">
      <c r="A173" s="250"/>
    </row>
    <row r="174">
      <c r="A174" s="250"/>
    </row>
    <row r="175">
      <c r="A175" s="250"/>
    </row>
    <row r="176">
      <c r="A176" s="250"/>
    </row>
    <row r="177">
      <c r="A177" s="250"/>
    </row>
    <row r="178">
      <c r="A178" s="250"/>
    </row>
    <row r="179">
      <c r="A179" s="250"/>
    </row>
    <row r="180">
      <c r="A180" s="250"/>
    </row>
    <row r="181">
      <c r="A181" s="250"/>
    </row>
    <row r="182">
      <c r="A182" s="250"/>
    </row>
    <row r="183">
      <c r="A183" s="250"/>
    </row>
    <row r="184">
      <c r="A184" s="250"/>
    </row>
    <row r="185">
      <c r="A185" s="250"/>
    </row>
    <row r="186">
      <c r="A186" s="250"/>
    </row>
    <row r="187">
      <c r="A187" s="250"/>
    </row>
    <row r="188">
      <c r="A188" s="250"/>
    </row>
    <row r="189">
      <c r="A189" s="250"/>
    </row>
    <row r="190">
      <c r="A190" s="250"/>
    </row>
    <row r="191">
      <c r="A191" s="250"/>
    </row>
    <row r="192">
      <c r="A192" s="250"/>
    </row>
    <row r="193">
      <c r="A193" s="250"/>
    </row>
    <row r="194">
      <c r="A194" s="250"/>
    </row>
    <row r="195">
      <c r="A195" s="250"/>
    </row>
    <row r="196">
      <c r="A196" s="250"/>
    </row>
    <row r="197">
      <c r="A197" s="250"/>
    </row>
    <row r="198">
      <c r="A198" s="250"/>
    </row>
    <row r="199">
      <c r="A199" s="250"/>
    </row>
    <row r="200">
      <c r="A200" s="250"/>
    </row>
    <row r="201">
      <c r="A201" s="250"/>
    </row>
    <row r="202">
      <c r="A202" s="250"/>
    </row>
    <row r="203">
      <c r="A203" s="250"/>
    </row>
    <row r="204">
      <c r="A204" s="250"/>
    </row>
    <row r="205">
      <c r="A205" s="25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4.43" defaultRowHeight="15.0"/>
  <sheetData>
    <row r="1">
      <c r="A1" s="233" t="s">
        <v>285</v>
      </c>
      <c r="B1" s="233" t="s">
        <v>286</v>
      </c>
      <c r="C1" s="233" t="s">
        <v>287</v>
      </c>
      <c r="D1" s="233" t="s">
        <v>288</v>
      </c>
      <c r="E1" s="233" t="s">
        <v>289</v>
      </c>
      <c r="F1" s="233" t="s">
        <v>290</v>
      </c>
      <c r="G1" s="233" t="s">
        <v>291</v>
      </c>
      <c r="H1" s="233" t="s">
        <v>292</v>
      </c>
      <c r="I1" s="233" t="s">
        <v>293</v>
      </c>
      <c r="J1" s="233" t="s">
        <v>294</v>
      </c>
      <c r="K1" s="233" t="s">
        <v>295</v>
      </c>
      <c r="L1" s="233" t="s">
        <v>296</v>
      </c>
      <c r="M1" s="233" t="s">
        <v>297</v>
      </c>
      <c r="N1" s="233" t="s">
        <v>298</v>
      </c>
      <c r="O1" s="233" t="s">
        <v>299</v>
      </c>
      <c r="P1" s="233" t="s">
        <v>300</v>
      </c>
      <c r="Q1" s="233" t="s">
        <v>301</v>
      </c>
      <c r="R1" s="233" t="s">
        <v>302</v>
      </c>
      <c r="S1" s="233" t="s">
        <v>303</v>
      </c>
      <c r="T1" s="233" t="s">
        <v>304</v>
      </c>
      <c r="U1" s="233" t="s">
        <v>305</v>
      </c>
      <c r="V1" s="233" t="s">
        <v>306</v>
      </c>
      <c r="W1" s="233" t="s">
        <v>307</v>
      </c>
      <c r="X1" s="233" t="s">
        <v>308</v>
      </c>
      <c r="Y1" s="233" t="s">
        <v>309</v>
      </c>
      <c r="Z1" s="233" t="s">
        <v>310</v>
      </c>
      <c r="AA1" s="233" t="s">
        <v>311</v>
      </c>
      <c r="AB1" s="233" t="s">
        <v>312</v>
      </c>
      <c r="AC1" s="233" t="s">
        <v>313</v>
      </c>
      <c r="AD1" s="233" t="s">
        <v>314</v>
      </c>
      <c r="AE1" s="233" t="s">
        <v>315</v>
      </c>
      <c r="AF1" s="233" t="s">
        <v>316</v>
      </c>
      <c r="AG1" s="233" t="s">
        <v>317</v>
      </c>
      <c r="AH1" s="233" t="s">
        <v>318</v>
      </c>
      <c r="AI1" s="233" t="s">
        <v>319</v>
      </c>
      <c r="AJ1" s="233" t="s">
        <v>320</v>
      </c>
      <c r="AK1" s="233" t="s">
        <v>321</v>
      </c>
      <c r="AL1" s="233" t="s">
        <v>322</v>
      </c>
      <c r="AM1" s="233" t="s">
        <v>323</v>
      </c>
      <c r="AN1" s="233" t="s">
        <v>324</v>
      </c>
      <c r="AO1" s="233" t="s">
        <v>325</v>
      </c>
      <c r="AP1" s="233" t="s">
        <v>326</v>
      </c>
      <c r="AQ1" s="233" t="s">
        <v>327</v>
      </c>
      <c r="AR1" s="233" t="s">
        <v>328</v>
      </c>
      <c r="AS1" s="233" t="s">
        <v>329</v>
      </c>
      <c r="AT1" s="233" t="s">
        <v>330</v>
      </c>
      <c r="AU1" s="233" t="s">
        <v>331</v>
      </c>
      <c r="AV1" s="234" t="s">
        <v>332</v>
      </c>
      <c r="AW1" s="234" t="s">
        <v>333</v>
      </c>
      <c r="AX1" s="234" t="s">
        <v>334</v>
      </c>
      <c r="AY1" s="234" t="s">
        <v>335</v>
      </c>
      <c r="AZ1" s="234" t="s">
        <v>336</v>
      </c>
      <c r="BA1" s="234" t="s">
        <v>337</v>
      </c>
      <c r="BB1" s="234" t="s">
        <v>338</v>
      </c>
      <c r="BC1" s="234" t="s">
        <v>339</v>
      </c>
      <c r="BD1" s="234" t="s">
        <v>340</v>
      </c>
      <c r="BE1" s="234" t="s">
        <v>341</v>
      </c>
      <c r="BF1" s="234" t="s">
        <v>342</v>
      </c>
      <c r="BG1" s="234" t="s">
        <v>343</v>
      </c>
      <c r="BH1" s="234" t="s">
        <v>344</v>
      </c>
      <c r="BI1" s="234" t="s">
        <v>345</v>
      </c>
      <c r="BJ1" s="234" t="s">
        <v>346</v>
      </c>
      <c r="BK1" s="234" t="s">
        <v>347</v>
      </c>
      <c r="BL1" s="234" t="s">
        <v>348</v>
      </c>
      <c r="BM1" s="234" t="s">
        <v>349</v>
      </c>
      <c r="BN1" s="234" t="s">
        <v>350</v>
      </c>
      <c r="BO1" s="234" t="s">
        <v>351</v>
      </c>
      <c r="BP1" s="234" t="s">
        <v>352</v>
      </c>
      <c r="BQ1" s="234" t="s">
        <v>353</v>
      </c>
      <c r="BR1" s="234" t="s">
        <v>354</v>
      </c>
      <c r="BS1" s="234" t="s">
        <v>355</v>
      </c>
      <c r="BT1" s="234" t="s">
        <v>356</v>
      </c>
      <c r="BU1" s="234" t="s">
        <v>357</v>
      </c>
      <c r="BV1" s="234" t="s">
        <v>358</v>
      </c>
      <c r="BW1" s="234" t="s">
        <v>359</v>
      </c>
      <c r="BX1" s="234" t="s">
        <v>360</v>
      </c>
      <c r="BY1" s="234" t="s">
        <v>361</v>
      </c>
      <c r="BZ1" s="234" t="s">
        <v>362</v>
      </c>
      <c r="CA1" s="234" t="s">
        <v>363</v>
      </c>
      <c r="CB1" s="234" t="s">
        <v>364</v>
      </c>
      <c r="CC1" s="234" t="s">
        <v>365</v>
      </c>
      <c r="CD1" s="234" t="s">
        <v>366</v>
      </c>
      <c r="CE1" s="234" t="s">
        <v>367</v>
      </c>
      <c r="CF1" s="234" t="s">
        <v>368</v>
      </c>
      <c r="CG1" s="234" t="s">
        <v>369</v>
      </c>
      <c r="CH1" s="234" t="s">
        <v>370</v>
      </c>
      <c r="CI1" s="234" t="s">
        <v>371</v>
      </c>
      <c r="CJ1" s="234" t="s">
        <v>372</v>
      </c>
      <c r="CK1" s="234" t="s">
        <v>373</v>
      </c>
      <c r="CL1" s="234" t="s">
        <v>374</v>
      </c>
      <c r="CM1" s="234" t="s">
        <v>375</v>
      </c>
      <c r="CN1" s="234" t="s">
        <v>376</v>
      </c>
      <c r="CO1" s="234" t="s">
        <v>377</v>
      </c>
      <c r="CP1" s="234" t="s">
        <v>378</v>
      </c>
      <c r="CQ1" s="234" t="s">
        <v>379</v>
      </c>
      <c r="CR1" s="234" t="s">
        <v>380</v>
      </c>
      <c r="CS1" s="234" t="s">
        <v>381</v>
      </c>
      <c r="CT1" s="234" t="s">
        <v>382</v>
      </c>
      <c r="CU1" s="234" t="s">
        <v>383</v>
      </c>
      <c r="CV1" s="234" t="s">
        <v>384</v>
      </c>
      <c r="CW1" s="234" t="s">
        <v>385</v>
      </c>
      <c r="CX1" s="234" t="s">
        <v>386</v>
      </c>
      <c r="CY1" s="234" t="s">
        <v>387</v>
      </c>
      <c r="CZ1" s="234" t="s">
        <v>388</v>
      </c>
      <c r="DA1" s="234" t="s">
        <v>389</v>
      </c>
      <c r="DB1" s="234" t="s">
        <v>390</v>
      </c>
      <c r="DC1" s="234" t="s">
        <v>391</v>
      </c>
      <c r="DD1" s="234" t="s">
        <v>392</v>
      </c>
      <c r="DE1" s="234" t="s">
        <v>393</v>
      </c>
      <c r="DF1" s="234" t="s">
        <v>394</v>
      </c>
      <c r="DG1" s="234" t="s">
        <v>395</v>
      </c>
      <c r="DH1" s="234" t="s">
        <v>396</v>
      </c>
      <c r="DI1" s="234" t="s">
        <v>397</v>
      </c>
      <c r="DJ1" s="234" t="s">
        <v>398</v>
      </c>
      <c r="DK1" s="234" t="s">
        <v>399</v>
      </c>
      <c r="DL1" s="234" t="s">
        <v>400</v>
      </c>
      <c r="DM1" s="234" t="s">
        <v>401</v>
      </c>
      <c r="DN1" s="234" t="s">
        <v>402</v>
      </c>
    </row>
    <row r="2">
      <c r="A2" s="235">
        <v>46255.0</v>
      </c>
      <c r="B2" s="236" t="s">
        <v>4</v>
      </c>
      <c r="C2" s="236" t="s">
        <v>423</v>
      </c>
      <c r="D2" s="236">
        <v>4475.0</v>
      </c>
      <c r="E2" s="236">
        <v>18.68</v>
      </c>
      <c r="F2" s="236">
        <v>656.44</v>
      </c>
      <c r="G2" s="236">
        <v>0.1467</v>
      </c>
      <c r="H2" s="236">
        <v>1.65</v>
      </c>
      <c r="I2" s="236">
        <v>8.8708</v>
      </c>
      <c r="J2" s="236">
        <v>25.78</v>
      </c>
      <c r="K2" s="236">
        <v>14.16</v>
      </c>
      <c r="L2" s="236">
        <v>10.19</v>
      </c>
      <c r="M2" s="236">
        <v>0.7195</v>
      </c>
      <c r="N2" s="236">
        <v>0.4082</v>
      </c>
      <c r="O2" s="236">
        <v>0.2112</v>
      </c>
      <c r="P2" s="236">
        <v>1.3899</v>
      </c>
      <c r="Q2" s="236">
        <v>84.93</v>
      </c>
      <c r="R2" s="236">
        <v>84.8</v>
      </c>
      <c r="S2" s="236">
        <v>0.13</v>
      </c>
      <c r="T2" s="236">
        <v>13.83</v>
      </c>
      <c r="U2" s="236">
        <v>71.1</v>
      </c>
      <c r="V2" s="236">
        <v>61.07</v>
      </c>
      <c r="W2" s="236">
        <v>4.3122</v>
      </c>
      <c r="X2" s="236">
        <v>16.29</v>
      </c>
      <c r="Y2" s="236">
        <v>229.0</v>
      </c>
      <c r="Z2" s="236">
        <v>784.0</v>
      </c>
      <c r="AA2" s="236">
        <v>4911.0</v>
      </c>
      <c r="AB2" s="236">
        <v>50.5129</v>
      </c>
      <c r="AC2" s="236">
        <v>0.4967</v>
      </c>
      <c r="AD2" s="237"/>
      <c r="AE2" s="237"/>
      <c r="AF2" s="237"/>
      <c r="AG2" s="237"/>
      <c r="AH2" s="237"/>
      <c r="AI2" s="236">
        <v>0.0</v>
      </c>
      <c r="AJ2" s="236">
        <v>0.0</v>
      </c>
      <c r="AK2" s="236">
        <v>0.0</v>
      </c>
      <c r="AL2" s="236">
        <v>0.4628</v>
      </c>
      <c r="AM2" s="237"/>
      <c r="AQ2" s="153">
        <v>3.5196</v>
      </c>
      <c r="AR2" s="153">
        <v>0.1654</v>
      </c>
      <c r="AS2" s="153">
        <v>3.3542</v>
      </c>
      <c r="AT2" s="153">
        <v>2.097</v>
      </c>
      <c r="AU2" s="153">
        <v>0.1481</v>
      </c>
      <c r="AV2" s="153">
        <v>4475.0</v>
      </c>
      <c r="AW2" s="153">
        <v>0.0</v>
      </c>
      <c r="AX2" s="153">
        <v>12.98</v>
      </c>
      <c r="AY2" s="153">
        <v>54.53</v>
      </c>
      <c r="AZ2" s="153">
        <v>3.4</v>
      </c>
      <c r="BA2" s="153">
        <v>13.83</v>
      </c>
      <c r="BB2" s="153">
        <v>0.19</v>
      </c>
      <c r="BD2" s="153">
        <v>29630.0</v>
      </c>
      <c r="BE2" s="153">
        <v>2.0467</v>
      </c>
      <c r="BF2" s="153">
        <v>0.0724</v>
      </c>
      <c r="BG2" s="153">
        <v>1.9743</v>
      </c>
      <c r="BH2" s="153">
        <v>1.0909</v>
      </c>
      <c r="BI2" s="153">
        <v>0.077</v>
      </c>
      <c r="BJ2" s="153">
        <v>1.4728</v>
      </c>
      <c r="BK2" s="153">
        <v>0.093</v>
      </c>
      <c r="BL2" s="153">
        <v>1.3799</v>
      </c>
      <c r="BM2" s="153">
        <v>1.006</v>
      </c>
      <c r="BN2" s="153">
        <v>0.071</v>
      </c>
      <c r="BO2" s="153">
        <v>0.7209</v>
      </c>
      <c r="BP2" s="153">
        <v>0.0246</v>
      </c>
      <c r="BQ2" s="153">
        <v>0.6963</v>
      </c>
      <c r="BR2" s="153">
        <v>0.4065</v>
      </c>
      <c r="BS2" s="153">
        <v>0.8215</v>
      </c>
      <c r="BT2" s="153">
        <v>0.0226</v>
      </c>
      <c r="BU2" s="153">
        <v>0.7989</v>
      </c>
      <c r="BV2" s="153">
        <v>0.4031</v>
      </c>
      <c r="BW2" s="153">
        <v>0.5044</v>
      </c>
      <c r="BX2" s="153">
        <v>0.0253</v>
      </c>
      <c r="BY2" s="153">
        <v>0.4791</v>
      </c>
      <c r="BZ2" s="153">
        <v>0.2813</v>
      </c>
      <c r="CA2" s="153">
        <v>0.248</v>
      </c>
      <c r="CB2" s="153">
        <v>0.0261</v>
      </c>
      <c r="CC2" s="153">
        <v>0.2219</v>
      </c>
      <c r="CD2" s="153">
        <v>0.2078</v>
      </c>
      <c r="CE2" s="153">
        <v>0.7388</v>
      </c>
      <c r="CF2" s="153">
        <v>0.0358</v>
      </c>
      <c r="CG2" s="153">
        <v>0.703</v>
      </c>
      <c r="CH2" s="153">
        <v>0.4344</v>
      </c>
      <c r="CI2" s="153">
        <v>0.486</v>
      </c>
      <c r="CJ2" s="153">
        <v>0.0311</v>
      </c>
      <c r="CK2" s="153">
        <v>0.455</v>
      </c>
      <c r="CL2" s="153">
        <v>0.3638</v>
      </c>
      <c r="CM2" s="153">
        <v>560.12</v>
      </c>
      <c r="CN2" s="153">
        <v>32.63</v>
      </c>
      <c r="CO2" s="153">
        <v>1716.8</v>
      </c>
      <c r="CP2" s="153">
        <v>545.84</v>
      </c>
      <c r="CQ2" s="153">
        <v>0.0</v>
      </c>
      <c r="CR2" s="153">
        <v>11.75</v>
      </c>
      <c r="CS2" s="153">
        <v>2.53</v>
      </c>
      <c r="CT2" s="153">
        <v>0.0</v>
      </c>
      <c r="CU2" s="153">
        <v>0.0</v>
      </c>
      <c r="CV2" s="153">
        <v>0.0</v>
      </c>
      <c r="CW2" s="153">
        <v>84.93</v>
      </c>
      <c r="CX2" s="153">
        <v>0.0</v>
      </c>
      <c r="CY2" s="153">
        <v>0.0</v>
      </c>
      <c r="CZ2" s="153">
        <v>57.73</v>
      </c>
      <c r="DA2" s="153">
        <v>2.55</v>
      </c>
      <c r="DB2" s="153">
        <v>55.18</v>
      </c>
      <c r="DC2" s="153">
        <v>48.97</v>
      </c>
      <c r="DD2" s="153">
        <v>1.08</v>
      </c>
      <c r="DE2" s="153">
        <v>47.89</v>
      </c>
      <c r="DF2" s="153">
        <v>4.2</v>
      </c>
      <c r="DG2" s="153">
        <v>0.49</v>
      </c>
      <c r="DH2" s="153">
        <v>3.71</v>
      </c>
      <c r="DI2" s="153">
        <v>3.16</v>
      </c>
      <c r="DJ2" s="153">
        <v>0.49</v>
      </c>
      <c r="DK2" s="153">
        <v>2.67</v>
      </c>
      <c r="DL2" s="153">
        <v>1.4</v>
      </c>
      <c r="DM2" s="153">
        <v>0.49</v>
      </c>
      <c r="DN2" s="153">
        <v>0.91</v>
      </c>
    </row>
    <row r="3">
      <c r="A3" s="235">
        <v>46255.0</v>
      </c>
      <c r="B3" s="236" t="s">
        <v>4</v>
      </c>
      <c r="C3" s="236" t="s">
        <v>133</v>
      </c>
      <c r="D3" s="236">
        <v>6578.0</v>
      </c>
      <c r="E3" s="236">
        <v>27.45</v>
      </c>
      <c r="F3" s="236">
        <v>219.24</v>
      </c>
      <c r="G3" s="236">
        <v>0.0333</v>
      </c>
      <c r="H3" s="236">
        <v>1.19</v>
      </c>
      <c r="I3" s="236">
        <v>2.8108</v>
      </c>
      <c r="J3" s="236">
        <v>24.39</v>
      </c>
      <c r="K3" s="236">
        <v>12.52</v>
      </c>
      <c r="L3" s="236">
        <v>5.83</v>
      </c>
      <c r="M3" s="236">
        <v>0.4651</v>
      </c>
      <c r="N3" s="236">
        <v>0.6445</v>
      </c>
      <c r="O3" s="236">
        <v>0.3924</v>
      </c>
      <c r="P3" s="236">
        <v>2.1499</v>
      </c>
      <c r="Q3" s="236">
        <v>68.84</v>
      </c>
      <c r="R3" s="236">
        <v>63.42</v>
      </c>
      <c r="S3" s="236">
        <v>5.41</v>
      </c>
      <c r="T3" s="236">
        <v>2.68</v>
      </c>
      <c r="U3" s="236">
        <v>66.15</v>
      </c>
      <c r="V3" s="236">
        <v>51.79</v>
      </c>
      <c r="W3" s="236">
        <v>4.1353</v>
      </c>
      <c r="X3" s="236">
        <v>3.9</v>
      </c>
      <c r="Y3" s="236">
        <v>208.0</v>
      </c>
      <c r="Z3" s="236">
        <v>438.0</v>
      </c>
      <c r="AA3" s="236">
        <v>1521.0</v>
      </c>
      <c r="AB3" s="236">
        <v>49.798</v>
      </c>
      <c r="AC3" s="236">
        <v>0.5914</v>
      </c>
      <c r="AD3" s="236">
        <v>4.37</v>
      </c>
      <c r="AE3" s="236">
        <v>2.0</v>
      </c>
      <c r="AF3" s="236">
        <v>3.0</v>
      </c>
      <c r="AG3" s="236">
        <v>6.0</v>
      </c>
      <c r="AH3" s="236">
        <v>9.0</v>
      </c>
      <c r="AI3" s="236">
        <v>76.68</v>
      </c>
      <c r="AJ3" s="236">
        <v>36.73</v>
      </c>
      <c r="AK3" s="236">
        <v>9.43</v>
      </c>
      <c r="AL3" s="236">
        <v>0.45</v>
      </c>
      <c r="AM3" s="237"/>
      <c r="AQ3" s="153">
        <v>5.0689</v>
      </c>
      <c r="AR3" s="153">
        <v>0.0576</v>
      </c>
      <c r="AS3" s="153">
        <v>5.0112</v>
      </c>
      <c r="AT3" s="153">
        <v>3.2154</v>
      </c>
      <c r="AU3" s="153">
        <v>0.2567</v>
      </c>
      <c r="AV3" s="153">
        <v>6578.0</v>
      </c>
      <c r="AW3" s="153">
        <v>0.0</v>
      </c>
      <c r="AX3" s="153">
        <v>24.45</v>
      </c>
      <c r="AY3" s="153">
        <v>39.06</v>
      </c>
      <c r="AZ3" s="153">
        <v>2.15</v>
      </c>
      <c r="BA3" s="153">
        <v>2.68</v>
      </c>
      <c r="BB3" s="153">
        <v>0.5</v>
      </c>
      <c r="BC3" s="153">
        <v>18.0</v>
      </c>
      <c r="BD3" s="153">
        <v>20318.0</v>
      </c>
      <c r="BE3" s="153">
        <v>3.5129</v>
      </c>
      <c r="BF3" s="153">
        <v>0.0429</v>
      </c>
      <c r="BG3" s="153">
        <v>3.4701</v>
      </c>
      <c r="BH3" s="153">
        <v>1.9003</v>
      </c>
      <c r="BI3" s="153">
        <v>0.1517</v>
      </c>
      <c r="BJ3" s="153">
        <v>1.5559</v>
      </c>
      <c r="BK3" s="153">
        <v>0.0147</v>
      </c>
      <c r="BL3" s="153">
        <v>1.5412</v>
      </c>
      <c r="BM3" s="153">
        <v>1.3151</v>
      </c>
      <c r="BN3" s="153">
        <v>0.105</v>
      </c>
      <c r="BO3" s="153">
        <v>1.2697</v>
      </c>
      <c r="BP3" s="153">
        <v>0.0137</v>
      </c>
      <c r="BQ3" s="153">
        <v>1.256</v>
      </c>
      <c r="BR3" s="153">
        <v>0.7156</v>
      </c>
      <c r="BS3" s="153">
        <v>1.5643</v>
      </c>
      <c r="BT3" s="153">
        <v>0.0109</v>
      </c>
      <c r="BU3" s="153">
        <v>1.5534</v>
      </c>
      <c r="BV3" s="153">
        <v>0.7536</v>
      </c>
      <c r="BW3" s="153">
        <v>0.6789</v>
      </c>
      <c r="BX3" s="153">
        <v>0.0182</v>
      </c>
      <c r="BY3" s="153">
        <v>0.6607</v>
      </c>
      <c r="BZ3" s="153">
        <v>0.4311</v>
      </c>
      <c r="CA3" s="153">
        <v>0.2642</v>
      </c>
      <c r="CB3" s="153">
        <v>0.0027</v>
      </c>
      <c r="CC3" s="153">
        <v>0.2615</v>
      </c>
      <c r="CD3" s="153">
        <v>0.2426</v>
      </c>
      <c r="CE3" s="153">
        <v>0.7317</v>
      </c>
      <c r="CF3" s="153">
        <v>0.0062</v>
      </c>
      <c r="CG3" s="153">
        <v>0.7254</v>
      </c>
      <c r="CH3" s="153">
        <v>0.5762</v>
      </c>
      <c r="CI3" s="153">
        <v>0.56</v>
      </c>
      <c r="CJ3" s="153">
        <v>0.0058</v>
      </c>
      <c r="CK3" s="153">
        <v>0.5543</v>
      </c>
      <c r="CL3" s="153">
        <v>0.4964</v>
      </c>
      <c r="CM3" s="153">
        <v>259.91</v>
      </c>
      <c r="CN3" s="153">
        <v>82.78</v>
      </c>
      <c r="CO3" s="153">
        <v>314.0</v>
      </c>
      <c r="CP3" s="153">
        <v>243.03</v>
      </c>
      <c r="CQ3" s="153">
        <v>0.0</v>
      </c>
      <c r="CR3" s="153">
        <v>14.76</v>
      </c>
      <c r="CS3" s="153">
        <v>2.12</v>
      </c>
      <c r="CT3" s="153">
        <v>0.0</v>
      </c>
      <c r="CU3" s="153">
        <v>0.0</v>
      </c>
      <c r="CV3" s="153">
        <v>0.0</v>
      </c>
      <c r="CW3" s="153">
        <v>68.84</v>
      </c>
      <c r="CX3" s="153">
        <v>0.0</v>
      </c>
      <c r="CY3" s="153">
        <v>0.0</v>
      </c>
      <c r="CZ3" s="153">
        <v>104.76</v>
      </c>
      <c r="DA3" s="153">
        <v>0.37</v>
      </c>
      <c r="DB3" s="153">
        <v>104.38</v>
      </c>
      <c r="DC3" s="153">
        <v>92.38</v>
      </c>
      <c r="DD3" s="153">
        <v>0.1</v>
      </c>
      <c r="DE3" s="153">
        <v>92.28</v>
      </c>
      <c r="DF3" s="153">
        <v>6.53</v>
      </c>
      <c r="DG3" s="153">
        <v>0.09</v>
      </c>
      <c r="DH3" s="153">
        <v>6.44</v>
      </c>
      <c r="DI3" s="153">
        <v>5.42</v>
      </c>
      <c r="DJ3" s="153">
        <v>0.09</v>
      </c>
      <c r="DK3" s="153">
        <v>5.33</v>
      </c>
      <c r="DL3" s="153">
        <v>0.43</v>
      </c>
      <c r="DM3" s="153">
        <v>0.09</v>
      </c>
      <c r="DN3" s="153">
        <v>0.34</v>
      </c>
    </row>
    <row r="4">
      <c r="A4" s="235">
        <v>46255.0</v>
      </c>
      <c r="B4" s="236" t="s">
        <v>4</v>
      </c>
      <c r="C4" s="236" t="s">
        <v>134</v>
      </c>
      <c r="D4" s="236">
        <v>5481.0</v>
      </c>
      <c r="E4" s="236">
        <v>22.87</v>
      </c>
      <c r="F4" s="236">
        <v>458.35</v>
      </c>
      <c r="G4" s="236">
        <v>0.0836</v>
      </c>
      <c r="H4" s="236">
        <v>2.15</v>
      </c>
      <c r="I4" s="236">
        <v>3.8843</v>
      </c>
      <c r="J4" s="236">
        <v>45.88</v>
      </c>
      <c r="K4" s="236">
        <v>24.84</v>
      </c>
      <c r="L4" s="236">
        <v>14.52</v>
      </c>
      <c r="M4" s="236">
        <v>0.5844</v>
      </c>
      <c r="N4" s="236">
        <v>0.5433</v>
      </c>
      <c r="O4" s="236">
        <v>0.3293</v>
      </c>
      <c r="P4" s="236">
        <v>1.711</v>
      </c>
      <c r="Q4" s="236">
        <v>124.62</v>
      </c>
      <c r="R4" s="236">
        <v>111.6</v>
      </c>
      <c r="S4" s="236">
        <v>13.01</v>
      </c>
      <c r="T4" s="236">
        <v>7.17</v>
      </c>
      <c r="U4" s="236">
        <v>117.45</v>
      </c>
      <c r="V4" s="236">
        <v>107.95</v>
      </c>
      <c r="W4" s="236">
        <v>4.3462</v>
      </c>
      <c r="X4" s="236">
        <v>5.75</v>
      </c>
      <c r="Y4" s="236">
        <v>233.0</v>
      </c>
      <c r="Z4" s="236">
        <v>473.0</v>
      </c>
      <c r="AA4" s="236">
        <v>1440.0</v>
      </c>
      <c r="AB4" s="236">
        <v>51.8984</v>
      </c>
      <c r="AC4" s="236">
        <v>0.6792</v>
      </c>
      <c r="AD4" s="236">
        <v>9.94</v>
      </c>
      <c r="AE4" s="236">
        <v>4.0</v>
      </c>
      <c r="AF4" s="236">
        <v>8.0</v>
      </c>
      <c r="AG4" s="236">
        <v>13.0</v>
      </c>
      <c r="AH4" s="236">
        <v>20.0</v>
      </c>
      <c r="AI4" s="236">
        <v>67.4</v>
      </c>
      <c r="AJ4" s="236">
        <v>28.35</v>
      </c>
      <c r="AK4" s="236">
        <v>4.32</v>
      </c>
      <c r="AL4" s="236">
        <v>0.3288</v>
      </c>
      <c r="AM4" s="237"/>
      <c r="AQ4" s="153">
        <v>8.6294</v>
      </c>
      <c r="AR4" s="153">
        <v>0.1193</v>
      </c>
      <c r="AS4" s="153">
        <v>8.5101</v>
      </c>
      <c r="AT4" s="153">
        <v>6.1861</v>
      </c>
      <c r="AU4" s="153">
        <v>0.2491</v>
      </c>
      <c r="AV4" s="153">
        <v>5481.0</v>
      </c>
      <c r="AW4" s="153">
        <v>0.0</v>
      </c>
      <c r="AX4" s="153">
        <v>42.32</v>
      </c>
      <c r="AY4" s="153">
        <v>71.21</v>
      </c>
      <c r="AZ4" s="153">
        <v>2.76</v>
      </c>
      <c r="BA4" s="153">
        <v>7.17</v>
      </c>
      <c r="BB4" s="153">
        <v>1.15</v>
      </c>
      <c r="BC4" s="153">
        <v>36.0</v>
      </c>
      <c r="BD4" s="153">
        <v>20201.0</v>
      </c>
      <c r="BE4" s="153">
        <v>5.7791</v>
      </c>
      <c r="BF4" s="153">
        <v>0.0772</v>
      </c>
      <c r="BG4" s="153">
        <v>5.7019</v>
      </c>
      <c r="BH4" s="153">
        <v>3.5216</v>
      </c>
      <c r="BI4" s="153">
        <v>0.1418</v>
      </c>
      <c r="BJ4" s="153">
        <v>2.8504</v>
      </c>
      <c r="BK4" s="153">
        <v>0.0421</v>
      </c>
      <c r="BL4" s="153">
        <v>2.8082</v>
      </c>
      <c r="BM4" s="153">
        <v>2.6645</v>
      </c>
      <c r="BN4" s="153">
        <v>0.1073</v>
      </c>
      <c r="BO4" s="153">
        <v>2.2932</v>
      </c>
      <c r="BP4" s="153">
        <v>0.019</v>
      </c>
      <c r="BQ4" s="153">
        <v>2.2742</v>
      </c>
      <c r="BR4" s="153">
        <v>1.3811</v>
      </c>
      <c r="BS4" s="153">
        <v>2.2682</v>
      </c>
      <c r="BT4" s="153">
        <v>0.0201</v>
      </c>
      <c r="BU4" s="153">
        <v>2.2481</v>
      </c>
      <c r="BV4" s="153">
        <v>1.3268</v>
      </c>
      <c r="BW4" s="153">
        <v>1.2177</v>
      </c>
      <c r="BX4" s="153">
        <v>0.0381</v>
      </c>
      <c r="BY4" s="153">
        <v>1.1795</v>
      </c>
      <c r="BZ4" s="153">
        <v>0.8137</v>
      </c>
      <c r="CA4" s="153">
        <v>0.539</v>
      </c>
      <c r="CB4" s="153">
        <v>0.0099</v>
      </c>
      <c r="CC4" s="153">
        <v>0.5291</v>
      </c>
      <c r="CD4" s="153">
        <v>0.522</v>
      </c>
      <c r="CE4" s="153">
        <v>1.2596</v>
      </c>
      <c r="CF4" s="153">
        <v>0.0186</v>
      </c>
      <c r="CG4" s="153">
        <v>1.241</v>
      </c>
      <c r="CH4" s="153">
        <v>1.1118</v>
      </c>
      <c r="CI4" s="153">
        <v>1.0518</v>
      </c>
      <c r="CJ4" s="153">
        <v>0.0137</v>
      </c>
      <c r="CK4" s="153">
        <v>1.0381</v>
      </c>
      <c r="CL4" s="153">
        <v>1.0307</v>
      </c>
      <c r="CM4" s="153">
        <v>584.29</v>
      </c>
      <c r="CN4" s="153">
        <v>93.83</v>
      </c>
      <c r="CO4" s="153">
        <v>622.69</v>
      </c>
      <c r="CP4" s="153">
        <v>555.38</v>
      </c>
      <c r="CQ4" s="153">
        <v>0.0</v>
      </c>
      <c r="CR4" s="153">
        <v>21.08</v>
      </c>
      <c r="CS4" s="153">
        <v>7.83</v>
      </c>
      <c r="CT4" s="153">
        <v>0.0</v>
      </c>
      <c r="CU4" s="153">
        <v>0.0</v>
      </c>
      <c r="CV4" s="153">
        <v>0.0</v>
      </c>
      <c r="CW4" s="153">
        <v>124.62</v>
      </c>
      <c r="CX4" s="153">
        <v>0.0</v>
      </c>
      <c r="CY4" s="153">
        <v>0.0</v>
      </c>
      <c r="CZ4" s="153">
        <v>174.71</v>
      </c>
      <c r="DA4" s="153">
        <v>1.54</v>
      </c>
      <c r="DB4" s="153">
        <v>173.17</v>
      </c>
      <c r="DC4" s="153">
        <v>156.19</v>
      </c>
      <c r="DD4" s="153">
        <v>0.47</v>
      </c>
      <c r="DE4" s="153">
        <v>155.71</v>
      </c>
      <c r="DF4" s="153">
        <v>8.77</v>
      </c>
      <c r="DG4" s="153">
        <v>0.36</v>
      </c>
      <c r="DH4" s="153">
        <v>8.42</v>
      </c>
      <c r="DI4" s="153">
        <v>7.84</v>
      </c>
      <c r="DJ4" s="153">
        <v>0.36</v>
      </c>
      <c r="DK4" s="153">
        <v>7.49</v>
      </c>
      <c r="DL4" s="153">
        <v>1.9</v>
      </c>
      <c r="DM4" s="153">
        <v>0.36</v>
      </c>
      <c r="DN4" s="153">
        <v>1.55</v>
      </c>
    </row>
    <row r="5">
      <c r="A5" s="235">
        <v>46255.0</v>
      </c>
      <c r="B5" s="236" t="s">
        <v>4</v>
      </c>
      <c r="C5" s="236" t="s">
        <v>135</v>
      </c>
      <c r="D5" s="236">
        <v>4544.0</v>
      </c>
      <c r="E5" s="236">
        <v>18.96</v>
      </c>
      <c r="F5" s="236">
        <v>736.68</v>
      </c>
      <c r="G5" s="236">
        <v>0.1621</v>
      </c>
      <c r="H5" s="236">
        <v>3.26</v>
      </c>
      <c r="I5" s="236">
        <v>4.9776</v>
      </c>
      <c r="J5" s="236">
        <v>69.2</v>
      </c>
      <c r="K5" s="236">
        <v>39.0</v>
      </c>
      <c r="L5" s="236">
        <v>26.03</v>
      </c>
      <c r="M5" s="236">
        <v>0.6675</v>
      </c>
      <c r="N5" s="236">
        <v>0.4704</v>
      </c>
      <c r="O5" s="236">
        <v>0.2958</v>
      </c>
      <c r="P5" s="236">
        <v>1.4981</v>
      </c>
      <c r="Q5" s="236">
        <v>188.37</v>
      </c>
      <c r="R5" s="236">
        <v>165.23</v>
      </c>
      <c r="S5" s="236">
        <v>23.14</v>
      </c>
      <c r="T5" s="236">
        <v>11.85</v>
      </c>
      <c r="U5" s="236">
        <v>176.52</v>
      </c>
      <c r="V5" s="236">
        <v>187.46</v>
      </c>
      <c r="W5" s="236">
        <v>4.8063</v>
      </c>
      <c r="X5" s="236">
        <v>6.29</v>
      </c>
      <c r="Y5" s="236">
        <v>268.0</v>
      </c>
      <c r="Z5" s="236">
        <v>581.0</v>
      </c>
      <c r="AA5" s="236">
        <v>1535.0</v>
      </c>
      <c r="AB5" s="236">
        <v>53.6518</v>
      </c>
      <c r="AC5" s="236">
        <v>0.7547</v>
      </c>
      <c r="AD5" s="236">
        <v>16.52</v>
      </c>
      <c r="AE5" s="236">
        <v>7.0</v>
      </c>
      <c r="AF5" s="236">
        <v>13.0</v>
      </c>
      <c r="AG5" s="236">
        <v>22.0</v>
      </c>
      <c r="AH5" s="236">
        <v>33.0</v>
      </c>
      <c r="AI5" s="236">
        <v>59.02</v>
      </c>
      <c r="AJ5" s="236">
        <v>19.17</v>
      </c>
      <c r="AK5" s="236">
        <v>5.13</v>
      </c>
      <c r="AL5" s="236">
        <v>0.2526</v>
      </c>
      <c r="AM5" s="237"/>
      <c r="AQ5" s="153">
        <v>12.6351</v>
      </c>
      <c r="AR5" s="153">
        <v>0.292</v>
      </c>
      <c r="AS5" s="153">
        <v>12.3431</v>
      </c>
      <c r="AT5" s="153">
        <v>9.7632</v>
      </c>
      <c r="AU5" s="153">
        <v>0.2503</v>
      </c>
      <c r="AV5" s="153">
        <v>4544.0</v>
      </c>
      <c r="AW5" s="153">
        <v>0.0</v>
      </c>
      <c r="AX5" s="153">
        <v>66.34</v>
      </c>
      <c r="AY5" s="153">
        <v>105.53</v>
      </c>
      <c r="AZ5" s="153">
        <v>2.6</v>
      </c>
      <c r="BA5" s="153">
        <v>11.85</v>
      </c>
      <c r="BB5" s="153">
        <v>2.06</v>
      </c>
      <c r="BC5" s="153">
        <v>60.0</v>
      </c>
      <c r="BD5" s="153">
        <v>18293.0</v>
      </c>
      <c r="BE5" s="153">
        <v>8.3096</v>
      </c>
      <c r="BF5" s="153">
        <v>0.2047</v>
      </c>
      <c r="BG5" s="153">
        <v>8.105</v>
      </c>
      <c r="BH5" s="153">
        <v>5.4787</v>
      </c>
      <c r="BI5" s="153">
        <v>0.1405</v>
      </c>
      <c r="BJ5" s="153">
        <v>4.3255</v>
      </c>
      <c r="BK5" s="153">
        <v>0.0874</v>
      </c>
      <c r="BL5" s="153">
        <v>4.2381</v>
      </c>
      <c r="BM5" s="153">
        <v>4.2846</v>
      </c>
      <c r="BN5" s="153">
        <v>0.1099</v>
      </c>
      <c r="BO5" s="153">
        <v>3.3697</v>
      </c>
      <c r="BP5" s="153">
        <v>0.0662</v>
      </c>
      <c r="BQ5" s="153">
        <v>3.3035</v>
      </c>
      <c r="BR5" s="153">
        <v>2.1331</v>
      </c>
      <c r="BS5" s="153">
        <v>2.9776</v>
      </c>
      <c r="BT5" s="153">
        <v>0.0629</v>
      </c>
      <c r="BU5" s="153">
        <v>2.9146</v>
      </c>
      <c r="BV5" s="153">
        <v>1.9943</v>
      </c>
      <c r="BW5" s="153">
        <v>1.9624</v>
      </c>
      <c r="BX5" s="153">
        <v>0.0755</v>
      </c>
      <c r="BY5" s="153">
        <v>1.8869</v>
      </c>
      <c r="BZ5" s="153">
        <v>1.3512</v>
      </c>
      <c r="CA5" s="153">
        <v>0.9236</v>
      </c>
      <c r="CB5" s="153">
        <v>0.0255</v>
      </c>
      <c r="CC5" s="153">
        <v>0.8981</v>
      </c>
      <c r="CD5" s="153">
        <v>1.031</v>
      </c>
      <c r="CE5" s="153">
        <v>1.7225</v>
      </c>
      <c r="CF5" s="153">
        <v>0.0372</v>
      </c>
      <c r="CG5" s="153">
        <v>1.6853</v>
      </c>
      <c r="CH5" s="153">
        <v>1.6039</v>
      </c>
      <c r="CI5" s="153">
        <v>1.6794</v>
      </c>
      <c r="CJ5" s="153">
        <v>0.0246</v>
      </c>
      <c r="CK5" s="153">
        <v>1.6547</v>
      </c>
      <c r="CL5" s="153">
        <v>1.6496</v>
      </c>
      <c r="CM5" s="153">
        <v>1120.78</v>
      </c>
      <c r="CN5" s="153">
        <v>97.62</v>
      </c>
      <c r="CO5" s="153">
        <v>1148.07</v>
      </c>
      <c r="CP5" s="153">
        <v>1081.03</v>
      </c>
      <c r="CQ5" s="153">
        <v>0.0</v>
      </c>
      <c r="CR5" s="153">
        <v>27.3</v>
      </c>
      <c r="CS5" s="153">
        <v>12.46</v>
      </c>
      <c r="CT5" s="153">
        <v>0.0</v>
      </c>
      <c r="CU5" s="153">
        <v>0.0</v>
      </c>
      <c r="CV5" s="153">
        <v>0.0</v>
      </c>
      <c r="CW5" s="153">
        <v>188.37</v>
      </c>
      <c r="CX5" s="153">
        <v>0.0</v>
      </c>
      <c r="CY5" s="153">
        <v>0.0</v>
      </c>
      <c r="CZ5" s="153">
        <v>245.28</v>
      </c>
      <c r="DA5" s="153">
        <v>1.96</v>
      </c>
      <c r="DB5" s="153">
        <v>243.31</v>
      </c>
      <c r="DC5" s="153">
        <v>223.47</v>
      </c>
      <c r="DD5" s="153">
        <v>0.6</v>
      </c>
      <c r="DE5" s="153">
        <v>222.87</v>
      </c>
      <c r="DF5" s="153">
        <v>10.58</v>
      </c>
      <c r="DG5" s="153">
        <v>0.45</v>
      </c>
      <c r="DH5" s="153">
        <v>10.12</v>
      </c>
      <c r="DI5" s="153">
        <v>7.67</v>
      </c>
      <c r="DJ5" s="153">
        <v>0.45</v>
      </c>
      <c r="DK5" s="153">
        <v>7.22</v>
      </c>
      <c r="DL5" s="153">
        <v>3.56</v>
      </c>
      <c r="DM5" s="153">
        <v>0.45</v>
      </c>
      <c r="DN5" s="153">
        <v>3.11</v>
      </c>
    </row>
    <row r="6">
      <c r="A6" s="235">
        <v>46255.0</v>
      </c>
      <c r="B6" s="236" t="s">
        <v>4</v>
      </c>
      <c r="C6" s="236" t="s">
        <v>136</v>
      </c>
      <c r="D6" s="236">
        <v>2549.0</v>
      </c>
      <c r="E6" s="236">
        <v>10.64</v>
      </c>
      <c r="F6" s="236">
        <v>924.62</v>
      </c>
      <c r="G6" s="236">
        <v>0.3627</v>
      </c>
      <c r="H6" s="236">
        <v>5.37</v>
      </c>
      <c r="I6" s="236">
        <v>6.7491</v>
      </c>
      <c r="J6" s="236">
        <v>123.73</v>
      </c>
      <c r="K6" s="236">
        <v>73.87</v>
      </c>
      <c r="L6" s="236">
        <v>53.6</v>
      </c>
      <c r="M6" s="236">
        <v>0.7256</v>
      </c>
      <c r="N6" s="236">
        <v>0.4154</v>
      </c>
      <c r="O6" s="236">
        <v>0.2656</v>
      </c>
      <c r="P6" s="236">
        <v>1.3782</v>
      </c>
      <c r="Q6" s="236">
        <v>316.3</v>
      </c>
      <c r="R6" s="236">
        <v>272.33</v>
      </c>
      <c r="S6" s="236">
        <v>43.96</v>
      </c>
      <c r="T6" s="236">
        <v>31.64</v>
      </c>
      <c r="U6" s="236">
        <v>284.66</v>
      </c>
      <c r="V6" s="236">
        <v>335.37</v>
      </c>
      <c r="W6" s="236">
        <v>4.5399</v>
      </c>
      <c r="X6" s="236">
        <v>10.0</v>
      </c>
      <c r="Y6" s="236">
        <v>321.0</v>
      </c>
      <c r="Z6" s="236">
        <v>804.0</v>
      </c>
      <c r="AA6" s="236">
        <v>2010.0</v>
      </c>
      <c r="AB6" s="236">
        <v>55.6083</v>
      </c>
      <c r="AC6" s="236">
        <v>0.7993</v>
      </c>
      <c r="AD6" s="236">
        <v>29.79</v>
      </c>
      <c r="AE6" s="236">
        <v>12.0</v>
      </c>
      <c r="AF6" s="236">
        <v>22.0</v>
      </c>
      <c r="AG6" s="236">
        <v>40.0</v>
      </c>
      <c r="AH6" s="236">
        <v>62.0</v>
      </c>
      <c r="AI6" s="236">
        <v>40.56</v>
      </c>
      <c r="AJ6" s="236">
        <v>11.18</v>
      </c>
      <c r="AK6" s="236">
        <v>2.47</v>
      </c>
      <c r="AL6" s="236">
        <v>0.1785</v>
      </c>
      <c r="AM6" s="237"/>
      <c r="AQ6" s="153">
        <v>20.5163</v>
      </c>
      <c r="AR6" s="153">
        <v>0.4457</v>
      </c>
      <c r="AS6" s="153">
        <v>20.0706</v>
      </c>
      <c r="AT6" s="153">
        <v>17.7623</v>
      </c>
      <c r="AU6" s="153">
        <v>0.2404</v>
      </c>
      <c r="AV6" s="153">
        <v>2549.0</v>
      </c>
      <c r="AW6" s="153">
        <v>0.0</v>
      </c>
      <c r="AX6" s="153">
        <v>112.12</v>
      </c>
      <c r="AY6" s="153">
        <v>163.38</v>
      </c>
      <c r="AZ6" s="153">
        <v>3.98</v>
      </c>
      <c r="BA6" s="153">
        <v>31.64</v>
      </c>
      <c r="BB6" s="153">
        <v>5.18</v>
      </c>
      <c r="BC6" s="153">
        <v>126.0</v>
      </c>
      <c r="BD6" s="153">
        <v>16643.0</v>
      </c>
      <c r="BE6" s="153">
        <v>12.7603</v>
      </c>
      <c r="BF6" s="153">
        <v>0.1883</v>
      </c>
      <c r="BG6" s="153">
        <v>12.572</v>
      </c>
      <c r="BH6" s="153">
        <v>10.0494</v>
      </c>
      <c r="BI6" s="153">
        <v>0.136</v>
      </c>
      <c r="BJ6" s="153">
        <v>7.756</v>
      </c>
      <c r="BK6" s="153">
        <v>0.2574</v>
      </c>
      <c r="BL6" s="153">
        <v>7.4986</v>
      </c>
      <c r="BM6" s="153">
        <v>7.7128</v>
      </c>
      <c r="BN6" s="153">
        <v>0.1044</v>
      </c>
      <c r="BO6" s="153">
        <v>4.5594</v>
      </c>
      <c r="BP6" s="153">
        <v>0.0616</v>
      </c>
      <c r="BQ6" s="153">
        <v>4.4978</v>
      </c>
      <c r="BR6" s="153">
        <v>3.5708</v>
      </c>
      <c r="BS6" s="153">
        <v>4.5944</v>
      </c>
      <c r="BT6" s="153">
        <v>0.0628</v>
      </c>
      <c r="BU6" s="153">
        <v>4.5316</v>
      </c>
      <c r="BV6" s="153">
        <v>3.6916</v>
      </c>
      <c r="BW6" s="153">
        <v>3.6065</v>
      </c>
      <c r="BX6" s="153">
        <v>0.0639</v>
      </c>
      <c r="BY6" s="153">
        <v>3.5426</v>
      </c>
      <c r="BZ6" s="153">
        <v>2.787</v>
      </c>
      <c r="CA6" s="153">
        <v>1.8588</v>
      </c>
      <c r="CB6" s="153">
        <v>0.0734</v>
      </c>
      <c r="CC6" s="153">
        <v>1.7854</v>
      </c>
      <c r="CD6" s="153">
        <v>1.9525</v>
      </c>
      <c r="CE6" s="153">
        <v>2.8643</v>
      </c>
      <c r="CF6" s="153">
        <v>0.0996</v>
      </c>
      <c r="CG6" s="153">
        <v>2.7646</v>
      </c>
      <c r="CH6" s="153">
        <v>2.6795</v>
      </c>
      <c r="CI6" s="153">
        <v>3.033</v>
      </c>
      <c r="CJ6" s="153">
        <v>0.0843</v>
      </c>
      <c r="CK6" s="153">
        <v>2.9486</v>
      </c>
      <c r="CL6" s="153">
        <v>3.0808</v>
      </c>
      <c r="CM6" s="153">
        <v>2401.81</v>
      </c>
      <c r="CN6" s="153">
        <v>98.74</v>
      </c>
      <c r="CO6" s="153">
        <v>2432.34</v>
      </c>
      <c r="CP6" s="153">
        <v>2352.41</v>
      </c>
      <c r="CQ6" s="153">
        <v>0.0</v>
      </c>
      <c r="CR6" s="153">
        <v>33.09</v>
      </c>
      <c r="CS6" s="153">
        <v>16.31</v>
      </c>
      <c r="CT6" s="153">
        <v>0.0</v>
      </c>
      <c r="CU6" s="153">
        <v>0.0</v>
      </c>
      <c r="CV6" s="153">
        <v>0.0</v>
      </c>
      <c r="CW6" s="153">
        <v>316.3</v>
      </c>
      <c r="CX6" s="153">
        <v>0.0</v>
      </c>
      <c r="CY6" s="153">
        <v>0.0</v>
      </c>
      <c r="CZ6" s="153">
        <v>365.69</v>
      </c>
      <c r="DA6" s="153">
        <v>4.16</v>
      </c>
      <c r="DB6" s="153">
        <v>361.52</v>
      </c>
      <c r="DC6" s="153">
        <v>339.47</v>
      </c>
      <c r="DD6" s="153">
        <v>1.83</v>
      </c>
      <c r="DE6" s="153">
        <v>337.64</v>
      </c>
      <c r="DF6" s="153">
        <v>13.65</v>
      </c>
      <c r="DG6" s="153">
        <v>0.78</v>
      </c>
      <c r="DH6" s="153">
        <v>12.87</v>
      </c>
      <c r="DI6" s="153">
        <v>8.83</v>
      </c>
      <c r="DJ6" s="153">
        <v>0.78</v>
      </c>
      <c r="DK6" s="153">
        <v>8.05</v>
      </c>
      <c r="DL6" s="153">
        <v>3.74</v>
      </c>
      <c r="DM6" s="153">
        <v>0.78</v>
      </c>
      <c r="DN6" s="153">
        <v>2.96</v>
      </c>
    </row>
    <row r="7">
      <c r="A7" s="235">
        <v>46255.0</v>
      </c>
      <c r="B7" s="236" t="s">
        <v>4</v>
      </c>
      <c r="C7" s="236" t="s">
        <v>137</v>
      </c>
      <c r="D7" s="236">
        <v>334.0</v>
      </c>
      <c r="E7" s="236">
        <v>1.39</v>
      </c>
      <c r="F7" s="236">
        <v>295.25</v>
      </c>
      <c r="G7" s="236">
        <v>0.884</v>
      </c>
      <c r="H7" s="236">
        <v>9.28</v>
      </c>
      <c r="I7" s="236">
        <v>9.5242</v>
      </c>
      <c r="J7" s="236">
        <v>243.02</v>
      </c>
      <c r="K7" s="236">
        <v>156.67</v>
      </c>
      <c r="L7" s="236">
        <v>121.4</v>
      </c>
      <c r="M7" s="236">
        <v>0.7749</v>
      </c>
      <c r="N7" s="236">
        <v>0.3525</v>
      </c>
      <c r="O7" s="236">
        <v>0.2299</v>
      </c>
      <c r="P7" s="236">
        <v>1.2906</v>
      </c>
      <c r="Q7" s="236">
        <v>527.89</v>
      </c>
      <c r="R7" s="236">
        <v>430.44</v>
      </c>
      <c r="S7" s="236">
        <v>97.46</v>
      </c>
      <c r="T7" s="236">
        <v>68.26</v>
      </c>
      <c r="U7" s="236">
        <v>459.63</v>
      </c>
      <c r="V7" s="236">
        <v>597.6</v>
      </c>
      <c r="W7" s="236">
        <v>3.8144</v>
      </c>
      <c r="X7" s="236">
        <v>12.93</v>
      </c>
      <c r="Y7" s="236">
        <v>365.0</v>
      </c>
      <c r="Z7" s="236">
        <v>1017.0</v>
      </c>
      <c r="AA7" s="236">
        <v>2362.0</v>
      </c>
      <c r="AB7" s="236">
        <v>57.0946</v>
      </c>
      <c r="AC7" s="236">
        <v>0.8184</v>
      </c>
      <c r="AD7" s="236">
        <v>55.29</v>
      </c>
      <c r="AE7" s="236">
        <v>20.0</v>
      </c>
      <c r="AF7" s="236">
        <v>38.0</v>
      </c>
      <c r="AG7" s="236">
        <v>74.0</v>
      </c>
      <c r="AH7" s="236">
        <v>126.0</v>
      </c>
      <c r="AI7" s="236">
        <v>22.75</v>
      </c>
      <c r="AJ7" s="236">
        <v>3.29</v>
      </c>
      <c r="AK7" s="236">
        <v>0.9</v>
      </c>
      <c r="AL7" s="236">
        <v>0.1048</v>
      </c>
      <c r="AM7" s="237"/>
      <c r="AQ7" s="153">
        <v>35.7665</v>
      </c>
      <c r="AR7" s="153">
        <v>0.8982</v>
      </c>
      <c r="AS7" s="153">
        <v>34.8683</v>
      </c>
      <c r="AT7" s="153">
        <v>34.1737</v>
      </c>
      <c r="AU7" s="153">
        <v>0.2181</v>
      </c>
      <c r="AV7" s="153">
        <v>334.0</v>
      </c>
      <c r="AW7" s="153">
        <v>0.0</v>
      </c>
      <c r="AX7" s="153">
        <v>219.39</v>
      </c>
      <c r="AY7" s="153">
        <v>219.37</v>
      </c>
      <c r="AZ7" s="153">
        <v>7.6</v>
      </c>
      <c r="BA7" s="153">
        <v>68.26</v>
      </c>
      <c r="BB7" s="153">
        <v>13.27</v>
      </c>
      <c r="BC7" s="153">
        <v>271.0</v>
      </c>
      <c r="BD7" s="153">
        <v>19780.0</v>
      </c>
      <c r="BE7" s="153">
        <v>20.9311</v>
      </c>
      <c r="BF7" s="153">
        <v>0.2874</v>
      </c>
      <c r="BG7" s="153">
        <v>20.6437</v>
      </c>
      <c r="BH7" s="153">
        <v>19.1737</v>
      </c>
      <c r="BI7" s="153">
        <v>0.1224</v>
      </c>
      <c r="BJ7" s="153">
        <v>14.8353</v>
      </c>
      <c r="BK7" s="153">
        <v>0.6108</v>
      </c>
      <c r="BL7" s="153">
        <v>14.2246</v>
      </c>
      <c r="BM7" s="153">
        <v>15.0</v>
      </c>
      <c r="BN7" s="153">
        <v>0.0957</v>
      </c>
      <c r="BO7" s="153">
        <v>7.2246</v>
      </c>
      <c r="BP7" s="153">
        <v>0.0928</v>
      </c>
      <c r="BQ7" s="153">
        <v>7.1317</v>
      </c>
      <c r="BR7" s="153">
        <v>6.6377</v>
      </c>
      <c r="BS7" s="153">
        <v>7.1886</v>
      </c>
      <c r="BT7" s="153">
        <v>0.0928</v>
      </c>
      <c r="BU7" s="153">
        <v>7.0958</v>
      </c>
      <c r="BV7" s="153">
        <v>6.8413</v>
      </c>
      <c r="BW7" s="153">
        <v>6.518</v>
      </c>
      <c r="BX7" s="153">
        <v>0.1018</v>
      </c>
      <c r="BY7" s="153">
        <v>6.4162</v>
      </c>
      <c r="BZ7" s="153">
        <v>5.6946</v>
      </c>
      <c r="CA7" s="153">
        <v>4.1287</v>
      </c>
      <c r="CB7" s="153">
        <v>0.1467</v>
      </c>
      <c r="CC7" s="153">
        <v>3.982</v>
      </c>
      <c r="CD7" s="153">
        <v>4.4072</v>
      </c>
      <c r="CE7" s="153">
        <v>4.9251</v>
      </c>
      <c r="CF7" s="153">
        <v>0.2725</v>
      </c>
      <c r="CG7" s="153">
        <v>4.6527</v>
      </c>
      <c r="CH7" s="153">
        <v>4.976</v>
      </c>
      <c r="CI7" s="153">
        <v>5.7814</v>
      </c>
      <c r="CJ7" s="153">
        <v>0.1916</v>
      </c>
      <c r="CK7" s="153">
        <v>5.5898</v>
      </c>
      <c r="CL7" s="153">
        <v>5.6168</v>
      </c>
      <c r="CM7" s="153">
        <v>5374.65</v>
      </c>
      <c r="CN7" s="153">
        <v>100.0</v>
      </c>
      <c r="CO7" s="153">
        <v>5374.65</v>
      </c>
      <c r="CP7" s="153">
        <v>5313.12</v>
      </c>
      <c r="CQ7" s="153">
        <v>0.0</v>
      </c>
      <c r="CR7" s="153">
        <v>44.73</v>
      </c>
      <c r="CS7" s="153">
        <v>16.8</v>
      </c>
      <c r="CT7" s="153">
        <v>0.0</v>
      </c>
      <c r="CU7" s="153">
        <v>0.0</v>
      </c>
      <c r="CV7" s="153">
        <v>0.0</v>
      </c>
      <c r="CW7" s="153">
        <v>527.89</v>
      </c>
      <c r="CX7" s="153">
        <v>0.0</v>
      </c>
      <c r="CY7" s="153">
        <v>0.0</v>
      </c>
      <c r="CZ7" s="153">
        <v>611.66</v>
      </c>
      <c r="DA7" s="153">
        <v>12.98</v>
      </c>
      <c r="DB7" s="153">
        <v>598.68</v>
      </c>
      <c r="DC7" s="153">
        <v>579.16</v>
      </c>
      <c r="DD7" s="153">
        <v>4.72</v>
      </c>
      <c r="DE7" s="153">
        <v>574.45</v>
      </c>
      <c r="DF7" s="153">
        <v>15.99</v>
      </c>
      <c r="DG7" s="153">
        <v>2.75</v>
      </c>
      <c r="DH7" s="153">
        <v>13.23</v>
      </c>
      <c r="DI7" s="153">
        <v>12.19</v>
      </c>
      <c r="DJ7" s="153">
        <v>2.75</v>
      </c>
      <c r="DK7" s="153">
        <v>9.43</v>
      </c>
      <c r="DL7" s="153">
        <v>4.33</v>
      </c>
      <c r="DM7" s="153">
        <v>2.75</v>
      </c>
      <c r="DN7" s="153">
        <v>1.57</v>
      </c>
    </row>
    <row r="8">
      <c r="A8" s="235">
        <v>46255.0</v>
      </c>
      <c r="B8" s="236" t="s">
        <v>5</v>
      </c>
      <c r="C8" s="236" t="s">
        <v>423</v>
      </c>
      <c r="D8" s="236">
        <v>4583.0</v>
      </c>
      <c r="E8" s="236">
        <v>19.55</v>
      </c>
      <c r="F8" s="236">
        <v>428.59</v>
      </c>
      <c r="G8" s="236">
        <v>0.0935</v>
      </c>
      <c r="H8" s="236">
        <v>1.29</v>
      </c>
      <c r="I8" s="236">
        <v>7.2642</v>
      </c>
      <c r="J8" s="236">
        <v>27.04</v>
      </c>
      <c r="K8" s="236">
        <v>14.68</v>
      </c>
      <c r="L8" s="236">
        <v>10.98</v>
      </c>
      <c r="M8" s="236">
        <v>0.7479</v>
      </c>
      <c r="N8" s="236">
        <v>0.3828</v>
      </c>
      <c r="O8" s="236">
        <v>0.2021</v>
      </c>
      <c r="P8" s="236">
        <v>1.3371</v>
      </c>
      <c r="Q8" s="236">
        <v>100.77</v>
      </c>
      <c r="R8" s="236">
        <v>100.69</v>
      </c>
      <c r="S8" s="236">
        <v>0.08</v>
      </c>
      <c r="T8" s="236">
        <v>7.57</v>
      </c>
      <c r="U8" s="236">
        <v>93.2</v>
      </c>
      <c r="V8" s="236">
        <v>66.63</v>
      </c>
      <c r="W8" s="236">
        <v>4.538</v>
      </c>
      <c r="X8" s="236">
        <v>7.51</v>
      </c>
      <c r="Y8" s="236">
        <v>218.0</v>
      </c>
      <c r="Z8" s="236">
        <v>609.0</v>
      </c>
      <c r="AA8" s="236">
        <v>4291.0</v>
      </c>
      <c r="AB8" s="236">
        <v>50.0315</v>
      </c>
      <c r="AC8" s="236">
        <v>0.4836</v>
      </c>
      <c r="AD8" s="237"/>
      <c r="AE8" s="237"/>
      <c r="AF8" s="237"/>
      <c r="AG8" s="237"/>
      <c r="AH8" s="237"/>
      <c r="AI8" s="236">
        <v>0.0</v>
      </c>
      <c r="AJ8" s="236">
        <v>0.0</v>
      </c>
      <c r="AK8" s="236">
        <v>0.0</v>
      </c>
      <c r="AL8" s="236">
        <v>0.4698</v>
      </c>
      <c r="AM8" s="236">
        <v>13.24</v>
      </c>
      <c r="AN8" s="153">
        <v>13.24</v>
      </c>
      <c r="AO8" s="153">
        <v>8.53</v>
      </c>
      <c r="AP8" s="153">
        <v>4.76</v>
      </c>
      <c r="AQ8" s="153">
        <v>3.5643</v>
      </c>
      <c r="AR8" s="153">
        <v>0.0834</v>
      </c>
      <c r="AS8" s="153">
        <v>3.4809</v>
      </c>
      <c r="AT8" s="153">
        <v>2.2298</v>
      </c>
      <c r="AU8" s="153">
        <v>0.1519</v>
      </c>
      <c r="AV8" s="153">
        <v>4583.0</v>
      </c>
      <c r="AW8" s="153">
        <v>0.0</v>
      </c>
      <c r="AX8" s="153">
        <v>10.93</v>
      </c>
      <c r="AY8" s="153">
        <v>78.55</v>
      </c>
      <c r="AZ8" s="153">
        <v>3.5</v>
      </c>
      <c r="BA8" s="153">
        <v>7.57</v>
      </c>
      <c r="BB8" s="153">
        <v>0.22</v>
      </c>
      <c r="BD8" s="153">
        <v>28810.0</v>
      </c>
      <c r="BE8" s="153">
        <v>1.9158</v>
      </c>
      <c r="BF8" s="153">
        <v>0.038</v>
      </c>
      <c r="BG8" s="153">
        <v>1.8778</v>
      </c>
      <c r="BH8" s="153">
        <v>1.1058</v>
      </c>
      <c r="BI8" s="153">
        <v>0.0753</v>
      </c>
      <c r="BJ8" s="153">
        <v>1.6485</v>
      </c>
      <c r="BK8" s="153">
        <v>0.0454</v>
      </c>
      <c r="BL8" s="153">
        <v>1.6031</v>
      </c>
      <c r="BM8" s="153">
        <v>1.1239</v>
      </c>
      <c r="BN8" s="153">
        <v>0.0766</v>
      </c>
      <c r="BO8" s="153">
        <v>0.7174</v>
      </c>
      <c r="BP8" s="153">
        <v>0.0133</v>
      </c>
      <c r="BQ8" s="153">
        <v>0.7041</v>
      </c>
      <c r="BR8" s="153">
        <v>0.4072</v>
      </c>
      <c r="BS8" s="153">
        <v>0.7303</v>
      </c>
      <c r="BT8" s="153">
        <v>0.0133</v>
      </c>
      <c r="BU8" s="153">
        <v>0.717</v>
      </c>
      <c r="BV8" s="153">
        <v>0.4237</v>
      </c>
      <c r="BW8" s="153">
        <v>0.468</v>
      </c>
      <c r="BX8" s="153">
        <v>0.0113</v>
      </c>
      <c r="BY8" s="153">
        <v>0.4567</v>
      </c>
      <c r="BZ8" s="153">
        <v>0.2749</v>
      </c>
      <c r="CA8" s="153">
        <v>0.3314</v>
      </c>
      <c r="CB8" s="153">
        <v>0.0122</v>
      </c>
      <c r="CC8" s="153">
        <v>0.3192</v>
      </c>
      <c r="CD8" s="153">
        <v>0.2254</v>
      </c>
      <c r="CE8" s="153">
        <v>0.739</v>
      </c>
      <c r="CF8" s="153">
        <v>0.0172</v>
      </c>
      <c r="CG8" s="153">
        <v>0.7218</v>
      </c>
      <c r="CH8" s="153">
        <v>0.4563</v>
      </c>
      <c r="CI8" s="153">
        <v>0.578</v>
      </c>
      <c r="CJ8" s="153">
        <v>0.0159</v>
      </c>
      <c r="CK8" s="153">
        <v>0.5621</v>
      </c>
      <c r="CL8" s="153">
        <v>0.4423</v>
      </c>
      <c r="CM8" s="153">
        <v>533.78</v>
      </c>
      <c r="CN8" s="153">
        <v>31.99</v>
      </c>
      <c r="CO8" s="153">
        <v>1668.71</v>
      </c>
      <c r="CP8" s="153">
        <v>515.26</v>
      </c>
      <c r="CQ8" s="153">
        <v>1.39</v>
      </c>
      <c r="CR8" s="153">
        <v>10.39</v>
      </c>
      <c r="CS8" s="153">
        <v>6.74</v>
      </c>
      <c r="CT8" s="153">
        <v>0.0</v>
      </c>
      <c r="CU8" s="153">
        <v>922.0</v>
      </c>
      <c r="CV8" s="153">
        <v>0.01</v>
      </c>
      <c r="CW8" s="153">
        <v>100.78</v>
      </c>
      <c r="CX8" s="153">
        <v>0.0</v>
      </c>
      <c r="CY8" s="153">
        <v>1.39</v>
      </c>
      <c r="CZ8" s="153">
        <v>51.85</v>
      </c>
      <c r="DA8" s="153">
        <v>0.82</v>
      </c>
      <c r="DB8" s="153">
        <v>51.03</v>
      </c>
      <c r="DC8" s="153">
        <v>44.12</v>
      </c>
      <c r="DD8" s="153">
        <v>0.44</v>
      </c>
      <c r="DE8" s="153">
        <v>43.68</v>
      </c>
      <c r="DF8" s="153">
        <v>3.86</v>
      </c>
      <c r="DG8" s="153">
        <v>0.13</v>
      </c>
      <c r="DH8" s="153">
        <v>3.73</v>
      </c>
      <c r="DI8" s="153">
        <v>2.81</v>
      </c>
      <c r="DJ8" s="153">
        <v>0.13</v>
      </c>
      <c r="DK8" s="153">
        <v>2.68</v>
      </c>
      <c r="DL8" s="153">
        <v>1.07</v>
      </c>
      <c r="DM8" s="153">
        <v>0.13</v>
      </c>
      <c r="DN8" s="153">
        <v>0.94</v>
      </c>
    </row>
    <row r="9">
      <c r="A9" s="235">
        <v>46255.0</v>
      </c>
      <c r="B9" s="236" t="s">
        <v>5</v>
      </c>
      <c r="C9" s="236" t="s">
        <v>133</v>
      </c>
      <c r="D9" s="236">
        <v>6385.0</v>
      </c>
      <c r="E9" s="236">
        <v>27.24</v>
      </c>
      <c r="F9" s="236">
        <v>216.62</v>
      </c>
      <c r="G9" s="236">
        <v>0.0339</v>
      </c>
      <c r="H9" s="236">
        <v>1.16</v>
      </c>
      <c r="I9" s="236">
        <v>2.9273</v>
      </c>
      <c r="J9" s="236">
        <v>23.81</v>
      </c>
      <c r="K9" s="236">
        <v>11.61</v>
      </c>
      <c r="L9" s="236">
        <v>5.54</v>
      </c>
      <c r="M9" s="236">
        <v>0.4773</v>
      </c>
      <c r="N9" s="236">
        <v>0.6361</v>
      </c>
      <c r="O9" s="236">
        <v>0.3857</v>
      </c>
      <c r="P9" s="236">
        <v>2.0951</v>
      </c>
      <c r="Q9" s="236">
        <v>65.27</v>
      </c>
      <c r="R9" s="236">
        <v>61.04</v>
      </c>
      <c r="S9" s="236">
        <v>4.23</v>
      </c>
      <c r="T9" s="236">
        <v>3.61</v>
      </c>
      <c r="U9" s="236">
        <v>61.66</v>
      </c>
      <c r="V9" s="236">
        <v>50.3</v>
      </c>
      <c r="W9" s="236">
        <v>4.3306</v>
      </c>
      <c r="X9" s="236">
        <v>5.53</v>
      </c>
      <c r="Y9" s="236">
        <v>203.0</v>
      </c>
      <c r="Z9" s="236">
        <v>417.0</v>
      </c>
      <c r="AA9" s="236">
        <v>1446.0</v>
      </c>
      <c r="AB9" s="236">
        <v>50.124</v>
      </c>
      <c r="AC9" s="236">
        <v>0.6016</v>
      </c>
      <c r="AD9" s="236">
        <v>4.22</v>
      </c>
      <c r="AE9" s="236">
        <v>1.0</v>
      </c>
      <c r="AF9" s="236">
        <v>3.0</v>
      </c>
      <c r="AG9" s="236">
        <v>5.0</v>
      </c>
      <c r="AH9" s="236">
        <v>9.0</v>
      </c>
      <c r="AI9" s="236">
        <v>74.58</v>
      </c>
      <c r="AJ9" s="236">
        <v>34.71</v>
      </c>
      <c r="AK9" s="236">
        <v>8.82</v>
      </c>
      <c r="AL9" s="236">
        <v>0.4421</v>
      </c>
      <c r="AM9" s="236">
        <v>46.45</v>
      </c>
      <c r="AN9" s="153">
        <v>46.45</v>
      </c>
      <c r="AO9" s="153">
        <v>23.37</v>
      </c>
      <c r="AP9" s="153">
        <v>7.91</v>
      </c>
      <c r="AQ9" s="153">
        <v>4.6244</v>
      </c>
      <c r="AR9" s="153">
        <v>0.0755</v>
      </c>
      <c r="AS9" s="153">
        <v>4.5489</v>
      </c>
      <c r="AT9" s="153">
        <v>3.1685</v>
      </c>
      <c r="AU9" s="153">
        <v>0.2728</v>
      </c>
      <c r="AV9" s="153">
        <v>6385.0</v>
      </c>
      <c r="AW9" s="153">
        <v>0.0</v>
      </c>
      <c r="AX9" s="153">
        <v>20.02</v>
      </c>
      <c r="AY9" s="153">
        <v>39.08</v>
      </c>
      <c r="AZ9" s="153">
        <v>2.09</v>
      </c>
      <c r="BA9" s="153">
        <v>3.61</v>
      </c>
      <c r="BB9" s="153">
        <v>0.47</v>
      </c>
      <c r="BC9" s="153">
        <v>18.0</v>
      </c>
      <c r="BD9" s="153">
        <v>19228.0</v>
      </c>
      <c r="BE9" s="153">
        <v>3.1422</v>
      </c>
      <c r="BF9" s="153">
        <v>0.0465</v>
      </c>
      <c r="BG9" s="153">
        <v>3.0957</v>
      </c>
      <c r="BH9" s="153">
        <v>1.8659</v>
      </c>
      <c r="BI9" s="153">
        <v>0.1607</v>
      </c>
      <c r="BJ9" s="153">
        <v>1.4822</v>
      </c>
      <c r="BK9" s="153">
        <v>0.029</v>
      </c>
      <c r="BL9" s="153">
        <v>1.4532</v>
      </c>
      <c r="BM9" s="153">
        <v>1.3026</v>
      </c>
      <c r="BN9" s="153">
        <v>0.1122</v>
      </c>
      <c r="BO9" s="153">
        <v>1.2573</v>
      </c>
      <c r="BP9" s="153">
        <v>0.0183</v>
      </c>
      <c r="BQ9" s="153">
        <v>1.239</v>
      </c>
      <c r="BR9" s="153">
        <v>0.7328</v>
      </c>
      <c r="BS9" s="153">
        <v>1.2987</v>
      </c>
      <c r="BT9" s="153">
        <v>0.0122</v>
      </c>
      <c r="BU9" s="153">
        <v>1.2865</v>
      </c>
      <c r="BV9" s="153">
        <v>0.7474</v>
      </c>
      <c r="BW9" s="153">
        <v>0.5862</v>
      </c>
      <c r="BX9" s="153">
        <v>0.016</v>
      </c>
      <c r="BY9" s="153">
        <v>0.5702</v>
      </c>
      <c r="BZ9" s="153">
        <v>0.3857</v>
      </c>
      <c r="CA9" s="153">
        <v>0.1903</v>
      </c>
      <c r="CB9" s="153">
        <v>0.0085</v>
      </c>
      <c r="CC9" s="153">
        <v>0.1818</v>
      </c>
      <c r="CD9" s="153">
        <v>0.1894</v>
      </c>
      <c r="CE9" s="153">
        <v>0.7829</v>
      </c>
      <c r="CF9" s="153">
        <v>0.01</v>
      </c>
      <c r="CG9" s="153">
        <v>0.7729</v>
      </c>
      <c r="CH9" s="153">
        <v>0.6642</v>
      </c>
      <c r="CI9" s="153">
        <v>0.509</v>
      </c>
      <c r="CJ9" s="153">
        <v>0.0105</v>
      </c>
      <c r="CK9" s="153">
        <v>0.4985</v>
      </c>
      <c r="CL9" s="153">
        <v>0.449</v>
      </c>
      <c r="CM9" s="153">
        <v>249.66</v>
      </c>
      <c r="CN9" s="153">
        <v>83.82</v>
      </c>
      <c r="CO9" s="153">
        <v>297.84</v>
      </c>
      <c r="CP9" s="153">
        <v>230.97</v>
      </c>
      <c r="CQ9" s="153">
        <v>1.45</v>
      </c>
      <c r="CR9" s="153">
        <v>14.36</v>
      </c>
      <c r="CS9" s="153">
        <v>2.88</v>
      </c>
      <c r="CT9" s="153">
        <v>0.0</v>
      </c>
      <c r="CU9" s="153">
        <v>807.0</v>
      </c>
      <c r="CV9" s="153">
        <v>0.03</v>
      </c>
      <c r="CW9" s="153">
        <v>65.3</v>
      </c>
      <c r="CX9" s="153">
        <v>0.06</v>
      </c>
      <c r="CY9" s="153">
        <v>1.52</v>
      </c>
      <c r="CZ9" s="153">
        <v>98.68</v>
      </c>
      <c r="DA9" s="153">
        <v>0.75</v>
      </c>
      <c r="DB9" s="153">
        <v>97.93</v>
      </c>
      <c r="DC9" s="153">
        <v>89.87</v>
      </c>
      <c r="DD9" s="153">
        <v>0.37</v>
      </c>
      <c r="DE9" s="153">
        <v>89.5</v>
      </c>
      <c r="DF9" s="153">
        <v>4.47</v>
      </c>
      <c r="DG9" s="153">
        <v>0.13</v>
      </c>
      <c r="DH9" s="153">
        <v>4.34</v>
      </c>
      <c r="DI9" s="153">
        <v>3.81</v>
      </c>
      <c r="DJ9" s="153">
        <v>0.13</v>
      </c>
      <c r="DK9" s="153">
        <v>3.68</v>
      </c>
      <c r="DL9" s="153">
        <v>0.53</v>
      </c>
      <c r="DM9" s="153">
        <v>0.13</v>
      </c>
      <c r="DN9" s="153">
        <v>0.41</v>
      </c>
    </row>
    <row r="10">
      <c r="A10" s="235">
        <v>46255.0</v>
      </c>
      <c r="B10" s="236" t="s">
        <v>5</v>
      </c>
      <c r="C10" s="236" t="s">
        <v>134</v>
      </c>
      <c r="D10" s="236">
        <v>5351.0</v>
      </c>
      <c r="E10" s="236">
        <v>22.83</v>
      </c>
      <c r="F10" s="236">
        <v>259.57</v>
      </c>
      <c r="G10" s="236">
        <v>0.0485</v>
      </c>
      <c r="H10" s="236">
        <v>1.92</v>
      </c>
      <c r="I10" s="236">
        <v>2.5201</v>
      </c>
      <c r="J10" s="236">
        <v>45.08</v>
      </c>
      <c r="K10" s="236">
        <v>23.39</v>
      </c>
      <c r="L10" s="236">
        <v>13.68</v>
      </c>
      <c r="M10" s="236">
        <v>0.585</v>
      </c>
      <c r="N10" s="236">
        <v>0.548</v>
      </c>
      <c r="O10" s="236">
        <v>0.3375</v>
      </c>
      <c r="P10" s="236">
        <v>1.7095</v>
      </c>
      <c r="Q10" s="236">
        <v>114.21</v>
      </c>
      <c r="R10" s="236">
        <v>103.6</v>
      </c>
      <c r="S10" s="236">
        <v>10.61</v>
      </c>
      <c r="T10" s="236">
        <v>3.69</v>
      </c>
      <c r="U10" s="236">
        <v>110.52</v>
      </c>
      <c r="V10" s="236">
        <v>100.89</v>
      </c>
      <c r="W10" s="236">
        <v>4.3132</v>
      </c>
      <c r="X10" s="236">
        <v>3.23</v>
      </c>
      <c r="Y10" s="236">
        <v>223.0</v>
      </c>
      <c r="Z10" s="236">
        <v>417.0</v>
      </c>
      <c r="AA10" s="236">
        <v>1248.0</v>
      </c>
      <c r="AB10" s="236">
        <v>52.0481</v>
      </c>
      <c r="AC10" s="236">
        <v>0.6792</v>
      </c>
      <c r="AD10" s="236">
        <v>9.54</v>
      </c>
      <c r="AE10" s="236">
        <v>4.0</v>
      </c>
      <c r="AF10" s="236">
        <v>8.0</v>
      </c>
      <c r="AG10" s="236">
        <v>13.0</v>
      </c>
      <c r="AH10" s="236">
        <v>20.0</v>
      </c>
      <c r="AI10" s="236">
        <v>63.33</v>
      </c>
      <c r="AJ10" s="236">
        <v>26.11</v>
      </c>
      <c r="AK10" s="236">
        <v>4.49</v>
      </c>
      <c r="AL10" s="236">
        <v>0.3248</v>
      </c>
      <c r="AM10" s="236">
        <v>51.8</v>
      </c>
      <c r="AN10" s="153">
        <v>51.8</v>
      </c>
      <c r="AO10" s="153">
        <v>31.02</v>
      </c>
      <c r="AP10" s="153">
        <v>14.73</v>
      </c>
      <c r="AQ10" s="153">
        <v>7.7496</v>
      </c>
      <c r="AR10" s="153">
        <v>0.0654</v>
      </c>
      <c r="AS10" s="153">
        <v>7.6842</v>
      </c>
      <c r="AT10" s="153">
        <v>5.9122</v>
      </c>
      <c r="AU10" s="153">
        <v>0.2528</v>
      </c>
      <c r="AV10" s="153">
        <v>5351.0</v>
      </c>
      <c r="AW10" s="153">
        <v>0.0</v>
      </c>
      <c r="AX10" s="153">
        <v>36.67</v>
      </c>
      <c r="AY10" s="153">
        <v>69.92</v>
      </c>
      <c r="AZ10" s="153">
        <v>2.68</v>
      </c>
      <c r="BA10" s="153">
        <v>3.69</v>
      </c>
      <c r="BB10" s="153">
        <v>1.25</v>
      </c>
      <c r="BC10" s="153">
        <v>36.0</v>
      </c>
      <c r="BD10" s="153">
        <v>17579.0</v>
      </c>
      <c r="BE10" s="153">
        <v>4.8916</v>
      </c>
      <c r="BF10" s="153">
        <v>0.0398</v>
      </c>
      <c r="BG10" s="153">
        <v>4.8518</v>
      </c>
      <c r="BH10" s="153">
        <v>3.2327</v>
      </c>
      <c r="BI10" s="153">
        <v>0.1382</v>
      </c>
      <c r="BJ10" s="153">
        <v>2.858</v>
      </c>
      <c r="BK10" s="153">
        <v>0.0256</v>
      </c>
      <c r="BL10" s="153">
        <v>2.8324</v>
      </c>
      <c r="BM10" s="153">
        <v>2.6795</v>
      </c>
      <c r="BN10" s="153">
        <v>0.1146</v>
      </c>
      <c r="BO10" s="153">
        <v>1.8481</v>
      </c>
      <c r="BP10" s="153">
        <v>0.0133</v>
      </c>
      <c r="BQ10" s="153">
        <v>1.8348</v>
      </c>
      <c r="BR10" s="153">
        <v>1.1966</v>
      </c>
      <c r="BS10" s="153">
        <v>1.9871</v>
      </c>
      <c r="BT10" s="153">
        <v>0.0138</v>
      </c>
      <c r="BU10" s="153">
        <v>1.9733</v>
      </c>
      <c r="BV10" s="153">
        <v>1.316</v>
      </c>
      <c r="BW10" s="153">
        <v>1.0564</v>
      </c>
      <c r="BX10" s="153">
        <v>0.0127</v>
      </c>
      <c r="BY10" s="153">
        <v>1.0437</v>
      </c>
      <c r="BZ10" s="153">
        <v>0.7201</v>
      </c>
      <c r="CA10" s="153">
        <v>0.447</v>
      </c>
      <c r="CB10" s="153">
        <v>0.0041</v>
      </c>
      <c r="CC10" s="153">
        <v>0.4429</v>
      </c>
      <c r="CD10" s="153">
        <v>0.4608</v>
      </c>
      <c r="CE10" s="153">
        <v>1.388</v>
      </c>
      <c r="CF10" s="153">
        <v>0.0133</v>
      </c>
      <c r="CG10" s="153">
        <v>1.3747</v>
      </c>
      <c r="CH10" s="153">
        <v>1.2667</v>
      </c>
      <c r="CI10" s="153">
        <v>1.023</v>
      </c>
      <c r="CJ10" s="153">
        <v>0.0082</v>
      </c>
      <c r="CK10" s="153">
        <v>1.0148</v>
      </c>
      <c r="CL10" s="153">
        <v>0.952</v>
      </c>
      <c r="CM10" s="153">
        <v>553.8</v>
      </c>
      <c r="CN10" s="153">
        <v>94.66</v>
      </c>
      <c r="CO10" s="153">
        <v>585.07</v>
      </c>
      <c r="CP10" s="153">
        <v>518.8</v>
      </c>
      <c r="CQ10" s="153">
        <v>2.66</v>
      </c>
      <c r="CR10" s="153">
        <v>20.84</v>
      </c>
      <c r="CS10" s="153">
        <v>11.49</v>
      </c>
      <c r="CT10" s="153">
        <v>0.0</v>
      </c>
      <c r="CU10" s="153">
        <v>1281.0</v>
      </c>
      <c r="CV10" s="153">
        <v>0.03</v>
      </c>
      <c r="CW10" s="153">
        <v>114.24</v>
      </c>
      <c r="CX10" s="153">
        <v>0.17</v>
      </c>
      <c r="CY10" s="153">
        <v>2.83</v>
      </c>
      <c r="CZ10" s="153">
        <v>149.15</v>
      </c>
      <c r="DA10" s="153">
        <v>1.19</v>
      </c>
      <c r="DB10" s="153">
        <v>147.96</v>
      </c>
      <c r="DC10" s="153">
        <v>135.84</v>
      </c>
      <c r="DD10" s="153">
        <v>0.3</v>
      </c>
      <c r="DE10" s="153">
        <v>135.54</v>
      </c>
      <c r="DF10" s="153">
        <v>7.56</v>
      </c>
      <c r="DG10" s="153">
        <v>0.3</v>
      </c>
      <c r="DH10" s="153">
        <v>7.26</v>
      </c>
      <c r="DI10" s="153">
        <v>4.96</v>
      </c>
      <c r="DJ10" s="153">
        <v>0.3</v>
      </c>
      <c r="DK10" s="153">
        <v>4.66</v>
      </c>
      <c r="DL10" s="153">
        <v>0.79</v>
      </c>
      <c r="DM10" s="153">
        <v>0.3</v>
      </c>
      <c r="DN10" s="153">
        <v>0.49</v>
      </c>
    </row>
    <row r="11">
      <c r="A11" s="235">
        <v>46255.0</v>
      </c>
      <c r="B11" s="236" t="s">
        <v>5</v>
      </c>
      <c r="C11" s="236" t="s">
        <v>135</v>
      </c>
      <c r="D11" s="236">
        <v>4488.0</v>
      </c>
      <c r="E11" s="236">
        <v>19.15</v>
      </c>
      <c r="F11" s="236">
        <v>538.13</v>
      </c>
      <c r="G11" s="236">
        <v>0.1199</v>
      </c>
      <c r="H11" s="236">
        <v>2.87</v>
      </c>
      <c r="I11" s="236">
        <v>4.1716</v>
      </c>
      <c r="J11" s="236">
        <v>69.96</v>
      </c>
      <c r="K11" s="236">
        <v>38.5</v>
      </c>
      <c r="L11" s="236">
        <v>25.81</v>
      </c>
      <c r="M11" s="236">
        <v>0.6703</v>
      </c>
      <c r="N11" s="236">
        <v>0.4737</v>
      </c>
      <c r="O11" s="236">
        <v>0.3034</v>
      </c>
      <c r="P11" s="236">
        <v>1.4918</v>
      </c>
      <c r="Q11" s="236">
        <v>206.7</v>
      </c>
      <c r="R11" s="236">
        <v>186.63</v>
      </c>
      <c r="S11" s="236">
        <v>20.07</v>
      </c>
      <c r="T11" s="236">
        <v>8.88</v>
      </c>
      <c r="U11" s="236">
        <v>197.82</v>
      </c>
      <c r="V11" s="236">
        <v>188.67</v>
      </c>
      <c r="W11" s="236">
        <v>4.9003</v>
      </c>
      <c r="X11" s="236">
        <v>4.3</v>
      </c>
      <c r="Y11" s="236">
        <v>275.0</v>
      </c>
      <c r="Z11" s="236">
        <v>526.0</v>
      </c>
      <c r="AA11" s="236">
        <v>1255.0</v>
      </c>
      <c r="AB11" s="236">
        <v>53.4995</v>
      </c>
      <c r="AC11" s="236">
        <v>0.7319</v>
      </c>
      <c r="AD11" s="236">
        <v>16.61</v>
      </c>
      <c r="AE11" s="236">
        <v>7.0</v>
      </c>
      <c r="AF11" s="236">
        <v>13.0</v>
      </c>
      <c r="AG11" s="236">
        <v>23.0</v>
      </c>
      <c r="AH11" s="236">
        <v>35.0</v>
      </c>
      <c r="AI11" s="236">
        <v>57.24</v>
      </c>
      <c r="AJ11" s="236">
        <v>20.25</v>
      </c>
      <c r="AK11" s="236">
        <v>5.82</v>
      </c>
      <c r="AL11" s="236">
        <v>0.2569</v>
      </c>
      <c r="AM11" s="236">
        <v>51.18</v>
      </c>
      <c r="AN11" s="153">
        <v>51.18</v>
      </c>
      <c r="AO11" s="153">
        <v>29.37</v>
      </c>
      <c r="AP11" s="153">
        <v>14.82</v>
      </c>
      <c r="AQ11" s="153">
        <v>10.9042</v>
      </c>
      <c r="AR11" s="153">
        <v>0.1687</v>
      </c>
      <c r="AS11" s="153">
        <v>10.7355</v>
      </c>
      <c r="AT11" s="153">
        <v>8.5359</v>
      </c>
      <c r="AU11" s="153">
        <v>0.2217</v>
      </c>
      <c r="AV11" s="153">
        <v>4488.0</v>
      </c>
      <c r="AW11" s="153">
        <v>0.0</v>
      </c>
      <c r="AX11" s="153">
        <v>59.72</v>
      </c>
      <c r="AY11" s="153">
        <v>132.85</v>
      </c>
      <c r="AZ11" s="153">
        <v>3.12</v>
      </c>
      <c r="BA11" s="153">
        <v>8.88</v>
      </c>
      <c r="BB11" s="153">
        <v>2.13</v>
      </c>
      <c r="BC11" s="153">
        <v>63.0</v>
      </c>
      <c r="BD11" s="153">
        <v>14867.0</v>
      </c>
      <c r="BE11" s="153">
        <v>6.5377</v>
      </c>
      <c r="BF11" s="153">
        <v>0.0943</v>
      </c>
      <c r="BG11" s="153">
        <v>6.4434</v>
      </c>
      <c r="BH11" s="153">
        <v>4.4617</v>
      </c>
      <c r="BI11" s="153">
        <v>0.1159</v>
      </c>
      <c r="BJ11" s="153">
        <v>4.3665</v>
      </c>
      <c r="BK11" s="153">
        <v>0.0744</v>
      </c>
      <c r="BL11" s="153">
        <v>4.2921</v>
      </c>
      <c r="BM11" s="153">
        <v>4.0742</v>
      </c>
      <c r="BN11" s="153">
        <v>0.1058</v>
      </c>
      <c r="BO11" s="153">
        <v>2.387</v>
      </c>
      <c r="BP11" s="153">
        <v>0.0196</v>
      </c>
      <c r="BQ11" s="153">
        <v>2.3674</v>
      </c>
      <c r="BR11" s="153">
        <v>1.639</v>
      </c>
      <c r="BS11" s="153">
        <v>2.5969</v>
      </c>
      <c r="BT11" s="153">
        <v>0.0283</v>
      </c>
      <c r="BU11" s="153">
        <v>2.5686</v>
      </c>
      <c r="BV11" s="153">
        <v>1.7335</v>
      </c>
      <c r="BW11" s="153">
        <v>1.5537</v>
      </c>
      <c r="BX11" s="153">
        <v>0.0463</v>
      </c>
      <c r="BY11" s="153">
        <v>1.5074</v>
      </c>
      <c r="BZ11" s="153">
        <v>1.0891</v>
      </c>
      <c r="CA11" s="153">
        <v>0.6856</v>
      </c>
      <c r="CB11" s="153">
        <v>0.0176</v>
      </c>
      <c r="CC11" s="153">
        <v>0.668</v>
      </c>
      <c r="CD11" s="153">
        <v>0.6923</v>
      </c>
      <c r="CE11" s="153">
        <v>1.7812</v>
      </c>
      <c r="CF11" s="153">
        <v>0.0328</v>
      </c>
      <c r="CG11" s="153">
        <v>1.7484</v>
      </c>
      <c r="CH11" s="153">
        <v>1.7424</v>
      </c>
      <c r="CI11" s="153">
        <v>1.8997</v>
      </c>
      <c r="CJ11" s="153">
        <v>0.0241</v>
      </c>
      <c r="CK11" s="153">
        <v>1.8757</v>
      </c>
      <c r="CL11" s="153">
        <v>1.6395</v>
      </c>
      <c r="CM11" s="153">
        <v>1037.16</v>
      </c>
      <c r="CN11" s="153">
        <v>97.15</v>
      </c>
      <c r="CO11" s="153">
        <v>1067.61</v>
      </c>
      <c r="CP11" s="153">
        <v>987.62</v>
      </c>
      <c r="CQ11" s="153">
        <v>3.01</v>
      </c>
      <c r="CR11" s="153">
        <v>26.06</v>
      </c>
      <c r="CS11" s="153">
        <v>20.47</v>
      </c>
      <c r="CT11" s="153">
        <v>0.0</v>
      </c>
      <c r="CU11" s="153">
        <v>1735.0</v>
      </c>
      <c r="CV11" s="153">
        <v>0.05</v>
      </c>
      <c r="CW11" s="153">
        <v>206.75</v>
      </c>
      <c r="CX11" s="153">
        <v>0.13</v>
      </c>
      <c r="CY11" s="153">
        <v>3.14</v>
      </c>
      <c r="CZ11" s="153">
        <v>205.24</v>
      </c>
      <c r="DA11" s="153">
        <v>1.07</v>
      </c>
      <c r="DB11" s="153">
        <v>204.17</v>
      </c>
      <c r="DC11" s="153">
        <v>185.63</v>
      </c>
      <c r="DD11" s="153">
        <v>0.33</v>
      </c>
      <c r="DE11" s="153">
        <v>185.3</v>
      </c>
      <c r="DF11" s="153">
        <v>10.63</v>
      </c>
      <c r="DG11" s="153">
        <v>0.25</v>
      </c>
      <c r="DH11" s="153">
        <v>10.38</v>
      </c>
      <c r="DI11" s="153">
        <v>7.86</v>
      </c>
      <c r="DJ11" s="153">
        <v>0.25</v>
      </c>
      <c r="DK11" s="153">
        <v>7.61</v>
      </c>
      <c r="DL11" s="153">
        <v>1.12</v>
      </c>
      <c r="DM11" s="153">
        <v>0.25</v>
      </c>
      <c r="DN11" s="153">
        <v>0.87</v>
      </c>
    </row>
    <row r="12">
      <c r="A12" s="235">
        <v>46255.0</v>
      </c>
      <c r="B12" s="236" t="s">
        <v>5</v>
      </c>
      <c r="C12" s="236" t="s">
        <v>136</v>
      </c>
      <c r="D12" s="236">
        <v>2328.0</v>
      </c>
      <c r="E12" s="236">
        <v>9.93</v>
      </c>
      <c r="F12" s="236">
        <v>1048.39</v>
      </c>
      <c r="G12" s="236">
        <v>0.4503</v>
      </c>
      <c r="H12" s="236">
        <v>5.5</v>
      </c>
      <c r="I12" s="236">
        <v>8.1905</v>
      </c>
      <c r="J12" s="236">
        <v>124.25</v>
      </c>
      <c r="K12" s="236">
        <v>74.84</v>
      </c>
      <c r="L12" s="236">
        <v>54.62</v>
      </c>
      <c r="M12" s="236">
        <v>0.7298</v>
      </c>
      <c r="N12" s="236">
        <v>0.4119</v>
      </c>
      <c r="O12" s="236">
        <v>0.2638</v>
      </c>
      <c r="P12" s="236">
        <v>1.3702</v>
      </c>
      <c r="Q12" s="236">
        <v>414.17</v>
      </c>
      <c r="R12" s="236">
        <v>371.75</v>
      </c>
      <c r="S12" s="236">
        <v>42.42</v>
      </c>
      <c r="T12" s="236">
        <v>36.86</v>
      </c>
      <c r="U12" s="236">
        <v>377.32</v>
      </c>
      <c r="V12" s="236">
        <v>400.28</v>
      </c>
      <c r="W12" s="236">
        <v>5.3487</v>
      </c>
      <c r="X12" s="236">
        <v>8.9</v>
      </c>
      <c r="Y12" s="236">
        <v>361.0</v>
      </c>
      <c r="Z12" s="236">
        <v>673.0</v>
      </c>
      <c r="AA12" s="236">
        <v>1721.0</v>
      </c>
      <c r="AB12" s="236">
        <v>55.2464</v>
      </c>
      <c r="AC12" s="236">
        <v>0.7659</v>
      </c>
      <c r="AD12" s="236">
        <v>30.71</v>
      </c>
      <c r="AE12" s="236">
        <v>12.0</v>
      </c>
      <c r="AF12" s="236">
        <v>23.0</v>
      </c>
      <c r="AG12" s="236">
        <v>43.0</v>
      </c>
      <c r="AH12" s="236">
        <v>66.0</v>
      </c>
      <c r="AI12" s="236">
        <v>42.78</v>
      </c>
      <c r="AJ12" s="236">
        <v>13.27</v>
      </c>
      <c r="AK12" s="236">
        <v>2.1</v>
      </c>
      <c r="AL12" s="236">
        <v>0.1534</v>
      </c>
      <c r="AM12" s="236">
        <v>50.43</v>
      </c>
      <c r="AN12" s="153">
        <v>50.43</v>
      </c>
      <c r="AO12" s="153">
        <v>29.85</v>
      </c>
      <c r="AP12" s="153">
        <v>16.28</v>
      </c>
      <c r="AQ12" s="153">
        <v>15.6864</v>
      </c>
      <c r="AR12" s="153">
        <v>0.7169</v>
      </c>
      <c r="AS12" s="153">
        <v>14.9695</v>
      </c>
      <c r="AT12" s="153">
        <v>14.6379</v>
      </c>
      <c r="AU12" s="153">
        <v>0.1956</v>
      </c>
      <c r="AV12" s="153">
        <v>2328.0</v>
      </c>
      <c r="AW12" s="153">
        <v>0.0</v>
      </c>
      <c r="AX12" s="153">
        <v>110.73</v>
      </c>
      <c r="AY12" s="153">
        <v>256.78</v>
      </c>
      <c r="AZ12" s="153">
        <v>4.32</v>
      </c>
      <c r="BA12" s="153">
        <v>36.86</v>
      </c>
      <c r="BB12" s="153">
        <v>5.49</v>
      </c>
      <c r="BC12" s="153">
        <v>110.0</v>
      </c>
      <c r="BD12" s="153">
        <v>14235.0</v>
      </c>
      <c r="BE12" s="153">
        <v>9.3359</v>
      </c>
      <c r="BF12" s="153">
        <v>0.4265</v>
      </c>
      <c r="BG12" s="153">
        <v>8.9094</v>
      </c>
      <c r="BH12" s="153">
        <v>7.7491</v>
      </c>
      <c r="BI12" s="153">
        <v>0.1035</v>
      </c>
      <c r="BJ12" s="153">
        <v>6.3505</v>
      </c>
      <c r="BK12" s="153">
        <v>0.2904</v>
      </c>
      <c r="BL12" s="153">
        <v>6.0601</v>
      </c>
      <c r="BM12" s="153">
        <v>6.8887</v>
      </c>
      <c r="BN12" s="153">
        <v>0.0921</v>
      </c>
      <c r="BO12" s="153">
        <v>3.189</v>
      </c>
      <c r="BP12" s="153">
        <v>0.1155</v>
      </c>
      <c r="BQ12" s="153">
        <v>3.0735</v>
      </c>
      <c r="BR12" s="153">
        <v>2.6946</v>
      </c>
      <c r="BS12" s="153">
        <v>3.7053</v>
      </c>
      <c r="BT12" s="153">
        <v>0.131</v>
      </c>
      <c r="BU12" s="153">
        <v>3.5743</v>
      </c>
      <c r="BV12" s="153">
        <v>3.0593</v>
      </c>
      <c r="BW12" s="153">
        <v>2.4416</v>
      </c>
      <c r="BX12" s="153">
        <v>0.18</v>
      </c>
      <c r="BY12" s="153">
        <v>2.2616</v>
      </c>
      <c r="BZ12" s="153">
        <v>1.9953</v>
      </c>
      <c r="CA12" s="153">
        <v>1.1864</v>
      </c>
      <c r="CB12" s="153">
        <v>0.079</v>
      </c>
      <c r="CC12" s="153">
        <v>1.1074</v>
      </c>
      <c r="CD12" s="153">
        <v>1.2749</v>
      </c>
      <c r="CE12" s="153">
        <v>2.1989</v>
      </c>
      <c r="CF12" s="153">
        <v>0.1211</v>
      </c>
      <c r="CG12" s="153">
        <v>2.0777</v>
      </c>
      <c r="CH12" s="153">
        <v>2.3587</v>
      </c>
      <c r="CI12" s="153">
        <v>2.9652</v>
      </c>
      <c r="CJ12" s="153">
        <v>0.0902</v>
      </c>
      <c r="CK12" s="153">
        <v>2.875</v>
      </c>
      <c r="CL12" s="153">
        <v>3.2552</v>
      </c>
      <c r="CM12" s="153">
        <v>2222.42</v>
      </c>
      <c r="CN12" s="153">
        <v>99.18</v>
      </c>
      <c r="CO12" s="153">
        <v>2240.71</v>
      </c>
      <c r="CP12" s="153">
        <v>2151.03</v>
      </c>
      <c r="CQ12" s="153">
        <v>6.79</v>
      </c>
      <c r="CR12" s="153">
        <v>33.52</v>
      </c>
      <c r="CS12" s="153">
        <v>31.08</v>
      </c>
      <c r="CT12" s="153">
        <v>0.0</v>
      </c>
      <c r="CU12" s="153">
        <v>1405.0</v>
      </c>
      <c r="CV12" s="153">
        <v>0.14</v>
      </c>
      <c r="CW12" s="153">
        <v>414.31</v>
      </c>
      <c r="CX12" s="153">
        <v>0.1</v>
      </c>
      <c r="CY12" s="153">
        <v>6.89</v>
      </c>
      <c r="CZ12" s="153">
        <v>341.5</v>
      </c>
      <c r="DA12" s="153">
        <v>5.08</v>
      </c>
      <c r="DB12" s="153">
        <v>336.42</v>
      </c>
      <c r="DC12" s="153">
        <v>309.22</v>
      </c>
      <c r="DD12" s="153">
        <v>2.04</v>
      </c>
      <c r="DE12" s="153">
        <v>307.18</v>
      </c>
      <c r="DF12" s="153">
        <v>15.96</v>
      </c>
      <c r="DG12" s="153">
        <v>1.01</v>
      </c>
      <c r="DH12" s="153">
        <v>14.94</v>
      </c>
      <c r="DI12" s="153">
        <v>12.09</v>
      </c>
      <c r="DJ12" s="153">
        <v>1.01</v>
      </c>
      <c r="DK12" s="153">
        <v>11.07</v>
      </c>
      <c r="DL12" s="153">
        <v>4.23</v>
      </c>
      <c r="DM12" s="153">
        <v>1.01</v>
      </c>
      <c r="DN12" s="153">
        <v>3.22</v>
      </c>
    </row>
    <row r="13">
      <c r="A13" s="235">
        <v>46255.0</v>
      </c>
      <c r="B13" s="236" t="s">
        <v>5</v>
      </c>
      <c r="C13" s="236" t="s">
        <v>137</v>
      </c>
      <c r="D13" s="236">
        <v>305.0</v>
      </c>
      <c r="E13" s="236">
        <v>1.3</v>
      </c>
      <c r="F13" s="236">
        <v>201.36</v>
      </c>
      <c r="G13" s="236">
        <v>0.6602</v>
      </c>
      <c r="H13" s="236">
        <v>8.52</v>
      </c>
      <c r="I13" s="236">
        <v>7.7446</v>
      </c>
      <c r="J13" s="236">
        <v>250.5</v>
      </c>
      <c r="K13" s="236">
        <v>162.84</v>
      </c>
      <c r="L13" s="236">
        <v>122.7</v>
      </c>
      <c r="M13" s="236">
        <v>0.7535</v>
      </c>
      <c r="N13" s="236">
        <v>0.3618</v>
      </c>
      <c r="O13" s="236">
        <v>0.2234</v>
      </c>
      <c r="P13" s="236">
        <v>1.3271</v>
      </c>
      <c r="Q13" s="236">
        <v>729.99</v>
      </c>
      <c r="R13" s="236">
        <v>634.81</v>
      </c>
      <c r="S13" s="236">
        <v>95.18</v>
      </c>
      <c r="T13" s="236">
        <v>71.97</v>
      </c>
      <c r="U13" s="236">
        <v>658.02</v>
      </c>
      <c r="V13" s="236">
        <v>708.2</v>
      </c>
      <c r="W13" s="236">
        <v>4.3491</v>
      </c>
      <c r="X13" s="236">
        <v>9.86</v>
      </c>
      <c r="Y13" s="236">
        <v>473.0</v>
      </c>
      <c r="Z13" s="236">
        <v>850.0</v>
      </c>
      <c r="AA13" s="236">
        <v>1580.0</v>
      </c>
      <c r="AB13" s="236">
        <v>58.1207</v>
      </c>
      <c r="AC13" s="236">
        <v>0.7933</v>
      </c>
      <c r="AD13" s="236">
        <v>59.83</v>
      </c>
      <c r="AE13" s="236">
        <v>25.0</v>
      </c>
      <c r="AF13" s="236">
        <v>45.0</v>
      </c>
      <c r="AG13" s="236">
        <v>78.0</v>
      </c>
      <c r="AH13" s="236">
        <v>124.0</v>
      </c>
      <c r="AI13" s="236">
        <v>24.26</v>
      </c>
      <c r="AJ13" s="236">
        <v>5.25</v>
      </c>
      <c r="AK13" s="236">
        <v>0.66</v>
      </c>
      <c r="AL13" s="236">
        <v>0.1279</v>
      </c>
      <c r="AM13" s="236">
        <v>43.93</v>
      </c>
      <c r="AN13" s="153">
        <v>43.93</v>
      </c>
      <c r="AO13" s="153">
        <v>30.16</v>
      </c>
      <c r="AP13" s="153">
        <v>23.61</v>
      </c>
      <c r="AQ13" s="153">
        <v>24.3672</v>
      </c>
      <c r="AR13" s="153">
        <v>0.8984</v>
      </c>
      <c r="AS13" s="153">
        <v>23.4689</v>
      </c>
      <c r="AT13" s="153">
        <v>26.7115</v>
      </c>
      <c r="AU13" s="153">
        <v>0.164</v>
      </c>
      <c r="AV13" s="153">
        <v>305.0</v>
      </c>
      <c r="AW13" s="153">
        <v>0.0</v>
      </c>
      <c r="AX13" s="153">
        <v>221.02</v>
      </c>
      <c r="AY13" s="153">
        <v>418.95</v>
      </c>
      <c r="AZ13" s="153">
        <v>7.41</v>
      </c>
      <c r="BA13" s="153">
        <v>70.98</v>
      </c>
      <c r="BB13" s="153">
        <v>11.63</v>
      </c>
      <c r="BC13" s="153">
        <v>241.0</v>
      </c>
      <c r="BD13" s="153">
        <v>7991.0</v>
      </c>
      <c r="BE13" s="153">
        <v>12.7869</v>
      </c>
      <c r="BF13" s="153">
        <v>0.3541</v>
      </c>
      <c r="BG13" s="153">
        <v>12.4328</v>
      </c>
      <c r="BH13" s="153">
        <v>11.7607</v>
      </c>
      <c r="BI13" s="153">
        <v>0.0722</v>
      </c>
      <c r="BJ13" s="153">
        <v>11.5803</v>
      </c>
      <c r="BK13" s="153">
        <v>0.5443</v>
      </c>
      <c r="BL13" s="153">
        <v>11.0361</v>
      </c>
      <c r="BM13" s="153">
        <v>14.9508</v>
      </c>
      <c r="BN13" s="153">
        <v>0.0918</v>
      </c>
      <c r="BO13" s="153">
        <v>4.482</v>
      </c>
      <c r="BP13" s="153">
        <v>0.1049</v>
      </c>
      <c r="BQ13" s="153">
        <v>4.377</v>
      </c>
      <c r="BR13" s="153">
        <v>3.9443</v>
      </c>
      <c r="BS13" s="153">
        <v>4.7508</v>
      </c>
      <c r="BT13" s="153">
        <v>0.1246</v>
      </c>
      <c r="BU13" s="153">
        <v>4.6262</v>
      </c>
      <c r="BV13" s="153">
        <v>4.3803</v>
      </c>
      <c r="BW13" s="153">
        <v>3.5541</v>
      </c>
      <c r="BX13" s="153">
        <v>0.1246</v>
      </c>
      <c r="BY13" s="153">
        <v>3.4295</v>
      </c>
      <c r="BZ13" s="153">
        <v>3.4361</v>
      </c>
      <c r="CA13" s="153">
        <v>2.8459</v>
      </c>
      <c r="CB13" s="153">
        <v>0.1508</v>
      </c>
      <c r="CC13" s="153">
        <v>2.6951</v>
      </c>
      <c r="CD13" s="153">
        <v>5.6033</v>
      </c>
      <c r="CE13" s="153">
        <v>3.7049</v>
      </c>
      <c r="CF13" s="153">
        <v>0.2656</v>
      </c>
      <c r="CG13" s="153">
        <v>3.4393</v>
      </c>
      <c r="CH13" s="153">
        <v>4.0525</v>
      </c>
      <c r="CI13" s="153">
        <v>5.0295</v>
      </c>
      <c r="CJ13" s="153">
        <v>0.1279</v>
      </c>
      <c r="CK13" s="153">
        <v>4.9016</v>
      </c>
      <c r="CL13" s="153">
        <v>5.2951</v>
      </c>
      <c r="CM13" s="153">
        <v>4878.82</v>
      </c>
      <c r="CN13" s="153">
        <v>99.67</v>
      </c>
      <c r="CO13" s="153">
        <v>4894.87</v>
      </c>
      <c r="CP13" s="153">
        <v>4783.14</v>
      </c>
      <c r="CQ13" s="153">
        <v>10.82</v>
      </c>
      <c r="CR13" s="153">
        <v>44.98</v>
      </c>
      <c r="CS13" s="153">
        <v>39.87</v>
      </c>
      <c r="CT13" s="153">
        <v>0.0</v>
      </c>
      <c r="CU13" s="153">
        <v>226.0</v>
      </c>
      <c r="CV13" s="153">
        <v>85.84</v>
      </c>
      <c r="CW13" s="153">
        <v>815.82</v>
      </c>
      <c r="CX13" s="153">
        <v>0.98</v>
      </c>
      <c r="CY13" s="153">
        <v>11.8</v>
      </c>
      <c r="CZ13" s="153">
        <v>628.89</v>
      </c>
      <c r="DA13" s="153">
        <v>11.89</v>
      </c>
      <c r="DB13" s="153">
        <v>617.0</v>
      </c>
      <c r="DC13" s="153">
        <v>576.61</v>
      </c>
      <c r="DD13" s="153">
        <v>3.62</v>
      </c>
      <c r="DE13" s="153">
        <v>572.98</v>
      </c>
      <c r="DF13" s="153">
        <v>24.34</v>
      </c>
      <c r="DG13" s="153">
        <v>2.75</v>
      </c>
      <c r="DH13" s="153">
        <v>21.59</v>
      </c>
      <c r="DI13" s="153">
        <v>17.08</v>
      </c>
      <c r="DJ13" s="153">
        <v>2.75</v>
      </c>
      <c r="DK13" s="153">
        <v>14.33</v>
      </c>
      <c r="DL13" s="153">
        <v>10.85</v>
      </c>
      <c r="DM13" s="153">
        <v>2.75</v>
      </c>
      <c r="DN13" s="153">
        <v>8.1</v>
      </c>
    </row>
    <row r="14">
      <c r="A14" s="235">
        <v>46256.0</v>
      </c>
      <c r="B14" s="236" t="s">
        <v>4</v>
      </c>
      <c r="C14" s="236" t="s">
        <v>423</v>
      </c>
      <c r="D14" s="236">
        <v>4863.0</v>
      </c>
      <c r="E14" s="236">
        <v>20.96</v>
      </c>
      <c r="F14" s="236">
        <v>423.96</v>
      </c>
      <c r="G14" s="236">
        <v>0.0872</v>
      </c>
      <c r="H14" s="236">
        <v>1.54</v>
      </c>
      <c r="I14" s="236">
        <v>5.6528</v>
      </c>
      <c r="J14" s="236">
        <v>25.33</v>
      </c>
      <c r="K14" s="236">
        <v>13.9</v>
      </c>
      <c r="L14" s="236">
        <v>9.29</v>
      </c>
      <c r="M14" s="236">
        <v>0.6681</v>
      </c>
      <c r="N14" s="236">
        <v>0.4522</v>
      </c>
      <c r="O14" s="236">
        <v>0.2181</v>
      </c>
      <c r="P14" s="236">
        <v>1.4968</v>
      </c>
      <c r="Q14" s="236">
        <v>74.67</v>
      </c>
      <c r="R14" s="236">
        <v>74.5</v>
      </c>
      <c r="S14" s="236">
        <v>0.17</v>
      </c>
      <c r="T14" s="236">
        <v>6.91</v>
      </c>
      <c r="U14" s="236">
        <v>67.76</v>
      </c>
      <c r="V14" s="236">
        <v>54.8</v>
      </c>
      <c r="W14" s="236">
        <v>3.9425</v>
      </c>
      <c r="X14" s="236">
        <v>9.25</v>
      </c>
      <c r="Y14" s="236">
        <v>207.0</v>
      </c>
      <c r="Z14" s="236">
        <v>658.0</v>
      </c>
      <c r="AA14" s="236">
        <v>4186.0</v>
      </c>
      <c r="AB14" s="236">
        <v>50.1564</v>
      </c>
      <c r="AC14" s="236">
        <v>0.4735</v>
      </c>
      <c r="AD14" s="236"/>
      <c r="AE14" s="236"/>
      <c r="AF14" s="236"/>
      <c r="AG14" s="236"/>
      <c r="AH14" s="236"/>
      <c r="AI14" s="236">
        <v>0.0</v>
      </c>
      <c r="AJ14" s="236">
        <v>0.0</v>
      </c>
      <c r="AK14" s="236">
        <v>0.0</v>
      </c>
      <c r="AL14" s="236">
        <v>0.4415</v>
      </c>
      <c r="AM14" s="237"/>
      <c r="AQ14" s="153">
        <v>2.4063</v>
      </c>
      <c r="AR14" s="153">
        <v>0.0773</v>
      </c>
      <c r="AS14" s="153">
        <v>2.329</v>
      </c>
      <c r="AT14" s="153">
        <v>1.8398</v>
      </c>
      <c r="AU14" s="153">
        <v>0.1324</v>
      </c>
      <c r="AV14" s="153">
        <v>4863.0</v>
      </c>
      <c r="AW14" s="153">
        <v>0.0</v>
      </c>
      <c r="AX14" s="153">
        <v>14.17</v>
      </c>
      <c r="AY14" s="153">
        <v>49.78</v>
      </c>
      <c r="AZ14" s="153">
        <v>3.57</v>
      </c>
      <c r="BA14" s="153">
        <v>6.91</v>
      </c>
      <c r="BB14" s="153">
        <v>0.24</v>
      </c>
      <c r="BD14" s="153">
        <v>29430.0</v>
      </c>
      <c r="BE14" s="153">
        <v>1.1585</v>
      </c>
      <c r="BF14" s="153">
        <v>0.0296</v>
      </c>
      <c r="BG14" s="153">
        <v>1.1289</v>
      </c>
      <c r="BH14" s="153">
        <v>0.9011</v>
      </c>
      <c r="BI14" s="153">
        <v>0.0648</v>
      </c>
      <c r="BJ14" s="153">
        <v>1.2478</v>
      </c>
      <c r="BK14" s="153">
        <v>0.0477</v>
      </c>
      <c r="BL14" s="153">
        <v>1.2001</v>
      </c>
      <c r="BM14" s="153">
        <v>0.9387</v>
      </c>
      <c r="BN14" s="153">
        <v>0.0675</v>
      </c>
      <c r="BO14" s="153">
        <v>0.4174</v>
      </c>
      <c r="BP14" s="153">
        <v>0.0101</v>
      </c>
      <c r="BQ14" s="153">
        <v>0.4074</v>
      </c>
      <c r="BR14" s="153">
        <v>0.3444</v>
      </c>
      <c r="BS14" s="153">
        <v>0.4594</v>
      </c>
      <c r="BT14" s="153">
        <v>0.0095</v>
      </c>
      <c r="BU14" s="153">
        <v>0.4499</v>
      </c>
      <c r="BV14" s="153">
        <v>0.3325</v>
      </c>
      <c r="BW14" s="153">
        <v>0.2817</v>
      </c>
      <c r="BX14" s="153">
        <v>0.0101</v>
      </c>
      <c r="BY14" s="153">
        <v>0.2716</v>
      </c>
      <c r="BZ14" s="153">
        <v>0.2241</v>
      </c>
      <c r="CA14" s="153">
        <v>0.2607</v>
      </c>
      <c r="CB14" s="153">
        <v>0.0111</v>
      </c>
      <c r="CC14" s="153">
        <v>0.2496</v>
      </c>
      <c r="CD14" s="153">
        <v>0.2256</v>
      </c>
      <c r="CE14" s="153">
        <v>0.5235</v>
      </c>
      <c r="CF14" s="153">
        <v>0.0226</v>
      </c>
      <c r="CG14" s="153">
        <v>0.5009</v>
      </c>
      <c r="CH14" s="153">
        <v>0.3806</v>
      </c>
      <c r="CI14" s="153">
        <v>0.4635</v>
      </c>
      <c r="CJ14" s="153">
        <v>0.014</v>
      </c>
      <c r="CK14" s="153">
        <v>0.4495</v>
      </c>
      <c r="CL14" s="153">
        <v>0.3325</v>
      </c>
      <c r="CM14" s="153">
        <v>156.89</v>
      </c>
      <c r="CN14" s="153">
        <v>25.72</v>
      </c>
      <c r="CO14" s="153">
        <v>609.89</v>
      </c>
      <c r="CP14" s="153">
        <v>145.96</v>
      </c>
      <c r="CQ14" s="153">
        <v>0.0</v>
      </c>
      <c r="CR14" s="153">
        <v>4.24</v>
      </c>
      <c r="CS14" s="153">
        <v>6.7</v>
      </c>
      <c r="CT14" s="153">
        <v>0.0</v>
      </c>
      <c r="CU14" s="153">
        <v>0.0</v>
      </c>
      <c r="CV14" s="153">
        <v>0.0</v>
      </c>
      <c r="CW14" s="153">
        <v>74.67</v>
      </c>
      <c r="CX14" s="153">
        <v>0.0</v>
      </c>
      <c r="CY14" s="153">
        <v>0.0</v>
      </c>
      <c r="CZ14" s="153">
        <v>39.16</v>
      </c>
      <c r="DA14" s="153">
        <v>1.63</v>
      </c>
      <c r="DB14" s="153">
        <v>37.53</v>
      </c>
      <c r="DC14" s="153">
        <v>32.76</v>
      </c>
      <c r="DD14" s="153">
        <v>0.46</v>
      </c>
      <c r="DE14" s="153">
        <v>32.31</v>
      </c>
      <c r="DF14" s="153">
        <v>3.14</v>
      </c>
      <c r="DG14" s="153">
        <v>0.39</v>
      </c>
      <c r="DH14" s="153">
        <v>2.75</v>
      </c>
      <c r="DI14" s="153">
        <v>2.38</v>
      </c>
      <c r="DJ14" s="153">
        <v>0.39</v>
      </c>
      <c r="DK14" s="153">
        <v>1.99</v>
      </c>
      <c r="DL14" s="153">
        <v>0.87</v>
      </c>
      <c r="DM14" s="153">
        <v>0.39</v>
      </c>
      <c r="DN14" s="153">
        <v>0.48</v>
      </c>
    </row>
    <row r="15">
      <c r="A15" s="235">
        <v>46256.0</v>
      </c>
      <c r="B15" s="236" t="s">
        <v>4</v>
      </c>
      <c r="C15" s="236" t="s">
        <v>133</v>
      </c>
      <c r="D15" s="236">
        <v>6089.0</v>
      </c>
      <c r="E15" s="236">
        <v>26.25</v>
      </c>
      <c r="F15" s="236">
        <v>132.56</v>
      </c>
      <c r="G15" s="236">
        <v>0.0218</v>
      </c>
      <c r="H15" s="236">
        <v>0.95</v>
      </c>
      <c r="I15" s="236">
        <v>2.2855</v>
      </c>
      <c r="J15" s="236">
        <v>23.16</v>
      </c>
      <c r="K15" s="236">
        <v>11.85</v>
      </c>
      <c r="L15" s="236">
        <v>5.54</v>
      </c>
      <c r="M15" s="236">
        <v>0.467</v>
      </c>
      <c r="N15" s="236">
        <v>0.6459</v>
      </c>
      <c r="O15" s="236">
        <v>0.4036</v>
      </c>
      <c r="P15" s="236">
        <v>2.1414</v>
      </c>
      <c r="Q15" s="236">
        <v>52.64</v>
      </c>
      <c r="R15" s="236">
        <v>47.53</v>
      </c>
      <c r="S15" s="236">
        <v>5.11</v>
      </c>
      <c r="T15" s="236">
        <v>2.0</v>
      </c>
      <c r="U15" s="236">
        <v>50.64</v>
      </c>
      <c r="V15" s="236">
        <v>51.6</v>
      </c>
      <c r="W15" s="236">
        <v>4.3528</v>
      </c>
      <c r="X15" s="236">
        <v>3.81</v>
      </c>
      <c r="Y15" s="236">
        <v>202.0</v>
      </c>
      <c r="Z15" s="236">
        <v>451.0</v>
      </c>
      <c r="AA15" s="236">
        <v>1493.0</v>
      </c>
      <c r="AB15" s="236">
        <v>49.969</v>
      </c>
      <c r="AC15" s="236">
        <v>0.5994</v>
      </c>
      <c r="AD15" s="236">
        <v>4.22</v>
      </c>
      <c r="AE15" s="236">
        <v>1.0</v>
      </c>
      <c r="AF15" s="236">
        <v>3.0</v>
      </c>
      <c r="AG15" s="236">
        <v>6.0</v>
      </c>
      <c r="AH15" s="236">
        <v>9.0</v>
      </c>
      <c r="AI15" s="236">
        <v>74.51</v>
      </c>
      <c r="AJ15" s="236">
        <v>34.93</v>
      </c>
      <c r="AK15" s="236">
        <v>8.29</v>
      </c>
      <c r="AL15" s="236">
        <v>0.4502</v>
      </c>
      <c r="AM15" s="236"/>
      <c r="AQ15" s="153">
        <v>4.0294</v>
      </c>
      <c r="AR15" s="153">
        <v>0.054</v>
      </c>
      <c r="AS15" s="153">
        <v>3.9754</v>
      </c>
      <c r="AT15" s="153">
        <v>3.0839</v>
      </c>
      <c r="AU15" s="153">
        <v>0.2601</v>
      </c>
      <c r="AV15" s="153">
        <v>6089.0</v>
      </c>
      <c r="AW15" s="153">
        <v>0.0</v>
      </c>
      <c r="AX15" s="153">
        <v>25.04</v>
      </c>
      <c r="AY15" s="153">
        <v>22.93</v>
      </c>
      <c r="AZ15" s="153">
        <v>2.22</v>
      </c>
      <c r="BA15" s="153">
        <v>2.0</v>
      </c>
      <c r="BB15" s="153">
        <v>0.44</v>
      </c>
      <c r="BC15" s="153">
        <v>18.0</v>
      </c>
      <c r="BD15" s="153">
        <v>18734.0</v>
      </c>
      <c r="BE15" s="153">
        <v>2.7489</v>
      </c>
      <c r="BF15" s="153">
        <v>0.036</v>
      </c>
      <c r="BG15" s="153">
        <v>2.7129</v>
      </c>
      <c r="BH15" s="153">
        <v>1.8248</v>
      </c>
      <c r="BI15" s="153">
        <v>0.1539</v>
      </c>
      <c r="BJ15" s="153">
        <v>1.2805</v>
      </c>
      <c r="BK15" s="153">
        <v>0.0181</v>
      </c>
      <c r="BL15" s="153">
        <v>1.2624</v>
      </c>
      <c r="BM15" s="153">
        <v>1.2592</v>
      </c>
      <c r="BN15" s="153">
        <v>0.1062</v>
      </c>
      <c r="BO15" s="153">
        <v>1.1151</v>
      </c>
      <c r="BP15" s="153">
        <v>0.0128</v>
      </c>
      <c r="BQ15" s="153">
        <v>1.1023</v>
      </c>
      <c r="BR15" s="153">
        <v>0.728</v>
      </c>
      <c r="BS15" s="153">
        <v>1.1292</v>
      </c>
      <c r="BT15" s="153">
        <v>0.0079</v>
      </c>
      <c r="BU15" s="153">
        <v>1.1214</v>
      </c>
      <c r="BV15" s="153">
        <v>0.709</v>
      </c>
      <c r="BW15" s="153">
        <v>0.5045</v>
      </c>
      <c r="BX15" s="153">
        <v>0.0153</v>
      </c>
      <c r="BY15" s="153">
        <v>0.4892</v>
      </c>
      <c r="BZ15" s="153">
        <v>0.3877</v>
      </c>
      <c r="CA15" s="153">
        <v>0.2053</v>
      </c>
      <c r="CB15" s="153">
        <v>0.0025</v>
      </c>
      <c r="CC15" s="153">
        <v>0.2028</v>
      </c>
      <c r="CD15" s="153">
        <v>0.2353</v>
      </c>
      <c r="CE15" s="153">
        <v>0.6139</v>
      </c>
      <c r="CF15" s="153">
        <v>0.008</v>
      </c>
      <c r="CG15" s="153">
        <v>0.6058</v>
      </c>
      <c r="CH15" s="153">
        <v>0.5664</v>
      </c>
      <c r="CI15" s="153">
        <v>0.4613</v>
      </c>
      <c r="CJ15" s="153">
        <v>0.0076</v>
      </c>
      <c r="CK15" s="153">
        <v>0.4538</v>
      </c>
      <c r="CL15" s="153">
        <v>0.4574</v>
      </c>
      <c r="CM15" s="153">
        <v>186.64</v>
      </c>
      <c r="CN15" s="153">
        <v>84.41</v>
      </c>
      <c r="CO15" s="153">
        <v>221.1</v>
      </c>
      <c r="CP15" s="153">
        <v>175.17</v>
      </c>
      <c r="CQ15" s="153">
        <v>0.0</v>
      </c>
      <c r="CR15" s="153">
        <v>8.31</v>
      </c>
      <c r="CS15" s="153">
        <v>3.15</v>
      </c>
      <c r="CT15" s="153">
        <v>0.0</v>
      </c>
      <c r="CU15" s="153">
        <v>0.0</v>
      </c>
      <c r="CV15" s="153">
        <v>0.0</v>
      </c>
      <c r="CW15" s="153">
        <v>52.64</v>
      </c>
      <c r="CX15" s="153">
        <v>0.0</v>
      </c>
      <c r="CY15" s="153">
        <v>0.0</v>
      </c>
      <c r="CZ15" s="153">
        <v>78.12</v>
      </c>
      <c r="DA15" s="153">
        <v>0.28</v>
      </c>
      <c r="DB15" s="153">
        <v>77.84</v>
      </c>
      <c r="DC15" s="153">
        <v>69.22</v>
      </c>
      <c r="DD15" s="153">
        <v>0.07</v>
      </c>
      <c r="DE15" s="153">
        <v>69.15</v>
      </c>
      <c r="DF15" s="153">
        <v>4.54</v>
      </c>
      <c r="DG15" s="153">
        <v>0.07</v>
      </c>
      <c r="DH15" s="153">
        <v>4.47</v>
      </c>
      <c r="DI15" s="153">
        <v>3.89</v>
      </c>
      <c r="DJ15" s="153">
        <v>0.07</v>
      </c>
      <c r="DK15" s="153">
        <v>3.82</v>
      </c>
      <c r="DL15" s="153">
        <v>0.47</v>
      </c>
      <c r="DM15" s="153">
        <v>0.07</v>
      </c>
      <c r="DN15" s="153">
        <v>0.4</v>
      </c>
    </row>
    <row r="16">
      <c r="A16" s="235">
        <v>46256.0</v>
      </c>
      <c r="B16" s="236" t="s">
        <v>4</v>
      </c>
      <c r="C16" s="236" t="s">
        <v>134</v>
      </c>
      <c r="D16" s="236">
        <v>5232.0</v>
      </c>
      <c r="E16" s="236">
        <v>22.55</v>
      </c>
      <c r="F16" s="236">
        <v>469.87</v>
      </c>
      <c r="G16" s="236">
        <v>0.0898</v>
      </c>
      <c r="H16" s="236">
        <v>2.39</v>
      </c>
      <c r="I16" s="236">
        <v>3.759</v>
      </c>
      <c r="J16" s="236">
        <v>42.9</v>
      </c>
      <c r="K16" s="236">
        <v>23.26</v>
      </c>
      <c r="L16" s="236">
        <v>13.53</v>
      </c>
      <c r="M16" s="236">
        <v>0.5818</v>
      </c>
      <c r="N16" s="236">
        <v>0.5486</v>
      </c>
      <c r="O16" s="236">
        <v>0.3371</v>
      </c>
      <c r="P16" s="236">
        <v>1.7189</v>
      </c>
      <c r="Q16" s="236">
        <v>100.47</v>
      </c>
      <c r="R16" s="236">
        <v>88.08</v>
      </c>
      <c r="S16" s="236">
        <v>12.39</v>
      </c>
      <c r="T16" s="236">
        <v>6.89</v>
      </c>
      <c r="U16" s="236">
        <v>93.58</v>
      </c>
      <c r="V16" s="236">
        <v>100.4</v>
      </c>
      <c r="W16" s="236">
        <v>4.3163</v>
      </c>
      <c r="X16" s="236">
        <v>6.86</v>
      </c>
      <c r="Y16" s="236">
        <v>222.0</v>
      </c>
      <c r="Z16" s="236">
        <v>519.0</v>
      </c>
      <c r="AA16" s="236">
        <v>1568.0</v>
      </c>
      <c r="AB16" s="236">
        <v>51.9462</v>
      </c>
      <c r="AC16" s="236">
        <v>0.6864</v>
      </c>
      <c r="AD16" s="236">
        <v>9.45</v>
      </c>
      <c r="AE16" s="236">
        <v>4.0</v>
      </c>
      <c r="AF16" s="236">
        <v>8.0</v>
      </c>
      <c r="AG16" s="236">
        <v>13.0</v>
      </c>
      <c r="AH16" s="236">
        <v>19.0</v>
      </c>
      <c r="AI16" s="236">
        <v>64.68</v>
      </c>
      <c r="AJ16" s="236">
        <v>25.71</v>
      </c>
      <c r="AK16" s="236">
        <v>3.71</v>
      </c>
      <c r="AL16" s="236">
        <v>0.3358</v>
      </c>
      <c r="AM16" s="237"/>
      <c r="AQ16" s="153">
        <v>6.8966</v>
      </c>
      <c r="AR16" s="153">
        <v>0.1028</v>
      </c>
      <c r="AS16" s="153">
        <v>6.7938</v>
      </c>
      <c r="AT16" s="153">
        <v>5.8907</v>
      </c>
      <c r="AU16" s="153">
        <v>0.2532</v>
      </c>
      <c r="AV16" s="153">
        <v>5232.0</v>
      </c>
      <c r="AW16" s="153">
        <v>0.0</v>
      </c>
      <c r="AX16" s="153">
        <v>41.86</v>
      </c>
      <c r="AY16" s="153">
        <v>47.84</v>
      </c>
      <c r="AZ16" s="153">
        <v>2.66</v>
      </c>
      <c r="BA16" s="153">
        <v>6.89</v>
      </c>
      <c r="BB16" s="153">
        <v>1.22</v>
      </c>
      <c r="BC16" s="153">
        <v>34.0</v>
      </c>
      <c r="BD16" s="153">
        <v>21061.0</v>
      </c>
      <c r="BE16" s="153">
        <v>4.2817</v>
      </c>
      <c r="BF16" s="153">
        <v>0.0487</v>
      </c>
      <c r="BG16" s="153">
        <v>4.233</v>
      </c>
      <c r="BH16" s="153">
        <v>3.3089</v>
      </c>
      <c r="BI16" s="153">
        <v>0.1422</v>
      </c>
      <c r="BJ16" s="153">
        <v>2.6149</v>
      </c>
      <c r="BK16" s="153">
        <v>0.0541</v>
      </c>
      <c r="BL16" s="153">
        <v>2.5608</v>
      </c>
      <c r="BM16" s="153">
        <v>2.5818</v>
      </c>
      <c r="BN16" s="153">
        <v>0.111</v>
      </c>
      <c r="BO16" s="153">
        <v>1.7938</v>
      </c>
      <c r="BP16" s="153">
        <v>0.0151</v>
      </c>
      <c r="BQ16" s="153">
        <v>1.7787</v>
      </c>
      <c r="BR16" s="153">
        <v>1.3142</v>
      </c>
      <c r="BS16" s="153">
        <v>1.6206</v>
      </c>
      <c r="BT16" s="153">
        <v>0.0134</v>
      </c>
      <c r="BU16" s="153">
        <v>1.6072</v>
      </c>
      <c r="BV16" s="153">
        <v>1.2575</v>
      </c>
      <c r="BW16" s="153">
        <v>0.8674</v>
      </c>
      <c r="BX16" s="153">
        <v>0.0203</v>
      </c>
      <c r="BY16" s="153">
        <v>0.8471</v>
      </c>
      <c r="BZ16" s="153">
        <v>0.7372</v>
      </c>
      <c r="CA16" s="153">
        <v>0.4723</v>
      </c>
      <c r="CB16" s="153">
        <v>0.0136</v>
      </c>
      <c r="CC16" s="153">
        <v>0.4587</v>
      </c>
      <c r="CD16" s="153">
        <v>0.5277</v>
      </c>
      <c r="CE16" s="153">
        <v>1.1369</v>
      </c>
      <c r="CF16" s="153">
        <v>0.0214</v>
      </c>
      <c r="CG16" s="153">
        <v>1.1154</v>
      </c>
      <c r="CH16" s="153">
        <v>1.0661</v>
      </c>
      <c r="CI16" s="153">
        <v>1.0057</v>
      </c>
      <c r="CJ16" s="153">
        <v>0.0191</v>
      </c>
      <c r="CK16" s="153">
        <v>0.9866</v>
      </c>
      <c r="CL16" s="153">
        <v>0.988</v>
      </c>
      <c r="CM16" s="153">
        <v>290.1</v>
      </c>
      <c r="CN16" s="153">
        <v>94.78</v>
      </c>
      <c r="CO16" s="153">
        <v>306.07</v>
      </c>
      <c r="CP16" s="153">
        <v>268.97</v>
      </c>
      <c r="CQ16" s="153">
        <v>0.0</v>
      </c>
      <c r="CR16" s="153">
        <v>9.51</v>
      </c>
      <c r="CS16" s="153">
        <v>11.62</v>
      </c>
      <c r="CT16" s="153">
        <v>0.0</v>
      </c>
      <c r="CU16" s="153">
        <v>0.0</v>
      </c>
      <c r="CV16" s="153">
        <v>0.0</v>
      </c>
      <c r="CW16" s="153">
        <v>100.47</v>
      </c>
      <c r="CX16" s="153">
        <v>0.0</v>
      </c>
      <c r="CY16" s="153">
        <v>0.0</v>
      </c>
      <c r="CZ16" s="153">
        <v>121.99</v>
      </c>
      <c r="DA16" s="153">
        <v>2.19</v>
      </c>
      <c r="DB16" s="153">
        <v>119.79</v>
      </c>
      <c r="DC16" s="153">
        <v>109.8</v>
      </c>
      <c r="DD16" s="153">
        <v>0.71</v>
      </c>
      <c r="DE16" s="153">
        <v>109.08</v>
      </c>
      <c r="DF16" s="153">
        <v>5.93</v>
      </c>
      <c r="DG16" s="153">
        <v>0.49</v>
      </c>
      <c r="DH16" s="153">
        <v>5.44</v>
      </c>
      <c r="DI16" s="153">
        <v>5.09</v>
      </c>
      <c r="DJ16" s="153">
        <v>0.49</v>
      </c>
      <c r="DK16" s="153">
        <v>4.6</v>
      </c>
      <c r="DL16" s="153">
        <v>1.17</v>
      </c>
      <c r="DM16" s="153">
        <v>0.49</v>
      </c>
      <c r="DN16" s="153">
        <v>0.67</v>
      </c>
    </row>
    <row r="17">
      <c r="A17" s="235">
        <v>46256.0</v>
      </c>
      <c r="B17" s="236" t="s">
        <v>4</v>
      </c>
      <c r="C17" s="236" t="s">
        <v>135</v>
      </c>
      <c r="D17" s="236">
        <v>4273.0</v>
      </c>
      <c r="E17" s="236">
        <v>18.42</v>
      </c>
      <c r="F17" s="236">
        <v>772.31</v>
      </c>
      <c r="G17" s="236">
        <v>0.1807</v>
      </c>
      <c r="H17" s="236">
        <v>3.56</v>
      </c>
      <c r="I17" s="236">
        <v>5.081</v>
      </c>
      <c r="J17" s="236">
        <v>68.73</v>
      </c>
      <c r="K17" s="236">
        <v>38.48</v>
      </c>
      <c r="L17" s="236">
        <v>25.85</v>
      </c>
      <c r="M17" s="236">
        <v>0.6719</v>
      </c>
      <c r="N17" s="236">
        <v>0.4745</v>
      </c>
      <c r="O17" s="236">
        <v>0.3046</v>
      </c>
      <c r="P17" s="236">
        <v>1.4884</v>
      </c>
      <c r="Q17" s="236">
        <v>171.52</v>
      </c>
      <c r="R17" s="236">
        <v>149.38</v>
      </c>
      <c r="S17" s="236">
        <v>22.14</v>
      </c>
      <c r="T17" s="236">
        <v>13.83</v>
      </c>
      <c r="U17" s="236">
        <v>157.69</v>
      </c>
      <c r="V17" s="236">
        <v>181.84</v>
      </c>
      <c r="W17" s="236">
        <v>4.7253</v>
      </c>
      <c r="X17" s="236">
        <v>8.06</v>
      </c>
      <c r="Y17" s="236">
        <v>249.0</v>
      </c>
      <c r="Z17" s="236">
        <v>567.0</v>
      </c>
      <c r="AA17" s="236">
        <v>1610.0</v>
      </c>
      <c r="AB17" s="236">
        <v>53.9275</v>
      </c>
      <c r="AC17" s="236">
        <v>0.7515</v>
      </c>
      <c r="AD17" s="236">
        <v>16.46</v>
      </c>
      <c r="AE17" s="236">
        <v>7.0</v>
      </c>
      <c r="AF17" s="236">
        <v>13.0</v>
      </c>
      <c r="AG17" s="236">
        <v>22.0</v>
      </c>
      <c r="AH17" s="236">
        <v>34.0</v>
      </c>
      <c r="AI17" s="236">
        <v>57.55</v>
      </c>
      <c r="AJ17" s="236">
        <v>19.19</v>
      </c>
      <c r="AK17" s="236">
        <v>5.62</v>
      </c>
      <c r="AL17" s="236">
        <v>0.241</v>
      </c>
      <c r="AM17" s="237"/>
      <c r="AQ17" s="153">
        <v>10.6267</v>
      </c>
      <c r="AR17" s="153">
        <v>0.2378</v>
      </c>
      <c r="AS17" s="153">
        <v>10.389</v>
      </c>
      <c r="AT17" s="153">
        <v>9.8032</v>
      </c>
      <c r="AU17" s="153">
        <v>0.2547</v>
      </c>
      <c r="AV17" s="153">
        <v>4273.0</v>
      </c>
      <c r="AW17" s="153">
        <v>0.0</v>
      </c>
      <c r="AX17" s="153">
        <v>64.36</v>
      </c>
      <c r="AY17" s="153">
        <v>88.52</v>
      </c>
      <c r="AZ17" s="153">
        <v>2.81</v>
      </c>
      <c r="BA17" s="153">
        <v>13.83</v>
      </c>
      <c r="BB17" s="153">
        <v>2.0</v>
      </c>
      <c r="BC17" s="153">
        <v>64.0</v>
      </c>
      <c r="BD17" s="153">
        <v>18111.0</v>
      </c>
      <c r="BE17" s="153">
        <v>6.3613</v>
      </c>
      <c r="BF17" s="153">
        <v>0.1467</v>
      </c>
      <c r="BG17" s="153">
        <v>6.2146</v>
      </c>
      <c r="BH17" s="153">
        <v>5.3478</v>
      </c>
      <c r="BI17" s="153">
        <v>0.139</v>
      </c>
      <c r="BJ17" s="153">
        <v>4.2654</v>
      </c>
      <c r="BK17" s="153">
        <v>0.091</v>
      </c>
      <c r="BL17" s="153">
        <v>4.1744</v>
      </c>
      <c r="BM17" s="153">
        <v>4.4554</v>
      </c>
      <c r="BN17" s="153">
        <v>0.1158</v>
      </c>
      <c r="BO17" s="153">
        <v>2.4645</v>
      </c>
      <c r="BP17" s="153">
        <v>0.0435</v>
      </c>
      <c r="BQ17" s="153">
        <v>2.421</v>
      </c>
      <c r="BR17" s="153">
        <v>2.0302</v>
      </c>
      <c r="BS17" s="153">
        <v>2.3052</v>
      </c>
      <c r="BT17" s="153">
        <v>0.052</v>
      </c>
      <c r="BU17" s="153">
        <v>2.2532</v>
      </c>
      <c r="BV17" s="153">
        <v>1.9747</v>
      </c>
      <c r="BW17" s="153">
        <v>1.5916</v>
      </c>
      <c r="BX17" s="153">
        <v>0.0513</v>
      </c>
      <c r="BY17" s="153">
        <v>1.5404</v>
      </c>
      <c r="BZ17" s="153">
        <v>1.3429</v>
      </c>
      <c r="CA17" s="153">
        <v>0.9012</v>
      </c>
      <c r="CB17" s="153">
        <v>0.0246</v>
      </c>
      <c r="CC17" s="153">
        <v>0.8767</v>
      </c>
      <c r="CD17" s="153">
        <v>1.1091</v>
      </c>
      <c r="CE17" s="153">
        <v>1.5493</v>
      </c>
      <c r="CF17" s="153">
        <v>0.0367</v>
      </c>
      <c r="CG17" s="153">
        <v>1.5125</v>
      </c>
      <c r="CH17" s="153">
        <v>1.5624</v>
      </c>
      <c r="CI17" s="153">
        <v>1.8149</v>
      </c>
      <c r="CJ17" s="153">
        <v>0.0297</v>
      </c>
      <c r="CK17" s="153">
        <v>1.7852</v>
      </c>
      <c r="CL17" s="153">
        <v>1.784</v>
      </c>
      <c r="CM17" s="153">
        <v>504.8</v>
      </c>
      <c r="CN17" s="153">
        <v>97.45</v>
      </c>
      <c r="CO17" s="153">
        <v>518.01</v>
      </c>
      <c r="CP17" s="153">
        <v>475.15</v>
      </c>
      <c r="CQ17" s="153">
        <v>0.0</v>
      </c>
      <c r="CR17" s="153">
        <v>9.23</v>
      </c>
      <c r="CS17" s="153">
        <v>20.42</v>
      </c>
      <c r="CT17" s="153">
        <v>0.0</v>
      </c>
      <c r="CU17" s="153">
        <v>0.0</v>
      </c>
      <c r="CV17" s="153">
        <v>0.0</v>
      </c>
      <c r="CW17" s="153">
        <v>171.52</v>
      </c>
      <c r="CX17" s="153">
        <v>0.0</v>
      </c>
      <c r="CY17" s="153">
        <v>0.0</v>
      </c>
      <c r="CZ17" s="153">
        <v>176.28</v>
      </c>
      <c r="DA17" s="153">
        <v>2.82</v>
      </c>
      <c r="DB17" s="153">
        <v>173.47</v>
      </c>
      <c r="DC17" s="153">
        <v>162.51</v>
      </c>
      <c r="DD17" s="153">
        <v>0.91</v>
      </c>
      <c r="DE17" s="153">
        <v>161.61</v>
      </c>
      <c r="DF17" s="153">
        <v>6.94</v>
      </c>
      <c r="DG17" s="153">
        <v>0.64</v>
      </c>
      <c r="DH17" s="153">
        <v>6.31</v>
      </c>
      <c r="DI17" s="153">
        <v>5.01</v>
      </c>
      <c r="DJ17" s="153">
        <v>0.64</v>
      </c>
      <c r="DK17" s="153">
        <v>4.38</v>
      </c>
      <c r="DL17" s="153">
        <v>1.82</v>
      </c>
      <c r="DM17" s="153">
        <v>0.64</v>
      </c>
      <c r="DN17" s="153">
        <v>1.18</v>
      </c>
    </row>
    <row r="18">
      <c r="A18" s="235">
        <v>46256.0</v>
      </c>
      <c r="B18" s="236" t="s">
        <v>4</v>
      </c>
      <c r="C18" s="236" t="s">
        <v>136</v>
      </c>
      <c r="D18" s="236">
        <v>2439.0</v>
      </c>
      <c r="E18" s="236">
        <v>10.51</v>
      </c>
      <c r="F18" s="236">
        <v>997.92</v>
      </c>
      <c r="G18" s="236">
        <v>0.4092</v>
      </c>
      <c r="H18" s="236">
        <v>6.36</v>
      </c>
      <c r="I18" s="236">
        <v>6.4382</v>
      </c>
      <c r="J18" s="236">
        <v>119.34</v>
      </c>
      <c r="K18" s="236">
        <v>71.6</v>
      </c>
      <c r="L18" s="236">
        <v>52.62</v>
      </c>
      <c r="M18" s="236">
        <v>0.735</v>
      </c>
      <c r="N18" s="236">
        <v>0.409</v>
      </c>
      <c r="O18" s="236">
        <v>0.2652</v>
      </c>
      <c r="P18" s="236">
        <v>1.3606</v>
      </c>
      <c r="Q18" s="236">
        <v>330.65</v>
      </c>
      <c r="R18" s="236">
        <v>288.02</v>
      </c>
      <c r="S18" s="236">
        <v>42.63</v>
      </c>
      <c r="T18" s="236">
        <v>37.66</v>
      </c>
      <c r="U18" s="236">
        <v>292.99</v>
      </c>
      <c r="V18" s="236">
        <v>344.44</v>
      </c>
      <c r="W18" s="236">
        <v>4.8109</v>
      </c>
      <c r="X18" s="236">
        <v>11.39</v>
      </c>
      <c r="Y18" s="236">
        <v>304.0</v>
      </c>
      <c r="Z18" s="236">
        <v>780.0</v>
      </c>
      <c r="AA18" s="236">
        <v>2015.0</v>
      </c>
      <c r="AB18" s="236">
        <v>55.8811</v>
      </c>
      <c r="AC18" s="236">
        <v>0.7902</v>
      </c>
      <c r="AD18" s="236">
        <v>30.46</v>
      </c>
      <c r="AE18" s="236">
        <v>11.0</v>
      </c>
      <c r="AF18" s="236">
        <v>22.0</v>
      </c>
      <c r="AG18" s="236">
        <v>41.0</v>
      </c>
      <c r="AH18" s="236">
        <v>64.0</v>
      </c>
      <c r="AI18" s="236">
        <v>41.04</v>
      </c>
      <c r="AJ18" s="236">
        <v>12.01</v>
      </c>
      <c r="AK18" s="236">
        <v>3.12</v>
      </c>
      <c r="AL18" s="236">
        <v>0.1751</v>
      </c>
      <c r="AM18" s="237"/>
      <c r="AQ18" s="153">
        <v>17.0578</v>
      </c>
      <c r="AR18" s="153">
        <v>0.4645</v>
      </c>
      <c r="AS18" s="153">
        <v>16.5933</v>
      </c>
      <c r="AT18" s="153">
        <v>17.4719</v>
      </c>
      <c r="AU18" s="153">
        <v>0.244</v>
      </c>
      <c r="AV18" s="153">
        <v>2439.0</v>
      </c>
      <c r="AW18" s="153">
        <v>0.0</v>
      </c>
      <c r="AX18" s="153">
        <v>107.18</v>
      </c>
      <c r="AY18" s="153">
        <v>176.99</v>
      </c>
      <c r="AZ18" s="153">
        <v>4.18</v>
      </c>
      <c r="BA18" s="153">
        <v>37.66</v>
      </c>
      <c r="BB18" s="153">
        <v>4.65</v>
      </c>
      <c r="BC18" s="153">
        <v>141.0</v>
      </c>
      <c r="BD18" s="153">
        <v>16665.0</v>
      </c>
      <c r="BE18" s="153">
        <v>9.3001</v>
      </c>
      <c r="BF18" s="153">
        <v>0.203</v>
      </c>
      <c r="BG18" s="153">
        <v>9.0972</v>
      </c>
      <c r="BH18" s="153">
        <v>9.1017</v>
      </c>
      <c r="BI18" s="153">
        <v>0.1271</v>
      </c>
      <c r="BJ18" s="153">
        <v>7.7577</v>
      </c>
      <c r="BK18" s="153">
        <v>0.2616</v>
      </c>
      <c r="BL18" s="153">
        <v>7.4961</v>
      </c>
      <c r="BM18" s="153">
        <v>8.3702</v>
      </c>
      <c r="BN18" s="153">
        <v>0.1169</v>
      </c>
      <c r="BO18" s="153">
        <v>3.1804</v>
      </c>
      <c r="BP18" s="153">
        <v>0.0672</v>
      </c>
      <c r="BQ18" s="153">
        <v>3.1132</v>
      </c>
      <c r="BR18" s="153">
        <v>3.1587</v>
      </c>
      <c r="BS18" s="153">
        <v>3.3358</v>
      </c>
      <c r="BT18" s="153">
        <v>0.066</v>
      </c>
      <c r="BU18" s="153">
        <v>3.2698</v>
      </c>
      <c r="BV18" s="153">
        <v>3.3592</v>
      </c>
      <c r="BW18" s="153">
        <v>2.7839</v>
      </c>
      <c r="BX18" s="153">
        <v>0.0697</v>
      </c>
      <c r="BY18" s="153">
        <v>2.7142</v>
      </c>
      <c r="BZ18" s="153">
        <v>2.5838</v>
      </c>
      <c r="CA18" s="153">
        <v>2.1164</v>
      </c>
      <c r="CB18" s="153">
        <v>0.0845</v>
      </c>
      <c r="CC18" s="153">
        <v>2.032</v>
      </c>
      <c r="CD18" s="153">
        <v>2.6183</v>
      </c>
      <c r="CE18" s="153">
        <v>2.4666</v>
      </c>
      <c r="CF18" s="153">
        <v>0.0972</v>
      </c>
      <c r="CG18" s="153">
        <v>2.3694</v>
      </c>
      <c r="CH18" s="153">
        <v>2.6019</v>
      </c>
      <c r="CI18" s="153">
        <v>3.1747</v>
      </c>
      <c r="CJ18" s="153">
        <v>0.08</v>
      </c>
      <c r="CK18" s="153">
        <v>3.0947</v>
      </c>
      <c r="CL18" s="153">
        <v>3.1501</v>
      </c>
      <c r="CM18" s="153">
        <v>830.03</v>
      </c>
      <c r="CN18" s="153">
        <v>98.93</v>
      </c>
      <c r="CO18" s="153">
        <v>838.98</v>
      </c>
      <c r="CP18" s="153">
        <v>788.88</v>
      </c>
      <c r="CQ18" s="153">
        <v>0.0</v>
      </c>
      <c r="CR18" s="153">
        <v>8.33</v>
      </c>
      <c r="CS18" s="153">
        <v>32.82</v>
      </c>
      <c r="CT18" s="153">
        <v>0.0</v>
      </c>
      <c r="CU18" s="153">
        <v>0.0</v>
      </c>
      <c r="CV18" s="153">
        <v>0.0</v>
      </c>
      <c r="CW18" s="153">
        <v>330.65</v>
      </c>
      <c r="CX18" s="153">
        <v>0.0</v>
      </c>
      <c r="CY18" s="153">
        <v>0.0</v>
      </c>
      <c r="CZ18" s="153">
        <v>290.15</v>
      </c>
      <c r="DA18" s="153">
        <v>8.68</v>
      </c>
      <c r="DB18" s="153">
        <v>281.47</v>
      </c>
      <c r="DC18" s="153">
        <v>265.73</v>
      </c>
      <c r="DD18" s="153">
        <v>2.87</v>
      </c>
      <c r="DE18" s="153">
        <v>262.86</v>
      </c>
      <c r="DF18" s="153">
        <v>12.48</v>
      </c>
      <c r="DG18" s="153">
        <v>1.94</v>
      </c>
      <c r="DH18" s="153">
        <v>10.54</v>
      </c>
      <c r="DI18" s="153">
        <v>8.53</v>
      </c>
      <c r="DJ18" s="153">
        <v>1.94</v>
      </c>
      <c r="DK18" s="153">
        <v>6.59</v>
      </c>
      <c r="DL18" s="153">
        <v>3.41</v>
      </c>
      <c r="DM18" s="153">
        <v>1.94</v>
      </c>
      <c r="DN18" s="153">
        <v>1.47</v>
      </c>
    </row>
    <row r="19">
      <c r="A19" s="235">
        <v>46256.0</v>
      </c>
      <c r="B19" s="236" t="s">
        <v>4</v>
      </c>
      <c r="C19" s="236" t="s">
        <v>137</v>
      </c>
      <c r="D19" s="236">
        <v>303.0</v>
      </c>
      <c r="E19" s="236">
        <v>1.31</v>
      </c>
      <c r="F19" s="236">
        <v>299.12</v>
      </c>
      <c r="G19" s="236">
        <v>0.9872</v>
      </c>
      <c r="H19" s="236">
        <v>9.24</v>
      </c>
      <c r="I19" s="236">
        <v>10.6829</v>
      </c>
      <c r="J19" s="236">
        <v>241.42</v>
      </c>
      <c r="K19" s="236">
        <v>159.28</v>
      </c>
      <c r="L19" s="236">
        <v>124.74</v>
      </c>
      <c r="M19" s="236">
        <v>0.7832</v>
      </c>
      <c r="N19" s="236">
        <v>0.3519</v>
      </c>
      <c r="O19" s="236">
        <v>0.2293</v>
      </c>
      <c r="P19" s="236">
        <v>1.2768</v>
      </c>
      <c r="Q19" s="236">
        <v>545.57</v>
      </c>
      <c r="R19" s="236">
        <v>445.26</v>
      </c>
      <c r="S19" s="236">
        <v>100.31</v>
      </c>
      <c r="T19" s="236">
        <v>66.83</v>
      </c>
      <c r="U19" s="236">
        <v>478.74</v>
      </c>
      <c r="V19" s="236">
        <v>579.37</v>
      </c>
      <c r="W19" s="236">
        <v>3.6375</v>
      </c>
      <c r="X19" s="236">
        <v>12.25</v>
      </c>
      <c r="Y19" s="236">
        <v>332.0</v>
      </c>
      <c r="Z19" s="236">
        <v>885.0</v>
      </c>
      <c r="AA19" s="236">
        <v>2908.0</v>
      </c>
      <c r="AB19" s="236">
        <v>57.8922</v>
      </c>
      <c r="AC19" s="236">
        <v>0.8145</v>
      </c>
      <c r="AD19" s="236">
        <v>52.8</v>
      </c>
      <c r="AE19" s="236">
        <v>22.0</v>
      </c>
      <c r="AF19" s="236">
        <v>38.0</v>
      </c>
      <c r="AG19" s="236">
        <v>66.0</v>
      </c>
      <c r="AH19" s="236">
        <v>108.0</v>
      </c>
      <c r="AI19" s="236">
        <v>19.8</v>
      </c>
      <c r="AJ19" s="236">
        <v>4.29</v>
      </c>
      <c r="AK19" s="236">
        <v>0.0</v>
      </c>
      <c r="AL19" s="236">
        <v>0.099</v>
      </c>
      <c r="AM19" s="237"/>
      <c r="AQ19" s="153">
        <v>29.7723</v>
      </c>
      <c r="AR19" s="153">
        <v>0.7492</v>
      </c>
      <c r="AS19" s="153">
        <v>29.0231</v>
      </c>
      <c r="AT19" s="153">
        <v>30.462</v>
      </c>
      <c r="AU19" s="153">
        <v>0.1913</v>
      </c>
      <c r="AV19" s="153">
        <v>303.0</v>
      </c>
      <c r="AW19" s="153">
        <v>0.0</v>
      </c>
      <c r="AX19" s="153">
        <v>213.0</v>
      </c>
      <c r="AY19" s="153">
        <v>248.15</v>
      </c>
      <c r="AZ19" s="153">
        <v>7.85</v>
      </c>
      <c r="BA19" s="153">
        <v>66.83</v>
      </c>
      <c r="BB19" s="153">
        <v>9.73</v>
      </c>
      <c r="BC19" s="153">
        <v>242.0</v>
      </c>
      <c r="BD19" s="153">
        <v>16244.0</v>
      </c>
      <c r="BE19" s="153">
        <v>16.2772</v>
      </c>
      <c r="BF19" s="153">
        <v>0.297</v>
      </c>
      <c r="BG19" s="153">
        <v>15.9802</v>
      </c>
      <c r="BH19" s="153">
        <v>16.6304</v>
      </c>
      <c r="BI19" s="153">
        <v>0.1044</v>
      </c>
      <c r="BJ19" s="153">
        <v>13.495</v>
      </c>
      <c r="BK19" s="153">
        <v>0.4521</v>
      </c>
      <c r="BL19" s="153">
        <v>13.0429</v>
      </c>
      <c r="BM19" s="153">
        <v>13.8317</v>
      </c>
      <c r="BN19" s="153">
        <v>0.0868</v>
      </c>
      <c r="BO19" s="153">
        <v>5.5479</v>
      </c>
      <c r="BP19" s="153">
        <v>0.099</v>
      </c>
      <c r="BQ19" s="153">
        <v>5.4488</v>
      </c>
      <c r="BR19" s="153">
        <v>5.8515</v>
      </c>
      <c r="BS19" s="153">
        <v>5.6502</v>
      </c>
      <c r="BT19" s="153">
        <v>0.099</v>
      </c>
      <c r="BU19" s="153">
        <v>5.5512</v>
      </c>
      <c r="BV19" s="153">
        <v>5.8614</v>
      </c>
      <c r="BW19" s="153">
        <v>5.0792</v>
      </c>
      <c r="BX19" s="153">
        <v>0.099</v>
      </c>
      <c r="BY19" s="153">
        <v>4.9802</v>
      </c>
      <c r="BZ19" s="153">
        <v>4.9175</v>
      </c>
      <c r="CA19" s="153">
        <v>4.4356</v>
      </c>
      <c r="CB19" s="153">
        <v>0.1221</v>
      </c>
      <c r="CC19" s="153">
        <v>4.3135</v>
      </c>
      <c r="CD19" s="153">
        <v>4.264</v>
      </c>
      <c r="CE19" s="153">
        <v>3.6865</v>
      </c>
      <c r="CF19" s="153">
        <v>0.1848</v>
      </c>
      <c r="CG19" s="153">
        <v>3.5017</v>
      </c>
      <c r="CH19" s="153">
        <v>4.1617</v>
      </c>
      <c r="CI19" s="153">
        <v>5.3729</v>
      </c>
      <c r="CJ19" s="153">
        <v>0.1452</v>
      </c>
      <c r="CK19" s="153">
        <v>5.2277</v>
      </c>
      <c r="CL19" s="153">
        <v>5.4059</v>
      </c>
      <c r="CM19" s="153">
        <v>1800.5</v>
      </c>
      <c r="CN19" s="153">
        <v>99.34</v>
      </c>
      <c r="CO19" s="153">
        <v>1812.46</v>
      </c>
      <c r="CP19" s="153">
        <v>1749.19</v>
      </c>
      <c r="CQ19" s="153">
        <v>0.0</v>
      </c>
      <c r="CR19" s="153">
        <v>8.65</v>
      </c>
      <c r="CS19" s="153">
        <v>42.65</v>
      </c>
      <c r="CT19" s="153">
        <v>0.0</v>
      </c>
      <c r="CU19" s="153">
        <v>0.0</v>
      </c>
      <c r="CV19" s="153">
        <v>0.0</v>
      </c>
      <c r="CW19" s="153">
        <v>545.57</v>
      </c>
      <c r="CX19" s="153">
        <v>0.0</v>
      </c>
      <c r="CY19" s="153">
        <v>0.0</v>
      </c>
      <c r="CZ19" s="153">
        <v>512.0</v>
      </c>
      <c r="DA19" s="153">
        <v>8.37</v>
      </c>
      <c r="DB19" s="153">
        <v>503.63</v>
      </c>
      <c r="DC19" s="153">
        <v>485.28</v>
      </c>
      <c r="DD19" s="153">
        <v>3.02</v>
      </c>
      <c r="DE19" s="153">
        <v>482.26</v>
      </c>
      <c r="DF19" s="153">
        <v>11.52</v>
      </c>
      <c r="DG19" s="153">
        <v>1.78</v>
      </c>
      <c r="DH19" s="153">
        <v>9.74</v>
      </c>
      <c r="DI19" s="153">
        <v>12.24</v>
      </c>
      <c r="DJ19" s="153">
        <v>1.78</v>
      </c>
      <c r="DK19" s="153">
        <v>10.46</v>
      </c>
      <c r="DL19" s="153">
        <v>2.95</v>
      </c>
      <c r="DM19" s="153">
        <v>1.78</v>
      </c>
      <c r="DN19" s="153">
        <v>1.17</v>
      </c>
    </row>
    <row r="20">
      <c r="A20" s="235">
        <v>46256.0</v>
      </c>
      <c r="B20" s="236" t="s">
        <v>5</v>
      </c>
      <c r="C20" s="236" t="s">
        <v>423</v>
      </c>
      <c r="D20" s="236">
        <v>4835.0</v>
      </c>
      <c r="E20" s="236">
        <v>21.27</v>
      </c>
      <c r="F20" s="236">
        <v>551.59</v>
      </c>
      <c r="G20" s="236">
        <v>0.1141</v>
      </c>
      <c r="H20" s="236">
        <v>1.65</v>
      </c>
      <c r="I20" s="236">
        <v>6.8949</v>
      </c>
      <c r="J20" s="236">
        <v>25.43</v>
      </c>
      <c r="K20" s="236">
        <v>13.71</v>
      </c>
      <c r="L20" s="236">
        <v>9.49</v>
      </c>
      <c r="M20" s="236">
        <v>0.6919</v>
      </c>
      <c r="N20" s="236">
        <v>0.4312</v>
      </c>
      <c r="O20" s="236">
        <v>0.2123</v>
      </c>
      <c r="P20" s="236">
        <v>1.4452</v>
      </c>
      <c r="Q20" s="236">
        <v>74.06</v>
      </c>
      <c r="R20" s="236">
        <v>74.01</v>
      </c>
      <c r="S20" s="236">
        <v>0.05</v>
      </c>
      <c r="T20" s="236">
        <v>11.02</v>
      </c>
      <c r="U20" s="236">
        <v>63.04</v>
      </c>
      <c r="V20" s="236">
        <v>56.93</v>
      </c>
      <c r="W20" s="236">
        <v>4.1521</v>
      </c>
      <c r="X20" s="236">
        <v>14.88</v>
      </c>
      <c r="Y20" s="236">
        <v>189.0</v>
      </c>
      <c r="Z20" s="236">
        <v>557.0</v>
      </c>
      <c r="AA20" s="236">
        <v>3973.0</v>
      </c>
      <c r="AB20" s="236">
        <v>49.6742</v>
      </c>
      <c r="AC20" s="236">
        <v>0.4813</v>
      </c>
      <c r="AD20" s="237"/>
      <c r="AE20" s="237"/>
      <c r="AF20" s="237"/>
      <c r="AG20" s="237"/>
      <c r="AH20" s="237"/>
      <c r="AI20" s="236">
        <v>0.0</v>
      </c>
      <c r="AJ20" s="236">
        <v>0.0</v>
      </c>
      <c r="AK20" s="236">
        <v>0.0</v>
      </c>
      <c r="AL20" s="236">
        <v>0.4507</v>
      </c>
      <c r="AM20" s="236">
        <v>11.38</v>
      </c>
      <c r="AN20" s="153">
        <v>11.38</v>
      </c>
      <c r="AO20" s="153">
        <v>7.09</v>
      </c>
      <c r="AP20" s="153">
        <v>4.12</v>
      </c>
      <c r="AQ20" s="153">
        <v>2.23</v>
      </c>
      <c r="AR20" s="153">
        <v>0.1245</v>
      </c>
      <c r="AS20" s="153">
        <v>2.1055</v>
      </c>
      <c r="AT20" s="153">
        <v>1.7454</v>
      </c>
      <c r="AU20" s="153">
        <v>0.1273</v>
      </c>
      <c r="AV20" s="153">
        <v>4835.0</v>
      </c>
      <c r="AW20" s="153">
        <v>0.0</v>
      </c>
      <c r="AX20" s="153">
        <v>11.77</v>
      </c>
      <c r="AY20" s="153">
        <v>47.84</v>
      </c>
      <c r="AZ20" s="153">
        <v>3.22</v>
      </c>
      <c r="BA20" s="153">
        <v>11.02</v>
      </c>
      <c r="BB20" s="153">
        <v>0.21</v>
      </c>
      <c r="BD20" s="153">
        <v>26883.0</v>
      </c>
      <c r="BE20" s="153">
        <v>1.1404</v>
      </c>
      <c r="BF20" s="153">
        <v>0.0515</v>
      </c>
      <c r="BG20" s="153">
        <v>1.0889</v>
      </c>
      <c r="BH20" s="153">
        <v>0.8637</v>
      </c>
      <c r="BI20" s="153">
        <v>0.063</v>
      </c>
      <c r="BJ20" s="153">
        <v>1.0896</v>
      </c>
      <c r="BK20" s="153">
        <v>0.073</v>
      </c>
      <c r="BL20" s="153">
        <v>1.0165</v>
      </c>
      <c r="BM20" s="153">
        <v>0.8817</v>
      </c>
      <c r="BN20" s="153">
        <v>0.0643</v>
      </c>
      <c r="BO20" s="153">
        <v>0.4474</v>
      </c>
      <c r="BP20" s="153">
        <v>0.0182</v>
      </c>
      <c r="BQ20" s="153">
        <v>0.4292</v>
      </c>
      <c r="BR20" s="153">
        <v>0.3349</v>
      </c>
      <c r="BS20" s="153">
        <v>0.4271</v>
      </c>
      <c r="BT20" s="153">
        <v>0.0163</v>
      </c>
      <c r="BU20" s="153">
        <v>0.4108</v>
      </c>
      <c r="BV20" s="153">
        <v>0.3295</v>
      </c>
      <c r="BW20" s="153">
        <v>0.266</v>
      </c>
      <c r="BX20" s="153">
        <v>0.017</v>
      </c>
      <c r="BY20" s="153">
        <v>0.249</v>
      </c>
      <c r="BZ20" s="153">
        <v>0.1994</v>
      </c>
      <c r="CA20" s="153">
        <v>0.2383</v>
      </c>
      <c r="CB20" s="153">
        <v>0.0192</v>
      </c>
      <c r="CC20" s="153">
        <v>0.219</v>
      </c>
      <c r="CD20" s="153">
        <v>0.2081</v>
      </c>
      <c r="CE20" s="153">
        <v>0.4838</v>
      </c>
      <c r="CF20" s="153">
        <v>0.0312</v>
      </c>
      <c r="CG20" s="153">
        <v>0.4525</v>
      </c>
      <c r="CH20" s="153">
        <v>0.3648</v>
      </c>
      <c r="CI20" s="153">
        <v>0.3675</v>
      </c>
      <c r="CJ20" s="153">
        <v>0.0225</v>
      </c>
      <c r="CK20" s="153">
        <v>0.345</v>
      </c>
      <c r="CL20" s="153">
        <v>0.3088</v>
      </c>
      <c r="CM20" s="153">
        <v>129.15</v>
      </c>
      <c r="CN20" s="153">
        <v>24.22</v>
      </c>
      <c r="CO20" s="153">
        <v>533.24</v>
      </c>
      <c r="CP20" s="153">
        <v>117.65</v>
      </c>
      <c r="CQ20" s="153">
        <v>0.01</v>
      </c>
      <c r="CR20" s="153">
        <v>4.15</v>
      </c>
      <c r="CS20" s="153">
        <v>7.33</v>
      </c>
      <c r="CT20" s="153">
        <v>0.0</v>
      </c>
      <c r="CU20" s="153">
        <v>1030.0</v>
      </c>
      <c r="CV20" s="153">
        <v>0.0</v>
      </c>
      <c r="CW20" s="153">
        <v>74.06</v>
      </c>
      <c r="CX20" s="153">
        <v>0.0</v>
      </c>
      <c r="CY20" s="153">
        <v>0.01</v>
      </c>
      <c r="CZ20" s="153">
        <v>43.94</v>
      </c>
      <c r="DA20" s="153">
        <v>2.34</v>
      </c>
      <c r="DB20" s="153">
        <v>41.6</v>
      </c>
      <c r="DC20" s="153">
        <v>36.22</v>
      </c>
      <c r="DD20" s="153">
        <v>0.98</v>
      </c>
      <c r="DE20" s="153">
        <v>35.24</v>
      </c>
      <c r="DF20" s="153">
        <v>3.52</v>
      </c>
      <c r="DG20" s="153">
        <v>0.45</v>
      </c>
      <c r="DH20" s="153">
        <v>3.07</v>
      </c>
      <c r="DI20" s="153">
        <v>2.59</v>
      </c>
      <c r="DJ20" s="153">
        <v>0.45</v>
      </c>
      <c r="DK20" s="153">
        <v>2.14</v>
      </c>
      <c r="DL20" s="153">
        <v>1.61</v>
      </c>
      <c r="DM20" s="153">
        <v>0.45</v>
      </c>
      <c r="DN20" s="153">
        <v>1.16</v>
      </c>
    </row>
    <row r="21">
      <c r="A21" s="235">
        <v>46256.0</v>
      </c>
      <c r="B21" s="236" t="s">
        <v>5</v>
      </c>
      <c r="C21" s="236" t="s">
        <v>133</v>
      </c>
      <c r="D21" s="236">
        <v>6095.0</v>
      </c>
      <c r="E21" s="236">
        <v>26.81</v>
      </c>
      <c r="F21" s="236">
        <v>126.87</v>
      </c>
      <c r="G21" s="236">
        <v>0.0208</v>
      </c>
      <c r="H21" s="236">
        <v>0.87</v>
      </c>
      <c r="I21" s="236">
        <v>2.3938</v>
      </c>
      <c r="J21" s="236">
        <v>22.9</v>
      </c>
      <c r="K21" s="236">
        <v>11.41</v>
      </c>
      <c r="L21" s="236">
        <v>5.41</v>
      </c>
      <c r="M21" s="236">
        <v>0.4739</v>
      </c>
      <c r="N21" s="236">
        <v>0.6375</v>
      </c>
      <c r="O21" s="236">
        <v>0.3941</v>
      </c>
      <c r="P21" s="236">
        <v>2.11</v>
      </c>
      <c r="Q21" s="236">
        <v>45.5</v>
      </c>
      <c r="R21" s="236">
        <v>41.4</v>
      </c>
      <c r="S21" s="236">
        <v>4.1</v>
      </c>
      <c r="T21" s="236">
        <v>1.53</v>
      </c>
      <c r="U21" s="236">
        <v>43.97</v>
      </c>
      <c r="V21" s="236">
        <v>46.58</v>
      </c>
      <c r="W21" s="236">
        <v>4.0818</v>
      </c>
      <c r="X21" s="236">
        <v>3.35</v>
      </c>
      <c r="Y21" s="236">
        <v>195.0</v>
      </c>
      <c r="Z21" s="236">
        <v>417.0</v>
      </c>
      <c r="AA21" s="236">
        <v>1460.0</v>
      </c>
      <c r="AB21" s="236">
        <v>50.1284</v>
      </c>
      <c r="AC21" s="236">
        <v>0.606</v>
      </c>
      <c r="AD21" s="236">
        <v>4.14</v>
      </c>
      <c r="AE21" s="236">
        <v>1.0</v>
      </c>
      <c r="AF21" s="236">
        <v>3.0</v>
      </c>
      <c r="AG21" s="236">
        <v>5.0</v>
      </c>
      <c r="AH21" s="236">
        <v>9.0</v>
      </c>
      <c r="AI21" s="236">
        <v>73.63</v>
      </c>
      <c r="AJ21" s="236">
        <v>33.58</v>
      </c>
      <c r="AK21" s="236">
        <v>8.32</v>
      </c>
      <c r="AL21" s="236">
        <v>0.4487</v>
      </c>
      <c r="AM21" s="236">
        <v>45.86</v>
      </c>
      <c r="AN21" s="153">
        <v>45.86</v>
      </c>
      <c r="AO21" s="153">
        <v>22.53</v>
      </c>
      <c r="AP21" s="153">
        <v>7.76</v>
      </c>
      <c r="AQ21" s="153">
        <v>3.3647</v>
      </c>
      <c r="AR21" s="153">
        <v>0.0397</v>
      </c>
      <c r="AS21" s="153">
        <v>3.325</v>
      </c>
      <c r="AT21" s="153">
        <v>2.9214</v>
      </c>
      <c r="AU21" s="153">
        <v>0.256</v>
      </c>
      <c r="AV21" s="153">
        <v>6095.0</v>
      </c>
      <c r="AW21" s="153">
        <v>0.0</v>
      </c>
      <c r="AX21" s="153">
        <v>20.92</v>
      </c>
      <c r="AY21" s="153">
        <v>20.68</v>
      </c>
      <c r="AZ21" s="153">
        <v>1.97</v>
      </c>
      <c r="BA21" s="153">
        <v>1.53</v>
      </c>
      <c r="BB21" s="153">
        <v>0.4</v>
      </c>
      <c r="BC21" s="153">
        <v>18.0</v>
      </c>
      <c r="BD21" s="153">
        <v>19747.0</v>
      </c>
      <c r="BE21" s="153">
        <v>2.366</v>
      </c>
      <c r="BF21" s="153">
        <v>0.0241</v>
      </c>
      <c r="BG21" s="153">
        <v>2.3419</v>
      </c>
      <c r="BH21" s="153">
        <v>1.7083</v>
      </c>
      <c r="BI21" s="153">
        <v>0.1497</v>
      </c>
      <c r="BJ21" s="153">
        <v>0.9987</v>
      </c>
      <c r="BK21" s="153">
        <v>0.0156</v>
      </c>
      <c r="BL21" s="153">
        <v>0.9831</v>
      </c>
      <c r="BM21" s="153">
        <v>1.2131</v>
      </c>
      <c r="BN21" s="153">
        <v>0.1063</v>
      </c>
      <c r="BO21" s="153">
        <v>0.9549</v>
      </c>
      <c r="BP21" s="153">
        <v>0.0094</v>
      </c>
      <c r="BQ21" s="153">
        <v>0.9455</v>
      </c>
      <c r="BR21" s="153">
        <v>0.6753</v>
      </c>
      <c r="BS21" s="153">
        <v>1.0187</v>
      </c>
      <c r="BT21" s="153">
        <v>0.0044</v>
      </c>
      <c r="BU21" s="153">
        <v>1.0143</v>
      </c>
      <c r="BV21" s="153">
        <v>0.6991</v>
      </c>
      <c r="BW21" s="153">
        <v>0.3925</v>
      </c>
      <c r="BX21" s="153">
        <v>0.0103</v>
      </c>
      <c r="BY21" s="153">
        <v>0.3821</v>
      </c>
      <c r="BZ21" s="153">
        <v>0.3339</v>
      </c>
      <c r="CA21" s="153">
        <v>0.1249</v>
      </c>
      <c r="CB21" s="153">
        <v>0.0028</v>
      </c>
      <c r="CC21" s="153">
        <v>0.1221</v>
      </c>
      <c r="CD21" s="153">
        <v>0.1779</v>
      </c>
      <c r="CE21" s="153">
        <v>0.5014</v>
      </c>
      <c r="CF21" s="153">
        <v>0.0054</v>
      </c>
      <c r="CG21" s="153">
        <v>0.496</v>
      </c>
      <c r="CH21" s="153">
        <v>0.6062</v>
      </c>
      <c r="CI21" s="153">
        <v>0.3724</v>
      </c>
      <c r="CJ21" s="153">
        <v>0.0074</v>
      </c>
      <c r="CK21" s="153">
        <v>0.3651</v>
      </c>
      <c r="CL21" s="153">
        <v>0.429</v>
      </c>
      <c r="CM21" s="153">
        <v>156.15</v>
      </c>
      <c r="CN21" s="153">
        <v>84.33</v>
      </c>
      <c r="CO21" s="153">
        <v>185.17</v>
      </c>
      <c r="CP21" s="153">
        <v>143.89</v>
      </c>
      <c r="CQ21" s="153">
        <v>0.14</v>
      </c>
      <c r="CR21" s="153">
        <v>8.4</v>
      </c>
      <c r="CS21" s="153">
        <v>3.72</v>
      </c>
      <c r="CT21" s="153">
        <v>0.0</v>
      </c>
      <c r="CU21" s="153">
        <v>777.0</v>
      </c>
      <c r="CV21" s="153">
        <v>0.0</v>
      </c>
      <c r="CW21" s="153">
        <v>45.5</v>
      </c>
      <c r="CX21" s="153">
        <v>0.0</v>
      </c>
      <c r="CY21" s="153">
        <v>0.14</v>
      </c>
      <c r="CZ21" s="153">
        <v>87.86</v>
      </c>
      <c r="DA21" s="153">
        <v>0.39</v>
      </c>
      <c r="DB21" s="153">
        <v>87.46</v>
      </c>
      <c r="DC21" s="153">
        <v>78.98</v>
      </c>
      <c r="DD21" s="153">
        <v>0.11</v>
      </c>
      <c r="DE21" s="153">
        <v>78.87</v>
      </c>
      <c r="DF21" s="153">
        <v>4.58</v>
      </c>
      <c r="DG21" s="153">
        <v>0.1</v>
      </c>
      <c r="DH21" s="153">
        <v>4.49</v>
      </c>
      <c r="DI21" s="153">
        <v>3.77</v>
      </c>
      <c r="DJ21" s="153">
        <v>0.1</v>
      </c>
      <c r="DK21" s="153">
        <v>3.67</v>
      </c>
      <c r="DL21" s="153">
        <v>0.53</v>
      </c>
      <c r="DM21" s="153">
        <v>0.1</v>
      </c>
      <c r="DN21" s="153">
        <v>0.43</v>
      </c>
    </row>
    <row r="22">
      <c r="A22" s="235">
        <v>46256.0</v>
      </c>
      <c r="B22" s="236" t="s">
        <v>5</v>
      </c>
      <c r="C22" s="236" t="s">
        <v>134</v>
      </c>
      <c r="D22" s="236">
        <v>5139.0</v>
      </c>
      <c r="E22" s="236">
        <v>22.61</v>
      </c>
      <c r="F22" s="236">
        <v>425.61</v>
      </c>
      <c r="G22" s="236">
        <v>0.0828</v>
      </c>
      <c r="H22" s="236">
        <v>2.8</v>
      </c>
      <c r="I22" s="236">
        <v>2.9556</v>
      </c>
      <c r="J22" s="236">
        <v>44.02</v>
      </c>
      <c r="K22" s="236">
        <v>23.58</v>
      </c>
      <c r="L22" s="236">
        <v>13.3</v>
      </c>
      <c r="M22" s="236">
        <v>0.5641</v>
      </c>
      <c r="N22" s="236">
        <v>0.5622</v>
      </c>
      <c r="O22" s="236">
        <v>0.3412</v>
      </c>
      <c r="P22" s="236">
        <v>1.7728</v>
      </c>
      <c r="Q22" s="236">
        <v>90.74</v>
      </c>
      <c r="R22" s="236">
        <v>80.3</v>
      </c>
      <c r="S22" s="236">
        <v>10.44</v>
      </c>
      <c r="T22" s="236">
        <v>6.91</v>
      </c>
      <c r="U22" s="236">
        <v>83.83</v>
      </c>
      <c r="V22" s="236">
        <v>96.72</v>
      </c>
      <c r="W22" s="236">
        <v>4.1013</v>
      </c>
      <c r="X22" s="236">
        <v>7.61</v>
      </c>
      <c r="Y22" s="236">
        <v>201.0</v>
      </c>
      <c r="Z22" s="236">
        <v>446.0</v>
      </c>
      <c r="AA22" s="236">
        <v>1398.0</v>
      </c>
      <c r="AB22" s="236">
        <v>51.9749</v>
      </c>
      <c r="AC22" s="236">
        <v>0.6799</v>
      </c>
      <c r="AD22" s="236">
        <v>9.33</v>
      </c>
      <c r="AE22" s="236">
        <v>4.0</v>
      </c>
      <c r="AF22" s="236">
        <v>8.0</v>
      </c>
      <c r="AG22" s="236">
        <v>12.0</v>
      </c>
      <c r="AH22" s="236">
        <v>19.0</v>
      </c>
      <c r="AI22" s="236">
        <v>63.4</v>
      </c>
      <c r="AJ22" s="236">
        <v>24.6</v>
      </c>
      <c r="AK22" s="236">
        <v>4.2</v>
      </c>
      <c r="AL22" s="236">
        <v>0.3166</v>
      </c>
      <c r="AM22" s="236">
        <v>53.26</v>
      </c>
      <c r="AN22" s="153">
        <v>53.26</v>
      </c>
      <c r="AO22" s="153">
        <v>31.27</v>
      </c>
      <c r="AP22" s="153">
        <v>14.44</v>
      </c>
      <c r="AQ22" s="153">
        <v>5.4223</v>
      </c>
      <c r="AR22" s="153">
        <v>0.1029</v>
      </c>
      <c r="AS22" s="153">
        <v>5.3193</v>
      </c>
      <c r="AT22" s="153">
        <v>5.3374</v>
      </c>
      <c r="AU22" s="153">
        <v>0.2263</v>
      </c>
      <c r="AV22" s="153">
        <v>5139.0</v>
      </c>
      <c r="AW22" s="153">
        <v>0.0</v>
      </c>
      <c r="AX22" s="153">
        <v>36.86</v>
      </c>
      <c r="AY22" s="153">
        <v>42.99</v>
      </c>
      <c r="AZ22" s="153">
        <v>2.7</v>
      </c>
      <c r="BA22" s="153">
        <v>6.91</v>
      </c>
      <c r="BB22" s="153">
        <v>1.27</v>
      </c>
      <c r="BC22" s="153">
        <v>35.0</v>
      </c>
      <c r="BD22" s="153">
        <v>17554.0</v>
      </c>
      <c r="BE22" s="153">
        <v>3.54</v>
      </c>
      <c r="BF22" s="153">
        <v>0.0525</v>
      </c>
      <c r="BG22" s="153">
        <v>3.4874</v>
      </c>
      <c r="BH22" s="153">
        <v>3.0202</v>
      </c>
      <c r="BI22" s="153">
        <v>0.1281</v>
      </c>
      <c r="BJ22" s="153">
        <v>1.8823</v>
      </c>
      <c r="BK22" s="153">
        <v>0.0504</v>
      </c>
      <c r="BL22" s="153">
        <v>1.8319</v>
      </c>
      <c r="BM22" s="153">
        <v>2.3172</v>
      </c>
      <c r="BN22" s="153">
        <v>0.0983</v>
      </c>
      <c r="BO22" s="153">
        <v>1.4639</v>
      </c>
      <c r="BP22" s="153">
        <v>0.0185</v>
      </c>
      <c r="BQ22" s="153">
        <v>1.4454</v>
      </c>
      <c r="BR22" s="153">
        <v>1.2028</v>
      </c>
      <c r="BS22" s="153">
        <v>1.447</v>
      </c>
      <c r="BT22" s="153">
        <v>0.0162</v>
      </c>
      <c r="BU22" s="153">
        <v>1.4308</v>
      </c>
      <c r="BV22" s="153">
        <v>1.1987</v>
      </c>
      <c r="BW22" s="153">
        <v>0.6291</v>
      </c>
      <c r="BX22" s="153">
        <v>0.0179</v>
      </c>
      <c r="BY22" s="153">
        <v>0.6112</v>
      </c>
      <c r="BZ22" s="153">
        <v>0.6188</v>
      </c>
      <c r="CA22" s="153">
        <v>0.2598</v>
      </c>
      <c r="CB22" s="153">
        <v>0.0119</v>
      </c>
      <c r="CC22" s="153">
        <v>0.2479</v>
      </c>
      <c r="CD22" s="153">
        <v>0.3843</v>
      </c>
      <c r="CE22" s="153">
        <v>0.8692</v>
      </c>
      <c r="CF22" s="153">
        <v>0.0222</v>
      </c>
      <c r="CG22" s="153">
        <v>0.8471</v>
      </c>
      <c r="CH22" s="153">
        <v>1.0773</v>
      </c>
      <c r="CI22" s="153">
        <v>0.7533</v>
      </c>
      <c r="CJ22" s="153">
        <v>0.0163</v>
      </c>
      <c r="CK22" s="153">
        <v>0.7369</v>
      </c>
      <c r="CL22" s="153">
        <v>0.8556</v>
      </c>
      <c r="CM22" s="153">
        <v>254.89</v>
      </c>
      <c r="CN22" s="153">
        <v>95.08</v>
      </c>
      <c r="CO22" s="153">
        <v>268.09</v>
      </c>
      <c r="CP22" s="153">
        <v>229.61</v>
      </c>
      <c r="CQ22" s="153">
        <v>0.46</v>
      </c>
      <c r="CR22" s="153">
        <v>9.56</v>
      </c>
      <c r="CS22" s="153">
        <v>15.26</v>
      </c>
      <c r="CT22" s="153">
        <v>0.0</v>
      </c>
      <c r="CU22" s="153">
        <v>1244.0</v>
      </c>
      <c r="CV22" s="153">
        <v>0.01</v>
      </c>
      <c r="CW22" s="153">
        <v>90.74</v>
      </c>
      <c r="CX22" s="153">
        <v>0.04</v>
      </c>
      <c r="CY22" s="153">
        <v>0.5</v>
      </c>
      <c r="CZ22" s="153">
        <v>132.62</v>
      </c>
      <c r="DA22" s="153">
        <v>1.88</v>
      </c>
      <c r="DB22" s="153">
        <v>130.75</v>
      </c>
      <c r="DC22" s="153">
        <v>118.93</v>
      </c>
      <c r="DD22" s="153">
        <v>0.54</v>
      </c>
      <c r="DE22" s="153">
        <v>118.39</v>
      </c>
      <c r="DF22" s="153">
        <v>6.8</v>
      </c>
      <c r="DG22" s="153">
        <v>0.45</v>
      </c>
      <c r="DH22" s="153">
        <v>6.35</v>
      </c>
      <c r="DI22" s="153">
        <v>5.72</v>
      </c>
      <c r="DJ22" s="153">
        <v>0.45</v>
      </c>
      <c r="DK22" s="153">
        <v>5.27</v>
      </c>
      <c r="DL22" s="153">
        <v>1.18</v>
      </c>
      <c r="DM22" s="153">
        <v>0.45</v>
      </c>
      <c r="DN22" s="153">
        <v>0.73</v>
      </c>
    </row>
    <row r="23">
      <c r="A23" s="235">
        <v>46256.0</v>
      </c>
      <c r="B23" s="236" t="s">
        <v>5</v>
      </c>
      <c r="C23" s="236" t="s">
        <v>135</v>
      </c>
      <c r="D23" s="236">
        <v>4197.0</v>
      </c>
      <c r="E23" s="236">
        <v>18.46</v>
      </c>
      <c r="F23" s="236">
        <v>719.65</v>
      </c>
      <c r="G23" s="236">
        <v>0.1715</v>
      </c>
      <c r="H23" s="236">
        <v>3.29</v>
      </c>
      <c r="I23" s="236">
        <v>5.2149</v>
      </c>
      <c r="J23" s="236">
        <v>68.59</v>
      </c>
      <c r="K23" s="236">
        <v>38.84</v>
      </c>
      <c r="L23" s="236">
        <v>25.09</v>
      </c>
      <c r="M23" s="236">
        <v>0.646</v>
      </c>
      <c r="N23" s="236">
        <v>0.4906</v>
      </c>
      <c r="O23" s="236">
        <v>0.306</v>
      </c>
      <c r="P23" s="236">
        <v>1.5479</v>
      </c>
      <c r="Q23" s="236">
        <v>159.34</v>
      </c>
      <c r="R23" s="236">
        <v>139.88</v>
      </c>
      <c r="S23" s="236">
        <v>19.45</v>
      </c>
      <c r="T23" s="236">
        <v>12.88</v>
      </c>
      <c r="U23" s="236">
        <v>146.46</v>
      </c>
      <c r="V23" s="236">
        <v>171.56</v>
      </c>
      <c r="W23" s="236">
        <v>4.4175</v>
      </c>
      <c r="X23" s="236">
        <v>8.08</v>
      </c>
      <c r="Y23" s="236">
        <v>236.0</v>
      </c>
      <c r="Z23" s="236">
        <v>515.0</v>
      </c>
      <c r="AA23" s="236">
        <v>1317.0</v>
      </c>
      <c r="AB23" s="236">
        <v>53.5631</v>
      </c>
      <c r="AC23" s="236">
        <v>0.7335</v>
      </c>
      <c r="AD23" s="236">
        <v>15.8</v>
      </c>
      <c r="AE23" s="236">
        <v>6.0</v>
      </c>
      <c r="AF23" s="236">
        <v>12.0</v>
      </c>
      <c r="AG23" s="236">
        <v>22.0</v>
      </c>
      <c r="AH23" s="236">
        <v>33.0</v>
      </c>
      <c r="AI23" s="236">
        <v>54.52</v>
      </c>
      <c r="AJ23" s="236">
        <v>18.06</v>
      </c>
      <c r="AK23" s="236">
        <v>5.41</v>
      </c>
      <c r="AL23" s="236">
        <v>0.2549</v>
      </c>
      <c r="AM23" s="236">
        <v>50.77</v>
      </c>
      <c r="AN23" s="153">
        <v>50.77</v>
      </c>
      <c r="AO23" s="153">
        <v>27.4</v>
      </c>
      <c r="AP23" s="153">
        <v>14.13</v>
      </c>
      <c r="AQ23" s="153">
        <v>7.3662</v>
      </c>
      <c r="AR23" s="153">
        <v>0.1687</v>
      </c>
      <c r="AS23" s="153">
        <v>7.1975</v>
      </c>
      <c r="AT23" s="153">
        <v>7.7934</v>
      </c>
      <c r="AU23" s="153">
        <v>0.2007</v>
      </c>
      <c r="AV23" s="153">
        <v>4197.0</v>
      </c>
      <c r="AW23" s="153">
        <v>0.0</v>
      </c>
      <c r="AX23" s="153">
        <v>58.3</v>
      </c>
      <c r="AY23" s="153">
        <v>83.17</v>
      </c>
      <c r="AZ23" s="153">
        <v>2.82</v>
      </c>
      <c r="BA23" s="153">
        <v>12.88</v>
      </c>
      <c r="BB23" s="153">
        <v>2.17</v>
      </c>
      <c r="BC23" s="153">
        <v>64.0</v>
      </c>
      <c r="BD23" s="153">
        <v>15162.0</v>
      </c>
      <c r="BE23" s="153">
        <v>4.6038</v>
      </c>
      <c r="BF23" s="153">
        <v>0.0658</v>
      </c>
      <c r="BG23" s="153">
        <v>4.538</v>
      </c>
      <c r="BH23" s="153">
        <v>4.2564</v>
      </c>
      <c r="BI23" s="153">
        <v>0.1096</v>
      </c>
      <c r="BJ23" s="153">
        <v>2.7624</v>
      </c>
      <c r="BK23" s="153">
        <v>0.1029</v>
      </c>
      <c r="BL23" s="153">
        <v>2.6595</v>
      </c>
      <c r="BM23" s="153">
        <v>3.5371</v>
      </c>
      <c r="BN23" s="153">
        <v>0.0911</v>
      </c>
      <c r="BO23" s="153">
        <v>1.8406</v>
      </c>
      <c r="BP23" s="153">
        <v>0.0214</v>
      </c>
      <c r="BQ23" s="153">
        <v>1.8192</v>
      </c>
      <c r="BR23" s="153">
        <v>1.6438</v>
      </c>
      <c r="BS23" s="153">
        <v>1.7901</v>
      </c>
      <c r="BT23" s="153">
        <v>0.0214</v>
      </c>
      <c r="BU23" s="153">
        <v>1.7686</v>
      </c>
      <c r="BV23" s="153">
        <v>1.6476</v>
      </c>
      <c r="BW23" s="153">
        <v>0.9731</v>
      </c>
      <c r="BX23" s="153">
        <v>0.0229</v>
      </c>
      <c r="BY23" s="153">
        <v>0.9502</v>
      </c>
      <c r="BZ23" s="153">
        <v>0.965</v>
      </c>
      <c r="CA23" s="153">
        <v>0.4482</v>
      </c>
      <c r="CB23" s="153">
        <v>0.0276</v>
      </c>
      <c r="CC23" s="153">
        <v>0.4205</v>
      </c>
      <c r="CD23" s="153">
        <v>0.593</v>
      </c>
      <c r="CE23" s="153">
        <v>1.0863</v>
      </c>
      <c r="CF23" s="153">
        <v>0.0441</v>
      </c>
      <c r="CG23" s="153">
        <v>1.0422</v>
      </c>
      <c r="CH23" s="153">
        <v>1.4758</v>
      </c>
      <c r="CI23" s="153">
        <v>1.228</v>
      </c>
      <c r="CJ23" s="153">
        <v>0.0312</v>
      </c>
      <c r="CK23" s="153">
        <v>1.1968</v>
      </c>
      <c r="CL23" s="153">
        <v>1.4682</v>
      </c>
      <c r="CM23" s="153">
        <v>411.74</v>
      </c>
      <c r="CN23" s="153">
        <v>97.57</v>
      </c>
      <c r="CO23" s="153">
        <v>422.0</v>
      </c>
      <c r="CP23" s="153">
        <v>376.37</v>
      </c>
      <c r="CQ23" s="153">
        <v>0.29</v>
      </c>
      <c r="CR23" s="153">
        <v>8.91</v>
      </c>
      <c r="CS23" s="153">
        <v>26.17</v>
      </c>
      <c r="CT23" s="153">
        <v>0.0</v>
      </c>
      <c r="CU23" s="153">
        <v>1643.0</v>
      </c>
      <c r="CV23" s="153">
        <v>0.01</v>
      </c>
      <c r="CW23" s="153">
        <v>159.34</v>
      </c>
      <c r="CX23" s="153">
        <v>0.01</v>
      </c>
      <c r="CY23" s="153">
        <v>0.29</v>
      </c>
      <c r="CZ23" s="153">
        <v>183.5</v>
      </c>
      <c r="DA23" s="153">
        <v>1.78</v>
      </c>
      <c r="DB23" s="153">
        <v>181.73</v>
      </c>
      <c r="DC23" s="153">
        <v>166.43</v>
      </c>
      <c r="DD23" s="153">
        <v>0.75</v>
      </c>
      <c r="DE23" s="153">
        <v>165.69</v>
      </c>
      <c r="DF23" s="153">
        <v>7.82</v>
      </c>
      <c r="DG23" s="153">
        <v>0.34</v>
      </c>
      <c r="DH23" s="153">
        <v>7.48</v>
      </c>
      <c r="DI23" s="153">
        <v>6.81</v>
      </c>
      <c r="DJ23" s="153">
        <v>0.34</v>
      </c>
      <c r="DK23" s="153">
        <v>6.46</v>
      </c>
      <c r="DL23" s="153">
        <v>2.44</v>
      </c>
      <c r="DM23" s="153">
        <v>0.34</v>
      </c>
      <c r="DN23" s="153">
        <v>2.1</v>
      </c>
    </row>
    <row r="24">
      <c r="A24" s="235">
        <v>46256.0</v>
      </c>
      <c r="B24" s="236" t="s">
        <v>5</v>
      </c>
      <c r="C24" s="236" t="s">
        <v>136</v>
      </c>
      <c r="D24" s="236">
        <v>2198.0</v>
      </c>
      <c r="E24" s="236">
        <v>9.67</v>
      </c>
      <c r="F24" s="236">
        <v>915.52</v>
      </c>
      <c r="G24" s="236">
        <v>0.4165</v>
      </c>
      <c r="H24" s="236">
        <v>5.6</v>
      </c>
      <c r="I24" s="236">
        <v>7.4433</v>
      </c>
      <c r="J24" s="236">
        <v>122.0</v>
      </c>
      <c r="K24" s="236">
        <v>73.79</v>
      </c>
      <c r="L24" s="236">
        <v>52.58</v>
      </c>
      <c r="M24" s="236">
        <v>0.7126</v>
      </c>
      <c r="N24" s="236">
        <v>0.428</v>
      </c>
      <c r="O24" s="236">
        <v>0.2697</v>
      </c>
      <c r="P24" s="236">
        <v>1.4032</v>
      </c>
      <c r="Q24" s="236">
        <v>313.6</v>
      </c>
      <c r="R24" s="236">
        <v>273.15</v>
      </c>
      <c r="S24" s="236">
        <v>40.45</v>
      </c>
      <c r="T24" s="236">
        <v>38.01</v>
      </c>
      <c r="U24" s="236">
        <v>275.59</v>
      </c>
      <c r="V24" s="236">
        <v>342.9</v>
      </c>
      <c r="W24" s="236">
        <v>4.6472</v>
      </c>
      <c r="X24" s="236">
        <v>12.12</v>
      </c>
      <c r="Y24" s="236">
        <v>286.0</v>
      </c>
      <c r="Z24" s="236">
        <v>620.0</v>
      </c>
      <c r="AA24" s="236">
        <v>1686.0</v>
      </c>
      <c r="AB24" s="236">
        <v>55.628</v>
      </c>
      <c r="AC24" s="236">
        <v>0.7846</v>
      </c>
      <c r="AD24" s="236">
        <v>28.94</v>
      </c>
      <c r="AE24" s="236">
        <v>11.0</v>
      </c>
      <c r="AF24" s="236">
        <v>20.0</v>
      </c>
      <c r="AG24" s="236">
        <v>39.0</v>
      </c>
      <c r="AH24" s="236">
        <v>62.0</v>
      </c>
      <c r="AI24" s="236">
        <v>37.4</v>
      </c>
      <c r="AJ24" s="236">
        <v>11.46</v>
      </c>
      <c r="AK24" s="236">
        <v>2.82</v>
      </c>
      <c r="AL24" s="236">
        <v>0.1606</v>
      </c>
      <c r="AM24" s="236">
        <v>44.49</v>
      </c>
      <c r="AN24" s="153">
        <v>44.49</v>
      </c>
      <c r="AO24" s="153">
        <v>24.61</v>
      </c>
      <c r="AP24" s="153">
        <v>14.56</v>
      </c>
      <c r="AQ24" s="153">
        <v>10.737</v>
      </c>
      <c r="AR24" s="153">
        <v>0.611</v>
      </c>
      <c r="AS24" s="153">
        <v>10.126</v>
      </c>
      <c r="AT24" s="153">
        <v>12.8435</v>
      </c>
      <c r="AU24" s="153">
        <v>0.1741</v>
      </c>
      <c r="AV24" s="153">
        <v>2198.0</v>
      </c>
      <c r="AW24" s="153">
        <v>0.0</v>
      </c>
      <c r="AX24" s="153">
        <v>103.16</v>
      </c>
      <c r="AY24" s="153">
        <v>162.52</v>
      </c>
      <c r="AZ24" s="153">
        <v>4.27</v>
      </c>
      <c r="BA24" s="153">
        <v>38.01</v>
      </c>
      <c r="BB24" s="153">
        <v>5.64</v>
      </c>
      <c r="BC24" s="153">
        <v>127.0</v>
      </c>
      <c r="BD24" s="153">
        <v>14882.0</v>
      </c>
      <c r="BE24" s="153">
        <v>6.1711</v>
      </c>
      <c r="BF24" s="153">
        <v>0.3344</v>
      </c>
      <c r="BG24" s="153">
        <v>5.8367</v>
      </c>
      <c r="BH24" s="153">
        <v>6.7348</v>
      </c>
      <c r="BI24" s="153">
        <v>0.0913</v>
      </c>
      <c r="BJ24" s="153">
        <v>4.566</v>
      </c>
      <c r="BK24" s="153">
        <v>0.2766</v>
      </c>
      <c r="BL24" s="153">
        <v>4.2894</v>
      </c>
      <c r="BM24" s="153">
        <v>6.1087</v>
      </c>
      <c r="BN24" s="153">
        <v>0.0828</v>
      </c>
      <c r="BO24" s="153">
        <v>2.2175</v>
      </c>
      <c r="BP24" s="153">
        <v>0.0851</v>
      </c>
      <c r="BQ24" s="153">
        <v>2.1324</v>
      </c>
      <c r="BR24" s="153">
        <v>2.4372</v>
      </c>
      <c r="BS24" s="153">
        <v>2.2525</v>
      </c>
      <c r="BT24" s="153">
        <v>0.0933</v>
      </c>
      <c r="BU24" s="153">
        <v>2.1592</v>
      </c>
      <c r="BV24" s="153">
        <v>2.5578</v>
      </c>
      <c r="BW24" s="153">
        <v>1.7011</v>
      </c>
      <c r="BX24" s="153">
        <v>0.1561</v>
      </c>
      <c r="BY24" s="153">
        <v>1.545</v>
      </c>
      <c r="BZ24" s="153">
        <v>1.7398</v>
      </c>
      <c r="CA24" s="153">
        <v>0.914</v>
      </c>
      <c r="CB24" s="153">
        <v>0.0719</v>
      </c>
      <c r="CC24" s="153">
        <v>0.8421</v>
      </c>
      <c r="CD24" s="153">
        <v>1.1392</v>
      </c>
      <c r="CE24" s="153">
        <v>1.5992</v>
      </c>
      <c r="CF24" s="153">
        <v>0.1146</v>
      </c>
      <c r="CG24" s="153">
        <v>1.4845</v>
      </c>
      <c r="CH24" s="153">
        <v>1.9845</v>
      </c>
      <c r="CI24" s="153">
        <v>2.0528</v>
      </c>
      <c r="CJ24" s="153">
        <v>0.0901</v>
      </c>
      <c r="CK24" s="153">
        <v>1.9627</v>
      </c>
      <c r="CL24" s="153">
        <v>2.985</v>
      </c>
      <c r="CM24" s="153">
        <v>723.13</v>
      </c>
      <c r="CN24" s="153">
        <v>98.77</v>
      </c>
      <c r="CO24" s="153">
        <v>732.12</v>
      </c>
      <c r="CP24" s="153">
        <v>677.7</v>
      </c>
      <c r="CQ24" s="153">
        <v>0.2</v>
      </c>
      <c r="CR24" s="153">
        <v>9.25</v>
      </c>
      <c r="CS24" s="153">
        <v>35.97</v>
      </c>
      <c r="CT24" s="153">
        <v>0.0</v>
      </c>
      <c r="CU24" s="153">
        <v>1394.0</v>
      </c>
      <c r="CV24" s="153">
        <v>0.0</v>
      </c>
      <c r="CW24" s="153">
        <v>313.6</v>
      </c>
      <c r="CX24" s="153">
        <v>0.0</v>
      </c>
      <c r="CY24" s="153">
        <v>0.2</v>
      </c>
      <c r="CZ24" s="153">
        <v>308.16</v>
      </c>
      <c r="DA24" s="153">
        <v>3.13</v>
      </c>
      <c r="DB24" s="153">
        <v>305.04</v>
      </c>
      <c r="DC24" s="153">
        <v>281.29</v>
      </c>
      <c r="DD24" s="153">
        <v>1.57</v>
      </c>
      <c r="DE24" s="153">
        <v>279.72</v>
      </c>
      <c r="DF24" s="153">
        <v>13.38</v>
      </c>
      <c r="DG24" s="153">
        <v>0.52</v>
      </c>
      <c r="DH24" s="153">
        <v>12.87</v>
      </c>
      <c r="DI24" s="153">
        <v>8.03</v>
      </c>
      <c r="DJ24" s="153">
        <v>0.52</v>
      </c>
      <c r="DK24" s="153">
        <v>7.51</v>
      </c>
      <c r="DL24" s="153">
        <v>5.45</v>
      </c>
      <c r="DM24" s="153">
        <v>0.52</v>
      </c>
      <c r="DN24" s="153">
        <v>4.93</v>
      </c>
    </row>
    <row r="25">
      <c r="A25" s="235">
        <v>46256.0</v>
      </c>
      <c r="B25" s="236" t="s">
        <v>5</v>
      </c>
      <c r="C25" s="236" t="s">
        <v>137</v>
      </c>
      <c r="D25" s="236">
        <v>268.0</v>
      </c>
      <c r="E25" s="236">
        <v>1.18</v>
      </c>
      <c r="F25" s="236">
        <v>163.38</v>
      </c>
      <c r="G25" s="236">
        <v>0.6096</v>
      </c>
      <c r="H25" s="236">
        <v>7.84</v>
      </c>
      <c r="I25" s="236">
        <v>7.78</v>
      </c>
      <c r="J25" s="236">
        <v>238.91</v>
      </c>
      <c r="K25" s="236">
        <v>156.63</v>
      </c>
      <c r="L25" s="236">
        <v>117.04</v>
      </c>
      <c r="M25" s="236">
        <v>0.7472</v>
      </c>
      <c r="N25" s="236">
        <v>0.38</v>
      </c>
      <c r="O25" s="236">
        <v>0.2355</v>
      </c>
      <c r="P25" s="236">
        <v>1.3383</v>
      </c>
      <c r="Q25" s="236">
        <v>560.01</v>
      </c>
      <c r="R25" s="236">
        <v>469.64</v>
      </c>
      <c r="S25" s="236">
        <v>90.37</v>
      </c>
      <c r="T25" s="236">
        <v>72.95</v>
      </c>
      <c r="U25" s="236">
        <v>487.06</v>
      </c>
      <c r="V25" s="236">
        <v>591.98</v>
      </c>
      <c r="W25" s="236">
        <v>3.7795</v>
      </c>
      <c r="X25" s="236">
        <v>13.03</v>
      </c>
      <c r="Y25" s="236">
        <v>307.0</v>
      </c>
      <c r="Z25" s="236">
        <v>755.0</v>
      </c>
      <c r="AA25" s="236">
        <v>1568.0</v>
      </c>
      <c r="AB25" s="236">
        <v>58.1809</v>
      </c>
      <c r="AC25" s="236">
        <v>0.795</v>
      </c>
      <c r="AD25" s="236">
        <v>54.13</v>
      </c>
      <c r="AE25" s="236">
        <v>22.0</v>
      </c>
      <c r="AF25" s="236">
        <v>37.0</v>
      </c>
      <c r="AG25" s="236">
        <v>70.0</v>
      </c>
      <c r="AH25" s="236">
        <v>123.0</v>
      </c>
      <c r="AI25" s="236">
        <v>22.01</v>
      </c>
      <c r="AJ25" s="236">
        <v>3.73</v>
      </c>
      <c r="AK25" s="236">
        <v>0.0</v>
      </c>
      <c r="AL25" s="236">
        <v>0.0746</v>
      </c>
      <c r="AM25" s="236">
        <v>37.69</v>
      </c>
      <c r="AN25" s="153">
        <v>37.69</v>
      </c>
      <c r="AO25" s="153">
        <v>21.64</v>
      </c>
      <c r="AP25" s="153">
        <v>14.93</v>
      </c>
      <c r="AQ25" s="153">
        <v>16.7351</v>
      </c>
      <c r="AR25" s="153">
        <v>1.0672</v>
      </c>
      <c r="AS25" s="153">
        <v>15.6679</v>
      </c>
      <c r="AT25" s="153">
        <v>22.5</v>
      </c>
      <c r="AU25" s="153">
        <v>0.1437</v>
      </c>
      <c r="AV25" s="153">
        <v>268.0</v>
      </c>
      <c r="AW25" s="153">
        <v>0.0</v>
      </c>
      <c r="AX25" s="153">
        <v>197.54</v>
      </c>
      <c r="AY25" s="153">
        <v>270.52</v>
      </c>
      <c r="AZ25" s="153">
        <v>8.13</v>
      </c>
      <c r="BA25" s="153">
        <v>72.95</v>
      </c>
      <c r="BB25" s="153">
        <v>10.87</v>
      </c>
      <c r="BC25" s="153">
        <v>209.0</v>
      </c>
      <c r="BD25" s="153">
        <v>10626.0</v>
      </c>
      <c r="BE25" s="153">
        <v>8.3843</v>
      </c>
      <c r="BF25" s="153">
        <v>0.4925</v>
      </c>
      <c r="BG25" s="153">
        <v>7.8918</v>
      </c>
      <c r="BH25" s="153">
        <v>10.7388</v>
      </c>
      <c r="BI25" s="153">
        <v>0.0686</v>
      </c>
      <c r="BJ25" s="153">
        <v>8.3507</v>
      </c>
      <c r="BK25" s="153">
        <v>0.5746</v>
      </c>
      <c r="BL25" s="153">
        <v>7.7761</v>
      </c>
      <c r="BM25" s="153">
        <v>11.7612</v>
      </c>
      <c r="BN25" s="153">
        <v>0.0751</v>
      </c>
      <c r="BO25" s="153">
        <v>2.8619</v>
      </c>
      <c r="BP25" s="153">
        <v>0.1866</v>
      </c>
      <c r="BQ25" s="153">
        <v>2.6754</v>
      </c>
      <c r="BR25" s="153">
        <v>3.7761</v>
      </c>
      <c r="BS25" s="153">
        <v>2.7351</v>
      </c>
      <c r="BT25" s="153">
        <v>0.1418</v>
      </c>
      <c r="BU25" s="153">
        <v>2.5933</v>
      </c>
      <c r="BV25" s="153">
        <v>3.7388</v>
      </c>
      <c r="BW25" s="153">
        <v>2.7873</v>
      </c>
      <c r="BX25" s="153">
        <v>0.1642</v>
      </c>
      <c r="BY25" s="153">
        <v>2.6231</v>
      </c>
      <c r="BZ25" s="153">
        <v>3.2239</v>
      </c>
      <c r="CA25" s="153">
        <v>2.3209</v>
      </c>
      <c r="CB25" s="153">
        <v>0.1567</v>
      </c>
      <c r="CC25" s="153">
        <v>2.1642</v>
      </c>
      <c r="CD25" s="153">
        <v>4.5896</v>
      </c>
      <c r="CE25" s="153">
        <v>2.5</v>
      </c>
      <c r="CF25" s="153">
        <v>0.2313</v>
      </c>
      <c r="CG25" s="153">
        <v>2.2687</v>
      </c>
      <c r="CH25" s="153">
        <v>3.1157</v>
      </c>
      <c r="CI25" s="153">
        <v>3.5299</v>
      </c>
      <c r="CJ25" s="153">
        <v>0.1866</v>
      </c>
      <c r="CK25" s="153">
        <v>3.3433</v>
      </c>
      <c r="CL25" s="153">
        <v>4.056</v>
      </c>
      <c r="CM25" s="153">
        <v>1324.04</v>
      </c>
      <c r="CN25" s="153">
        <v>100.0</v>
      </c>
      <c r="CO25" s="153">
        <v>1324.04</v>
      </c>
      <c r="CP25" s="153">
        <v>1270.65</v>
      </c>
      <c r="CQ25" s="153">
        <v>0.0</v>
      </c>
      <c r="CR25" s="153">
        <v>9.1</v>
      </c>
      <c r="CS25" s="153">
        <v>44.29</v>
      </c>
      <c r="CT25" s="153">
        <v>0.0</v>
      </c>
      <c r="CU25" s="153">
        <v>226.0</v>
      </c>
      <c r="CV25" s="153">
        <v>0.0</v>
      </c>
      <c r="CW25" s="153">
        <v>560.01</v>
      </c>
      <c r="CX25" s="153">
        <v>0.0</v>
      </c>
      <c r="CY25" s="153">
        <v>0.0</v>
      </c>
      <c r="CZ25" s="153">
        <v>556.57</v>
      </c>
      <c r="DA25" s="153">
        <v>3.02</v>
      </c>
      <c r="DB25" s="153">
        <v>553.54</v>
      </c>
      <c r="DC25" s="153">
        <v>516.42</v>
      </c>
      <c r="DD25" s="153">
        <v>1.68</v>
      </c>
      <c r="DE25" s="153">
        <v>514.74</v>
      </c>
      <c r="DF25" s="153">
        <v>14.18</v>
      </c>
      <c r="DG25" s="153">
        <v>0.45</v>
      </c>
      <c r="DH25" s="153">
        <v>13.73</v>
      </c>
      <c r="DI25" s="153">
        <v>13.47</v>
      </c>
      <c r="DJ25" s="153">
        <v>0.45</v>
      </c>
      <c r="DK25" s="153">
        <v>13.02</v>
      </c>
      <c r="DL25" s="153">
        <v>12.5</v>
      </c>
      <c r="DM25" s="153">
        <v>0.45</v>
      </c>
      <c r="DN25" s="153">
        <v>12.05</v>
      </c>
    </row>
    <row r="26">
      <c r="A26" s="235">
        <v>46257.0</v>
      </c>
      <c r="B26" s="236" t="s">
        <v>4</v>
      </c>
      <c r="C26" s="236" t="s">
        <v>423</v>
      </c>
      <c r="D26" s="236">
        <v>4809.0</v>
      </c>
      <c r="E26" s="236">
        <v>21.14</v>
      </c>
      <c r="F26" s="236">
        <v>520.15</v>
      </c>
      <c r="G26" s="236">
        <v>0.1082</v>
      </c>
      <c r="H26" s="236">
        <v>1.87</v>
      </c>
      <c r="I26" s="236">
        <v>5.7794</v>
      </c>
      <c r="J26" s="236">
        <v>26.21</v>
      </c>
      <c r="K26" s="236">
        <v>14.59</v>
      </c>
      <c r="L26" s="236">
        <v>9.57</v>
      </c>
      <c r="M26" s="236">
        <v>0.6558</v>
      </c>
      <c r="N26" s="236">
        <v>0.459</v>
      </c>
      <c r="O26" s="236">
        <v>0.2141</v>
      </c>
      <c r="P26" s="236">
        <v>1.5248</v>
      </c>
      <c r="Q26" s="236">
        <v>53.58</v>
      </c>
      <c r="R26" s="236">
        <v>53.48</v>
      </c>
      <c r="S26" s="236">
        <v>0.1</v>
      </c>
      <c r="T26" s="236">
        <v>9.25</v>
      </c>
      <c r="U26" s="236">
        <v>44.33</v>
      </c>
      <c r="V26" s="236">
        <v>51.37</v>
      </c>
      <c r="W26" s="236">
        <v>3.52</v>
      </c>
      <c r="X26" s="236">
        <v>17.27</v>
      </c>
      <c r="Y26" s="236">
        <v>189.0</v>
      </c>
      <c r="Z26" s="236">
        <v>676.0</v>
      </c>
      <c r="AA26" s="236">
        <v>4341.0</v>
      </c>
      <c r="AB26" s="236">
        <v>50.0102</v>
      </c>
      <c r="AC26" s="236">
        <v>0.467</v>
      </c>
      <c r="AD26" s="237"/>
      <c r="AE26" s="237"/>
      <c r="AF26" s="237"/>
      <c r="AG26" s="237"/>
      <c r="AH26" s="237"/>
      <c r="AI26" s="236">
        <v>0.0</v>
      </c>
      <c r="AJ26" s="236">
        <v>0.0</v>
      </c>
      <c r="AK26" s="236">
        <v>0.0</v>
      </c>
      <c r="AL26" s="236">
        <v>0.4331</v>
      </c>
      <c r="AM26" s="237"/>
      <c r="AQ26" s="153">
        <v>1.9137</v>
      </c>
      <c r="AR26" s="153">
        <v>0.0925</v>
      </c>
      <c r="AS26" s="153">
        <v>1.8212</v>
      </c>
      <c r="AT26" s="153">
        <v>1.8243</v>
      </c>
      <c r="AU26" s="153">
        <v>0.125</v>
      </c>
      <c r="AV26" s="153">
        <v>4809.0</v>
      </c>
      <c r="AW26" s="153">
        <v>0.0</v>
      </c>
      <c r="AX26" s="153">
        <v>14.46</v>
      </c>
      <c r="AY26" s="153">
        <v>26.37</v>
      </c>
      <c r="AZ26" s="153">
        <v>3.28</v>
      </c>
      <c r="BA26" s="153">
        <v>9.25</v>
      </c>
      <c r="BB26" s="153">
        <v>0.21</v>
      </c>
      <c r="BD26" s="153">
        <v>30791.0</v>
      </c>
      <c r="BE26" s="153">
        <v>0.9759</v>
      </c>
      <c r="BF26" s="153">
        <v>0.0368</v>
      </c>
      <c r="BG26" s="153">
        <v>0.9391</v>
      </c>
      <c r="BH26" s="153">
        <v>0.9553</v>
      </c>
      <c r="BI26" s="153">
        <v>0.0655</v>
      </c>
      <c r="BJ26" s="153">
        <v>0.9378</v>
      </c>
      <c r="BK26" s="153">
        <v>0.0557</v>
      </c>
      <c r="BL26" s="153">
        <v>0.8821</v>
      </c>
      <c r="BM26" s="153">
        <v>0.869</v>
      </c>
      <c r="BN26" s="153">
        <v>0.0595</v>
      </c>
      <c r="BO26" s="153">
        <v>0.3577</v>
      </c>
      <c r="BP26" s="153">
        <v>0.0146</v>
      </c>
      <c r="BQ26" s="153">
        <v>0.3431</v>
      </c>
      <c r="BR26" s="153">
        <v>0.3689</v>
      </c>
      <c r="BS26" s="153">
        <v>0.3728</v>
      </c>
      <c r="BT26" s="153">
        <v>0.0114</v>
      </c>
      <c r="BU26" s="153">
        <v>0.3614</v>
      </c>
      <c r="BV26" s="153">
        <v>0.3487</v>
      </c>
      <c r="BW26" s="153">
        <v>0.2454</v>
      </c>
      <c r="BX26" s="153">
        <v>0.0108</v>
      </c>
      <c r="BY26" s="153">
        <v>0.2346</v>
      </c>
      <c r="BZ26" s="153">
        <v>0.2377</v>
      </c>
      <c r="CA26" s="153">
        <v>0.156</v>
      </c>
      <c r="CB26" s="153">
        <v>0.0143</v>
      </c>
      <c r="CC26" s="153">
        <v>0.1416</v>
      </c>
      <c r="CD26" s="153">
        <v>0.1844</v>
      </c>
      <c r="CE26" s="153">
        <v>0.4679</v>
      </c>
      <c r="CF26" s="153">
        <v>0.0216</v>
      </c>
      <c r="CG26" s="153">
        <v>0.4462</v>
      </c>
      <c r="CH26" s="153">
        <v>0.376</v>
      </c>
      <c r="CI26" s="153">
        <v>0.314</v>
      </c>
      <c r="CJ26" s="153">
        <v>0.0198</v>
      </c>
      <c r="CK26" s="153">
        <v>0.2942</v>
      </c>
      <c r="CL26" s="153">
        <v>0.3086</v>
      </c>
      <c r="CM26" s="153">
        <v>136.77</v>
      </c>
      <c r="CN26" s="153">
        <v>24.33</v>
      </c>
      <c r="CO26" s="153">
        <v>562.15</v>
      </c>
      <c r="CP26" s="153">
        <v>131.08</v>
      </c>
      <c r="CQ26" s="153">
        <v>0.0</v>
      </c>
      <c r="CR26" s="153">
        <v>2.83</v>
      </c>
      <c r="CS26" s="153">
        <v>2.86</v>
      </c>
      <c r="CT26" s="153">
        <v>0.0</v>
      </c>
      <c r="CU26" s="153">
        <v>0.0</v>
      </c>
      <c r="CV26" s="153">
        <v>0.0</v>
      </c>
      <c r="CW26" s="153">
        <v>53.58</v>
      </c>
      <c r="CX26" s="153">
        <v>0.0</v>
      </c>
      <c r="CY26" s="153">
        <v>0.0</v>
      </c>
      <c r="CZ26" s="153">
        <v>51.71</v>
      </c>
      <c r="DA26" s="153">
        <v>2.48</v>
      </c>
      <c r="DB26" s="153">
        <v>49.22</v>
      </c>
      <c r="DC26" s="153">
        <v>44.98</v>
      </c>
      <c r="DD26" s="153">
        <v>0.76</v>
      </c>
      <c r="DE26" s="153">
        <v>44.22</v>
      </c>
      <c r="DF26" s="153">
        <v>3.01</v>
      </c>
      <c r="DG26" s="153">
        <v>0.57</v>
      </c>
      <c r="DH26" s="153">
        <v>2.44</v>
      </c>
      <c r="DI26" s="153">
        <v>2.56</v>
      </c>
      <c r="DJ26" s="153">
        <v>0.57</v>
      </c>
      <c r="DK26" s="153">
        <v>1.98</v>
      </c>
      <c r="DL26" s="153">
        <v>1.16</v>
      </c>
      <c r="DM26" s="153">
        <v>0.57</v>
      </c>
      <c r="DN26" s="153">
        <v>0.59</v>
      </c>
    </row>
    <row r="27">
      <c r="A27" s="235">
        <v>46257.0</v>
      </c>
      <c r="B27" s="236" t="s">
        <v>4</v>
      </c>
      <c r="C27" s="236" t="s">
        <v>133</v>
      </c>
      <c r="D27" s="236">
        <v>6096.0</v>
      </c>
      <c r="E27" s="236">
        <v>26.79</v>
      </c>
      <c r="F27" s="236">
        <v>149.74</v>
      </c>
      <c r="G27" s="236">
        <v>0.0246</v>
      </c>
      <c r="H27" s="236">
        <v>0.87</v>
      </c>
      <c r="I27" s="236">
        <v>2.8253</v>
      </c>
      <c r="J27" s="236">
        <v>23.56</v>
      </c>
      <c r="K27" s="236">
        <v>12.27</v>
      </c>
      <c r="L27" s="236">
        <v>5.4</v>
      </c>
      <c r="M27" s="236">
        <v>0.4401</v>
      </c>
      <c r="N27" s="236">
        <v>0.6675</v>
      </c>
      <c r="O27" s="236">
        <v>0.4134</v>
      </c>
      <c r="P27" s="236">
        <v>2.2721</v>
      </c>
      <c r="Q27" s="236">
        <v>44.74</v>
      </c>
      <c r="R27" s="236">
        <v>39.77</v>
      </c>
      <c r="S27" s="236">
        <v>4.97</v>
      </c>
      <c r="T27" s="236">
        <v>1.81</v>
      </c>
      <c r="U27" s="236">
        <v>42.93</v>
      </c>
      <c r="V27" s="236">
        <v>46.49</v>
      </c>
      <c r="W27" s="236">
        <v>3.7875</v>
      </c>
      <c r="X27" s="236">
        <v>4.05</v>
      </c>
      <c r="Y27" s="236">
        <v>195.0</v>
      </c>
      <c r="Z27" s="236">
        <v>440.0</v>
      </c>
      <c r="AA27" s="236">
        <v>1608.0</v>
      </c>
      <c r="AB27" s="236">
        <v>50.0106</v>
      </c>
      <c r="AC27" s="236">
        <v>0.5934</v>
      </c>
      <c r="AD27" s="236">
        <v>4.06</v>
      </c>
      <c r="AE27" s="236">
        <v>1.0</v>
      </c>
      <c r="AF27" s="236">
        <v>3.0</v>
      </c>
      <c r="AG27" s="236">
        <v>5.0</v>
      </c>
      <c r="AH27" s="236">
        <v>9.0</v>
      </c>
      <c r="AI27" s="236">
        <v>73.85</v>
      </c>
      <c r="AJ27" s="236">
        <v>33.48</v>
      </c>
      <c r="AK27" s="236">
        <v>7.33</v>
      </c>
      <c r="AL27" s="236">
        <v>0.4567</v>
      </c>
      <c r="AM27" s="237"/>
      <c r="AQ27" s="153">
        <v>3.3168</v>
      </c>
      <c r="AR27" s="153">
        <v>0.0394</v>
      </c>
      <c r="AS27" s="153">
        <v>3.2774</v>
      </c>
      <c r="AT27" s="153">
        <v>2.8337</v>
      </c>
      <c r="AU27" s="153">
        <v>0.2309</v>
      </c>
      <c r="AV27" s="153">
        <v>6096.0</v>
      </c>
      <c r="AW27" s="153">
        <v>0.0</v>
      </c>
      <c r="AX27" s="153">
        <v>24.75</v>
      </c>
      <c r="AY27" s="153">
        <v>15.48</v>
      </c>
      <c r="AZ27" s="153">
        <v>2.23</v>
      </c>
      <c r="BA27" s="153">
        <v>1.81</v>
      </c>
      <c r="BB27" s="153">
        <v>0.47</v>
      </c>
      <c r="BC27" s="153">
        <v>17.0</v>
      </c>
      <c r="BD27" s="153">
        <v>20036.0</v>
      </c>
      <c r="BE27" s="153">
        <v>2.2531</v>
      </c>
      <c r="BF27" s="153">
        <v>0.0212</v>
      </c>
      <c r="BG27" s="153">
        <v>2.232</v>
      </c>
      <c r="BH27" s="153">
        <v>1.6827</v>
      </c>
      <c r="BI27" s="153">
        <v>0.1371</v>
      </c>
      <c r="BJ27" s="153">
        <v>1.0636</v>
      </c>
      <c r="BK27" s="153">
        <v>0.0182</v>
      </c>
      <c r="BL27" s="153">
        <v>1.0454</v>
      </c>
      <c r="BM27" s="153">
        <v>1.1509</v>
      </c>
      <c r="BN27" s="153">
        <v>0.0938</v>
      </c>
      <c r="BO27" s="153">
        <v>0.9437</v>
      </c>
      <c r="BP27" s="153">
        <v>0.0074</v>
      </c>
      <c r="BQ27" s="153">
        <v>0.9364</v>
      </c>
      <c r="BR27" s="153">
        <v>0.6681</v>
      </c>
      <c r="BS27" s="153">
        <v>0.9032</v>
      </c>
      <c r="BT27" s="153">
        <v>0.0039</v>
      </c>
      <c r="BU27" s="153">
        <v>0.8993</v>
      </c>
      <c r="BV27" s="153">
        <v>0.6604</v>
      </c>
      <c r="BW27" s="153">
        <v>0.4062</v>
      </c>
      <c r="BX27" s="153">
        <v>0.0098</v>
      </c>
      <c r="BY27" s="153">
        <v>0.3963</v>
      </c>
      <c r="BZ27" s="153">
        <v>0.3542</v>
      </c>
      <c r="CA27" s="153">
        <v>0.1919</v>
      </c>
      <c r="CB27" s="153">
        <v>0.0051</v>
      </c>
      <c r="CC27" s="153">
        <v>0.1868</v>
      </c>
      <c r="CD27" s="153">
        <v>0.2134</v>
      </c>
      <c r="CE27" s="153">
        <v>0.4806</v>
      </c>
      <c r="CF27" s="153">
        <v>0.0056</v>
      </c>
      <c r="CG27" s="153">
        <v>0.4751</v>
      </c>
      <c r="CH27" s="153">
        <v>0.5141</v>
      </c>
      <c r="CI27" s="153">
        <v>0.3911</v>
      </c>
      <c r="CJ27" s="153">
        <v>0.0075</v>
      </c>
      <c r="CK27" s="153">
        <v>0.3835</v>
      </c>
      <c r="CL27" s="153">
        <v>0.4234</v>
      </c>
      <c r="CM27" s="153">
        <v>142.46</v>
      </c>
      <c r="CN27" s="153">
        <v>85.5</v>
      </c>
      <c r="CO27" s="153">
        <v>166.62</v>
      </c>
      <c r="CP27" s="153">
        <v>135.18</v>
      </c>
      <c r="CQ27" s="153">
        <v>0.0</v>
      </c>
      <c r="CR27" s="153">
        <v>5.2</v>
      </c>
      <c r="CS27" s="153">
        <v>2.08</v>
      </c>
      <c r="CT27" s="153">
        <v>0.0</v>
      </c>
      <c r="CU27" s="153">
        <v>0.0</v>
      </c>
      <c r="CV27" s="153">
        <v>0.0</v>
      </c>
      <c r="CW27" s="153">
        <v>44.74</v>
      </c>
      <c r="CX27" s="153">
        <v>0.0</v>
      </c>
      <c r="CY27" s="153">
        <v>0.0</v>
      </c>
      <c r="CZ27" s="153">
        <v>96.1</v>
      </c>
      <c r="DA27" s="153">
        <v>0.6</v>
      </c>
      <c r="DB27" s="153">
        <v>95.5</v>
      </c>
      <c r="DC27" s="153">
        <v>88.43</v>
      </c>
      <c r="DD27" s="153">
        <v>0.16</v>
      </c>
      <c r="DE27" s="153">
        <v>88.27</v>
      </c>
      <c r="DF27" s="153">
        <v>3.94</v>
      </c>
      <c r="DG27" s="153">
        <v>0.14</v>
      </c>
      <c r="DH27" s="153">
        <v>3.8</v>
      </c>
      <c r="DI27" s="153">
        <v>3.14</v>
      </c>
      <c r="DJ27" s="153">
        <v>0.14</v>
      </c>
      <c r="DK27" s="153">
        <v>3.0</v>
      </c>
      <c r="DL27" s="153">
        <v>0.59</v>
      </c>
      <c r="DM27" s="153">
        <v>0.14</v>
      </c>
      <c r="DN27" s="153">
        <v>0.44</v>
      </c>
    </row>
    <row r="28">
      <c r="A28" s="235">
        <v>46257.0</v>
      </c>
      <c r="B28" s="236" t="s">
        <v>4</v>
      </c>
      <c r="C28" s="236" t="s">
        <v>134</v>
      </c>
      <c r="D28" s="236">
        <v>4999.0</v>
      </c>
      <c r="E28" s="236">
        <v>21.97</v>
      </c>
      <c r="F28" s="236">
        <v>410.09</v>
      </c>
      <c r="G28" s="236">
        <v>0.082</v>
      </c>
      <c r="H28" s="236">
        <v>2.26</v>
      </c>
      <c r="I28" s="236">
        <v>3.6291</v>
      </c>
      <c r="J28" s="236">
        <v>46.72</v>
      </c>
      <c r="K28" s="236">
        <v>25.31</v>
      </c>
      <c r="L28" s="236">
        <v>13.72</v>
      </c>
      <c r="M28" s="236">
        <v>0.5421</v>
      </c>
      <c r="N28" s="236">
        <v>0.5837</v>
      </c>
      <c r="O28" s="236">
        <v>0.357</v>
      </c>
      <c r="P28" s="236">
        <v>1.8446</v>
      </c>
      <c r="Q28" s="236">
        <v>85.36</v>
      </c>
      <c r="R28" s="236">
        <v>73.26</v>
      </c>
      <c r="S28" s="236">
        <v>12.11</v>
      </c>
      <c r="T28" s="236">
        <v>7.18</v>
      </c>
      <c r="U28" s="236">
        <v>78.18</v>
      </c>
      <c r="V28" s="236">
        <v>101.66</v>
      </c>
      <c r="W28" s="236">
        <v>4.0166</v>
      </c>
      <c r="X28" s="236">
        <v>8.41</v>
      </c>
      <c r="Y28" s="236">
        <v>194.0</v>
      </c>
      <c r="Z28" s="236">
        <v>482.0</v>
      </c>
      <c r="AA28" s="236">
        <v>1498.0</v>
      </c>
      <c r="AB28" s="236">
        <v>51.9838</v>
      </c>
      <c r="AC28" s="236">
        <v>0.6787</v>
      </c>
      <c r="AD28" s="236">
        <v>9.31</v>
      </c>
      <c r="AE28" s="236">
        <v>4.0</v>
      </c>
      <c r="AF28" s="236">
        <v>8.0</v>
      </c>
      <c r="AG28" s="236">
        <v>12.0</v>
      </c>
      <c r="AH28" s="236">
        <v>19.0</v>
      </c>
      <c r="AI28" s="236">
        <v>64.19</v>
      </c>
      <c r="AJ28" s="236">
        <v>24.64</v>
      </c>
      <c r="AK28" s="236">
        <v>3.68</v>
      </c>
      <c r="AL28" s="236">
        <v>0.3301</v>
      </c>
      <c r="AM28" s="237"/>
      <c r="AQ28" s="153">
        <v>6.1942</v>
      </c>
      <c r="AR28" s="153">
        <v>0.1808</v>
      </c>
      <c r="AS28" s="153">
        <v>6.0134</v>
      </c>
      <c r="AT28" s="153">
        <v>5.9218</v>
      </c>
      <c r="AU28" s="153">
        <v>0.234</v>
      </c>
      <c r="AV28" s="153">
        <v>4999.0</v>
      </c>
      <c r="AW28" s="153">
        <v>0.0</v>
      </c>
      <c r="AX28" s="153">
        <v>40.93</v>
      </c>
      <c r="AY28" s="153">
        <v>32.77</v>
      </c>
      <c r="AZ28" s="153">
        <v>2.98</v>
      </c>
      <c r="BA28" s="153">
        <v>7.18</v>
      </c>
      <c r="BB28" s="153">
        <v>1.51</v>
      </c>
      <c r="BC28" s="153">
        <v>35.0</v>
      </c>
      <c r="BD28" s="153">
        <v>19934.0</v>
      </c>
      <c r="BE28" s="153">
        <v>3.94</v>
      </c>
      <c r="BF28" s="153">
        <v>0.1128</v>
      </c>
      <c r="BG28" s="153">
        <v>3.8272</v>
      </c>
      <c r="BH28" s="153">
        <v>3.4281</v>
      </c>
      <c r="BI28" s="153">
        <v>0.1354</v>
      </c>
      <c r="BJ28" s="153">
        <v>2.2543</v>
      </c>
      <c r="BK28" s="153">
        <v>0.068</v>
      </c>
      <c r="BL28" s="153">
        <v>2.1862</v>
      </c>
      <c r="BM28" s="153">
        <v>2.4937</v>
      </c>
      <c r="BN28" s="153">
        <v>0.0985</v>
      </c>
      <c r="BO28" s="153">
        <v>1.6515</v>
      </c>
      <c r="BP28" s="153">
        <v>0.0358</v>
      </c>
      <c r="BQ28" s="153">
        <v>1.6157</v>
      </c>
      <c r="BR28" s="153">
        <v>1.3713</v>
      </c>
      <c r="BS28" s="153">
        <v>1.4383</v>
      </c>
      <c r="BT28" s="153">
        <v>0.034</v>
      </c>
      <c r="BU28" s="153">
        <v>1.4043</v>
      </c>
      <c r="BV28" s="153">
        <v>1.2959</v>
      </c>
      <c r="BW28" s="153">
        <v>0.8502</v>
      </c>
      <c r="BX28" s="153">
        <v>0.043</v>
      </c>
      <c r="BY28" s="153">
        <v>0.8072</v>
      </c>
      <c r="BZ28" s="153">
        <v>0.761</v>
      </c>
      <c r="CA28" s="153">
        <v>0.4397</v>
      </c>
      <c r="CB28" s="153">
        <v>0.0182</v>
      </c>
      <c r="CC28" s="153">
        <v>0.4215</v>
      </c>
      <c r="CD28" s="153">
        <v>0.4961</v>
      </c>
      <c r="CE28" s="153">
        <v>0.8726</v>
      </c>
      <c r="CF28" s="153">
        <v>0.0246</v>
      </c>
      <c r="CG28" s="153">
        <v>0.848</v>
      </c>
      <c r="CH28" s="153">
        <v>0.9762</v>
      </c>
      <c r="CI28" s="153">
        <v>0.942</v>
      </c>
      <c r="CJ28" s="153">
        <v>0.0252</v>
      </c>
      <c r="CK28" s="153">
        <v>0.9168</v>
      </c>
      <c r="CL28" s="153">
        <v>1.0214</v>
      </c>
      <c r="CM28" s="153">
        <v>246.45</v>
      </c>
      <c r="CN28" s="153">
        <v>95.78</v>
      </c>
      <c r="CO28" s="153">
        <v>257.31</v>
      </c>
      <c r="CP28" s="153">
        <v>232.68</v>
      </c>
      <c r="CQ28" s="153">
        <v>0.0</v>
      </c>
      <c r="CR28" s="153">
        <v>5.71</v>
      </c>
      <c r="CS28" s="153">
        <v>8.06</v>
      </c>
      <c r="CT28" s="153">
        <v>0.0</v>
      </c>
      <c r="CU28" s="153">
        <v>0.0</v>
      </c>
      <c r="CV28" s="153">
        <v>0.0</v>
      </c>
      <c r="CW28" s="153">
        <v>85.36</v>
      </c>
      <c r="CX28" s="153">
        <v>0.0</v>
      </c>
      <c r="CY28" s="153">
        <v>0.0</v>
      </c>
      <c r="CZ28" s="153">
        <v>148.1</v>
      </c>
      <c r="DA28" s="153">
        <v>1.75</v>
      </c>
      <c r="DB28" s="153">
        <v>146.35</v>
      </c>
      <c r="DC28" s="153">
        <v>138.77</v>
      </c>
      <c r="DD28" s="153">
        <v>0.73</v>
      </c>
      <c r="DE28" s="153">
        <v>138.03</v>
      </c>
      <c r="DF28" s="153">
        <v>4.48</v>
      </c>
      <c r="DG28" s="153">
        <v>0.34</v>
      </c>
      <c r="DH28" s="153">
        <v>4.14</v>
      </c>
      <c r="DI28" s="153">
        <v>3.67</v>
      </c>
      <c r="DJ28" s="153">
        <v>0.34</v>
      </c>
      <c r="DK28" s="153">
        <v>3.33</v>
      </c>
      <c r="DL28" s="153">
        <v>1.18</v>
      </c>
      <c r="DM28" s="153">
        <v>0.34</v>
      </c>
      <c r="DN28" s="153">
        <v>0.84</v>
      </c>
    </row>
    <row r="29">
      <c r="A29" s="235">
        <v>46257.0</v>
      </c>
      <c r="B29" s="236" t="s">
        <v>4</v>
      </c>
      <c r="C29" s="236" t="s">
        <v>135</v>
      </c>
      <c r="D29" s="236">
        <v>4231.0</v>
      </c>
      <c r="E29" s="236">
        <v>18.6</v>
      </c>
      <c r="F29" s="236">
        <v>718.11</v>
      </c>
      <c r="G29" s="236">
        <v>0.1697</v>
      </c>
      <c r="H29" s="236">
        <v>3.81</v>
      </c>
      <c r="I29" s="236">
        <v>4.4603</v>
      </c>
      <c r="J29" s="236">
        <v>71.52</v>
      </c>
      <c r="K29" s="236">
        <v>40.48</v>
      </c>
      <c r="L29" s="236">
        <v>26.33</v>
      </c>
      <c r="M29" s="236">
        <v>0.6504</v>
      </c>
      <c r="N29" s="236">
        <v>0.4885</v>
      </c>
      <c r="O29" s="236">
        <v>0.3047</v>
      </c>
      <c r="P29" s="236">
        <v>1.5374</v>
      </c>
      <c r="Q29" s="236">
        <v>140.58</v>
      </c>
      <c r="R29" s="236">
        <v>118.46</v>
      </c>
      <c r="S29" s="236">
        <v>22.11</v>
      </c>
      <c r="T29" s="236">
        <v>13.0</v>
      </c>
      <c r="U29" s="236">
        <v>127.58</v>
      </c>
      <c r="V29" s="236">
        <v>158.19</v>
      </c>
      <c r="W29" s="236">
        <v>3.908</v>
      </c>
      <c r="X29" s="236">
        <v>9.25</v>
      </c>
      <c r="Y29" s="236">
        <v>216.0</v>
      </c>
      <c r="Z29" s="236">
        <v>549.0</v>
      </c>
      <c r="AA29" s="236">
        <v>1489.0</v>
      </c>
      <c r="AB29" s="236">
        <v>53.8929</v>
      </c>
      <c r="AC29" s="236">
        <v>0.7459</v>
      </c>
      <c r="AD29" s="236">
        <v>16.31</v>
      </c>
      <c r="AE29" s="236">
        <v>7.0</v>
      </c>
      <c r="AF29" s="236">
        <v>12.0</v>
      </c>
      <c r="AG29" s="236">
        <v>22.0</v>
      </c>
      <c r="AH29" s="236">
        <v>34.0</v>
      </c>
      <c r="AI29" s="236">
        <v>56.37</v>
      </c>
      <c r="AJ29" s="236">
        <v>19.45</v>
      </c>
      <c r="AK29" s="236">
        <v>5.27</v>
      </c>
      <c r="AL29" s="236">
        <v>0.2562</v>
      </c>
      <c r="AM29" s="237"/>
      <c r="AQ29" s="153">
        <v>9.6417</v>
      </c>
      <c r="AR29" s="153">
        <v>0.1541</v>
      </c>
      <c r="AS29" s="153">
        <v>9.4876</v>
      </c>
      <c r="AT29" s="153">
        <v>9.9688</v>
      </c>
      <c r="AU29" s="153">
        <v>0.2463</v>
      </c>
      <c r="AV29" s="153">
        <v>4231.0</v>
      </c>
      <c r="AW29" s="153">
        <v>0.0</v>
      </c>
      <c r="AX29" s="153">
        <v>62.88</v>
      </c>
      <c r="AY29" s="153">
        <v>59.39</v>
      </c>
      <c r="AZ29" s="153">
        <v>2.89</v>
      </c>
      <c r="BA29" s="153">
        <v>13.0</v>
      </c>
      <c r="BB29" s="153">
        <v>2.42</v>
      </c>
      <c r="BC29" s="153">
        <v>66.0</v>
      </c>
      <c r="BD29" s="153">
        <v>18003.0</v>
      </c>
      <c r="BE29" s="153">
        <v>5.9534</v>
      </c>
      <c r="BF29" s="153">
        <v>0.0638</v>
      </c>
      <c r="BG29" s="153">
        <v>5.8896</v>
      </c>
      <c r="BH29" s="153">
        <v>5.5008</v>
      </c>
      <c r="BI29" s="153">
        <v>0.1359</v>
      </c>
      <c r="BJ29" s="153">
        <v>3.6883</v>
      </c>
      <c r="BK29" s="153">
        <v>0.0903</v>
      </c>
      <c r="BL29" s="153">
        <v>3.598</v>
      </c>
      <c r="BM29" s="153">
        <v>4.468</v>
      </c>
      <c r="BN29" s="153">
        <v>0.1104</v>
      </c>
      <c r="BO29" s="153">
        <v>2.2319</v>
      </c>
      <c r="BP29" s="153">
        <v>0.0217</v>
      </c>
      <c r="BQ29" s="153">
        <v>2.2101</v>
      </c>
      <c r="BR29" s="153">
        <v>2.0473</v>
      </c>
      <c r="BS29" s="153">
        <v>2.1435</v>
      </c>
      <c r="BT29" s="153">
        <v>0.0196</v>
      </c>
      <c r="BU29" s="153">
        <v>2.1238</v>
      </c>
      <c r="BV29" s="153">
        <v>2.0267</v>
      </c>
      <c r="BW29" s="153">
        <v>1.5781</v>
      </c>
      <c r="BX29" s="153">
        <v>0.0225</v>
      </c>
      <c r="BY29" s="153">
        <v>1.5557</v>
      </c>
      <c r="BZ29" s="153">
        <v>1.4268</v>
      </c>
      <c r="CA29" s="153">
        <v>0.8464</v>
      </c>
      <c r="CB29" s="153">
        <v>0.0222</v>
      </c>
      <c r="CC29" s="153">
        <v>0.8242</v>
      </c>
      <c r="CD29" s="153">
        <v>1.2042</v>
      </c>
      <c r="CE29" s="153">
        <v>1.3552</v>
      </c>
      <c r="CF29" s="153">
        <v>0.0376</v>
      </c>
      <c r="CG29" s="153">
        <v>1.3177</v>
      </c>
      <c r="CH29" s="153">
        <v>1.5753</v>
      </c>
      <c r="CI29" s="153">
        <v>1.4866</v>
      </c>
      <c r="CJ29" s="153">
        <v>0.0305</v>
      </c>
      <c r="CK29" s="153">
        <v>1.4562</v>
      </c>
      <c r="CL29" s="153">
        <v>1.6885</v>
      </c>
      <c r="CM29" s="153">
        <v>409.88</v>
      </c>
      <c r="CN29" s="153">
        <v>97.92</v>
      </c>
      <c r="CO29" s="153">
        <v>418.59</v>
      </c>
      <c r="CP29" s="153">
        <v>392.04</v>
      </c>
      <c r="CQ29" s="153">
        <v>0.0</v>
      </c>
      <c r="CR29" s="153">
        <v>5.05</v>
      </c>
      <c r="CS29" s="153">
        <v>12.78</v>
      </c>
      <c r="CT29" s="153">
        <v>0.0</v>
      </c>
      <c r="CU29" s="153">
        <v>0.0</v>
      </c>
      <c r="CV29" s="153">
        <v>0.0</v>
      </c>
      <c r="CW29" s="153">
        <v>140.58</v>
      </c>
      <c r="CX29" s="153">
        <v>0.0</v>
      </c>
      <c r="CY29" s="153">
        <v>0.0</v>
      </c>
      <c r="CZ29" s="153">
        <v>203.94</v>
      </c>
      <c r="DA29" s="153">
        <v>2.8</v>
      </c>
      <c r="DB29" s="153">
        <v>201.14</v>
      </c>
      <c r="DC29" s="153">
        <v>190.38</v>
      </c>
      <c r="DD29" s="153">
        <v>0.77</v>
      </c>
      <c r="DE29" s="153">
        <v>189.61</v>
      </c>
      <c r="DF29" s="153">
        <v>7.08</v>
      </c>
      <c r="DG29" s="153">
        <v>0.68</v>
      </c>
      <c r="DH29" s="153">
        <v>6.41</v>
      </c>
      <c r="DI29" s="153">
        <v>4.9</v>
      </c>
      <c r="DJ29" s="153">
        <v>0.68</v>
      </c>
      <c r="DK29" s="153">
        <v>4.23</v>
      </c>
      <c r="DL29" s="153">
        <v>1.57</v>
      </c>
      <c r="DM29" s="153">
        <v>0.68</v>
      </c>
      <c r="DN29" s="153">
        <v>0.89</v>
      </c>
    </row>
    <row r="30">
      <c r="A30" s="235">
        <v>46257.0</v>
      </c>
      <c r="B30" s="236" t="s">
        <v>4</v>
      </c>
      <c r="C30" s="236" t="s">
        <v>136</v>
      </c>
      <c r="D30" s="236">
        <v>2334.0</v>
      </c>
      <c r="E30" s="236">
        <v>10.26</v>
      </c>
      <c r="F30" s="236">
        <v>1081.86</v>
      </c>
      <c r="G30" s="236">
        <v>0.4635</v>
      </c>
      <c r="H30" s="236">
        <v>6.51</v>
      </c>
      <c r="I30" s="236">
        <v>7.1175</v>
      </c>
      <c r="J30" s="236">
        <v>124.37</v>
      </c>
      <c r="K30" s="236">
        <v>74.74</v>
      </c>
      <c r="L30" s="236">
        <v>53.14</v>
      </c>
      <c r="M30" s="236">
        <v>0.711</v>
      </c>
      <c r="N30" s="236">
        <v>0.4292</v>
      </c>
      <c r="O30" s="236">
        <v>0.2679</v>
      </c>
      <c r="P30" s="236">
        <v>1.4065</v>
      </c>
      <c r="Q30" s="236">
        <v>259.54</v>
      </c>
      <c r="R30" s="236">
        <v>217.12</v>
      </c>
      <c r="S30" s="236">
        <v>42.43</v>
      </c>
      <c r="T30" s="236">
        <v>45.05</v>
      </c>
      <c r="U30" s="236">
        <v>214.49</v>
      </c>
      <c r="V30" s="236">
        <v>300.21</v>
      </c>
      <c r="W30" s="236">
        <v>4.017</v>
      </c>
      <c r="X30" s="236">
        <v>17.36</v>
      </c>
      <c r="Y30" s="236">
        <v>248.0</v>
      </c>
      <c r="Z30" s="236">
        <v>684.0</v>
      </c>
      <c r="AA30" s="236">
        <v>2054.0</v>
      </c>
      <c r="AB30" s="236">
        <v>55.924</v>
      </c>
      <c r="AC30" s="236">
        <v>0.787</v>
      </c>
      <c r="AD30" s="236">
        <v>29.37</v>
      </c>
      <c r="AE30" s="236">
        <v>12.0</v>
      </c>
      <c r="AF30" s="236">
        <v>22.0</v>
      </c>
      <c r="AG30" s="236">
        <v>39.0</v>
      </c>
      <c r="AH30" s="236">
        <v>62.0</v>
      </c>
      <c r="AI30" s="236">
        <v>38.77</v>
      </c>
      <c r="AJ30" s="236">
        <v>11.27</v>
      </c>
      <c r="AK30" s="236">
        <v>2.87</v>
      </c>
      <c r="AL30" s="236">
        <v>0.1585</v>
      </c>
      <c r="AM30" s="237"/>
      <c r="AQ30" s="153">
        <v>15.5013</v>
      </c>
      <c r="AR30" s="153">
        <v>0.5227</v>
      </c>
      <c r="AS30" s="153">
        <v>14.9786</v>
      </c>
      <c r="AT30" s="153">
        <v>17.6722</v>
      </c>
      <c r="AU30" s="153">
        <v>0.2365</v>
      </c>
      <c r="AV30" s="153">
        <v>2334.0</v>
      </c>
      <c r="AW30" s="153">
        <v>0.0</v>
      </c>
      <c r="AX30" s="153">
        <v>104.9</v>
      </c>
      <c r="AY30" s="153">
        <v>100.68</v>
      </c>
      <c r="AZ30" s="153">
        <v>4.46</v>
      </c>
      <c r="BA30" s="153">
        <v>45.05</v>
      </c>
      <c r="BB30" s="153">
        <v>4.45</v>
      </c>
      <c r="BC30" s="153">
        <v>124.0</v>
      </c>
      <c r="BD30" s="153">
        <v>16193.0</v>
      </c>
      <c r="BE30" s="153">
        <v>8.8865</v>
      </c>
      <c r="BF30" s="153">
        <v>0.2275</v>
      </c>
      <c r="BG30" s="153">
        <v>8.659</v>
      </c>
      <c r="BH30" s="153">
        <v>9.0788</v>
      </c>
      <c r="BI30" s="153">
        <v>0.1215</v>
      </c>
      <c r="BJ30" s="153">
        <v>6.6148</v>
      </c>
      <c r="BK30" s="153">
        <v>0.2952</v>
      </c>
      <c r="BL30" s="153">
        <v>6.3196</v>
      </c>
      <c r="BM30" s="153">
        <v>8.5934</v>
      </c>
      <c r="BN30" s="153">
        <v>0.115</v>
      </c>
      <c r="BO30" s="153">
        <v>3.078</v>
      </c>
      <c r="BP30" s="153">
        <v>0.0763</v>
      </c>
      <c r="BQ30" s="153">
        <v>3.0017</v>
      </c>
      <c r="BR30" s="153">
        <v>3.1928</v>
      </c>
      <c r="BS30" s="153">
        <v>3.1418</v>
      </c>
      <c r="BT30" s="153">
        <v>0.075</v>
      </c>
      <c r="BU30" s="153">
        <v>3.0668</v>
      </c>
      <c r="BV30" s="153">
        <v>3.3222</v>
      </c>
      <c r="BW30" s="153">
        <v>2.6667</v>
      </c>
      <c r="BX30" s="153">
        <v>0.0763</v>
      </c>
      <c r="BY30" s="153">
        <v>2.5904</v>
      </c>
      <c r="BZ30" s="153">
        <v>2.5638</v>
      </c>
      <c r="CA30" s="153">
        <v>1.8715</v>
      </c>
      <c r="CB30" s="153">
        <v>0.0895</v>
      </c>
      <c r="CC30" s="153">
        <v>1.7819</v>
      </c>
      <c r="CD30" s="153">
        <v>2.8068</v>
      </c>
      <c r="CE30" s="153">
        <v>2.2284</v>
      </c>
      <c r="CF30" s="153">
        <v>0.1118</v>
      </c>
      <c r="CG30" s="153">
        <v>2.1165</v>
      </c>
      <c r="CH30" s="153">
        <v>2.5107</v>
      </c>
      <c r="CI30" s="153">
        <v>2.515</v>
      </c>
      <c r="CJ30" s="153">
        <v>0.0938</v>
      </c>
      <c r="CK30" s="153">
        <v>2.4212</v>
      </c>
      <c r="CL30" s="153">
        <v>3.2759</v>
      </c>
      <c r="CM30" s="153">
        <v>745.3</v>
      </c>
      <c r="CN30" s="153">
        <v>99.06</v>
      </c>
      <c r="CO30" s="153">
        <v>752.39</v>
      </c>
      <c r="CP30" s="153">
        <v>722.81</v>
      </c>
      <c r="CQ30" s="153">
        <v>0.0</v>
      </c>
      <c r="CR30" s="153">
        <v>5.75</v>
      </c>
      <c r="CS30" s="153">
        <v>16.73</v>
      </c>
      <c r="CT30" s="153">
        <v>0.0</v>
      </c>
      <c r="CU30" s="153">
        <v>0.0</v>
      </c>
      <c r="CV30" s="153">
        <v>0.0</v>
      </c>
      <c r="CW30" s="153">
        <v>259.54</v>
      </c>
      <c r="CX30" s="153">
        <v>0.0</v>
      </c>
      <c r="CY30" s="153">
        <v>0.0</v>
      </c>
      <c r="CZ30" s="153">
        <v>318.05</v>
      </c>
      <c r="DA30" s="153">
        <v>7.53</v>
      </c>
      <c r="DB30" s="153">
        <v>310.52</v>
      </c>
      <c r="DC30" s="153">
        <v>297.22</v>
      </c>
      <c r="DD30" s="153">
        <v>2.9</v>
      </c>
      <c r="DE30" s="153">
        <v>294.32</v>
      </c>
      <c r="DF30" s="153">
        <v>9.96</v>
      </c>
      <c r="DG30" s="153">
        <v>1.54</v>
      </c>
      <c r="DH30" s="153">
        <v>8.41</v>
      </c>
      <c r="DI30" s="153">
        <v>8.16</v>
      </c>
      <c r="DJ30" s="153">
        <v>1.54</v>
      </c>
      <c r="DK30" s="153">
        <v>6.62</v>
      </c>
      <c r="DL30" s="153">
        <v>2.71</v>
      </c>
      <c r="DM30" s="153">
        <v>1.54</v>
      </c>
      <c r="DN30" s="153">
        <v>1.17</v>
      </c>
    </row>
    <row r="31">
      <c r="A31" s="235">
        <v>46257.0</v>
      </c>
      <c r="B31" s="236" t="s">
        <v>4</v>
      </c>
      <c r="C31" s="236" t="s">
        <v>137</v>
      </c>
      <c r="D31" s="236">
        <v>283.0</v>
      </c>
      <c r="E31" s="236">
        <v>1.24</v>
      </c>
      <c r="F31" s="236">
        <v>494.85</v>
      </c>
      <c r="G31" s="236">
        <v>1.7486</v>
      </c>
      <c r="H31" s="236">
        <v>9.54</v>
      </c>
      <c r="I31" s="236">
        <v>18.3278</v>
      </c>
      <c r="J31" s="236">
        <v>257.17</v>
      </c>
      <c r="K31" s="236">
        <v>170.19</v>
      </c>
      <c r="L31" s="236">
        <v>129.86</v>
      </c>
      <c r="M31" s="236">
        <v>0.763</v>
      </c>
      <c r="N31" s="236">
        <v>0.3629</v>
      </c>
      <c r="O31" s="236">
        <v>0.228</v>
      </c>
      <c r="P31" s="236">
        <v>1.3106</v>
      </c>
      <c r="Q31" s="236">
        <v>484.65</v>
      </c>
      <c r="R31" s="236">
        <v>381.45</v>
      </c>
      <c r="S31" s="236">
        <v>103.2</v>
      </c>
      <c r="T31" s="236">
        <v>140.99</v>
      </c>
      <c r="U31" s="236">
        <v>343.66</v>
      </c>
      <c r="V31" s="236">
        <v>573.85</v>
      </c>
      <c r="W31" s="236">
        <v>3.3719</v>
      </c>
      <c r="X31" s="236">
        <v>29.09</v>
      </c>
      <c r="Y31" s="236">
        <v>251.0</v>
      </c>
      <c r="Z31" s="236">
        <v>885.0</v>
      </c>
      <c r="AA31" s="236">
        <v>2645.0</v>
      </c>
      <c r="AB31" s="236">
        <v>57.3781</v>
      </c>
      <c r="AC31" s="236">
        <v>0.8188</v>
      </c>
      <c r="AD31" s="236">
        <v>52.59</v>
      </c>
      <c r="AE31" s="236">
        <v>22.0</v>
      </c>
      <c r="AF31" s="236">
        <v>35.0</v>
      </c>
      <c r="AG31" s="236">
        <v>65.0</v>
      </c>
      <c r="AH31" s="236">
        <v>117.0</v>
      </c>
      <c r="AI31" s="236">
        <v>19.79</v>
      </c>
      <c r="AJ31" s="236">
        <v>3.89</v>
      </c>
      <c r="AK31" s="236">
        <v>0.71</v>
      </c>
      <c r="AL31" s="236">
        <v>0.0495</v>
      </c>
      <c r="AM31" s="237"/>
      <c r="AQ31" s="153">
        <v>29.2756</v>
      </c>
      <c r="AR31" s="153">
        <v>2.0777</v>
      </c>
      <c r="AS31" s="153">
        <v>27.1979</v>
      </c>
      <c r="AT31" s="153">
        <v>30.9081</v>
      </c>
      <c r="AU31" s="153">
        <v>0.1816</v>
      </c>
      <c r="AV31" s="153">
        <v>283.0</v>
      </c>
      <c r="AW31" s="153">
        <v>0.0</v>
      </c>
      <c r="AX31" s="153">
        <v>222.72</v>
      </c>
      <c r="AY31" s="153">
        <v>103.96</v>
      </c>
      <c r="AZ31" s="153">
        <v>8.22</v>
      </c>
      <c r="BA31" s="153">
        <v>140.99</v>
      </c>
      <c r="BB31" s="153">
        <v>8.77</v>
      </c>
      <c r="BC31" s="153">
        <v>260.0</v>
      </c>
      <c r="BD31" s="153">
        <v>18910.0</v>
      </c>
      <c r="BE31" s="153">
        <v>16.947</v>
      </c>
      <c r="BF31" s="153">
        <v>1.1025</v>
      </c>
      <c r="BG31" s="153">
        <v>15.8445</v>
      </c>
      <c r="BH31" s="153">
        <v>17.8834</v>
      </c>
      <c r="BI31" s="153">
        <v>0.1051</v>
      </c>
      <c r="BJ31" s="153">
        <v>12.3286</v>
      </c>
      <c r="BK31" s="153">
        <v>0.9753</v>
      </c>
      <c r="BL31" s="153">
        <v>11.3534</v>
      </c>
      <c r="BM31" s="153">
        <v>13.0247</v>
      </c>
      <c r="BN31" s="153">
        <v>0.0765</v>
      </c>
      <c r="BO31" s="153">
        <v>5.8339</v>
      </c>
      <c r="BP31" s="153">
        <v>0.3604</v>
      </c>
      <c r="BQ31" s="153">
        <v>5.4735</v>
      </c>
      <c r="BR31" s="153">
        <v>6.1943</v>
      </c>
      <c r="BS31" s="153">
        <v>5.8693</v>
      </c>
      <c r="BT31" s="153">
        <v>0.371</v>
      </c>
      <c r="BU31" s="153">
        <v>5.4982</v>
      </c>
      <c r="BV31" s="153">
        <v>6.2509</v>
      </c>
      <c r="BW31" s="153">
        <v>5.2438</v>
      </c>
      <c r="BX31" s="153">
        <v>0.371</v>
      </c>
      <c r="BY31" s="153">
        <v>4.8728</v>
      </c>
      <c r="BZ31" s="153">
        <v>5.4382</v>
      </c>
      <c r="CA31" s="153">
        <v>3.8693</v>
      </c>
      <c r="CB31" s="153">
        <v>0.311</v>
      </c>
      <c r="CC31" s="153">
        <v>3.5583</v>
      </c>
      <c r="CD31" s="153">
        <v>4.1661</v>
      </c>
      <c r="CE31" s="153">
        <v>3.7102</v>
      </c>
      <c r="CF31" s="153">
        <v>0.3428</v>
      </c>
      <c r="CG31" s="153">
        <v>3.3675</v>
      </c>
      <c r="CH31" s="153">
        <v>3.9965</v>
      </c>
      <c r="CI31" s="153">
        <v>4.7491</v>
      </c>
      <c r="CJ31" s="153">
        <v>0.3216</v>
      </c>
      <c r="CK31" s="153">
        <v>4.4276</v>
      </c>
      <c r="CL31" s="153">
        <v>4.8622</v>
      </c>
      <c r="CM31" s="153">
        <v>1660.76</v>
      </c>
      <c r="CN31" s="153">
        <v>100.0</v>
      </c>
      <c r="CO31" s="153">
        <v>1660.76</v>
      </c>
      <c r="CP31" s="153">
        <v>1635.72</v>
      </c>
      <c r="CQ31" s="153">
        <v>0.0</v>
      </c>
      <c r="CR31" s="153">
        <v>8.06</v>
      </c>
      <c r="CS31" s="153">
        <v>16.98</v>
      </c>
      <c r="CT31" s="153">
        <v>0.0</v>
      </c>
      <c r="CU31" s="153">
        <v>0.0</v>
      </c>
      <c r="CV31" s="153">
        <v>0.0</v>
      </c>
      <c r="CW31" s="153">
        <v>484.65</v>
      </c>
      <c r="CX31" s="153">
        <v>0.0</v>
      </c>
      <c r="CY31" s="153">
        <v>0.0</v>
      </c>
      <c r="CZ31" s="153">
        <v>560.65</v>
      </c>
      <c r="DA31" s="153">
        <v>12.97</v>
      </c>
      <c r="DB31" s="153">
        <v>547.69</v>
      </c>
      <c r="DC31" s="153">
        <v>542.99</v>
      </c>
      <c r="DD31" s="153">
        <v>10.0</v>
      </c>
      <c r="DE31" s="153">
        <v>532.99</v>
      </c>
      <c r="DF31" s="153">
        <v>7.08</v>
      </c>
      <c r="DG31" s="153">
        <v>0.99</v>
      </c>
      <c r="DH31" s="153">
        <v>6.1</v>
      </c>
      <c r="DI31" s="153">
        <v>7.93</v>
      </c>
      <c r="DJ31" s="153">
        <v>0.99</v>
      </c>
      <c r="DK31" s="153">
        <v>6.94</v>
      </c>
      <c r="DL31" s="153">
        <v>2.65</v>
      </c>
      <c r="DM31" s="153">
        <v>0.99</v>
      </c>
      <c r="DN31" s="153">
        <v>1.66</v>
      </c>
    </row>
    <row r="32">
      <c r="A32" s="235">
        <v>46257.0</v>
      </c>
      <c r="B32" s="236" t="s">
        <v>5</v>
      </c>
      <c r="C32" s="236" t="s">
        <v>423</v>
      </c>
      <c r="D32" s="236">
        <v>4895.0</v>
      </c>
      <c r="E32" s="236">
        <v>21.86</v>
      </c>
      <c r="F32" s="236">
        <v>543.28</v>
      </c>
      <c r="G32" s="236">
        <v>0.111</v>
      </c>
      <c r="H32" s="236">
        <v>1.59</v>
      </c>
      <c r="I32" s="236">
        <v>6.9651</v>
      </c>
      <c r="J32" s="236">
        <v>26.33</v>
      </c>
      <c r="K32" s="236">
        <v>14.57</v>
      </c>
      <c r="L32" s="236">
        <v>9.89</v>
      </c>
      <c r="M32" s="236">
        <v>0.679</v>
      </c>
      <c r="N32" s="236">
        <v>0.4415</v>
      </c>
      <c r="O32" s="236">
        <v>0.2132</v>
      </c>
      <c r="P32" s="236">
        <v>1.4727</v>
      </c>
      <c r="Q32" s="236">
        <v>71.74</v>
      </c>
      <c r="R32" s="236">
        <v>71.66</v>
      </c>
      <c r="S32" s="236">
        <v>0.08</v>
      </c>
      <c r="T32" s="236">
        <v>9.77</v>
      </c>
      <c r="U32" s="236">
        <v>61.97</v>
      </c>
      <c r="V32" s="236">
        <v>61.47</v>
      </c>
      <c r="W32" s="236">
        <v>4.2184</v>
      </c>
      <c r="X32" s="236">
        <v>13.62</v>
      </c>
      <c r="Y32" s="236">
        <v>182.0</v>
      </c>
      <c r="Z32" s="236">
        <v>524.0</v>
      </c>
      <c r="AA32" s="236">
        <v>3865.0</v>
      </c>
      <c r="AB32" s="236">
        <v>49.6553</v>
      </c>
      <c r="AC32" s="236">
        <v>0.4642</v>
      </c>
      <c r="AD32" s="237"/>
      <c r="AE32" s="237"/>
      <c r="AF32" s="237"/>
      <c r="AG32" s="237"/>
      <c r="AH32" s="237"/>
      <c r="AI32" s="236">
        <v>0.0</v>
      </c>
      <c r="AJ32" s="236">
        <v>0.0</v>
      </c>
      <c r="AK32" s="236">
        <v>0.0</v>
      </c>
      <c r="AL32" s="236">
        <v>0.4358</v>
      </c>
      <c r="AM32" s="236">
        <v>12.13</v>
      </c>
      <c r="AN32" s="153">
        <v>12.13</v>
      </c>
      <c r="AO32" s="153">
        <v>7.82</v>
      </c>
      <c r="AP32" s="153">
        <v>4.74</v>
      </c>
      <c r="AQ32" s="153">
        <v>1.9316</v>
      </c>
      <c r="AR32" s="153">
        <v>0.0733</v>
      </c>
      <c r="AS32" s="153">
        <v>1.8582</v>
      </c>
      <c r="AT32" s="153">
        <v>1.9522</v>
      </c>
      <c r="AU32" s="153">
        <v>0.134</v>
      </c>
      <c r="AV32" s="153">
        <v>4895.0</v>
      </c>
      <c r="AW32" s="153">
        <v>0.0</v>
      </c>
      <c r="AX32" s="153">
        <v>11.93</v>
      </c>
      <c r="AY32" s="153">
        <v>46.27</v>
      </c>
      <c r="AZ32" s="153">
        <v>3.6</v>
      </c>
      <c r="BA32" s="153">
        <v>9.77</v>
      </c>
      <c r="BB32" s="153">
        <v>0.18</v>
      </c>
      <c r="BD32" s="153">
        <v>28321.0</v>
      </c>
      <c r="BE32" s="153">
        <v>0.9252</v>
      </c>
      <c r="BF32" s="153">
        <v>0.0288</v>
      </c>
      <c r="BG32" s="153">
        <v>0.8964</v>
      </c>
      <c r="BH32" s="153">
        <v>0.9694</v>
      </c>
      <c r="BI32" s="153">
        <v>0.0665</v>
      </c>
      <c r="BJ32" s="153">
        <v>1.0063</v>
      </c>
      <c r="BK32" s="153">
        <v>0.0445</v>
      </c>
      <c r="BL32" s="153">
        <v>0.9618</v>
      </c>
      <c r="BM32" s="153">
        <v>0.9828</v>
      </c>
      <c r="BN32" s="153">
        <v>0.0674</v>
      </c>
      <c r="BO32" s="153">
        <v>0.3788</v>
      </c>
      <c r="BP32" s="153">
        <v>0.0098</v>
      </c>
      <c r="BQ32" s="153">
        <v>0.3689</v>
      </c>
      <c r="BR32" s="153">
        <v>0.3884</v>
      </c>
      <c r="BS32" s="153">
        <v>0.3236</v>
      </c>
      <c r="BT32" s="153">
        <v>0.0092</v>
      </c>
      <c r="BU32" s="153">
        <v>0.3144</v>
      </c>
      <c r="BV32" s="153">
        <v>0.3389</v>
      </c>
      <c r="BW32" s="153">
        <v>0.2229</v>
      </c>
      <c r="BX32" s="153">
        <v>0.0098</v>
      </c>
      <c r="BY32" s="153">
        <v>0.2131</v>
      </c>
      <c r="BZ32" s="153">
        <v>0.2421</v>
      </c>
      <c r="CA32" s="153">
        <v>0.2353</v>
      </c>
      <c r="CB32" s="153">
        <v>0.0106</v>
      </c>
      <c r="CC32" s="153">
        <v>0.2247</v>
      </c>
      <c r="CD32" s="153">
        <v>0.2576</v>
      </c>
      <c r="CE32" s="153">
        <v>0.4374</v>
      </c>
      <c r="CF32" s="153">
        <v>0.0176</v>
      </c>
      <c r="CG32" s="153">
        <v>0.4198</v>
      </c>
      <c r="CH32" s="153">
        <v>0.3657</v>
      </c>
      <c r="CI32" s="153">
        <v>0.3336</v>
      </c>
      <c r="CJ32" s="153">
        <v>0.0163</v>
      </c>
      <c r="CK32" s="153">
        <v>0.3173</v>
      </c>
      <c r="CL32" s="153">
        <v>0.3596</v>
      </c>
      <c r="CM32" s="153">
        <v>125.25</v>
      </c>
      <c r="CN32" s="153">
        <v>22.55</v>
      </c>
      <c r="CO32" s="153">
        <v>555.36</v>
      </c>
      <c r="CP32" s="153">
        <v>115.04</v>
      </c>
      <c r="CQ32" s="153">
        <v>0.01</v>
      </c>
      <c r="CR32" s="153">
        <v>2.37</v>
      </c>
      <c r="CS32" s="153">
        <v>7.84</v>
      </c>
      <c r="CT32" s="153">
        <v>0.0</v>
      </c>
      <c r="CU32" s="153">
        <v>1075.0</v>
      </c>
      <c r="CV32" s="153">
        <v>0.0</v>
      </c>
      <c r="CW32" s="153">
        <v>71.74</v>
      </c>
      <c r="CX32" s="153">
        <v>0.0</v>
      </c>
      <c r="CY32" s="153">
        <v>0.01</v>
      </c>
      <c r="CZ32" s="153">
        <v>42.4</v>
      </c>
      <c r="DA32" s="153">
        <v>2.31</v>
      </c>
      <c r="DB32" s="153">
        <v>40.09</v>
      </c>
      <c r="DC32" s="153">
        <v>34.83</v>
      </c>
      <c r="DD32" s="153">
        <v>0.75</v>
      </c>
      <c r="DE32" s="153">
        <v>34.08</v>
      </c>
      <c r="DF32" s="153">
        <v>3.14</v>
      </c>
      <c r="DG32" s="153">
        <v>0.52</v>
      </c>
      <c r="DH32" s="153">
        <v>2.62</v>
      </c>
      <c r="DI32" s="153">
        <v>2.63</v>
      </c>
      <c r="DJ32" s="153">
        <v>0.52</v>
      </c>
      <c r="DK32" s="153">
        <v>2.1</v>
      </c>
      <c r="DL32" s="153">
        <v>1.81</v>
      </c>
      <c r="DM32" s="153">
        <v>0.52</v>
      </c>
      <c r="DN32" s="153">
        <v>1.28</v>
      </c>
    </row>
    <row r="33">
      <c r="A33" s="235">
        <v>46257.0</v>
      </c>
      <c r="B33" s="236" t="s">
        <v>5</v>
      </c>
      <c r="C33" s="236" t="s">
        <v>133</v>
      </c>
      <c r="D33" s="236">
        <v>5953.0</v>
      </c>
      <c r="E33" s="236">
        <v>26.59</v>
      </c>
      <c r="F33" s="236">
        <v>98.54</v>
      </c>
      <c r="G33" s="236">
        <v>0.0166</v>
      </c>
      <c r="H33" s="236">
        <v>0.79</v>
      </c>
      <c r="I33" s="236">
        <v>2.0966</v>
      </c>
      <c r="J33" s="236">
        <v>22.22</v>
      </c>
      <c r="K33" s="236">
        <v>11.45</v>
      </c>
      <c r="L33" s="236">
        <v>5.2</v>
      </c>
      <c r="M33" s="236">
        <v>0.4543</v>
      </c>
      <c r="N33" s="236">
        <v>0.6551</v>
      </c>
      <c r="O33" s="236">
        <v>0.4019</v>
      </c>
      <c r="P33" s="236">
        <v>2.2012</v>
      </c>
      <c r="Q33" s="236">
        <v>41.72</v>
      </c>
      <c r="R33" s="236">
        <v>37.58</v>
      </c>
      <c r="S33" s="236">
        <v>4.14</v>
      </c>
      <c r="T33" s="236">
        <v>1.46</v>
      </c>
      <c r="U33" s="236">
        <v>40.26</v>
      </c>
      <c r="V33" s="236">
        <v>43.94</v>
      </c>
      <c r="W33" s="236">
        <v>3.8365</v>
      </c>
      <c r="X33" s="236">
        <v>3.5</v>
      </c>
      <c r="Y33" s="236">
        <v>187.0</v>
      </c>
      <c r="Z33" s="236">
        <v>413.0</v>
      </c>
      <c r="AA33" s="236">
        <v>1595.0</v>
      </c>
      <c r="AB33" s="236">
        <v>50.1111</v>
      </c>
      <c r="AC33" s="236">
        <v>0.6049</v>
      </c>
      <c r="AD33" s="236">
        <v>4.02</v>
      </c>
      <c r="AE33" s="236">
        <v>1.0</v>
      </c>
      <c r="AF33" s="236">
        <v>3.0</v>
      </c>
      <c r="AG33" s="236">
        <v>5.0</v>
      </c>
      <c r="AH33" s="236">
        <v>8.0</v>
      </c>
      <c r="AI33" s="236">
        <v>73.56</v>
      </c>
      <c r="AJ33" s="236">
        <v>33.29</v>
      </c>
      <c r="AK33" s="236">
        <v>7.04</v>
      </c>
      <c r="AL33" s="236">
        <v>0.4658</v>
      </c>
      <c r="AM33" s="236">
        <v>46.33</v>
      </c>
      <c r="AN33" s="153">
        <v>46.33</v>
      </c>
      <c r="AO33" s="153">
        <v>23.01</v>
      </c>
      <c r="AP33" s="153">
        <v>6.62</v>
      </c>
      <c r="AQ33" s="153">
        <v>2.8297</v>
      </c>
      <c r="AR33" s="153">
        <v>0.0373</v>
      </c>
      <c r="AS33" s="153">
        <v>2.7924</v>
      </c>
      <c r="AT33" s="153">
        <v>2.6744</v>
      </c>
      <c r="AU33" s="153">
        <v>0.2335</v>
      </c>
      <c r="AV33" s="153">
        <v>5953.0</v>
      </c>
      <c r="AW33" s="153">
        <v>0.0</v>
      </c>
      <c r="AX33" s="153">
        <v>21.68</v>
      </c>
      <c r="AY33" s="153">
        <v>15.79</v>
      </c>
      <c r="AZ33" s="153">
        <v>2.11</v>
      </c>
      <c r="BA33" s="153">
        <v>1.46</v>
      </c>
      <c r="BB33" s="153">
        <v>0.68</v>
      </c>
      <c r="BC33" s="153">
        <v>17.0</v>
      </c>
      <c r="BD33" s="153">
        <v>19818.0</v>
      </c>
      <c r="BE33" s="153">
        <v>1.9803</v>
      </c>
      <c r="BF33" s="153">
        <v>0.0217</v>
      </c>
      <c r="BG33" s="153">
        <v>1.9587</v>
      </c>
      <c r="BH33" s="153">
        <v>1.5523</v>
      </c>
      <c r="BI33" s="153">
        <v>0.1355</v>
      </c>
      <c r="BJ33" s="153">
        <v>0.8493</v>
      </c>
      <c r="BK33" s="153">
        <v>0.0156</v>
      </c>
      <c r="BL33" s="153">
        <v>0.8337</v>
      </c>
      <c r="BM33" s="153">
        <v>1.1221</v>
      </c>
      <c r="BN33" s="153">
        <v>0.098</v>
      </c>
      <c r="BO33" s="153">
        <v>0.8475</v>
      </c>
      <c r="BP33" s="153">
        <v>0.0108</v>
      </c>
      <c r="BQ33" s="153">
        <v>0.8367</v>
      </c>
      <c r="BR33" s="153">
        <v>0.6293</v>
      </c>
      <c r="BS33" s="153">
        <v>0.8231</v>
      </c>
      <c r="BT33" s="153">
        <v>0.0052</v>
      </c>
      <c r="BU33" s="153">
        <v>0.8179</v>
      </c>
      <c r="BV33" s="153">
        <v>0.6299</v>
      </c>
      <c r="BW33" s="153">
        <v>0.3098</v>
      </c>
      <c r="BX33" s="153">
        <v>0.0057</v>
      </c>
      <c r="BY33" s="153">
        <v>0.304</v>
      </c>
      <c r="BZ33" s="153">
        <v>0.2931</v>
      </c>
      <c r="CA33" s="153">
        <v>0.1048</v>
      </c>
      <c r="CB33" s="153">
        <v>0.002</v>
      </c>
      <c r="CC33" s="153">
        <v>0.1028</v>
      </c>
      <c r="CD33" s="153">
        <v>0.1656</v>
      </c>
      <c r="CE33" s="153">
        <v>0.4188</v>
      </c>
      <c r="CF33" s="153">
        <v>0.006</v>
      </c>
      <c r="CG33" s="153">
        <v>0.4127</v>
      </c>
      <c r="CH33" s="153">
        <v>0.557</v>
      </c>
      <c r="CI33" s="153">
        <v>0.3257</v>
      </c>
      <c r="CJ33" s="153">
        <v>0.0076</v>
      </c>
      <c r="CK33" s="153">
        <v>0.3182</v>
      </c>
      <c r="CL33" s="153">
        <v>0.3995</v>
      </c>
      <c r="CM33" s="153">
        <v>122.65</v>
      </c>
      <c r="CN33" s="153">
        <v>85.52</v>
      </c>
      <c r="CO33" s="153">
        <v>143.42</v>
      </c>
      <c r="CP33" s="153">
        <v>113.6</v>
      </c>
      <c r="CQ33" s="153">
        <v>0.13</v>
      </c>
      <c r="CR33" s="153">
        <v>5.29</v>
      </c>
      <c r="CS33" s="153">
        <v>3.63</v>
      </c>
      <c r="CT33" s="153">
        <v>0.0</v>
      </c>
      <c r="CU33" s="153">
        <v>719.0</v>
      </c>
      <c r="CV33" s="153">
        <v>0.0</v>
      </c>
      <c r="CW33" s="153">
        <v>41.72</v>
      </c>
      <c r="CX33" s="153">
        <v>0.0</v>
      </c>
      <c r="CY33" s="153">
        <v>0.13</v>
      </c>
      <c r="CZ33" s="153">
        <v>84.6</v>
      </c>
      <c r="DA33" s="153">
        <v>0.26</v>
      </c>
      <c r="DB33" s="153">
        <v>84.35</v>
      </c>
      <c r="DC33" s="153">
        <v>76.05</v>
      </c>
      <c r="DD33" s="153">
        <v>0.06</v>
      </c>
      <c r="DE33" s="153">
        <v>75.99</v>
      </c>
      <c r="DF33" s="153">
        <v>4.43</v>
      </c>
      <c r="DG33" s="153">
        <v>0.06</v>
      </c>
      <c r="DH33" s="153">
        <v>4.36</v>
      </c>
      <c r="DI33" s="153">
        <v>3.59</v>
      </c>
      <c r="DJ33" s="153">
        <v>0.06</v>
      </c>
      <c r="DK33" s="153">
        <v>3.52</v>
      </c>
      <c r="DL33" s="153">
        <v>0.54</v>
      </c>
      <c r="DM33" s="153">
        <v>0.06</v>
      </c>
      <c r="DN33" s="153">
        <v>0.47</v>
      </c>
    </row>
    <row r="34">
      <c r="A34" s="235">
        <v>46257.0</v>
      </c>
      <c r="B34" s="236" t="s">
        <v>5</v>
      </c>
      <c r="C34" s="236" t="s">
        <v>134</v>
      </c>
      <c r="D34" s="236">
        <v>5116.0</v>
      </c>
      <c r="E34" s="236">
        <v>22.85</v>
      </c>
      <c r="F34" s="236">
        <v>441.61</v>
      </c>
      <c r="G34" s="236">
        <v>0.0863</v>
      </c>
      <c r="H34" s="236">
        <v>2.8</v>
      </c>
      <c r="I34" s="236">
        <v>3.0882</v>
      </c>
      <c r="J34" s="236">
        <v>43.27</v>
      </c>
      <c r="K34" s="236">
        <v>23.36</v>
      </c>
      <c r="L34" s="236">
        <v>13.01</v>
      </c>
      <c r="M34" s="236">
        <v>0.5567</v>
      </c>
      <c r="N34" s="236">
        <v>0.569</v>
      </c>
      <c r="O34" s="236">
        <v>0.3454</v>
      </c>
      <c r="P34" s="236">
        <v>1.7964</v>
      </c>
      <c r="Q34" s="236">
        <v>83.35</v>
      </c>
      <c r="R34" s="236">
        <v>73.13</v>
      </c>
      <c r="S34" s="236">
        <v>10.21</v>
      </c>
      <c r="T34" s="236">
        <v>6.69</v>
      </c>
      <c r="U34" s="236">
        <v>76.65</v>
      </c>
      <c r="V34" s="236">
        <v>91.04</v>
      </c>
      <c r="W34" s="236">
        <v>3.8966</v>
      </c>
      <c r="X34" s="236">
        <v>8.03</v>
      </c>
      <c r="Y34" s="236">
        <v>188.0</v>
      </c>
      <c r="Z34" s="236">
        <v>407.0</v>
      </c>
      <c r="AA34" s="236">
        <v>1260.0</v>
      </c>
      <c r="AB34" s="236">
        <v>51.877</v>
      </c>
      <c r="AC34" s="236">
        <v>0.6725</v>
      </c>
      <c r="AD34" s="236">
        <v>9.11</v>
      </c>
      <c r="AE34" s="236">
        <v>4.0</v>
      </c>
      <c r="AF34" s="236">
        <v>7.0</v>
      </c>
      <c r="AG34" s="236">
        <v>12.0</v>
      </c>
      <c r="AH34" s="236">
        <v>18.0</v>
      </c>
      <c r="AI34" s="236">
        <v>61.81</v>
      </c>
      <c r="AJ34" s="236">
        <v>24.16</v>
      </c>
      <c r="AK34" s="236">
        <v>3.6</v>
      </c>
      <c r="AL34" s="236">
        <v>0.3294</v>
      </c>
      <c r="AM34" s="236">
        <v>52.35</v>
      </c>
      <c r="AN34" s="153">
        <v>52.35</v>
      </c>
      <c r="AO34" s="153">
        <v>30.49</v>
      </c>
      <c r="AP34" s="153">
        <v>14.95</v>
      </c>
      <c r="AQ34" s="153">
        <v>4.6546</v>
      </c>
      <c r="AR34" s="153">
        <v>0.0889</v>
      </c>
      <c r="AS34" s="153">
        <v>4.5657</v>
      </c>
      <c r="AT34" s="153">
        <v>4.9441</v>
      </c>
      <c r="AU34" s="153">
        <v>0.2116</v>
      </c>
      <c r="AV34" s="153">
        <v>5116.0</v>
      </c>
      <c r="AW34" s="153">
        <v>0.0</v>
      </c>
      <c r="AX34" s="153">
        <v>35.41</v>
      </c>
      <c r="AY34" s="153">
        <v>37.09</v>
      </c>
      <c r="AZ34" s="153">
        <v>2.86</v>
      </c>
      <c r="BA34" s="153">
        <v>6.69</v>
      </c>
      <c r="BB34" s="153">
        <v>1.29</v>
      </c>
      <c r="BC34" s="153">
        <v>35.0</v>
      </c>
      <c r="BD34" s="153">
        <v>18829.0</v>
      </c>
      <c r="BE34" s="153">
        <v>2.9666</v>
      </c>
      <c r="BF34" s="153">
        <v>0.044</v>
      </c>
      <c r="BG34" s="153">
        <v>2.9226</v>
      </c>
      <c r="BH34" s="153">
        <v>2.7871</v>
      </c>
      <c r="BI34" s="153">
        <v>0.1193</v>
      </c>
      <c r="BJ34" s="153">
        <v>1.688</v>
      </c>
      <c r="BK34" s="153">
        <v>0.045</v>
      </c>
      <c r="BL34" s="153">
        <v>1.6431</v>
      </c>
      <c r="BM34" s="153">
        <v>2.157</v>
      </c>
      <c r="BN34" s="153">
        <v>0.0923</v>
      </c>
      <c r="BO34" s="153">
        <v>1.2922</v>
      </c>
      <c r="BP34" s="153">
        <v>0.0133</v>
      </c>
      <c r="BQ34" s="153">
        <v>1.2789</v>
      </c>
      <c r="BR34" s="153">
        <v>1.1357</v>
      </c>
      <c r="BS34" s="153">
        <v>1.1744</v>
      </c>
      <c r="BT34" s="153">
        <v>0.0133</v>
      </c>
      <c r="BU34" s="153">
        <v>1.1611</v>
      </c>
      <c r="BV34" s="153">
        <v>1.0921</v>
      </c>
      <c r="BW34" s="153">
        <v>0.5</v>
      </c>
      <c r="BX34" s="153">
        <v>0.0174</v>
      </c>
      <c r="BY34" s="153">
        <v>0.4826</v>
      </c>
      <c r="BZ34" s="153">
        <v>0.5594</v>
      </c>
      <c r="CA34" s="153">
        <v>0.2246</v>
      </c>
      <c r="CB34" s="153">
        <v>0.0111</v>
      </c>
      <c r="CC34" s="153">
        <v>0.2134</v>
      </c>
      <c r="CD34" s="153">
        <v>0.3313</v>
      </c>
      <c r="CE34" s="153">
        <v>0.757</v>
      </c>
      <c r="CF34" s="153">
        <v>0.0184</v>
      </c>
      <c r="CG34" s="153">
        <v>0.7387</v>
      </c>
      <c r="CH34" s="153">
        <v>0.9967</v>
      </c>
      <c r="CI34" s="153">
        <v>0.7064</v>
      </c>
      <c r="CJ34" s="153">
        <v>0.0154</v>
      </c>
      <c r="CK34" s="153">
        <v>0.691</v>
      </c>
      <c r="CL34" s="153">
        <v>0.829</v>
      </c>
      <c r="CM34" s="153">
        <v>202.55</v>
      </c>
      <c r="CN34" s="153">
        <v>94.74</v>
      </c>
      <c r="CO34" s="153">
        <v>213.79</v>
      </c>
      <c r="CP34" s="153">
        <v>180.43</v>
      </c>
      <c r="CQ34" s="153">
        <v>0.27</v>
      </c>
      <c r="CR34" s="153">
        <v>5.63</v>
      </c>
      <c r="CS34" s="153">
        <v>16.22</v>
      </c>
      <c r="CT34" s="153">
        <v>0.0</v>
      </c>
      <c r="CU34" s="153">
        <v>1224.0</v>
      </c>
      <c r="CV34" s="153">
        <v>0.01</v>
      </c>
      <c r="CW34" s="153">
        <v>83.36</v>
      </c>
      <c r="CX34" s="153">
        <v>0.01</v>
      </c>
      <c r="CY34" s="153">
        <v>0.28</v>
      </c>
      <c r="CZ34" s="153">
        <v>123.92</v>
      </c>
      <c r="DA34" s="153">
        <v>1.6</v>
      </c>
      <c r="DB34" s="153">
        <v>122.32</v>
      </c>
      <c r="DC34" s="153">
        <v>111.93</v>
      </c>
      <c r="DD34" s="153">
        <v>0.44</v>
      </c>
      <c r="DE34" s="153">
        <v>111.5</v>
      </c>
      <c r="DF34" s="153">
        <v>5.72</v>
      </c>
      <c r="DG34" s="153">
        <v>0.39</v>
      </c>
      <c r="DH34" s="153">
        <v>5.34</v>
      </c>
      <c r="DI34" s="153">
        <v>5.12</v>
      </c>
      <c r="DJ34" s="153">
        <v>0.39</v>
      </c>
      <c r="DK34" s="153">
        <v>4.73</v>
      </c>
      <c r="DL34" s="153">
        <v>1.14</v>
      </c>
      <c r="DM34" s="153">
        <v>0.39</v>
      </c>
      <c r="DN34" s="153">
        <v>0.76</v>
      </c>
    </row>
    <row r="35">
      <c r="A35" s="235">
        <v>46257.0</v>
      </c>
      <c r="B35" s="236" t="s">
        <v>5</v>
      </c>
      <c r="C35" s="236" t="s">
        <v>135</v>
      </c>
      <c r="D35" s="236">
        <v>4047.0</v>
      </c>
      <c r="E35" s="236">
        <v>18.08</v>
      </c>
      <c r="F35" s="236">
        <v>576.69</v>
      </c>
      <c r="G35" s="236">
        <v>0.1425</v>
      </c>
      <c r="H35" s="236">
        <v>3.39</v>
      </c>
      <c r="I35" s="236">
        <v>4.2094</v>
      </c>
      <c r="J35" s="236">
        <v>70.41</v>
      </c>
      <c r="K35" s="236">
        <v>40.47</v>
      </c>
      <c r="L35" s="236">
        <v>25.73</v>
      </c>
      <c r="M35" s="236">
        <v>0.6359</v>
      </c>
      <c r="N35" s="236">
        <v>0.5019</v>
      </c>
      <c r="O35" s="236">
        <v>0.3093</v>
      </c>
      <c r="P35" s="236">
        <v>1.5726</v>
      </c>
      <c r="Q35" s="236">
        <v>152.48</v>
      </c>
      <c r="R35" s="236">
        <v>132.54</v>
      </c>
      <c r="S35" s="236">
        <v>19.95</v>
      </c>
      <c r="T35" s="236">
        <v>11.35</v>
      </c>
      <c r="U35" s="236">
        <v>141.13</v>
      </c>
      <c r="V35" s="236">
        <v>162.05</v>
      </c>
      <c r="W35" s="236">
        <v>4.0043</v>
      </c>
      <c r="X35" s="236">
        <v>7.45</v>
      </c>
      <c r="Y35" s="236">
        <v>218.0</v>
      </c>
      <c r="Z35" s="236">
        <v>516.0</v>
      </c>
      <c r="AA35" s="236">
        <v>1513.0</v>
      </c>
      <c r="AB35" s="236">
        <v>53.535</v>
      </c>
      <c r="AC35" s="236">
        <v>0.7267</v>
      </c>
      <c r="AD35" s="236">
        <v>16.05</v>
      </c>
      <c r="AE35" s="236">
        <v>6.0</v>
      </c>
      <c r="AF35" s="236">
        <v>12.0</v>
      </c>
      <c r="AG35" s="236">
        <v>22.0</v>
      </c>
      <c r="AH35" s="236">
        <v>33.0</v>
      </c>
      <c r="AI35" s="236">
        <v>56.46</v>
      </c>
      <c r="AJ35" s="236">
        <v>18.93</v>
      </c>
      <c r="AK35" s="236">
        <v>4.92</v>
      </c>
      <c r="AL35" s="236">
        <v>0.2508</v>
      </c>
      <c r="AM35" s="236">
        <v>52.58</v>
      </c>
      <c r="AN35" s="153">
        <v>52.58</v>
      </c>
      <c r="AO35" s="153">
        <v>29.65</v>
      </c>
      <c r="AP35" s="153">
        <v>15.02</v>
      </c>
      <c r="AQ35" s="153">
        <v>6.8305</v>
      </c>
      <c r="AR35" s="153">
        <v>0.1594</v>
      </c>
      <c r="AS35" s="153">
        <v>6.6711</v>
      </c>
      <c r="AT35" s="153">
        <v>7.5466</v>
      </c>
      <c r="AU35" s="153">
        <v>0.1865</v>
      </c>
      <c r="AV35" s="153">
        <v>4047.0</v>
      </c>
      <c r="AW35" s="153">
        <v>0.0</v>
      </c>
      <c r="AX35" s="153">
        <v>58.08</v>
      </c>
      <c r="AY35" s="153">
        <v>77.83</v>
      </c>
      <c r="AZ35" s="153">
        <v>3.06</v>
      </c>
      <c r="BA35" s="153">
        <v>11.35</v>
      </c>
      <c r="BB35" s="153">
        <v>2.16</v>
      </c>
      <c r="BC35" s="153">
        <v>62.0</v>
      </c>
      <c r="BD35" s="153">
        <v>16928.0</v>
      </c>
      <c r="BE35" s="153">
        <v>4.3104</v>
      </c>
      <c r="BF35" s="153">
        <v>0.0815</v>
      </c>
      <c r="BG35" s="153">
        <v>4.2288</v>
      </c>
      <c r="BH35" s="153">
        <v>4.2441</v>
      </c>
      <c r="BI35" s="153">
        <v>0.1049</v>
      </c>
      <c r="BJ35" s="153">
        <v>2.5201</v>
      </c>
      <c r="BK35" s="153">
        <v>0.0778</v>
      </c>
      <c r="BL35" s="153">
        <v>2.4423</v>
      </c>
      <c r="BM35" s="153">
        <v>3.3024</v>
      </c>
      <c r="BN35" s="153">
        <v>0.0816</v>
      </c>
      <c r="BO35" s="153">
        <v>1.7527</v>
      </c>
      <c r="BP35" s="153">
        <v>0.0237</v>
      </c>
      <c r="BQ35" s="153">
        <v>1.7289</v>
      </c>
      <c r="BR35" s="153">
        <v>1.6541</v>
      </c>
      <c r="BS35" s="153">
        <v>1.6575</v>
      </c>
      <c r="BT35" s="153">
        <v>0.0274</v>
      </c>
      <c r="BU35" s="153">
        <v>1.6301</v>
      </c>
      <c r="BV35" s="153">
        <v>1.635</v>
      </c>
      <c r="BW35" s="153">
        <v>0.9002</v>
      </c>
      <c r="BX35" s="153">
        <v>0.0304</v>
      </c>
      <c r="BY35" s="153">
        <v>0.8698</v>
      </c>
      <c r="BZ35" s="153">
        <v>0.955</v>
      </c>
      <c r="CA35" s="153">
        <v>0.4015</v>
      </c>
      <c r="CB35" s="153">
        <v>0.0185</v>
      </c>
      <c r="CC35" s="153">
        <v>0.383</v>
      </c>
      <c r="CD35" s="153">
        <v>0.617</v>
      </c>
      <c r="CE35" s="153">
        <v>1.0027</v>
      </c>
      <c r="CF35" s="153">
        <v>0.0334</v>
      </c>
      <c r="CG35" s="153">
        <v>0.9694</v>
      </c>
      <c r="CH35" s="153">
        <v>1.2879</v>
      </c>
      <c r="CI35" s="153">
        <v>1.1159</v>
      </c>
      <c r="CJ35" s="153">
        <v>0.0259</v>
      </c>
      <c r="CK35" s="153">
        <v>1.0899</v>
      </c>
      <c r="CL35" s="153">
        <v>1.3976</v>
      </c>
      <c r="CM35" s="153">
        <v>354.47</v>
      </c>
      <c r="CN35" s="153">
        <v>98.15</v>
      </c>
      <c r="CO35" s="153">
        <v>361.16</v>
      </c>
      <c r="CP35" s="153">
        <v>321.4</v>
      </c>
      <c r="CQ35" s="153">
        <v>0.16</v>
      </c>
      <c r="CR35" s="153">
        <v>5.29</v>
      </c>
      <c r="CS35" s="153">
        <v>27.61</v>
      </c>
      <c r="CT35" s="153">
        <v>0.0</v>
      </c>
      <c r="CU35" s="153">
        <v>1700.0</v>
      </c>
      <c r="CV35" s="153">
        <v>0.0</v>
      </c>
      <c r="CW35" s="153">
        <v>152.48</v>
      </c>
      <c r="CX35" s="153">
        <v>0.0</v>
      </c>
      <c r="CY35" s="153">
        <v>0.16</v>
      </c>
      <c r="CZ35" s="153">
        <v>182.93</v>
      </c>
      <c r="DA35" s="153">
        <v>2.41</v>
      </c>
      <c r="DB35" s="153">
        <v>180.52</v>
      </c>
      <c r="DC35" s="153">
        <v>165.71</v>
      </c>
      <c r="DD35" s="153">
        <v>0.75</v>
      </c>
      <c r="DE35" s="153">
        <v>164.96</v>
      </c>
      <c r="DF35" s="153">
        <v>7.93</v>
      </c>
      <c r="DG35" s="153">
        <v>0.55</v>
      </c>
      <c r="DH35" s="153">
        <v>7.38</v>
      </c>
      <c r="DI35" s="153">
        <v>6.33</v>
      </c>
      <c r="DJ35" s="153">
        <v>0.55</v>
      </c>
      <c r="DK35" s="153">
        <v>5.77</v>
      </c>
      <c r="DL35" s="153">
        <v>2.95</v>
      </c>
      <c r="DM35" s="153">
        <v>0.55</v>
      </c>
      <c r="DN35" s="153">
        <v>2.4</v>
      </c>
    </row>
    <row r="36">
      <c r="A36" s="235">
        <v>46257.0</v>
      </c>
      <c r="B36" s="236" t="s">
        <v>5</v>
      </c>
      <c r="C36" s="236" t="s">
        <v>136</v>
      </c>
      <c r="D36" s="236">
        <v>2129.0</v>
      </c>
      <c r="E36" s="236">
        <v>9.51</v>
      </c>
      <c r="F36" s="236">
        <v>941.65</v>
      </c>
      <c r="G36" s="236">
        <v>0.4423</v>
      </c>
      <c r="H36" s="236">
        <v>6.62</v>
      </c>
      <c r="I36" s="236">
        <v>6.6784</v>
      </c>
      <c r="J36" s="236">
        <v>120.8</v>
      </c>
      <c r="K36" s="236">
        <v>73.12</v>
      </c>
      <c r="L36" s="236">
        <v>52.21</v>
      </c>
      <c r="M36" s="236">
        <v>0.714</v>
      </c>
      <c r="N36" s="236">
        <v>0.431</v>
      </c>
      <c r="O36" s="236">
        <v>0.2697</v>
      </c>
      <c r="P36" s="236">
        <v>1.4005</v>
      </c>
      <c r="Q36" s="236">
        <v>302.09</v>
      </c>
      <c r="R36" s="236">
        <v>262.44</v>
      </c>
      <c r="S36" s="236">
        <v>39.66</v>
      </c>
      <c r="T36" s="236">
        <v>36.66</v>
      </c>
      <c r="U36" s="236">
        <v>265.43</v>
      </c>
      <c r="V36" s="236">
        <v>331.59</v>
      </c>
      <c r="W36" s="236">
        <v>4.5349</v>
      </c>
      <c r="X36" s="236">
        <v>12.14</v>
      </c>
      <c r="Y36" s="236">
        <v>251.0</v>
      </c>
      <c r="Z36" s="236">
        <v>562.0</v>
      </c>
      <c r="AA36" s="236">
        <v>1575.0</v>
      </c>
      <c r="AB36" s="236">
        <v>55.7528</v>
      </c>
      <c r="AC36" s="236">
        <v>0.7728</v>
      </c>
      <c r="AD36" s="236">
        <v>29.88</v>
      </c>
      <c r="AE36" s="236">
        <v>11.0</v>
      </c>
      <c r="AF36" s="236">
        <v>21.0</v>
      </c>
      <c r="AG36" s="236">
        <v>41.0</v>
      </c>
      <c r="AH36" s="236">
        <v>65.0</v>
      </c>
      <c r="AI36" s="236">
        <v>38.33</v>
      </c>
      <c r="AJ36" s="236">
        <v>12.35</v>
      </c>
      <c r="AK36" s="236">
        <v>3.38</v>
      </c>
      <c r="AL36" s="236">
        <v>0.1639</v>
      </c>
      <c r="AM36" s="236">
        <v>44.86</v>
      </c>
      <c r="AN36" s="153">
        <v>44.86</v>
      </c>
      <c r="AO36" s="153">
        <v>24.89</v>
      </c>
      <c r="AP36" s="153">
        <v>14.89</v>
      </c>
      <c r="AQ36" s="153">
        <v>10.3171</v>
      </c>
      <c r="AR36" s="153">
        <v>0.6087</v>
      </c>
      <c r="AS36" s="153">
        <v>9.7083</v>
      </c>
      <c r="AT36" s="153">
        <v>11.876</v>
      </c>
      <c r="AU36" s="153">
        <v>0.1624</v>
      </c>
      <c r="AV36" s="153">
        <v>2129.0</v>
      </c>
      <c r="AW36" s="153">
        <v>0.0</v>
      </c>
      <c r="AX36" s="153">
        <v>99.13</v>
      </c>
      <c r="AY36" s="153">
        <v>156.34</v>
      </c>
      <c r="AZ36" s="153">
        <v>4.29</v>
      </c>
      <c r="BA36" s="153">
        <v>36.66</v>
      </c>
      <c r="BB36" s="153">
        <v>5.67</v>
      </c>
      <c r="BC36" s="153">
        <v>126.0</v>
      </c>
      <c r="BD36" s="153">
        <v>12542.0</v>
      </c>
      <c r="BE36" s="153">
        <v>5.6999</v>
      </c>
      <c r="BF36" s="153">
        <v>0.3495</v>
      </c>
      <c r="BG36" s="153">
        <v>5.3504</v>
      </c>
      <c r="BH36" s="153">
        <v>6.0808</v>
      </c>
      <c r="BI36" s="153">
        <v>0.0832</v>
      </c>
      <c r="BJ36" s="153">
        <v>4.6172</v>
      </c>
      <c r="BK36" s="153">
        <v>0.2593</v>
      </c>
      <c r="BL36" s="153">
        <v>4.3579</v>
      </c>
      <c r="BM36" s="153">
        <v>5.7952</v>
      </c>
      <c r="BN36" s="153">
        <v>0.0793</v>
      </c>
      <c r="BO36" s="153">
        <v>1.9676</v>
      </c>
      <c r="BP36" s="153">
        <v>0.1076</v>
      </c>
      <c r="BQ36" s="153">
        <v>1.86</v>
      </c>
      <c r="BR36" s="153">
        <v>2.1893</v>
      </c>
      <c r="BS36" s="153">
        <v>2.0686</v>
      </c>
      <c r="BT36" s="153">
        <v>0.1202</v>
      </c>
      <c r="BU36" s="153">
        <v>1.9483</v>
      </c>
      <c r="BV36" s="153">
        <v>2.2597</v>
      </c>
      <c r="BW36" s="153">
        <v>1.6637</v>
      </c>
      <c r="BX36" s="153">
        <v>0.1217</v>
      </c>
      <c r="BY36" s="153">
        <v>1.542</v>
      </c>
      <c r="BZ36" s="153">
        <v>1.6318</v>
      </c>
      <c r="CA36" s="153">
        <v>0.9756</v>
      </c>
      <c r="CB36" s="153">
        <v>0.07</v>
      </c>
      <c r="CC36" s="153">
        <v>0.9056</v>
      </c>
      <c r="CD36" s="153">
        <v>1.2527</v>
      </c>
      <c r="CE36" s="153">
        <v>1.6054</v>
      </c>
      <c r="CF36" s="153">
        <v>0.1052</v>
      </c>
      <c r="CG36" s="153">
        <v>1.5002</v>
      </c>
      <c r="CH36" s="153">
        <v>1.9216</v>
      </c>
      <c r="CI36" s="153">
        <v>2.0362</v>
      </c>
      <c r="CJ36" s="153">
        <v>0.0841</v>
      </c>
      <c r="CK36" s="153">
        <v>1.9521</v>
      </c>
      <c r="CL36" s="153">
        <v>2.6209</v>
      </c>
      <c r="CM36" s="153">
        <v>642.82</v>
      </c>
      <c r="CN36" s="153">
        <v>99.2</v>
      </c>
      <c r="CO36" s="153">
        <v>647.99</v>
      </c>
      <c r="CP36" s="153">
        <v>599.25</v>
      </c>
      <c r="CQ36" s="153">
        <v>0.39</v>
      </c>
      <c r="CR36" s="153">
        <v>5.89</v>
      </c>
      <c r="CS36" s="153">
        <v>37.29</v>
      </c>
      <c r="CT36" s="153">
        <v>0.0</v>
      </c>
      <c r="CU36" s="153">
        <v>1433.0</v>
      </c>
      <c r="CV36" s="153">
        <v>0.0</v>
      </c>
      <c r="CW36" s="153">
        <v>302.09</v>
      </c>
      <c r="CX36" s="153">
        <v>0.0</v>
      </c>
      <c r="CY36" s="153">
        <v>0.39</v>
      </c>
      <c r="CZ36" s="153">
        <v>301.96</v>
      </c>
      <c r="DA36" s="153">
        <v>6.13</v>
      </c>
      <c r="DB36" s="153">
        <v>295.83</v>
      </c>
      <c r="DC36" s="153">
        <v>272.95</v>
      </c>
      <c r="DD36" s="153">
        <v>1.9</v>
      </c>
      <c r="DE36" s="153">
        <v>271.05</v>
      </c>
      <c r="DF36" s="153">
        <v>12.65</v>
      </c>
      <c r="DG36" s="153">
        <v>1.41</v>
      </c>
      <c r="DH36" s="153">
        <v>11.24</v>
      </c>
      <c r="DI36" s="153">
        <v>10.01</v>
      </c>
      <c r="DJ36" s="153">
        <v>1.41</v>
      </c>
      <c r="DK36" s="153">
        <v>8.6</v>
      </c>
      <c r="DL36" s="153">
        <v>6.35</v>
      </c>
      <c r="DM36" s="153">
        <v>1.41</v>
      </c>
      <c r="DN36" s="153">
        <v>4.94</v>
      </c>
    </row>
    <row r="37">
      <c r="A37" s="235">
        <v>46257.0</v>
      </c>
      <c r="B37" s="236" t="s">
        <v>5</v>
      </c>
      <c r="C37" s="236" t="s">
        <v>137</v>
      </c>
      <c r="D37" s="236">
        <v>249.0</v>
      </c>
      <c r="E37" s="236">
        <v>1.11</v>
      </c>
      <c r="F37" s="236">
        <v>147.09</v>
      </c>
      <c r="G37" s="236">
        <v>0.5907</v>
      </c>
      <c r="H37" s="236">
        <v>6.83</v>
      </c>
      <c r="I37" s="236">
        <v>8.6524</v>
      </c>
      <c r="J37" s="236">
        <v>230.15</v>
      </c>
      <c r="K37" s="236">
        <v>148.55</v>
      </c>
      <c r="L37" s="236">
        <v>113.13</v>
      </c>
      <c r="M37" s="236">
        <v>0.7616</v>
      </c>
      <c r="N37" s="236">
        <v>0.3718</v>
      </c>
      <c r="O37" s="236">
        <v>0.2309</v>
      </c>
      <c r="P37" s="236">
        <v>1.3131</v>
      </c>
      <c r="Q37" s="236">
        <v>465.93</v>
      </c>
      <c r="R37" s="236">
        <v>379.72</v>
      </c>
      <c r="S37" s="236">
        <v>86.2</v>
      </c>
      <c r="T37" s="236">
        <v>50.8</v>
      </c>
      <c r="U37" s="236">
        <v>415.12</v>
      </c>
      <c r="V37" s="236">
        <v>529.12</v>
      </c>
      <c r="W37" s="236">
        <v>3.5619</v>
      </c>
      <c r="X37" s="236">
        <v>10.9</v>
      </c>
      <c r="Y37" s="236">
        <v>280.0</v>
      </c>
      <c r="Z37" s="236">
        <v>737.0</v>
      </c>
      <c r="AA37" s="236">
        <v>2073.0</v>
      </c>
      <c r="AB37" s="236">
        <v>58.8092</v>
      </c>
      <c r="AC37" s="236">
        <v>0.8115</v>
      </c>
      <c r="AD37" s="236">
        <v>53.0</v>
      </c>
      <c r="AE37" s="236">
        <v>21.0</v>
      </c>
      <c r="AF37" s="236">
        <v>39.0</v>
      </c>
      <c r="AG37" s="236">
        <v>68.0</v>
      </c>
      <c r="AH37" s="236">
        <v>120.0</v>
      </c>
      <c r="AI37" s="236">
        <v>22.09</v>
      </c>
      <c r="AJ37" s="236">
        <v>4.02</v>
      </c>
      <c r="AK37" s="236">
        <v>0.0</v>
      </c>
      <c r="AL37" s="236">
        <v>0.0843</v>
      </c>
      <c r="AM37" s="236">
        <v>33.73</v>
      </c>
      <c r="AN37" s="153">
        <v>33.73</v>
      </c>
      <c r="AO37" s="153">
        <v>20.08</v>
      </c>
      <c r="AP37" s="153">
        <v>14.06</v>
      </c>
      <c r="AQ37" s="153">
        <v>14.249</v>
      </c>
      <c r="AR37" s="153">
        <v>0.7992</v>
      </c>
      <c r="AS37" s="153">
        <v>13.4498</v>
      </c>
      <c r="AT37" s="153">
        <v>22.3213</v>
      </c>
      <c r="AU37" s="153">
        <v>0.1503</v>
      </c>
      <c r="AV37" s="153">
        <v>249.0</v>
      </c>
      <c r="AW37" s="153">
        <v>0.0</v>
      </c>
      <c r="AX37" s="153">
        <v>185.14</v>
      </c>
      <c r="AY37" s="153">
        <v>214.62</v>
      </c>
      <c r="AZ37" s="153">
        <v>6.73</v>
      </c>
      <c r="BA37" s="153">
        <v>50.8</v>
      </c>
      <c r="BB37" s="153">
        <v>8.64</v>
      </c>
      <c r="BC37" s="153">
        <v>202.0</v>
      </c>
      <c r="BD37" s="153">
        <v>18805.0</v>
      </c>
      <c r="BE37" s="153">
        <v>7.3213</v>
      </c>
      <c r="BF37" s="153">
        <v>0.4217</v>
      </c>
      <c r="BG37" s="153">
        <v>6.8996</v>
      </c>
      <c r="BH37" s="153">
        <v>9.7149</v>
      </c>
      <c r="BI37" s="153">
        <v>0.0654</v>
      </c>
      <c r="BJ37" s="153">
        <v>6.9277</v>
      </c>
      <c r="BK37" s="153">
        <v>0.3775</v>
      </c>
      <c r="BL37" s="153">
        <v>6.5502</v>
      </c>
      <c r="BM37" s="153">
        <v>12.6064</v>
      </c>
      <c r="BN37" s="153">
        <v>0.0849</v>
      </c>
      <c r="BO37" s="153">
        <v>2.3695</v>
      </c>
      <c r="BP37" s="153">
        <v>0.1084</v>
      </c>
      <c r="BQ37" s="153">
        <v>2.261</v>
      </c>
      <c r="BR37" s="153">
        <v>3.1647</v>
      </c>
      <c r="BS37" s="153">
        <v>2.49</v>
      </c>
      <c r="BT37" s="153">
        <v>0.1325</v>
      </c>
      <c r="BU37" s="153">
        <v>2.3574</v>
      </c>
      <c r="BV37" s="153">
        <v>3.51</v>
      </c>
      <c r="BW37" s="153">
        <v>2.4618</v>
      </c>
      <c r="BX37" s="153">
        <v>0.1807</v>
      </c>
      <c r="BY37" s="153">
        <v>2.2811</v>
      </c>
      <c r="BZ37" s="153">
        <v>3.0402</v>
      </c>
      <c r="CA37" s="153">
        <v>1.7631</v>
      </c>
      <c r="CB37" s="153">
        <v>0.0924</v>
      </c>
      <c r="CC37" s="153">
        <v>1.6707</v>
      </c>
      <c r="CD37" s="153">
        <v>5.6506</v>
      </c>
      <c r="CE37" s="153">
        <v>1.8273</v>
      </c>
      <c r="CF37" s="153">
        <v>0.1365</v>
      </c>
      <c r="CG37" s="153">
        <v>1.6908</v>
      </c>
      <c r="CH37" s="153">
        <v>2.8795</v>
      </c>
      <c r="CI37" s="153">
        <v>3.3373</v>
      </c>
      <c r="CJ37" s="153">
        <v>0.1486</v>
      </c>
      <c r="CK37" s="153">
        <v>3.1888</v>
      </c>
      <c r="CL37" s="153">
        <v>4.0763</v>
      </c>
      <c r="CM37" s="153">
        <v>1193.15</v>
      </c>
      <c r="CN37" s="153">
        <v>99.6</v>
      </c>
      <c r="CO37" s="153">
        <v>1197.96</v>
      </c>
      <c r="CP37" s="153">
        <v>1145.02</v>
      </c>
      <c r="CQ37" s="153">
        <v>0.0</v>
      </c>
      <c r="CR37" s="153">
        <v>4.66</v>
      </c>
      <c r="CS37" s="153">
        <v>43.47</v>
      </c>
      <c r="CT37" s="153">
        <v>0.0</v>
      </c>
      <c r="CU37" s="153">
        <v>212.0</v>
      </c>
      <c r="CV37" s="153">
        <v>0.0</v>
      </c>
      <c r="CW37" s="153">
        <v>465.93</v>
      </c>
      <c r="CX37" s="153">
        <v>0.0</v>
      </c>
      <c r="CY37" s="153">
        <v>0.0</v>
      </c>
      <c r="CZ37" s="153">
        <v>488.01</v>
      </c>
      <c r="DA37" s="153">
        <v>9.84</v>
      </c>
      <c r="DB37" s="153">
        <v>478.17</v>
      </c>
      <c r="DC37" s="153">
        <v>460.46</v>
      </c>
      <c r="DD37" s="153">
        <v>3.82</v>
      </c>
      <c r="DE37" s="153">
        <v>456.65</v>
      </c>
      <c r="DF37" s="153">
        <v>9.8</v>
      </c>
      <c r="DG37" s="153">
        <v>2.01</v>
      </c>
      <c r="DH37" s="153">
        <v>7.79</v>
      </c>
      <c r="DI37" s="153">
        <v>9.88</v>
      </c>
      <c r="DJ37" s="153">
        <v>2.01</v>
      </c>
      <c r="DK37" s="153">
        <v>7.87</v>
      </c>
      <c r="DL37" s="153">
        <v>7.87</v>
      </c>
      <c r="DM37" s="153">
        <v>2.01</v>
      </c>
      <c r="DN37" s="153">
        <v>5.86</v>
      </c>
    </row>
    <row r="38">
      <c r="A38" s="235">
        <v>46258.0</v>
      </c>
      <c r="B38" s="236" t="s">
        <v>4</v>
      </c>
      <c r="C38" s="236" t="s">
        <v>423</v>
      </c>
      <c r="D38" s="236">
        <v>3703.0</v>
      </c>
      <c r="E38" s="236">
        <v>16.78</v>
      </c>
      <c r="F38" s="236">
        <v>2.64</v>
      </c>
      <c r="G38" s="236">
        <v>7.0E-4</v>
      </c>
      <c r="H38" s="236">
        <v>0.05</v>
      </c>
      <c r="I38" s="236">
        <v>1.32</v>
      </c>
      <c r="J38" s="236">
        <v>4.8</v>
      </c>
      <c r="K38" s="236">
        <v>1.99</v>
      </c>
      <c r="L38" s="236">
        <v>0.17</v>
      </c>
      <c r="M38" s="236">
        <v>0.088</v>
      </c>
      <c r="N38" s="236">
        <v>0.9286</v>
      </c>
      <c r="O38" s="236">
        <v>0.5933</v>
      </c>
      <c r="P38" s="236">
        <v>11.3673</v>
      </c>
      <c r="Q38" s="236">
        <v>28.2</v>
      </c>
      <c r="R38" s="236">
        <v>28.05</v>
      </c>
      <c r="S38" s="236">
        <v>0.14</v>
      </c>
      <c r="T38" s="236">
        <v>0.05</v>
      </c>
      <c r="U38" s="236">
        <v>28.14</v>
      </c>
      <c r="V38" s="236">
        <v>4.02</v>
      </c>
      <c r="W38" s="236">
        <v>2.0228</v>
      </c>
      <c r="X38" s="236">
        <v>0.19</v>
      </c>
      <c r="Y38" s="236">
        <v>200.0</v>
      </c>
      <c r="Z38" s="236">
        <v>681.0</v>
      </c>
      <c r="AA38" s="236">
        <v>5205.0</v>
      </c>
      <c r="AB38" s="236">
        <v>50.1304</v>
      </c>
      <c r="AC38" s="236">
        <v>0.5826</v>
      </c>
      <c r="AD38" s="237"/>
      <c r="AE38" s="237"/>
      <c r="AF38" s="237"/>
      <c r="AG38" s="237"/>
      <c r="AH38" s="237"/>
      <c r="AI38" s="236">
        <v>0.0</v>
      </c>
      <c r="AJ38" s="236">
        <v>0.0</v>
      </c>
      <c r="AK38" s="236">
        <v>0.0</v>
      </c>
      <c r="AL38" s="236">
        <v>0.5072</v>
      </c>
      <c r="AM38" s="237"/>
      <c r="AQ38" s="153">
        <v>1.4621</v>
      </c>
      <c r="AR38" s="153">
        <v>0.0122</v>
      </c>
      <c r="AS38" s="153">
        <v>1.4499</v>
      </c>
      <c r="AT38" s="153">
        <v>0.3948</v>
      </c>
      <c r="AU38" s="153">
        <v>0.1985</v>
      </c>
      <c r="AV38" s="153">
        <v>3703.0</v>
      </c>
      <c r="AW38" s="153">
        <v>0.0</v>
      </c>
      <c r="AX38" s="153">
        <v>9.69</v>
      </c>
      <c r="AY38" s="153">
        <v>17.09</v>
      </c>
      <c r="AZ38" s="153">
        <v>1.2</v>
      </c>
      <c r="BA38" s="153">
        <v>0.05</v>
      </c>
      <c r="BB38" s="153">
        <v>0.16</v>
      </c>
      <c r="BD38" s="153">
        <v>29300.0</v>
      </c>
      <c r="BE38" s="153">
        <v>0.6217</v>
      </c>
      <c r="BF38" s="153">
        <v>0.0057</v>
      </c>
      <c r="BG38" s="153">
        <v>0.616</v>
      </c>
      <c r="BH38" s="153">
        <v>0.2506</v>
      </c>
      <c r="BI38" s="153">
        <v>0.126</v>
      </c>
      <c r="BJ38" s="153">
        <v>0.8404</v>
      </c>
      <c r="BK38" s="153">
        <v>0.0065</v>
      </c>
      <c r="BL38" s="153">
        <v>0.8339</v>
      </c>
      <c r="BM38" s="153">
        <v>0.1442</v>
      </c>
      <c r="BN38" s="153">
        <v>0.0725</v>
      </c>
      <c r="BO38" s="153">
        <v>0.2147</v>
      </c>
      <c r="BP38" s="153">
        <v>0.0016</v>
      </c>
      <c r="BQ38" s="153">
        <v>0.2131</v>
      </c>
      <c r="BR38" s="153">
        <v>0.101</v>
      </c>
      <c r="BS38" s="153">
        <v>0.2393</v>
      </c>
      <c r="BT38" s="153">
        <v>0.0024</v>
      </c>
      <c r="BU38" s="153">
        <v>0.2368</v>
      </c>
      <c r="BV38" s="153">
        <v>0.0996</v>
      </c>
      <c r="BW38" s="153">
        <v>0.1677</v>
      </c>
      <c r="BX38" s="153">
        <v>0.0016</v>
      </c>
      <c r="BY38" s="153">
        <v>0.1661</v>
      </c>
      <c r="BZ38" s="153">
        <v>0.05</v>
      </c>
      <c r="CA38" s="153">
        <v>0.2028</v>
      </c>
      <c r="CB38" s="153">
        <v>0.0016</v>
      </c>
      <c r="CC38" s="153">
        <v>0.2012</v>
      </c>
      <c r="CD38" s="153">
        <v>0.0259</v>
      </c>
      <c r="CE38" s="153">
        <v>0.3365</v>
      </c>
      <c r="CF38" s="153">
        <v>0.0032</v>
      </c>
      <c r="CG38" s="153">
        <v>0.3332</v>
      </c>
      <c r="CH38" s="153">
        <v>0.0629</v>
      </c>
      <c r="CI38" s="153">
        <v>0.3011</v>
      </c>
      <c r="CJ38" s="153">
        <v>0.0016</v>
      </c>
      <c r="CK38" s="153">
        <v>0.2995</v>
      </c>
      <c r="CL38" s="153">
        <v>0.0554</v>
      </c>
      <c r="CM38" s="153">
        <v>10.23</v>
      </c>
      <c r="CN38" s="153">
        <v>6.62</v>
      </c>
      <c r="CO38" s="153">
        <v>154.56</v>
      </c>
      <c r="CP38" s="153">
        <v>7.9</v>
      </c>
      <c r="CQ38" s="153">
        <v>0.0</v>
      </c>
      <c r="CR38" s="153">
        <v>1.44</v>
      </c>
      <c r="CS38" s="153">
        <v>0.89</v>
      </c>
      <c r="CT38" s="153">
        <v>0.0</v>
      </c>
      <c r="CU38" s="153">
        <v>0.0</v>
      </c>
      <c r="CV38" s="153">
        <v>0.0</v>
      </c>
      <c r="CW38" s="153">
        <v>28.2</v>
      </c>
      <c r="CX38" s="153">
        <v>0.0</v>
      </c>
      <c r="CY38" s="153">
        <v>0.0</v>
      </c>
      <c r="CZ38" s="153">
        <v>28.35</v>
      </c>
      <c r="DA38" s="153">
        <v>0.02</v>
      </c>
      <c r="DB38" s="153">
        <v>28.33</v>
      </c>
      <c r="DC38" s="153">
        <v>26.15</v>
      </c>
      <c r="DD38" s="153">
        <v>0.01</v>
      </c>
      <c r="DE38" s="153">
        <v>26.14</v>
      </c>
      <c r="DF38" s="153">
        <v>1.1</v>
      </c>
      <c r="DG38" s="153">
        <v>0.01</v>
      </c>
      <c r="DH38" s="153">
        <v>1.09</v>
      </c>
      <c r="DI38" s="153">
        <v>0.91</v>
      </c>
      <c r="DJ38" s="153">
        <v>0.01</v>
      </c>
      <c r="DK38" s="153">
        <v>0.9</v>
      </c>
      <c r="DL38" s="153">
        <v>0.2</v>
      </c>
      <c r="DM38" s="153">
        <v>0.01</v>
      </c>
      <c r="DN38" s="153">
        <v>0.19</v>
      </c>
    </row>
    <row r="39">
      <c r="A39" s="235">
        <v>46258.0</v>
      </c>
      <c r="B39" s="236" t="s">
        <v>4</v>
      </c>
      <c r="C39" s="236" t="s">
        <v>133</v>
      </c>
      <c r="D39" s="236">
        <v>5988.0</v>
      </c>
      <c r="E39" s="236">
        <v>27.14</v>
      </c>
      <c r="F39" s="236">
        <v>97.97</v>
      </c>
      <c r="G39" s="236">
        <v>0.0164</v>
      </c>
      <c r="H39" s="236">
        <v>0.8</v>
      </c>
      <c r="I39" s="236">
        <v>2.041</v>
      </c>
      <c r="J39" s="236">
        <v>25.14</v>
      </c>
      <c r="K39" s="236">
        <v>12.82</v>
      </c>
      <c r="L39" s="236">
        <v>5.51</v>
      </c>
      <c r="M39" s="236">
        <v>0.4294</v>
      </c>
      <c r="N39" s="236">
        <v>0.6855</v>
      </c>
      <c r="O39" s="236">
        <v>0.4416</v>
      </c>
      <c r="P39" s="236">
        <v>2.3287</v>
      </c>
      <c r="Q39" s="236">
        <v>67.43</v>
      </c>
      <c r="R39" s="236">
        <v>62.63</v>
      </c>
      <c r="S39" s="236">
        <v>4.8</v>
      </c>
      <c r="T39" s="236">
        <v>1.59</v>
      </c>
      <c r="U39" s="236">
        <v>65.83</v>
      </c>
      <c r="V39" s="236">
        <v>55.13</v>
      </c>
      <c r="W39" s="236">
        <v>4.2995</v>
      </c>
      <c r="X39" s="236">
        <v>2.37</v>
      </c>
      <c r="Y39" s="236">
        <v>201.0</v>
      </c>
      <c r="Z39" s="236">
        <v>477.0</v>
      </c>
      <c r="AA39" s="236">
        <v>1661.0</v>
      </c>
      <c r="AB39" s="236">
        <v>49.904</v>
      </c>
      <c r="AC39" s="236">
        <v>0.5705</v>
      </c>
      <c r="AD39" s="236">
        <v>4.07</v>
      </c>
      <c r="AE39" s="236">
        <v>1.0</v>
      </c>
      <c r="AF39" s="236">
        <v>3.0</v>
      </c>
      <c r="AG39" s="236">
        <v>5.0</v>
      </c>
      <c r="AH39" s="236">
        <v>9.0</v>
      </c>
      <c r="AI39" s="236">
        <v>74.11</v>
      </c>
      <c r="AJ39" s="236">
        <v>33.17</v>
      </c>
      <c r="AK39" s="236">
        <v>7.67</v>
      </c>
      <c r="AL39" s="236">
        <v>0.4107</v>
      </c>
      <c r="AM39" s="237"/>
      <c r="AQ39" s="153">
        <v>4.2867</v>
      </c>
      <c r="AR39" s="153">
        <v>0.0349</v>
      </c>
      <c r="AS39" s="153">
        <v>4.2518</v>
      </c>
      <c r="AT39" s="153">
        <v>3.173</v>
      </c>
      <c r="AU39" s="153">
        <v>0.2475</v>
      </c>
      <c r="AV39" s="153">
        <v>5988.0</v>
      </c>
      <c r="AW39" s="153">
        <v>0.0</v>
      </c>
      <c r="AX39" s="153">
        <v>24.32</v>
      </c>
      <c r="AY39" s="153">
        <v>38.4</v>
      </c>
      <c r="AZ39" s="153">
        <v>2.47</v>
      </c>
      <c r="BA39" s="153">
        <v>1.59</v>
      </c>
      <c r="BB39" s="153">
        <v>0.65</v>
      </c>
      <c r="BC39" s="153">
        <v>18.0</v>
      </c>
      <c r="BD39" s="153">
        <v>20170.0</v>
      </c>
      <c r="BE39" s="153">
        <v>2.4158</v>
      </c>
      <c r="BF39" s="153">
        <v>0.018</v>
      </c>
      <c r="BG39" s="153">
        <v>2.3978</v>
      </c>
      <c r="BH39" s="153">
        <v>1.7325</v>
      </c>
      <c r="BI39" s="153">
        <v>0.1351</v>
      </c>
      <c r="BJ39" s="153">
        <v>1.8709</v>
      </c>
      <c r="BK39" s="153">
        <v>0.0169</v>
      </c>
      <c r="BL39" s="153">
        <v>1.854</v>
      </c>
      <c r="BM39" s="153">
        <v>1.4405</v>
      </c>
      <c r="BN39" s="153">
        <v>0.1124</v>
      </c>
      <c r="BO39" s="153">
        <v>1.0109</v>
      </c>
      <c r="BP39" s="153">
        <v>0.0062</v>
      </c>
      <c r="BQ39" s="153">
        <v>1.0047</v>
      </c>
      <c r="BR39" s="153">
        <v>0.7022</v>
      </c>
      <c r="BS39" s="153">
        <v>0.8818</v>
      </c>
      <c r="BT39" s="153">
        <v>0.0047</v>
      </c>
      <c r="BU39" s="153">
        <v>0.8771</v>
      </c>
      <c r="BV39" s="153">
        <v>0.6438</v>
      </c>
      <c r="BW39" s="153">
        <v>0.5232</v>
      </c>
      <c r="BX39" s="153">
        <v>0.0072</v>
      </c>
      <c r="BY39" s="153">
        <v>0.516</v>
      </c>
      <c r="BZ39" s="153">
        <v>0.3864</v>
      </c>
      <c r="CA39" s="153">
        <v>0.5177</v>
      </c>
      <c r="CB39" s="153">
        <v>0.0028</v>
      </c>
      <c r="CC39" s="153">
        <v>0.5149</v>
      </c>
      <c r="CD39" s="153">
        <v>0.3395</v>
      </c>
      <c r="CE39" s="153">
        <v>0.7131</v>
      </c>
      <c r="CF39" s="153">
        <v>0.007</v>
      </c>
      <c r="CG39" s="153">
        <v>0.7061</v>
      </c>
      <c r="CH39" s="153">
        <v>0.576</v>
      </c>
      <c r="CI39" s="153">
        <v>0.6401</v>
      </c>
      <c r="CJ39" s="153">
        <v>0.007</v>
      </c>
      <c r="CK39" s="153">
        <v>0.6331</v>
      </c>
      <c r="CL39" s="153">
        <v>0.5251</v>
      </c>
      <c r="CM39" s="153">
        <v>125.45</v>
      </c>
      <c r="CN39" s="153">
        <v>89.21</v>
      </c>
      <c r="CO39" s="153">
        <v>140.62</v>
      </c>
      <c r="CP39" s="153">
        <v>120.49</v>
      </c>
      <c r="CQ39" s="153">
        <v>0.0</v>
      </c>
      <c r="CR39" s="153">
        <v>3.85</v>
      </c>
      <c r="CS39" s="153">
        <v>1.12</v>
      </c>
      <c r="CT39" s="153">
        <v>0.0</v>
      </c>
      <c r="CU39" s="153">
        <v>0.0</v>
      </c>
      <c r="CV39" s="153">
        <v>0.0</v>
      </c>
      <c r="CW39" s="153">
        <v>67.43</v>
      </c>
      <c r="CX39" s="153">
        <v>0.0</v>
      </c>
      <c r="CY39" s="153">
        <v>0.0</v>
      </c>
      <c r="CZ39" s="153">
        <v>98.85</v>
      </c>
      <c r="DA39" s="153">
        <v>0.52</v>
      </c>
      <c r="DB39" s="153">
        <v>98.33</v>
      </c>
      <c r="DC39" s="153">
        <v>92.55</v>
      </c>
      <c r="DD39" s="153">
        <v>0.13</v>
      </c>
      <c r="DE39" s="153">
        <v>92.42</v>
      </c>
      <c r="DF39" s="153">
        <v>3.26</v>
      </c>
      <c r="DG39" s="153">
        <v>0.13</v>
      </c>
      <c r="DH39" s="153">
        <v>3.13</v>
      </c>
      <c r="DI39" s="153">
        <v>2.5</v>
      </c>
      <c r="DJ39" s="153">
        <v>0.13</v>
      </c>
      <c r="DK39" s="153">
        <v>2.37</v>
      </c>
      <c r="DL39" s="153">
        <v>0.54</v>
      </c>
      <c r="DM39" s="153">
        <v>0.13</v>
      </c>
      <c r="DN39" s="153">
        <v>0.4</v>
      </c>
    </row>
    <row r="40">
      <c r="A40" s="235">
        <v>46258.0</v>
      </c>
      <c r="B40" s="236" t="s">
        <v>4</v>
      </c>
      <c r="C40" s="236" t="s">
        <v>134</v>
      </c>
      <c r="D40" s="236">
        <v>5312.0</v>
      </c>
      <c r="E40" s="236">
        <v>24.07</v>
      </c>
      <c r="F40" s="236">
        <v>419.77</v>
      </c>
      <c r="G40" s="236">
        <v>0.079</v>
      </c>
      <c r="H40" s="236">
        <v>2.32</v>
      </c>
      <c r="I40" s="236">
        <v>3.4128</v>
      </c>
      <c r="J40" s="236">
        <v>48.88</v>
      </c>
      <c r="K40" s="236">
        <v>25.52</v>
      </c>
      <c r="L40" s="236">
        <v>14.15</v>
      </c>
      <c r="M40" s="236">
        <v>0.5542</v>
      </c>
      <c r="N40" s="236">
        <v>0.586</v>
      </c>
      <c r="O40" s="236">
        <v>0.3725</v>
      </c>
      <c r="P40" s="236">
        <v>1.8044</v>
      </c>
      <c r="Q40" s="236">
        <v>121.17</v>
      </c>
      <c r="R40" s="236">
        <v>109.52</v>
      </c>
      <c r="S40" s="236">
        <v>11.65</v>
      </c>
      <c r="T40" s="236">
        <v>6.11</v>
      </c>
      <c r="U40" s="236">
        <v>115.06</v>
      </c>
      <c r="V40" s="236">
        <v>119.56</v>
      </c>
      <c r="W40" s="236">
        <v>4.6843</v>
      </c>
      <c r="X40" s="236">
        <v>5.04</v>
      </c>
      <c r="Y40" s="236">
        <v>216.0</v>
      </c>
      <c r="Z40" s="236">
        <v>511.0</v>
      </c>
      <c r="AA40" s="236">
        <v>1710.0</v>
      </c>
      <c r="AB40" s="236">
        <v>51.7734</v>
      </c>
      <c r="AC40" s="236">
        <v>0.6251</v>
      </c>
      <c r="AD40" s="236">
        <v>9.43</v>
      </c>
      <c r="AE40" s="236">
        <v>4.0</v>
      </c>
      <c r="AF40" s="236">
        <v>8.0</v>
      </c>
      <c r="AG40" s="236">
        <v>13.0</v>
      </c>
      <c r="AH40" s="236">
        <v>19.0</v>
      </c>
      <c r="AI40" s="236">
        <v>63.42</v>
      </c>
      <c r="AJ40" s="236">
        <v>25.64</v>
      </c>
      <c r="AK40" s="236">
        <v>3.99</v>
      </c>
      <c r="AL40" s="236">
        <v>0.2782</v>
      </c>
      <c r="AM40" s="237"/>
      <c r="AQ40" s="153">
        <v>8.0292</v>
      </c>
      <c r="AR40" s="153">
        <v>0.1726</v>
      </c>
      <c r="AS40" s="153">
        <v>7.8566</v>
      </c>
      <c r="AT40" s="153">
        <v>6.3302</v>
      </c>
      <c r="AU40" s="153">
        <v>0.248</v>
      </c>
      <c r="AV40" s="153">
        <v>5312.0</v>
      </c>
      <c r="AW40" s="153">
        <v>0.0</v>
      </c>
      <c r="AX40" s="153">
        <v>40.66</v>
      </c>
      <c r="AY40" s="153">
        <v>70.03</v>
      </c>
      <c r="AZ40" s="153">
        <v>3.38</v>
      </c>
      <c r="BA40" s="153">
        <v>6.11</v>
      </c>
      <c r="BB40" s="153">
        <v>0.99</v>
      </c>
      <c r="BC40" s="153">
        <v>35.0</v>
      </c>
      <c r="BD40" s="153">
        <v>22032.0</v>
      </c>
      <c r="BE40" s="153">
        <v>4.4085</v>
      </c>
      <c r="BF40" s="153">
        <v>0.1322</v>
      </c>
      <c r="BG40" s="153">
        <v>4.2764</v>
      </c>
      <c r="BH40" s="153">
        <v>3.3502</v>
      </c>
      <c r="BI40" s="153">
        <v>0.1313</v>
      </c>
      <c r="BJ40" s="153">
        <v>3.6207</v>
      </c>
      <c r="BK40" s="153">
        <v>0.0405</v>
      </c>
      <c r="BL40" s="153">
        <v>3.5802</v>
      </c>
      <c r="BM40" s="153">
        <v>2.98</v>
      </c>
      <c r="BN40" s="153">
        <v>0.1168</v>
      </c>
      <c r="BO40" s="153">
        <v>1.7026</v>
      </c>
      <c r="BP40" s="153">
        <v>0.036</v>
      </c>
      <c r="BQ40" s="153">
        <v>1.6666</v>
      </c>
      <c r="BR40" s="153">
        <v>1.2867</v>
      </c>
      <c r="BS40" s="153">
        <v>1.6096</v>
      </c>
      <c r="BT40" s="153">
        <v>0.0393</v>
      </c>
      <c r="BU40" s="153">
        <v>1.5702</v>
      </c>
      <c r="BV40" s="153">
        <v>1.2489</v>
      </c>
      <c r="BW40" s="153">
        <v>1.0964</v>
      </c>
      <c r="BX40" s="153">
        <v>0.0569</v>
      </c>
      <c r="BY40" s="153">
        <v>1.0395</v>
      </c>
      <c r="BZ40" s="153">
        <v>0.8146</v>
      </c>
      <c r="CA40" s="153">
        <v>0.8985</v>
      </c>
      <c r="CB40" s="153">
        <v>0.0105</v>
      </c>
      <c r="CC40" s="153">
        <v>0.888</v>
      </c>
      <c r="CD40" s="153">
        <v>0.7029</v>
      </c>
      <c r="CE40" s="153">
        <v>1.3603</v>
      </c>
      <c r="CF40" s="153">
        <v>0.0164</v>
      </c>
      <c r="CG40" s="153">
        <v>1.3439</v>
      </c>
      <c r="CH40" s="153">
        <v>1.1728</v>
      </c>
      <c r="CI40" s="153">
        <v>1.3618</v>
      </c>
      <c r="CJ40" s="153">
        <v>0.0136</v>
      </c>
      <c r="CK40" s="153">
        <v>1.3483</v>
      </c>
      <c r="CL40" s="153">
        <v>1.1043</v>
      </c>
      <c r="CM40" s="153">
        <v>210.35</v>
      </c>
      <c r="CN40" s="153">
        <v>96.67</v>
      </c>
      <c r="CO40" s="153">
        <v>217.6</v>
      </c>
      <c r="CP40" s="153">
        <v>202.93</v>
      </c>
      <c r="CQ40" s="153">
        <v>0.01</v>
      </c>
      <c r="CR40" s="153">
        <v>3.95</v>
      </c>
      <c r="CS40" s="153">
        <v>3.46</v>
      </c>
      <c r="CT40" s="153">
        <v>0.0</v>
      </c>
      <c r="CU40" s="153">
        <v>0.0</v>
      </c>
      <c r="CV40" s="153">
        <v>0.0</v>
      </c>
      <c r="CW40" s="153">
        <v>121.17</v>
      </c>
      <c r="CX40" s="153">
        <v>0.0</v>
      </c>
      <c r="CY40" s="153">
        <v>0.01</v>
      </c>
      <c r="CZ40" s="153">
        <v>152.86</v>
      </c>
      <c r="DA40" s="153">
        <v>1.59</v>
      </c>
      <c r="DB40" s="153">
        <v>151.28</v>
      </c>
      <c r="DC40" s="153">
        <v>144.73</v>
      </c>
      <c r="DD40" s="153">
        <v>0.45</v>
      </c>
      <c r="DE40" s="153">
        <v>144.29</v>
      </c>
      <c r="DF40" s="153">
        <v>4.09</v>
      </c>
      <c r="DG40" s="153">
        <v>0.38</v>
      </c>
      <c r="DH40" s="153">
        <v>3.7</v>
      </c>
      <c r="DI40" s="153">
        <v>3.01</v>
      </c>
      <c r="DJ40" s="153">
        <v>0.38</v>
      </c>
      <c r="DK40" s="153">
        <v>2.63</v>
      </c>
      <c r="DL40" s="153">
        <v>1.04</v>
      </c>
      <c r="DM40" s="153">
        <v>0.38</v>
      </c>
      <c r="DN40" s="153">
        <v>0.66</v>
      </c>
    </row>
    <row r="41">
      <c r="A41" s="235">
        <v>46258.0</v>
      </c>
      <c r="B41" s="236" t="s">
        <v>4</v>
      </c>
      <c r="C41" s="236" t="s">
        <v>135</v>
      </c>
      <c r="D41" s="236">
        <v>4339.0</v>
      </c>
      <c r="E41" s="236">
        <v>19.66</v>
      </c>
      <c r="F41" s="236">
        <v>818.47</v>
      </c>
      <c r="G41" s="236">
        <v>0.1886</v>
      </c>
      <c r="H41" s="236">
        <v>3.6</v>
      </c>
      <c r="I41" s="236">
        <v>5.2466</v>
      </c>
      <c r="J41" s="236">
        <v>75.89</v>
      </c>
      <c r="K41" s="236">
        <v>41.38</v>
      </c>
      <c r="L41" s="236">
        <v>26.9</v>
      </c>
      <c r="M41" s="236">
        <v>0.65</v>
      </c>
      <c r="N41" s="236">
        <v>0.5054</v>
      </c>
      <c r="O41" s="236">
        <v>0.3278</v>
      </c>
      <c r="P41" s="236">
        <v>1.5384</v>
      </c>
      <c r="Q41" s="236">
        <v>200.21</v>
      </c>
      <c r="R41" s="236">
        <v>179.25</v>
      </c>
      <c r="S41" s="236">
        <v>20.95</v>
      </c>
      <c r="T41" s="236">
        <v>13.51</v>
      </c>
      <c r="U41" s="236">
        <v>186.7</v>
      </c>
      <c r="V41" s="236">
        <v>196.27</v>
      </c>
      <c r="W41" s="236">
        <v>4.7425</v>
      </c>
      <c r="X41" s="236">
        <v>6.75</v>
      </c>
      <c r="Y41" s="236">
        <v>251.0</v>
      </c>
      <c r="Z41" s="236">
        <v>542.0</v>
      </c>
      <c r="AA41" s="236">
        <v>1618.0</v>
      </c>
      <c r="AB41" s="236">
        <v>53.6202</v>
      </c>
      <c r="AC41" s="236">
        <v>0.6911</v>
      </c>
      <c r="AD41" s="236">
        <v>16.48</v>
      </c>
      <c r="AE41" s="236">
        <v>7.0</v>
      </c>
      <c r="AF41" s="236">
        <v>13.0</v>
      </c>
      <c r="AG41" s="236">
        <v>22.0</v>
      </c>
      <c r="AH41" s="236">
        <v>34.0</v>
      </c>
      <c r="AI41" s="236">
        <v>57.89</v>
      </c>
      <c r="AJ41" s="236">
        <v>19.17</v>
      </c>
      <c r="AK41" s="236">
        <v>5.05</v>
      </c>
      <c r="AL41" s="236">
        <v>0.2104</v>
      </c>
      <c r="AM41" s="237"/>
      <c r="AQ41" s="153">
        <v>11.6087</v>
      </c>
      <c r="AR41" s="153">
        <v>0.1756</v>
      </c>
      <c r="AS41" s="153">
        <v>11.433</v>
      </c>
      <c r="AT41" s="153">
        <v>10.2948</v>
      </c>
      <c r="AU41" s="153">
        <v>0.2488</v>
      </c>
      <c r="AV41" s="153">
        <v>4339.0</v>
      </c>
      <c r="AW41" s="153">
        <v>0.0</v>
      </c>
      <c r="AX41" s="153">
        <v>63.38</v>
      </c>
      <c r="AY41" s="153">
        <v>117.11</v>
      </c>
      <c r="AZ41" s="153">
        <v>3.63</v>
      </c>
      <c r="BA41" s="153">
        <v>13.51</v>
      </c>
      <c r="BB41" s="153">
        <v>2.58</v>
      </c>
      <c r="BC41" s="153">
        <v>60.0</v>
      </c>
      <c r="BD41" s="153">
        <v>20000.0</v>
      </c>
      <c r="BE41" s="153">
        <v>6.2989</v>
      </c>
      <c r="BF41" s="153">
        <v>0.0892</v>
      </c>
      <c r="BG41" s="153">
        <v>6.2097</v>
      </c>
      <c r="BH41" s="153">
        <v>5.3777</v>
      </c>
      <c r="BI41" s="153">
        <v>0.1299</v>
      </c>
      <c r="BJ41" s="153">
        <v>5.3097</v>
      </c>
      <c r="BK41" s="153">
        <v>0.0864</v>
      </c>
      <c r="BL41" s="153">
        <v>5.2233</v>
      </c>
      <c r="BM41" s="153">
        <v>4.917</v>
      </c>
      <c r="BN41" s="153">
        <v>0.1188</v>
      </c>
      <c r="BO41" s="153">
        <v>2.0878</v>
      </c>
      <c r="BP41" s="153">
        <v>0.0286</v>
      </c>
      <c r="BQ41" s="153">
        <v>2.0592</v>
      </c>
      <c r="BR41" s="153">
        <v>1.8516</v>
      </c>
      <c r="BS41" s="153">
        <v>2.469</v>
      </c>
      <c r="BT41" s="153">
        <v>0.0286</v>
      </c>
      <c r="BU41" s="153">
        <v>2.4404</v>
      </c>
      <c r="BV41" s="153">
        <v>2.0781</v>
      </c>
      <c r="BW41" s="153">
        <v>1.7421</v>
      </c>
      <c r="BX41" s="153">
        <v>0.032</v>
      </c>
      <c r="BY41" s="153">
        <v>1.7101</v>
      </c>
      <c r="BZ41" s="153">
        <v>1.448</v>
      </c>
      <c r="CA41" s="153">
        <v>1.4072</v>
      </c>
      <c r="CB41" s="153">
        <v>0.0217</v>
      </c>
      <c r="CC41" s="153">
        <v>1.3856</v>
      </c>
      <c r="CD41" s="153">
        <v>1.3192</v>
      </c>
      <c r="CE41" s="153">
        <v>1.846</v>
      </c>
      <c r="CF41" s="153">
        <v>0.0348</v>
      </c>
      <c r="CG41" s="153">
        <v>1.8112</v>
      </c>
      <c r="CH41" s="153">
        <v>1.7463</v>
      </c>
      <c r="CI41" s="153">
        <v>2.0565</v>
      </c>
      <c r="CJ41" s="153">
        <v>0.03</v>
      </c>
      <c r="CK41" s="153">
        <v>2.0265</v>
      </c>
      <c r="CL41" s="153">
        <v>1.8516</v>
      </c>
      <c r="CM41" s="153">
        <v>376.03</v>
      </c>
      <c r="CN41" s="153">
        <v>98.36</v>
      </c>
      <c r="CO41" s="153">
        <v>382.28</v>
      </c>
      <c r="CP41" s="153">
        <v>366.83</v>
      </c>
      <c r="CQ41" s="153">
        <v>0.0</v>
      </c>
      <c r="CR41" s="153">
        <v>3.49</v>
      </c>
      <c r="CS41" s="153">
        <v>5.71</v>
      </c>
      <c r="CT41" s="153">
        <v>0.0</v>
      </c>
      <c r="CU41" s="153">
        <v>0.0</v>
      </c>
      <c r="CV41" s="153">
        <v>0.0</v>
      </c>
      <c r="CW41" s="153">
        <v>200.21</v>
      </c>
      <c r="CX41" s="153">
        <v>0.0</v>
      </c>
      <c r="CY41" s="153">
        <v>0.0</v>
      </c>
      <c r="CZ41" s="153">
        <v>211.22</v>
      </c>
      <c r="DA41" s="153">
        <v>3.69</v>
      </c>
      <c r="DB41" s="153">
        <v>207.53</v>
      </c>
      <c r="DC41" s="153">
        <v>198.25</v>
      </c>
      <c r="DD41" s="153">
        <v>1.0</v>
      </c>
      <c r="DE41" s="153">
        <v>197.25</v>
      </c>
      <c r="DF41" s="153">
        <v>7.2</v>
      </c>
      <c r="DG41" s="153">
        <v>0.9</v>
      </c>
      <c r="DH41" s="153">
        <v>6.3</v>
      </c>
      <c r="DI41" s="153">
        <v>4.09</v>
      </c>
      <c r="DJ41" s="153">
        <v>0.9</v>
      </c>
      <c r="DK41" s="153">
        <v>3.2</v>
      </c>
      <c r="DL41" s="153">
        <v>1.68</v>
      </c>
      <c r="DM41" s="153">
        <v>0.9</v>
      </c>
      <c r="DN41" s="153">
        <v>0.78</v>
      </c>
    </row>
    <row r="42">
      <c r="A42" s="235">
        <v>46258.0</v>
      </c>
      <c r="B42" s="236" t="s">
        <v>4</v>
      </c>
      <c r="C42" s="236" t="s">
        <v>136</v>
      </c>
      <c r="D42" s="236">
        <v>2441.0</v>
      </c>
      <c r="E42" s="236">
        <v>11.06</v>
      </c>
      <c r="F42" s="236">
        <v>1219.04</v>
      </c>
      <c r="G42" s="236">
        <v>0.4994</v>
      </c>
      <c r="H42" s="236">
        <v>6.55</v>
      </c>
      <c r="I42" s="236">
        <v>7.619</v>
      </c>
      <c r="J42" s="236">
        <v>131.03</v>
      </c>
      <c r="K42" s="236">
        <v>75.61</v>
      </c>
      <c r="L42" s="236">
        <v>55.54</v>
      </c>
      <c r="M42" s="236">
        <v>0.7346</v>
      </c>
      <c r="N42" s="236">
        <v>0.4235</v>
      </c>
      <c r="O42" s="236">
        <v>0.2792</v>
      </c>
      <c r="P42" s="236">
        <v>1.3613</v>
      </c>
      <c r="Q42" s="236">
        <v>386.36</v>
      </c>
      <c r="R42" s="236">
        <v>344.95</v>
      </c>
      <c r="S42" s="236">
        <v>41.42</v>
      </c>
      <c r="T42" s="236">
        <v>49.49</v>
      </c>
      <c r="U42" s="236">
        <v>336.88</v>
      </c>
      <c r="V42" s="236">
        <v>379.89</v>
      </c>
      <c r="W42" s="236">
        <v>5.024</v>
      </c>
      <c r="X42" s="236">
        <v>12.81</v>
      </c>
      <c r="Y42" s="236">
        <v>333.0</v>
      </c>
      <c r="Z42" s="236">
        <v>806.0</v>
      </c>
      <c r="AA42" s="236">
        <v>2432.0</v>
      </c>
      <c r="AB42" s="236">
        <v>55.8338</v>
      </c>
      <c r="AC42" s="236">
        <v>0.7429</v>
      </c>
      <c r="AD42" s="236">
        <v>30.66</v>
      </c>
      <c r="AE42" s="236">
        <v>13.0</v>
      </c>
      <c r="AF42" s="236">
        <v>24.0</v>
      </c>
      <c r="AG42" s="236">
        <v>41.0</v>
      </c>
      <c r="AH42" s="236">
        <v>63.0</v>
      </c>
      <c r="AI42" s="236">
        <v>43.18</v>
      </c>
      <c r="AJ42" s="236">
        <v>11.47</v>
      </c>
      <c r="AK42" s="236">
        <v>2.21</v>
      </c>
      <c r="AL42" s="236">
        <v>0.1356</v>
      </c>
      <c r="AM42" s="237"/>
      <c r="AQ42" s="153">
        <v>18.1405</v>
      </c>
      <c r="AR42" s="153">
        <v>0.5104</v>
      </c>
      <c r="AS42" s="153">
        <v>17.6301</v>
      </c>
      <c r="AT42" s="153">
        <v>17.9271</v>
      </c>
      <c r="AU42" s="153">
        <v>0.2371</v>
      </c>
      <c r="AV42" s="153">
        <v>2441.0</v>
      </c>
      <c r="AW42" s="153">
        <v>0.0</v>
      </c>
      <c r="AX42" s="153">
        <v>108.55</v>
      </c>
      <c r="AY42" s="153">
        <v>218.03</v>
      </c>
      <c r="AZ42" s="153">
        <v>5.21</v>
      </c>
      <c r="BA42" s="153">
        <v>49.49</v>
      </c>
      <c r="BB42" s="153">
        <v>5.08</v>
      </c>
      <c r="BC42" s="153">
        <v>116.0</v>
      </c>
      <c r="BD42" s="153">
        <v>21264.0</v>
      </c>
      <c r="BE42" s="153">
        <v>9.5649</v>
      </c>
      <c r="BF42" s="153">
        <v>0.2003</v>
      </c>
      <c r="BG42" s="153">
        <v>9.3646</v>
      </c>
      <c r="BH42" s="153">
        <v>8.6325</v>
      </c>
      <c r="BI42" s="153">
        <v>0.1142</v>
      </c>
      <c r="BJ42" s="153">
        <v>8.5756</v>
      </c>
      <c r="BK42" s="153">
        <v>0.3101</v>
      </c>
      <c r="BL42" s="153">
        <v>8.2655</v>
      </c>
      <c r="BM42" s="153">
        <v>9.2946</v>
      </c>
      <c r="BN42" s="153">
        <v>0.1229</v>
      </c>
      <c r="BO42" s="153">
        <v>3.0475</v>
      </c>
      <c r="BP42" s="153">
        <v>0.0664</v>
      </c>
      <c r="BQ42" s="153">
        <v>2.9812</v>
      </c>
      <c r="BR42" s="153">
        <v>2.9402</v>
      </c>
      <c r="BS42" s="153">
        <v>3.5912</v>
      </c>
      <c r="BT42" s="153">
        <v>0.0651</v>
      </c>
      <c r="BU42" s="153">
        <v>3.526</v>
      </c>
      <c r="BV42" s="153">
        <v>3.2384</v>
      </c>
      <c r="BW42" s="153">
        <v>2.9263</v>
      </c>
      <c r="BX42" s="153">
        <v>0.0688</v>
      </c>
      <c r="BY42" s="153">
        <v>2.8574</v>
      </c>
      <c r="BZ42" s="153">
        <v>2.4539</v>
      </c>
      <c r="CA42" s="153">
        <v>2.6706</v>
      </c>
      <c r="CB42" s="153">
        <v>0.0877</v>
      </c>
      <c r="CC42" s="153">
        <v>2.583</v>
      </c>
      <c r="CD42" s="153">
        <v>2.8988</v>
      </c>
      <c r="CE42" s="153">
        <v>2.5883</v>
      </c>
      <c r="CF42" s="153">
        <v>0.1229</v>
      </c>
      <c r="CG42" s="153">
        <v>2.4654</v>
      </c>
      <c r="CH42" s="153">
        <v>2.6825</v>
      </c>
      <c r="CI42" s="153">
        <v>3.3167</v>
      </c>
      <c r="CJ42" s="153">
        <v>0.0995</v>
      </c>
      <c r="CK42" s="153">
        <v>3.2171</v>
      </c>
      <c r="CL42" s="153">
        <v>3.7132</v>
      </c>
      <c r="CM42" s="153">
        <v>764.84</v>
      </c>
      <c r="CN42" s="153">
        <v>99.26</v>
      </c>
      <c r="CO42" s="153">
        <v>770.52</v>
      </c>
      <c r="CP42" s="153">
        <v>750.93</v>
      </c>
      <c r="CQ42" s="153">
        <v>0.0</v>
      </c>
      <c r="CR42" s="153">
        <v>4.08</v>
      </c>
      <c r="CS42" s="153">
        <v>9.82</v>
      </c>
      <c r="CT42" s="153">
        <v>0.0</v>
      </c>
      <c r="CU42" s="153">
        <v>0.0</v>
      </c>
      <c r="CV42" s="153">
        <v>0.0</v>
      </c>
      <c r="CW42" s="153">
        <v>386.36</v>
      </c>
      <c r="CX42" s="153">
        <v>0.0</v>
      </c>
      <c r="CY42" s="153">
        <v>0.0</v>
      </c>
      <c r="CZ42" s="153">
        <v>332.64</v>
      </c>
      <c r="DA42" s="153">
        <v>6.35</v>
      </c>
      <c r="DB42" s="153">
        <v>326.29</v>
      </c>
      <c r="DC42" s="153">
        <v>313.39</v>
      </c>
      <c r="DD42" s="153">
        <v>2.79</v>
      </c>
      <c r="DE42" s="153">
        <v>310.61</v>
      </c>
      <c r="DF42" s="153">
        <v>10.49</v>
      </c>
      <c r="DG42" s="153">
        <v>1.19</v>
      </c>
      <c r="DH42" s="153">
        <v>9.3</v>
      </c>
      <c r="DI42" s="153">
        <v>6.35</v>
      </c>
      <c r="DJ42" s="153">
        <v>1.19</v>
      </c>
      <c r="DK42" s="153">
        <v>5.16</v>
      </c>
      <c r="DL42" s="153">
        <v>2.41</v>
      </c>
      <c r="DM42" s="153">
        <v>1.19</v>
      </c>
      <c r="DN42" s="153">
        <v>1.22</v>
      </c>
    </row>
    <row r="43">
      <c r="A43" s="235">
        <v>46258.0</v>
      </c>
      <c r="B43" s="236" t="s">
        <v>4</v>
      </c>
      <c r="C43" s="236" t="s">
        <v>137</v>
      </c>
      <c r="D43" s="236">
        <v>282.0</v>
      </c>
      <c r="E43" s="236">
        <v>1.28</v>
      </c>
      <c r="F43" s="236">
        <v>320.44</v>
      </c>
      <c r="G43" s="236">
        <v>1.1363</v>
      </c>
      <c r="H43" s="236">
        <v>7.09</v>
      </c>
      <c r="I43" s="236">
        <v>16.022</v>
      </c>
      <c r="J43" s="236">
        <v>248.32</v>
      </c>
      <c r="K43" s="236">
        <v>158.05</v>
      </c>
      <c r="L43" s="236">
        <v>125.24</v>
      </c>
      <c r="M43" s="236">
        <v>0.7924</v>
      </c>
      <c r="N43" s="236">
        <v>0.3528</v>
      </c>
      <c r="O43" s="236">
        <v>0.2347</v>
      </c>
      <c r="P43" s="236">
        <v>1.262</v>
      </c>
      <c r="Q43" s="236">
        <v>626.5</v>
      </c>
      <c r="R43" s="236">
        <v>529.51</v>
      </c>
      <c r="S43" s="236">
        <v>96.99</v>
      </c>
      <c r="T43" s="236">
        <v>82.09</v>
      </c>
      <c r="U43" s="236">
        <v>544.4</v>
      </c>
      <c r="V43" s="236">
        <v>604.61</v>
      </c>
      <c r="W43" s="236">
        <v>3.8254</v>
      </c>
      <c r="X43" s="236">
        <v>13.1</v>
      </c>
      <c r="Y43" s="236">
        <v>392.0</v>
      </c>
      <c r="Z43" s="236">
        <v>793.0</v>
      </c>
      <c r="AA43" s="236">
        <v>2197.0</v>
      </c>
      <c r="AB43" s="236">
        <v>58.0742</v>
      </c>
      <c r="AC43" s="236">
        <v>0.8098</v>
      </c>
      <c r="AD43" s="236">
        <v>56.05</v>
      </c>
      <c r="AE43" s="236">
        <v>23.0</v>
      </c>
      <c r="AF43" s="236">
        <v>44.0</v>
      </c>
      <c r="AG43" s="236">
        <v>72.0</v>
      </c>
      <c r="AH43" s="236">
        <v>110.0</v>
      </c>
      <c r="AI43" s="236">
        <v>19.5</v>
      </c>
      <c r="AJ43" s="236">
        <v>3.55</v>
      </c>
      <c r="AK43" s="236">
        <v>0.71</v>
      </c>
      <c r="AL43" s="236">
        <v>0.0496</v>
      </c>
      <c r="AM43" s="237"/>
      <c r="AQ43" s="153">
        <v>31.5284</v>
      </c>
      <c r="AR43" s="153">
        <v>0.883</v>
      </c>
      <c r="AS43" s="153">
        <v>30.6454</v>
      </c>
      <c r="AT43" s="153">
        <v>35.4184</v>
      </c>
      <c r="AU43" s="153">
        <v>0.2241</v>
      </c>
      <c r="AV43" s="153">
        <v>282.0</v>
      </c>
      <c r="AW43" s="153">
        <v>0.0</v>
      </c>
      <c r="AX43" s="153">
        <v>199.52</v>
      </c>
      <c r="AY43" s="153">
        <v>324.34</v>
      </c>
      <c r="AZ43" s="153">
        <v>7.59</v>
      </c>
      <c r="BA43" s="153">
        <v>82.09</v>
      </c>
      <c r="BB43" s="153">
        <v>12.95</v>
      </c>
      <c r="BC43" s="153">
        <v>249.0</v>
      </c>
      <c r="BD43" s="153">
        <v>19260.0</v>
      </c>
      <c r="BE43" s="153">
        <v>17.539</v>
      </c>
      <c r="BF43" s="153">
        <v>0.383</v>
      </c>
      <c r="BG43" s="153">
        <v>17.156</v>
      </c>
      <c r="BH43" s="153">
        <v>15.7872</v>
      </c>
      <c r="BI43" s="153">
        <v>0.0999</v>
      </c>
      <c r="BJ43" s="153">
        <v>13.9894</v>
      </c>
      <c r="BK43" s="153">
        <v>0.5</v>
      </c>
      <c r="BL43" s="153">
        <v>13.4894</v>
      </c>
      <c r="BM43" s="153">
        <v>19.6312</v>
      </c>
      <c r="BN43" s="153">
        <v>0.1242</v>
      </c>
      <c r="BO43" s="153">
        <v>5.7908</v>
      </c>
      <c r="BP43" s="153">
        <v>0.1241</v>
      </c>
      <c r="BQ43" s="153">
        <v>5.6667</v>
      </c>
      <c r="BR43" s="153">
        <v>5.2837</v>
      </c>
      <c r="BS43" s="153">
        <v>6.0603</v>
      </c>
      <c r="BT43" s="153">
        <v>0.1241</v>
      </c>
      <c r="BU43" s="153">
        <v>5.9362</v>
      </c>
      <c r="BV43" s="153">
        <v>5.5319</v>
      </c>
      <c r="BW43" s="153">
        <v>5.6879</v>
      </c>
      <c r="BX43" s="153">
        <v>0.1348</v>
      </c>
      <c r="BY43" s="153">
        <v>5.5532</v>
      </c>
      <c r="BZ43" s="153">
        <v>4.9716</v>
      </c>
      <c r="CA43" s="153">
        <v>5.117</v>
      </c>
      <c r="CB43" s="153">
        <v>0.1525</v>
      </c>
      <c r="CC43" s="153">
        <v>4.9645</v>
      </c>
      <c r="CD43" s="153">
        <v>5.6489</v>
      </c>
      <c r="CE43" s="153">
        <v>3.4929</v>
      </c>
      <c r="CF43" s="153">
        <v>0.195</v>
      </c>
      <c r="CG43" s="153">
        <v>3.2979</v>
      </c>
      <c r="CH43" s="153">
        <v>3.8262</v>
      </c>
      <c r="CI43" s="153">
        <v>5.3794</v>
      </c>
      <c r="CJ43" s="153">
        <v>0.1525</v>
      </c>
      <c r="CK43" s="153">
        <v>5.227</v>
      </c>
      <c r="CL43" s="153">
        <v>10.156</v>
      </c>
      <c r="CM43" s="153">
        <v>1543.68</v>
      </c>
      <c r="CN43" s="153">
        <v>99.65</v>
      </c>
      <c r="CO43" s="153">
        <v>1549.17</v>
      </c>
      <c r="CP43" s="153">
        <v>1526.8</v>
      </c>
      <c r="CQ43" s="153">
        <v>0.0</v>
      </c>
      <c r="CR43" s="153">
        <v>5.18</v>
      </c>
      <c r="CS43" s="153">
        <v>11.7</v>
      </c>
      <c r="CT43" s="153">
        <v>0.0</v>
      </c>
      <c r="CU43" s="153">
        <v>0.0</v>
      </c>
      <c r="CV43" s="153">
        <v>0.0</v>
      </c>
      <c r="CW43" s="153">
        <v>626.5</v>
      </c>
      <c r="CX43" s="153">
        <v>0.0</v>
      </c>
      <c r="CY43" s="153">
        <v>0.0</v>
      </c>
      <c r="CZ43" s="153">
        <v>611.33</v>
      </c>
      <c r="DA43" s="153">
        <v>11.4</v>
      </c>
      <c r="DB43" s="153">
        <v>599.93</v>
      </c>
      <c r="DC43" s="153">
        <v>578.78</v>
      </c>
      <c r="DD43" s="153">
        <v>5.23</v>
      </c>
      <c r="DE43" s="153">
        <v>573.55</v>
      </c>
      <c r="DF43" s="153">
        <v>15.59</v>
      </c>
      <c r="DG43" s="153">
        <v>2.06</v>
      </c>
      <c r="DH43" s="153">
        <v>13.53</v>
      </c>
      <c r="DI43" s="153">
        <v>10.78</v>
      </c>
      <c r="DJ43" s="153">
        <v>2.06</v>
      </c>
      <c r="DK43" s="153">
        <v>8.72</v>
      </c>
      <c r="DL43" s="153">
        <v>6.19</v>
      </c>
      <c r="DM43" s="153">
        <v>2.06</v>
      </c>
      <c r="DN43" s="153">
        <v>4.13</v>
      </c>
    </row>
    <row r="44">
      <c r="A44" s="235">
        <v>46258.0</v>
      </c>
      <c r="B44" s="236" t="s">
        <v>5</v>
      </c>
      <c r="C44" s="236" t="s">
        <v>423</v>
      </c>
      <c r="D44" s="236">
        <v>3601.0</v>
      </c>
      <c r="E44" s="236">
        <v>16.56</v>
      </c>
      <c r="F44" s="236">
        <v>17.68</v>
      </c>
      <c r="G44" s="236">
        <v>0.0049</v>
      </c>
      <c r="H44" s="236">
        <v>0.14</v>
      </c>
      <c r="I44" s="236">
        <v>3.536</v>
      </c>
      <c r="J44" s="236">
        <v>4.87</v>
      </c>
      <c r="K44" s="236">
        <v>2.05</v>
      </c>
      <c r="L44" s="236">
        <v>0.28</v>
      </c>
      <c r="M44" s="236">
        <v>0.1346</v>
      </c>
      <c r="N44" s="236">
        <v>0.8883</v>
      </c>
      <c r="O44" s="236">
        <v>0.4831</v>
      </c>
      <c r="P44" s="236">
        <v>7.4296</v>
      </c>
      <c r="Q44" s="236">
        <v>27.12</v>
      </c>
      <c r="R44" s="236">
        <v>27.05</v>
      </c>
      <c r="S44" s="236">
        <v>0.07</v>
      </c>
      <c r="T44" s="236">
        <v>0.68</v>
      </c>
      <c r="U44" s="236">
        <v>26.44</v>
      </c>
      <c r="V44" s="236">
        <v>5.73</v>
      </c>
      <c r="W44" s="236">
        <v>2.7962</v>
      </c>
      <c r="X44" s="236">
        <v>2.51</v>
      </c>
      <c r="Y44" s="236">
        <v>195.0</v>
      </c>
      <c r="Z44" s="236">
        <v>510.0</v>
      </c>
      <c r="AA44" s="236">
        <v>3750.0</v>
      </c>
      <c r="AB44" s="236">
        <v>49.667</v>
      </c>
      <c r="AC44" s="236">
        <v>0.5616</v>
      </c>
      <c r="AD44" s="237"/>
      <c r="AE44" s="237"/>
      <c r="AF44" s="237"/>
      <c r="AG44" s="237"/>
      <c r="AH44" s="237"/>
      <c r="AI44" s="236">
        <v>0.0</v>
      </c>
      <c r="AJ44" s="236">
        <v>0.0</v>
      </c>
      <c r="AK44" s="236">
        <v>0.0</v>
      </c>
      <c r="AL44" s="236">
        <v>0.5318</v>
      </c>
      <c r="AM44" s="236">
        <v>0.67</v>
      </c>
      <c r="AN44" s="153">
        <v>0.67</v>
      </c>
      <c r="AO44" s="153">
        <v>0.47</v>
      </c>
      <c r="AP44" s="153">
        <v>0.11</v>
      </c>
      <c r="AQ44" s="153">
        <v>1.416</v>
      </c>
      <c r="AR44" s="153">
        <v>0.0228</v>
      </c>
      <c r="AS44" s="153">
        <v>1.3932</v>
      </c>
      <c r="AT44" s="153">
        <v>0.4285</v>
      </c>
      <c r="AU44" s="153">
        <v>0.2089</v>
      </c>
      <c r="AV44" s="153">
        <v>3601.0</v>
      </c>
      <c r="AW44" s="153">
        <v>0.0</v>
      </c>
      <c r="AX44" s="153">
        <v>8.13</v>
      </c>
      <c r="AY44" s="153">
        <v>17.03</v>
      </c>
      <c r="AZ44" s="153">
        <v>1.07</v>
      </c>
      <c r="BA44" s="153">
        <v>0.68</v>
      </c>
      <c r="BB44" s="153">
        <v>0.21</v>
      </c>
      <c r="BD44" s="153">
        <v>25412.0</v>
      </c>
      <c r="BE44" s="153">
        <v>0.6918</v>
      </c>
      <c r="BF44" s="153">
        <v>0.0083</v>
      </c>
      <c r="BG44" s="153">
        <v>0.6834</v>
      </c>
      <c r="BH44" s="153">
        <v>0.2671</v>
      </c>
      <c r="BI44" s="153">
        <v>0.1303</v>
      </c>
      <c r="BJ44" s="153">
        <v>0.7242</v>
      </c>
      <c r="BK44" s="153">
        <v>0.0144</v>
      </c>
      <c r="BL44" s="153">
        <v>0.7098</v>
      </c>
      <c r="BM44" s="153">
        <v>0.1613</v>
      </c>
      <c r="BN44" s="153">
        <v>0.0787</v>
      </c>
      <c r="BO44" s="153">
        <v>0.2022</v>
      </c>
      <c r="BP44" s="153">
        <v>0.0044</v>
      </c>
      <c r="BQ44" s="153">
        <v>0.1977</v>
      </c>
      <c r="BR44" s="153">
        <v>0.1083</v>
      </c>
      <c r="BS44" s="153">
        <v>0.3338</v>
      </c>
      <c r="BT44" s="153">
        <v>0.0019</v>
      </c>
      <c r="BU44" s="153">
        <v>0.3319</v>
      </c>
      <c r="BV44" s="153">
        <v>0.1094</v>
      </c>
      <c r="BW44" s="153">
        <v>0.1558</v>
      </c>
      <c r="BX44" s="153">
        <v>0.0019</v>
      </c>
      <c r="BY44" s="153">
        <v>0.1538</v>
      </c>
      <c r="BZ44" s="153">
        <v>0.0494</v>
      </c>
      <c r="CA44" s="153">
        <v>0.1983</v>
      </c>
      <c r="CB44" s="153">
        <v>0.0014</v>
      </c>
      <c r="CC44" s="153">
        <v>0.1969</v>
      </c>
      <c r="CD44" s="153">
        <v>0.0294</v>
      </c>
      <c r="CE44" s="153">
        <v>0.2824</v>
      </c>
      <c r="CF44" s="153">
        <v>0.0086</v>
      </c>
      <c r="CG44" s="153">
        <v>0.2738</v>
      </c>
      <c r="CH44" s="153">
        <v>0.0722</v>
      </c>
      <c r="CI44" s="153">
        <v>0.2435</v>
      </c>
      <c r="CJ44" s="153">
        <v>0.0044</v>
      </c>
      <c r="CK44" s="153">
        <v>0.2391</v>
      </c>
      <c r="CL44" s="153">
        <v>0.0597</v>
      </c>
      <c r="CM44" s="153">
        <v>10.66</v>
      </c>
      <c r="CN44" s="153">
        <v>9.75</v>
      </c>
      <c r="CO44" s="153">
        <v>109.34</v>
      </c>
      <c r="CP44" s="153">
        <v>5.37</v>
      </c>
      <c r="CQ44" s="153">
        <v>0.42</v>
      </c>
      <c r="CR44" s="153">
        <v>1.41</v>
      </c>
      <c r="CS44" s="153">
        <v>3.46</v>
      </c>
      <c r="CT44" s="153">
        <v>0.0</v>
      </c>
      <c r="CU44" s="153">
        <v>225.0</v>
      </c>
      <c r="CV44" s="153">
        <v>0.07</v>
      </c>
      <c r="CW44" s="153">
        <v>27.19</v>
      </c>
      <c r="CX44" s="153">
        <v>0.02</v>
      </c>
      <c r="CY44" s="153">
        <v>0.43</v>
      </c>
      <c r="CZ44" s="153">
        <v>25.44</v>
      </c>
      <c r="DA44" s="153">
        <v>0.08</v>
      </c>
      <c r="DB44" s="153">
        <v>25.36</v>
      </c>
      <c r="DC44" s="153">
        <v>22.01</v>
      </c>
      <c r="DD44" s="153">
        <v>0.03</v>
      </c>
      <c r="DE44" s="153">
        <v>21.98</v>
      </c>
      <c r="DF44" s="153">
        <v>1.83</v>
      </c>
      <c r="DG44" s="153">
        <v>0.02</v>
      </c>
      <c r="DH44" s="153">
        <v>1.81</v>
      </c>
      <c r="DI44" s="153">
        <v>1.33</v>
      </c>
      <c r="DJ44" s="153">
        <v>0.02</v>
      </c>
      <c r="DK44" s="153">
        <v>1.31</v>
      </c>
      <c r="DL44" s="153">
        <v>0.27</v>
      </c>
      <c r="DM44" s="153">
        <v>0.02</v>
      </c>
      <c r="DN44" s="153">
        <v>0.26</v>
      </c>
    </row>
    <row r="45">
      <c r="A45" s="235">
        <v>46258.0</v>
      </c>
      <c r="B45" s="236" t="s">
        <v>5</v>
      </c>
      <c r="C45" s="236" t="s">
        <v>133</v>
      </c>
      <c r="D45" s="236">
        <v>5932.0</v>
      </c>
      <c r="E45" s="236">
        <v>27.29</v>
      </c>
      <c r="F45" s="236">
        <v>82.15</v>
      </c>
      <c r="G45" s="236">
        <v>0.0138</v>
      </c>
      <c r="H45" s="236">
        <v>0.74</v>
      </c>
      <c r="I45" s="236">
        <v>1.867</v>
      </c>
      <c r="J45" s="236">
        <v>24.62</v>
      </c>
      <c r="K45" s="236">
        <v>12.3</v>
      </c>
      <c r="L45" s="236">
        <v>5.6</v>
      </c>
      <c r="M45" s="236">
        <v>0.4551</v>
      </c>
      <c r="N45" s="236">
        <v>0.6619</v>
      </c>
      <c r="O45" s="236">
        <v>0.4169</v>
      </c>
      <c r="P45" s="236">
        <v>2.1975</v>
      </c>
      <c r="Q45" s="236">
        <v>69.42</v>
      </c>
      <c r="R45" s="236">
        <v>65.07</v>
      </c>
      <c r="S45" s="236">
        <v>4.35</v>
      </c>
      <c r="T45" s="236">
        <v>1.17</v>
      </c>
      <c r="U45" s="236">
        <v>68.25</v>
      </c>
      <c r="V45" s="236">
        <v>54.59</v>
      </c>
      <c r="W45" s="236">
        <v>4.4382</v>
      </c>
      <c r="X45" s="236">
        <v>1.69</v>
      </c>
      <c r="Y45" s="236">
        <v>200.0</v>
      </c>
      <c r="Z45" s="236">
        <v>430.0</v>
      </c>
      <c r="AA45" s="236">
        <v>1677.0</v>
      </c>
      <c r="AB45" s="236">
        <v>49.9603</v>
      </c>
      <c r="AC45" s="236">
        <v>0.5841</v>
      </c>
      <c r="AD45" s="236">
        <v>4.28</v>
      </c>
      <c r="AE45" s="236">
        <v>2.0</v>
      </c>
      <c r="AF45" s="236">
        <v>3.0</v>
      </c>
      <c r="AG45" s="236">
        <v>6.0</v>
      </c>
      <c r="AH45" s="236">
        <v>9.0</v>
      </c>
      <c r="AI45" s="236">
        <v>75.44</v>
      </c>
      <c r="AJ45" s="236">
        <v>35.47</v>
      </c>
      <c r="AK45" s="236">
        <v>9.0</v>
      </c>
      <c r="AL45" s="236">
        <v>0.4056</v>
      </c>
      <c r="AM45" s="236">
        <v>44.52</v>
      </c>
      <c r="AN45" s="153">
        <v>44.52</v>
      </c>
      <c r="AO45" s="153">
        <v>22.83</v>
      </c>
      <c r="AP45" s="153">
        <v>7.55</v>
      </c>
      <c r="AQ45" s="153">
        <v>5.1888</v>
      </c>
      <c r="AR45" s="153">
        <v>0.0322</v>
      </c>
      <c r="AS45" s="153">
        <v>5.1566</v>
      </c>
      <c r="AT45" s="153">
        <v>3.2969</v>
      </c>
      <c r="AU45" s="153">
        <v>0.268</v>
      </c>
      <c r="AV45" s="153">
        <v>5932.0</v>
      </c>
      <c r="AW45" s="153">
        <v>0.0</v>
      </c>
      <c r="AX45" s="153">
        <v>20.97</v>
      </c>
      <c r="AY45" s="153">
        <v>44.64</v>
      </c>
      <c r="AZ45" s="153">
        <v>2.13</v>
      </c>
      <c r="BA45" s="153">
        <v>1.17</v>
      </c>
      <c r="BB45" s="153">
        <v>0.5</v>
      </c>
      <c r="BC45" s="153">
        <v>18.0</v>
      </c>
      <c r="BD45" s="153">
        <v>21351.0</v>
      </c>
      <c r="BE45" s="153">
        <v>3.6372</v>
      </c>
      <c r="BF45" s="153">
        <v>0.0157</v>
      </c>
      <c r="BG45" s="153">
        <v>3.6215</v>
      </c>
      <c r="BH45" s="153">
        <v>1.9427</v>
      </c>
      <c r="BI45" s="153">
        <v>0.1579</v>
      </c>
      <c r="BJ45" s="153">
        <v>1.5516</v>
      </c>
      <c r="BK45" s="153">
        <v>0.0165</v>
      </c>
      <c r="BL45" s="153">
        <v>1.5351</v>
      </c>
      <c r="BM45" s="153">
        <v>1.3542</v>
      </c>
      <c r="BN45" s="153">
        <v>0.1101</v>
      </c>
      <c r="BO45" s="153">
        <v>1.7525</v>
      </c>
      <c r="BP45" s="153">
        <v>0.0067</v>
      </c>
      <c r="BQ45" s="153">
        <v>1.7458</v>
      </c>
      <c r="BR45" s="153">
        <v>0.8661</v>
      </c>
      <c r="BS45" s="153">
        <v>1.4686</v>
      </c>
      <c r="BT45" s="153">
        <v>0.0022</v>
      </c>
      <c r="BU45" s="153">
        <v>1.4665</v>
      </c>
      <c r="BV45" s="153">
        <v>0.7549</v>
      </c>
      <c r="BW45" s="153">
        <v>0.416</v>
      </c>
      <c r="BX45" s="153">
        <v>0.0067</v>
      </c>
      <c r="BY45" s="153">
        <v>0.4093</v>
      </c>
      <c r="BZ45" s="153">
        <v>0.3216</v>
      </c>
      <c r="CA45" s="153">
        <v>0.4233</v>
      </c>
      <c r="CB45" s="153">
        <v>0.0029</v>
      </c>
      <c r="CC45" s="153">
        <v>0.4204</v>
      </c>
      <c r="CD45" s="153">
        <v>0.2994</v>
      </c>
      <c r="CE45" s="153">
        <v>0.5715</v>
      </c>
      <c r="CF45" s="153">
        <v>0.0081</v>
      </c>
      <c r="CG45" s="153">
        <v>0.5634</v>
      </c>
      <c r="CH45" s="153">
        <v>0.5807</v>
      </c>
      <c r="CI45" s="153">
        <v>0.5568</v>
      </c>
      <c r="CJ45" s="153">
        <v>0.0056</v>
      </c>
      <c r="CK45" s="153">
        <v>0.5512</v>
      </c>
      <c r="CL45" s="153">
        <v>0.474</v>
      </c>
      <c r="CM45" s="153">
        <v>117.15</v>
      </c>
      <c r="CN45" s="153">
        <v>88.12</v>
      </c>
      <c r="CO45" s="153">
        <v>132.96</v>
      </c>
      <c r="CP45" s="153">
        <v>99.6</v>
      </c>
      <c r="CQ45" s="153">
        <v>10.63</v>
      </c>
      <c r="CR45" s="153">
        <v>3.67</v>
      </c>
      <c r="CS45" s="153">
        <v>3.25</v>
      </c>
      <c r="CT45" s="153">
        <v>0.0</v>
      </c>
      <c r="CU45" s="153">
        <v>942.0</v>
      </c>
      <c r="CV45" s="153">
        <v>1.2</v>
      </c>
      <c r="CW45" s="153">
        <v>70.62</v>
      </c>
      <c r="CX45" s="153">
        <v>1.03</v>
      </c>
      <c r="CY45" s="153">
        <v>11.66</v>
      </c>
      <c r="CZ45" s="153">
        <v>100.36</v>
      </c>
      <c r="DA45" s="153">
        <v>0.34</v>
      </c>
      <c r="DB45" s="153">
        <v>100.02</v>
      </c>
      <c r="DC45" s="153">
        <v>91.22</v>
      </c>
      <c r="DD45" s="153">
        <v>0.09</v>
      </c>
      <c r="DE45" s="153">
        <v>91.13</v>
      </c>
      <c r="DF45" s="153">
        <v>5.08</v>
      </c>
      <c r="DG45" s="153">
        <v>0.08</v>
      </c>
      <c r="DH45" s="153">
        <v>5.0</v>
      </c>
      <c r="DI45" s="153">
        <v>3.59</v>
      </c>
      <c r="DJ45" s="153">
        <v>0.08</v>
      </c>
      <c r="DK45" s="153">
        <v>3.51</v>
      </c>
      <c r="DL45" s="153">
        <v>0.47</v>
      </c>
      <c r="DM45" s="153">
        <v>0.08</v>
      </c>
      <c r="DN45" s="153">
        <v>0.39</v>
      </c>
    </row>
    <row r="46">
      <c r="A46" s="235">
        <v>46258.0</v>
      </c>
      <c r="B46" s="236" t="s">
        <v>5</v>
      </c>
      <c r="C46" s="236" t="s">
        <v>134</v>
      </c>
      <c r="D46" s="236">
        <v>5402.0</v>
      </c>
      <c r="E46" s="236">
        <v>24.85</v>
      </c>
      <c r="F46" s="236">
        <v>393.47</v>
      </c>
      <c r="G46" s="236">
        <v>0.0728</v>
      </c>
      <c r="H46" s="236">
        <v>2.52</v>
      </c>
      <c r="I46" s="236">
        <v>2.8932</v>
      </c>
      <c r="J46" s="236">
        <v>51.02</v>
      </c>
      <c r="K46" s="236">
        <v>26.81</v>
      </c>
      <c r="L46" s="236">
        <v>14.73</v>
      </c>
      <c r="M46" s="236">
        <v>0.5496</v>
      </c>
      <c r="N46" s="236">
        <v>0.5833</v>
      </c>
      <c r="O46" s="236">
        <v>0.3578</v>
      </c>
      <c r="P46" s="236">
        <v>1.8195</v>
      </c>
      <c r="Q46" s="236">
        <v>131.07</v>
      </c>
      <c r="R46" s="236">
        <v>120.05</v>
      </c>
      <c r="S46" s="236">
        <v>11.02</v>
      </c>
      <c r="T46" s="236">
        <v>6.38</v>
      </c>
      <c r="U46" s="236">
        <v>124.69</v>
      </c>
      <c r="V46" s="236">
        <v>113.99</v>
      </c>
      <c r="W46" s="236">
        <v>4.2523</v>
      </c>
      <c r="X46" s="236">
        <v>4.87</v>
      </c>
      <c r="Y46" s="236">
        <v>211.0</v>
      </c>
      <c r="Z46" s="236">
        <v>440.0</v>
      </c>
      <c r="AA46" s="236">
        <v>1351.0</v>
      </c>
      <c r="AB46" s="236">
        <v>51.597</v>
      </c>
      <c r="AC46" s="236">
        <v>0.6275</v>
      </c>
      <c r="AD46" s="236">
        <v>9.76</v>
      </c>
      <c r="AE46" s="236">
        <v>4.0</v>
      </c>
      <c r="AF46" s="236">
        <v>8.0</v>
      </c>
      <c r="AG46" s="236">
        <v>13.0</v>
      </c>
      <c r="AH46" s="236">
        <v>20.0</v>
      </c>
      <c r="AI46" s="236">
        <v>65.42</v>
      </c>
      <c r="AJ46" s="236">
        <v>27.06</v>
      </c>
      <c r="AK46" s="236">
        <v>4.37</v>
      </c>
      <c r="AL46" s="236">
        <v>0.2762</v>
      </c>
      <c r="AM46" s="236">
        <v>52.07</v>
      </c>
      <c r="AN46" s="153">
        <v>52.07</v>
      </c>
      <c r="AO46" s="153">
        <v>30.8</v>
      </c>
      <c r="AP46" s="153">
        <v>14.68</v>
      </c>
      <c r="AQ46" s="153">
        <v>9.3621</v>
      </c>
      <c r="AR46" s="153">
        <v>0.0653</v>
      </c>
      <c r="AS46" s="153">
        <v>9.2967</v>
      </c>
      <c r="AT46" s="153">
        <v>6.3214</v>
      </c>
      <c r="AU46" s="153">
        <v>0.2358</v>
      </c>
      <c r="AV46" s="153">
        <v>5402.0</v>
      </c>
      <c r="AW46" s="153">
        <v>0.0</v>
      </c>
      <c r="AX46" s="153">
        <v>38.33</v>
      </c>
      <c r="AY46" s="153">
        <v>81.88</v>
      </c>
      <c r="AZ46" s="153">
        <v>3.1</v>
      </c>
      <c r="BA46" s="153">
        <v>6.38</v>
      </c>
      <c r="BB46" s="153">
        <v>1.39</v>
      </c>
      <c r="BC46" s="153">
        <v>37.0</v>
      </c>
      <c r="BD46" s="153">
        <v>20183.0</v>
      </c>
      <c r="BE46" s="153">
        <v>6.4432</v>
      </c>
      <c r="BF46" s="153">
        <v>0.025</v>
      </c>
      <c r="BG46" s="153">
        <v>6.4182</v>
      </c>
      <c r="BH46" s="153">
        <v>3.6368</v>
      </c>
      <c r="BI46" s="153">
        <v>0.1357</v>
      </c>
      <c r="BJ46" s="153">
        <v>2.9189</v>
      </c>
      <c r="BK46" s="153">
        <v>0.0404</v>
      </c>
      <c r="BL46" s="153">
        <v>2.8786</v>
      </c>
      <c r="BM46" s="153">
        <v>2.6846</v>
      </c>
      <c r="BN46" s="153">
        <v>0.1001</v>
      </c>
      <c r="BO46" s="153">
        <v>3.0002</v>
      </c>
      <c r="BP46" s="153">
        <v>0.008</v>
      </c>
      <c r="BQ46" s="153">
        <v>2.9922</v>
      </c>
      <c r="BR46" s="153">
        <v>1.6122</v>
      </c>
      <c r="BS46" s="153">
        <v>2.6929</v>
      </c>
      <c r="BT46" s="153">
        <v>0.0074</v>
      </c>
      <c r="BU46" s="153">
        <v>2.6855</v>
      </c>
      <c r="BV46" s="153">
        <v>1.4234</v>
      </c>
      <c r="BW46" s="153">
        <v>0.7501</v>
      </c>
      <c r="BX46" s="153">
        <v>0.0096</v>
      </c>
      <c r="BY46" s="153">
        <v>0.7405</v>
      </c>
      <c r="BZ46" s="153">
        <v>0.6013</v>
      </c>
      <c r="CA46" s="153">
        <v>0.7301</v>
      </c>
      <c r="CB46" s="153">
        <v>0.0098</v>
      </c>
      <c r="CC46" s="153">
        <v>0.7203</v>
      </c>
      <c r="CD46" s="153">
        <v>0.614</v>
      </c>
      <c r="CE46" s="153">
        <v>0.993</v>
      </c>
      <c r="CF46" s="153">
        <v>0.0183</v>
      </c>
      <c r="CG46" s="153">
        <v>0.9746</v>
      </c>
      <c r="CH46" s="153">
        <v>1.0442</v>
      </c>
      <c r="CI46" s="153">
        <v>1.1959</v>
      </c>
      <c r="CJ46" s="153">
        <v>0.0122</v>
      </c>
      <c r="CK46" s="153">
        <v>1.1836</v>
      </c>
      <c r="CL46" s="153">
        <v>1.0263</v>
      </c>
      <c r="CM46" s="153">
        <v>228.06</v>
      </c>
      <c r="CN46" s="153">
        <v>97.0</v>
      </c>
      <c r="CO46" s="153">
        <v>235.11</v>
      </c>
      <c r="CP46" s="153">
        <v>173.2</v>
      </c>
      <c r="CQ46" s="153">
        <v>38.25</v>
      </c>
      <c r="CR46" s="153">
        <v>3.58</v>
      </c>
      <c r="CS46" s="153">
        <v>13.04</v>
      </c>
      <c r="CT46" s="153">
        <v>0.0</v>
      </c>
      <c r="CU46" s="153">
        <v>1655.0</v>
      </c>
      <c r="CV46" s="153">
        <v>4.53</v>
      </c>
      <c r="CW46" s="153">
        <v>135.6</v>
      </c>
      <c r="CX46" s="153">
        <v>4.15</v>
      </c>
      <c r="CY46" s="153">
        <v>42.39</v>
      </c>
      <c r="CZ46" s="153">
        <v>174.05</v>
      </c>
      <c r="DA46" s="153">
        <v>1.55</v>
      </c>
      <c r="DB46" s="153">
        <v>172.5</v>
      </c>
      <c r="DC46" s="153">
        <v>159.14</v>
      </c>
      <c r="DD46" s="153">
        <v>0.4</v>
      </c>
      <c r="DE46" s="153">
        <v>158.74</v>
      </c>
      <c r="DF46" s="153">
        <v>7.47</v>
      </c>
      <c r="DG46" s="153">
        <v>0.39</v>
      </c>
      <c r="DH46" s="153">
        <v>7.08</v>
      </c>
      <c r="DI46" s="153">
        <v>6.04</v>
      </c>
      <c r="DJ46" s="153">
        <v>0.39</v>
      </c>
      <c r="DK46" s="153">
        <v>5.66</v>
      </c>
      <c r="DL46" s="153">
        <v>1.4</v>
      </c>
      <c r="DM46" s="153">
        <v>0.39</v>
      </c>
      <c r="DN46" s="153">
        <v>1.02</v>
      </c>
    </row>
    <row r="47">
      <c r="A47" s="235">
        <v>46258.0</v>
      </c>
      <c r="B47" s="236" t="s">
        <v>5</v>
      </c>
      <c r="C47" s="236" t="s">
        <v>135</v>
      </c>
      <c r="D47" s="236">
        <v>4325.0</v>
      </c>
      <c r="E47" s="236">
        <v>19.89</v>
      </c>
      <c r="F47" s="236">
        <v>829.94</v>
      </c>
      <c r="G47" s="236">
        <v>0.1919</v>
      </c>
      <c r="H47" s="236">
        <v>3.98</v>
      </c>
      <c r="I47" s="236">
        <v>4.8252</v>
      </c>
      <c r="J47" s="236">
        <v>82.15</v>
      </c>
      <c r="K47" s="236">
        <v>45.17</v>
      </c>
      <c r="L47" s="236">
        <v>28.8</v>
      </c>
      <c r="M47" s="236">
        <v>0.6375</v>
      </c>
      <c r="N47" s="236">
        <v>0.511</v>
      </c>
      <c r="O47" s="236">
        <v>0.3212</v>
      </c>
      <c r="P47" s="236">
        <v>1.5686</v>
      </c>
      <c r="Q47" s="236">
        <v>227.37</v>
      </c>
      <c r="R47" s="236">
        <v>205.92</v>
      </c>
      <c r="S47" s="236">
        <v>21.45</v>
      </c>
      <c r="T47" s="236">
        <v>14.08</v>
      </c>
      <c r="U47" s="236">
        <v>213.29</v>
      </c>
      <c r="V47" s="236">
        <v>211.63</v>
      </c>
      <c r="W47" s="236">
        <v>4.6853</v>
      </c>
      <c r="X47" s="236">
        <v>6.19</v>
      </c>
      <c r="Y47" s="236">
        <v>256.0</v>
      </c>
      <c r="Z47" s="236">
        <v>555.0</v>
      </c>
      <c r="AA47" s="236">
        <v>1525.0</v>
      </c>
      <c r="AB47" s="236">
        <v>53.2837</v>
      </c>
      <c r="AC47" s="236">
        <v>0.6719</v>
      </c>
      <c r="AD47" s="236">
        <v>17.34</v>
      </c>
      <c r="AE47" s="236">
        <v>8.0</v>
      </c>
      <c r="AF47" s="236">
        <v>13.0</v>
      </c>
      <c r="AG47" s="236">
        <v>24.0</v>
      </c>
      <c r="AH47" s="236">
        <v>36.0</v>
      </c>
      <c r="AI47" s="236">
        <v>60.09</v>
      </c>
      <c r="AJ47" s="236">
        <v>22.1</v>
      </c>
      <c r="AK47" s="236">
        <v>6.01</v>
      </c>
      <c r="AL47" s="236">
        <v>0.206</v>
      </c>
      <c r="AM47" s="236">
        <v>52.95</v>
      </c>
      <c r="AN47" s="153">
        <v>52.95</v>
      </c>
      <c r="AO47" s="153">
        <v>28.18</v>
      </c>
      <c r="AP47" s="153">
        <v>13.8</v>
      </c>
      <c r="AQ47" s="153">
        <v>13.8291</v>
      </c>
      <c r="AR47" s="153">
        <v>0.1912</v>
      </c>
      <c r="AS47" s="153">
        <v>13.6379</v>
      </c>
      <c r="AT47" s="153">
        <v>9.7452</v>
      </c>
      <c r="AU47" s="153">
        <v>0.2158</v>
      </c>
      <c r="AV47" s="153">
        <v>4325.0</v>
      </c>
      <c r="AW47" s="153">
        <v>0.0</v>
      </c>
      <c r="AX47" s="153">
        <v>63.65</v>
      </c>
      <c r="AY47" s="153">
        <v>144.21</v>
      </c>
      <c r="AZ47" s="153">
        <v>3.75</v>
      </c>
      <c r="BA47" s="153">
        <v>14.08</v>
      </c>
      <c r="BB47" s="153">
        <v>1.68</v>
      </c>
      <c r="BC47" s="153">
        <v>63.0</v>
      </c>
      <c r="BD47" s="153">
        <v>17248.0</v>
      </c>
      <c r="BE47" s="153">
        <v>9.2536</v>
      </c>
      <c r="BF47" s="153">
        <v>0.102</v>
      </c>
      <c r="BG47" s="153">
        <v>9.1517</v>
      </c>
      <c r="BH47" s="153">
        <v>5.6271</v>
      </c>
      <c r="BI47" s="153">
        <v>0.1246</v>
      </c>
      <c r="BJ47" s="153">
        <v>4.5755</v>
      </c>
      <c r="BK47" s="153">
        <v>0.0892</v>
      </c>
      <c r="BL47" s="153">
        <v>4.4862</v>
      </c>
      <c r="BM47" s="153">
        <v>4.1182</v>
      </c>
      <c r="BN47" s="153">
        <v>0.0912</v>
      </c>
      <c r="BO47" s="153">
        <v>3.8518</v>
      </c>
      <c r="BP47" s="153">
        <v>0.0303</v>
      </c>
      <c r="BQ47" s="153">
        <v>3.8215</v>
      </c>
      <c r="BR47" s="153">
        <v>2.2657</v>
      </c>
      <c r="BS47" s="153">
        <v>3.7459</v>
      </c>
      <c r="BT47" s="153">
        <v>0.0317</v>
      </c>
      <c r="BU47" s="153">
        <v>3.7142</v>
      </c>
      <c r="BV47" s="153">
        <v>2.206</v>
      </c>
      <c r="BW47" s="153">
        <v>1.656</v>
      </c>
      <c r="BX47" s="153">
        <v>0.04</v>
      </c>
      <c r="BY47" s="153">
        <v>1.616</v>
      </c>
      <c r="BZ47" s="153">
        <v>1.1554</v>
      </c>
      <c r="CA47" s="153">
        <v>1.2828</v>
      </c>
      <c r="CB47" s="153">
        <v>0.0238</v>
      </c>
      <c r="CC47" s="153">
        <v>1.259</v>
      </c>
      <c r="CD47" s="153">
        <v>1.0345</v>
      </c>
      <c r="CE47" s="153">
        <v>1.3283</v>
      </c>
      <c r="CF47" s="153">
        <v>0.0331</v>
      </c>
      <c r="CG47" s="153">
        <v>1.2953</v>
      </c>
      <c r="CH47" s="153">
        <v>1.4701</v>
      </c>
      <c r="CI47" s="153">
        <v>1.9644</v>
      </c>
      <c r="CJ47" s="153">
        <v>0.0324</v>
      </c>
      <c r="CK47" s="153">
        <v>1.932</v>
      </c>
      <c r="CL47" s="153">
        <v>1.6136</v>
      </c>
      <c r="CM47" s="153">
        <v>411.87</v>
      </c>
      <c r="CN47" s="153">
        <v>98.08</v>
      </c>
      <c r="CO47" s="153">
        <v>419.93</v>
      </c>
      <c r="CP47" s="153">
        <v>310.34</v>
      </c>
      <c r="CQ47" s="153">
        <v>70.52</v>
      </c>
      <c r="CR47" s="153">
        <v>3.4</v>
      </c>
      <c r="CS47" s="153">
        <v>27.61</v>
      </c>
      <c r="CT47" s="153">
        <v>0.0</v>
      </c>
      <c r="CU47" s="153">
        <v>2237.0</v>
      </c>
      <c r="CV47" s="153">
        <v>12.13</v>
      </c>
      <c r="CW47" s="153">
        <v>239.5</v>
      </c>
      <c r="CX47" s="153">
        <v>9.22</v>
      </c>
      <c r="CY47" s="153">
        <v>79.74</v>
      </c>
      <c r="CZ47" s="153">
        <v>267.46</v>
      </c>
      <c r="DA47" s="153">
        <v>3.82</v>
      </c>
      <c r="DB47" s="153">
        <v>263.64</v>
      </c>
      <c r="DC47" s="153">
        <v>245.92</v>
      </c>
      <c r="DD47" s="153">
        <v>1.25</v>
      </c>
      <c r="DE47" s="153">
        <v>244.67</v>
      </c>
      <c r="DF47" s="153">
        <v>10.95</v>
      </c>
      <c r="DG47" s="153">
        <v>0.86</v>
      </c>
      <c r="DH47" s="153">
        <v>10.1</v>
      </c>
      <c r="DI47" s="153">
        <v>6.99</v>
      </c>
      <c r="DJ47" s="153">
        <v>0.86</v>
      </c>
      <c r="DK47" s="153">
        <v>6.13</v>
      </c>
      <c r="DL47" s="153">
        <v>3.59</v>
      </c>
      <c r="DM47" s="153">
        <v>0.86</v>
      </c>
      <c r="DN47" s="153">
        <v>2.74</v>
      </c>
    </row>
    <row r="48">
      <c r="A48" s="235">
        <v>46258.0</v>
      </c>
      <c r="B48" s="236" t="s">
        <v>5</v>
      </c>
      <c r="C48" s="236" t="s">
        <v>136</v>
      </c>
      <c r="D48" s="236">
        <v>2220.0</v>
      </c>
      <c r="E48" s="236">
        <v>10.21</v>
      </c>
      <c r="F48" s="236">
        <v>896.96</v>
      </c>
      <c r="G48" s="236">
        <v>0.404</v>
      </c>
      <c r="H48" s="236">
        <v>5.9</v>
      </c>
      <c r="I48" s="236">
        <v>6.847</v>
      </c>
      <c r="J48" s="236">
        <v>138.15</v>
      </c>
      <c r="K48" s="236">
        <v>81.44</v>
      </c>
      <c r="L48" s="236">
        <v>58.51</v>
      </c>
      <c r="M48" s="236">
        <v>0.7184</v>
      </c>
      <c r="N48" s="236">
        <v>0.4342</v>
      </c>
      <c r="O48" s="236">
        <v>0.2782</v>
      </c>
      <c r="P48" s="236">
        <v>1.392</v>
      </c>
      <c r="Q48" s="236">
        <v>407.37</v>
      </c>
      <c r="R48" s="236">
        <v>364.19</v>
      </c>
      <c r="S48" s="236">
        <v>43.18</v>
      </c>
      <c r="T48" s="236">
        <v>40.65</v>
      </c>
      <c r="U48" s="236">
        <v>366.72</v>
      </c>
      <c r="V48" s="236">
        <v>394.8</v>
      </c>
      <c r="W48" s="236">
        <v>4.8475</v>
      </c>
      <c r="X48" s="236">
        <v>9.98</v>
      </c>
      <c r="Y48" s="236">
        <v>320.0</v>
      </c>
      <c r="Z48" s="236">
        <v>654.0</v>
      </c>
      <c r="AA48" s="236">
        <v>1884.0</v>
      </c>
      <c r="AB48" s="236">
        <v>55.2171</v>
      </c>
      <c r="AC48" s="236">
        <v>0.7204</v>
      </c>
      <c r="AD48" s="236">
        <v>30.66</v>
      </c>
      <c r="AE48" s="236">
        <v>13.0</v>
      </c>
      <c r="AF48" s="236">
        <v>24.0</v>
      </c>
      <c r="AG48" s="236">
        <v>41.0</v>
      </c>
      <c r="AH48" s="236">
        <v>62.0</v>
      </c>
      <c r="AI48" s="236">
        <v>43.51</v>
      </c>
      <c r="AJ48" s="236">
        <v>11.26</v>
      </c>
      <c r="AK48" s="236">
        <v>2.21</v>
      </c>
      <c r="AL48" s="236">
        <v>0.127</v>
      </c>
      <c r="AM48" s="236">
        <v>49.32</v>
      </c>
      <c r="AN48" s="153">
        <v>49.32</v>
      </c>
      <c r="AO48" s="153">
        <v>25.86</v>
      </c>
      <c r="AP48" s="153">
        <v>14.19</v>
      </c>
      <c r="AQ48" s="153">
        <v>20.5703</v>
      </c>
      <c r="AR48" s="153">
        <v>0.5712</v>
      </c>
      <c r="AS48" s="153">
        <v>19.9991</v>
      </c>
      <c r="AT48" s="153">
        <v>15.6095</v>
      </c>
      <c r="AU48" s="153">
        <v>0.1917</v>
      </c>
      <c r="AV48" s="153">
        <v>2220.0</v>
      </c>
      <c r="AW48" s="153">
        <v>0.0</v>
      </c>
      <c r="AX48" s="153">
        <v>108.47</v>
      </c>
      <c r="AY48" s="153">
        <v>248.46</v>
      </c>
      <c r="AZ48" s="153">
        <v>5.01</v>
      </c>
      <c r="BA48" s="153">
        <v>40.65</v>
      </c>
      <c r="BB48" s="153">
        <v>4.78</v>
      </c>
      <c r="BC48" s="153">
        <v>119.0</v>
      </c>
      <c r="BD48" s="153">
        <v>18861.0</v>
      </c>
      <c r="BE48" s="153">
        <v>12.6414</v>
      </c>
      <c r="BF48" s="153">
        <v>0.2959</v>
      </c>
      <c r="BG48" s="153">
        <v>12.3455</v>
      </c>
      <c r="BH48" s="153">
        <v>8.4662</v>
      </c>
      <c r="BI48" s="153">
        <v>0.104</v>
      </c>
      <c r="BJ48" s="153">
        <v>7.9288</v>
      </c>
      <c r="BK48" s="153">
        <v>0.2752</v>
      </c>
      <c r="BL48" s="153">
        <v>7.6536</v>
      </c>
      <c r="BM48" s="153">
        <v>7.1432</v>
      </c>
      <c r="BN48" s="153">
        <v>0.0877</v>
      </c>
      <c r="BO48" s="153">
        <v>4.6356</v>
      </c>
      <c r="BP48" s="153">
        <v>0.0878</v>
      </c>
      <c r="BQ48" s="153">
        <v>4.5477</v>
      </c>
      <c r="BR48" s="153">
        <v>3.1054</v>
      </c>
      <c r="BS48" s="153">
        <v>4.6968</v>
      </c>
      <c r="BT48" s="153">
        <v>0.0986</v>
      </c>
      <c r="BU48" s="153">
        <v>4.5982</v>
      </c>
      <c r="BV48" s="153">
        <v>3.1505</v>
      </c>
      <c r="BW48" s="153">
        <v>3.309</v>
      </c>
      <c r="BX48" s="153">
        <v>0.1095</v>
      </c>
      <c r="BY48" s="153">
        <v>3.1995</v>
      </c>
      <c r="BZ48" s="153">
        <v>2.2104</v>
      </c>
      <c r="CA48" s="153">
        <v>2.4482</v>
      </c>
      <c r="CB48" s="153">
        <v>0.0788</v>
      </c>
      <c r="CC48" s="153">
        <v>2.3694</v>
      </c>
      <c r="CD48" s="153">
        <v>2.0207</v>
      </c>
      <c r="CE48" s="153">
        <v>2.0257</v>
      </c>
      <c r="CF48" s="153">
        <v>0.1077</v>
      </c>
      <c r="CG48" s="153">
        <v>1.918</v>
      </c>
      <c r="CH48" s="153">
        <v>2.1275</v>
      </c>
      <c r="CI48" s="153">
        <v>3.455</v>
      </c>
      <c r="CJ48" s="153">
        <v>0.0887</v>
      </c>
      <c r="CK48" s="153">
        <v>3.3662</v>
      </c>
      <c r="CL48" s="153">
        <v>2.995</v>
      </c>
      <c r="CM48" s="153">
        <v>793.9</v>
      </c>
      <c r="CN48" s="153">
        <v>99.59</v>
      </c>
      <c r="CO48" s="153">
        <v>797.14</v>
      </c>
      <c r="CP48" s="153">
        <v>603.88</v>
      </c>
      <c r="CQ48" s="153">
        <v>133.2</v>
      </c>
      <c r="CR48" s="153">
        <v>3.23</v>
      </c>
      <c r="CS48" s="153">
        <v>53.6</v>
      </c>
      <c r="CT48" s="153">
        <v>0.0</v>
      </c>
      <c r="CU48" s="153">
        <v>1763.0</v>
      </c>
      <c r="CV48" s="153">
        <v>33.7</v>
      </c>
      <c r="CW48" s="153">
        <v>441.07</v>
      </c>
      <c r="CX48" s="153">
        <v>18.48</v>
      </c>
      <c r="CY48" s="153">
        <v>151.68</v>
      </c>
      <c r="CZ48" s="153">
        <v>415.04</v>
      </c>
      <c r="DA48" s="153">
        <v>5.21</v>
      </c>
      <c r="DB48" s="153">
        <v>409.83</v>
      </c>
      <c r="DC48" s="153">
        <v>386.2</v>
      </c>
      <c r="DD48" s="153">
        <v>2.81</v>
      </c>
      <c r="DE48" s="153">
        <v>383.4</v>
      </c>
      <c r="DF48" s="153">
        <v>17.35</v>
      </c>
      <c r="DG48" s="153">
        <v>0.8</v>
      </c>
      <c r="DH48" s="153">
        <v>16.55</v>
      </c>
      <c r="DI48" s="153">
        <v>7.4</v>
      </c>
      <c r="DJ48" s="153">
        <v>0.8</v>
      </c>
      <c r="DK48" s="153">
        <v>6.59</v>
      </c>
      <c r="DL48" s="153">
        <v>4.08</v>
      </c>
      <c r="DM48" s="153">
        <v>0.8</v>
      </c>
      <c r="DN48" s="153">
        <v>3.28</v>
      </c>
    </row>
    <row r="49">
      <c r="A49" s="235">
        <v>46258.0</v>
      </c>
      <c r="B49" s="236" t="s">
        <v>5</v>
      </c>
      <c r="C49" s="236" t="s">
        <v>137</v>
      </c>
      <c r="D49" s="236">
        <v>260.0</v>
      </c>
      <c r="E49" s="236">
        <v>1.2</v>
      </c>
      <c r="F49" s="236">
        <v>82.84</v>
      </c>
      <c r="G49" s="236">
        <v>0.3186</v>
      </c>
      <c r="H49" s="236">
        <v>5.0</v>
      </c>
      <c r="I49" s="236">
        <v>6.3723</v>
      </c>
      <c r="J49" s="236">
        <v>265.89</v>
      </c>
      <c r="K49" s="236">
        <v>170.07</v>
      </c>
      <c r="L49" s="236">
        <v>128.25</v>
      </c>
      <c r="M49" s="236">
        <v>0.7541</v>
      </c>
      <c r="N49" s="236">
        <v>0.3785</v>
      </c>
      <c r="O49" s="236">
        <v>0.2388</v>
      </c>
      <c r="P49" s="236">
        <v>1.326</v>
      </c>
      <c r="Q49" s="236">
        <v>662.15</v>
      </c>
      <c r="R49" s="236">
        <v>565.13</v>
      </c>
      <c r="S49" s="236">
        <v>97.02</v>
      </c>
      <c r="T49" s="236">
        <v>35.96</v>
      </c>
      <c r="U49" s="236">
        <v>626.19</v>
      </c>
      <c r="V49" s="236">
        <v>654.62</v>
      </c>
      <c r="W49" s="236">
        <v>3.8492</v>
      </c>
      <c r="X49" s="236">
        <v>5.43</v>
      </c>
      <c r="Y49" s="236">
        <v>380.0</v>
      </c>
      <c r="Z49" s="236">
        <v>702.0</v>
      </c>
      <c r="AA49" s="236">
        <v>1991.0</v>
      </c>
      <c r="AB49" s="236">
        <v>58.3499</v>
      </c>
      <c r="AC49" s="236">
        <v>0.7706</v>
      </c>
      <c r="AD49" s="236">
        <v>55.3</v>
      </c>
      <c r="AE49" s="236">
        <v>21.0</v>
      </c>
      <c r="AF49" s="236">
        <v>42.0</v>
      </c>
      <c r="AG49" s="236">
        <v>74.0</v>
      </c>
      <c r="AH49" s="236">
        <v>111.0</v>
      </c>
      <c r="AI49" s="236">
        <v>22.31</v>
      </c>
      <c r="AJ49" s="236">
        <v>3.85</v>
      </c>
      <c r="AK49" s="236">
        <v>0.0</v>
      </c>
      <c r="AL49" s="236">
        <v>0.0731</v>
      </c>
      <c r="AM49" s="236">
        <v>36.54</v>
      </c>
      <c r="AN49" s="153">
        <v>36.54</v>
      </c>
      <c r="AO49" s="153">
        <v>20.38</v>
      </c>
      <c r="AP49" s="153">
        <v>13.46</v>
      </c>
      <c r="AQ49" s="153">
        <v>31.4885</v>
      </c>
      <c r="AR49" s="153">
        <v>0.5423</v>
      </c>
      <c r="AS49" s="153">
        <v>30.9462</v>
      </c>
      <c r="AT49" s="153">
        <v>25.8269</v>
      </c>
      <c r="AU49" s="153">
        <v>0.1519</v>
      </c>
      <c r="AV49" s="153">
        <v>260.0</v>
      </c>
      <c r="AW49" s="153">
        <v>0.0</v>
      </c>
      <c r="AX49" s="153">
        <v>202.52</v>
      </c>
      <c r="AY49" s="153">
        <v>403.44</v>
      </c>
      <c r="AZ49" s="153">
        <v>7.23</v>
      </c>
      <c r="BA49" s="153">
        <v>35.96</v>
      </c>
      <c r="BB49" s="153">
        <v>13.0</v>
      </c>
      <c r="BC49" s="153">
        <v>224.0</v>
      </c>
      <c r="BD49" s="153">
        <v>10920.0</v>
      </c>
      <c r="BE49" s="153">
        <v>18.4231</v>
      </c>
      <c r="BF49" s="153">
        <v>0.1615</v>
      </c>
      <c r="BG49" s="153">
        <v>18.2615</v>
      </c>
      <c r="BH49" s="153">
        <v>13.9615</v>
      </c>
      <c r="BI49" s="153">
        <v>0.0821</v>
      </c>
      <c r="BJ49" s="153">
        <v>13.0654</v>
      </c>
      <c r="BK49" s="153">
        <v>0.3808</v>
      </c>
      <c r="BL49" s="153">
        <v>12.6846</v>
      </c>
      <c r="BM49" s="153">
        <v>11.8654</v>
      </c>
      <c r="BN49" s="153">
        <v>0.0698</v>
      </c>
      <c r="BO49" s="153">
        <v>6.2154</v>
      </c>
      <c r="BP49" s="153">
        <v>0.05</v>
      </c>
      <c r="BQ49" s="153">
        <v>6.1654</v>
      </c>
      <c r="BR49" s="153">
        <v>4.8462</v>
      </c>
      <c r="BS49" s="153">
        <v>6.2654</v>
      </c>
      <c r="BT49" s="153">
        <v>0.05</v>
      </c>
      <c r="BU49" s="153">
        <v>6.2154</v>
      </c>
      <c r="BV49" s="153">
        <v>4.9</v>
      </c>
      <c r="BW49" s="153">
        <v>5.9423</v>
      </c>
      <c r="BX49" s="153">
        <v>0.0615</v>
      </c>
      <c r="BY49" s="153">
        <v>5.8808</v>
      </c>
      <c r="BZ49" s="153">
        <v>4.2154</v>
      </c>
      <c r="CA49" s="153">
        <v>4.0462</v>
      </c>
      <c r="CB49" s="153">
        <v>0.0692</v>
      </c>
      <c r="CC49" s="153">
        <v>3.9769</v>
      </c>
      <c r="CD49" s="153">
        <v>3.45</v>
      </c>
      <c r="CE49" s="153">
        <v>2.85</v>
      </c>
      <c r="CF49" s="153">
        <v>0.1846</v>
      </c>
      <c r="CG49" s="153">
        <v>2.6654</v>
      </c>
      <c r="CH49" s="153">
        <v>2.9308</v>
      </c>
      <c r="CI49" s="153">
        <v>6.1692</v>
      </c>
      <c r="CJ49" s="153">
        <v>0.1269</v>
      </c>
      <c r="CK49" s="153">
        <v>6.0423</v>
      </c>
      <c r="CL49" s="153">
        <v>5.4846</v>
      </c>
      <c r="CM49" s="153">
        <v>1650.3</v>
      </c>
      <c r="CN49" s="153">
        <v>100.0</v>
      </c>
      <c r="CO49" s="153">
        <v>1650.3</v>
      </c>
      <c r="CP49" s="153">
        <v>1251.61</v>
      </c>
      <c r="CQ49" s="153">
        <v>295.3</v>
      </c>
      <c r="CR49" s="153">
        <v>3.38</v>
      </c>
      <c r="CS49" s="153">
        <v>100.01</v>
      </c>
      <c r="CT49" s="153">
        <v>0.0</v>
      </c>
      <c r="CU49" s="153">
        <v>240.0</v>
      </c>
      <c r="CV49" s="153">
        <v>97.26</v>
      </c>
      <c r="CW49" s="153">
        <v>759.41</v>
      </c>
      <c r="CX49" s="153">
        <v>36.79</v>
      </c>
      <c r="CY49" s="153">
        <v>332.1</v>
      </c>
      <c r="CZ49" s="153">
        <v>685.98</v>
      </c>
      <c r="DA49" s="153">
        <v>4.62</v>
      </c>
      <c r="DB49" s="153">
        <v>681.37</v>
      </c>
      <c r="DC49" s="153">
        <v>654.92</v>
      </c>
      <c r="DD49" s="153">
        <v>3.23</v>
      </c>
      <c r="DE49" s="153">
        <v>651.69</v>
      </c>
      <c r="DF49" s="153">
        <v>20.63</v>
      </c>
      <c r="DG49" s="153">
        <v>0.46</v>
      </c>
      <c r="DH49" s="153">
        <v>20.17</v>
      </c>
      <c r="DI49" s="153">
        <v>9.21</v>
      </c>
      <c r="DJ49" s="153">
        <v>0.46</v>
      </c>
      <c r="DK49" s="153">
        <v>8.75</v>
      </c>
      <c r="DL49" s="153">
        <v>1.21</v>
      </c>
      <c r="DM49" s="153">
        <v>0.46</v>
      </c>
      <c r="DN49" s="153">
        <v>0.75</v>
      </c>
    </row>
    <row r="50">
      <c r="A50" s="235">
        <v>46259.0</v>
      </c>
      <c r="B50" s="236" t="s">
        <v>4</v>
      </c>
      <c r="C50" s="236" t="s">
        <v>423</v>
      </c>
      <c r="D50" s="236">
        <v>6535.0</v>
      </c>
      <c r="E50" s="236">
        <v>19.5</v>
      </c>
      <c r="F50" s="236">
        <v>595.95</v>
      </c>
      <c r="G50" s="236">
        <v>0.0912</v>
      </c>
      <c r="H50" s="236">
        <v>0.84</v>
      </c>
      <c r="I50" s="236">
        <v>10.8355</v>
      </c>
      <c r="J50" s="236">
        <v>14.8</v>
      </c>
      <c r="K50" s="236">
        <v>7.89</v>
      </c>
      <c r="L50" s="236">
        <v>4.81</v>
      </c>
      <c r="M50" s="236">
        <v>0.61</v>
      </c>
      <c r="N50" s="236">
        <v>0.4948</v>
      </c>
      <c r="O50" s="236">
        <v>0.2176</v>
      </c>
      <c r="P50" s="236">
        <v>1.6394</v>
      </c>
      <c r="Q50" s="236">
        <v>48.9</v>
      </c>
      <c r="R50" s="236">
        <v>48.81</v>
      </c>
      <c r="S50" s="236">
        <v>0.1</v>
      </c>
      <c r="T50" s="236">
        <v>6.18</v>
      </c>
      <c r="U50" s="236">
        <v>42.72</v>
      </c>
      <c r="V50" s="236">
        <v>32.48</v>
      </c>
      <c r="W50" s="236">
        <v>4.1176</v>
      </c>
      <c r="X50" s="236">
        <v>12.64</v>
      </c>
      <c r="Y50" s="236">
        <v>224.0</v>
      </c>
      <c r="Z50" s="236">
        <v>1011.0</v>
      </c>
      <c r="AA50" s="236">
        <v>8202.0</v>
      </c>
      <c r="AB50" s="236">
        <v>50.0011</v>
      </c>
      <c r="AC50" s="236">
        <v>0.5241</v>
      </c>
      <c r="AD50" s="237"/>
      <c r="AE50" s="237"/>
      <c r="AF50" s="237"/>
      <c r="AG50" s="237"/>
      <c r="AH50" s="237"/>
      <c r="AI50" s="236">
        <v>0.0</v>
      </c>
      <c r="AJ50" s="236">
        <v>0.0</v>
      </c>
      <c r="AK50" s="236">
        <v>0.0</v>
      </c>
      <c r="AL50" s="236">
        <v>0.4245</v>
      </c>
      <c r="AQ50" s="153">
        <v>1.3832</v>
      </c>
      <c r="AR50" s="153">
        <v>0.1025</v>
      </c>
      <c r="AS50" s="153">
        <v>1.2806</v>
      </c>
      <c r="AT50" s="153">
        <v>1.0468</v>
      </c>
      <c r="AU50" s="153">
        <v>0.1327</v>
      </c>
      <c r="AV50" s="153">
        <v>6535.0</v>
      </c>
      <c r="AW50" s="153">
        <v>0.0</v>
      </c>
      <c r="AX50" s="153">
        <v>11.09</v>
      </c>
      <c r="AY50" s="153">
        <v>28.96</v>
      </c>
      <c r="AZ50" s="153">
        <v>2.44</v>
      </c>
      <c r="BA50" s="153">
        <v>6.18</v>
      </c>
      <c r="BB50" s="153">
        <v>0.24</v>
      </c>
      <c r="BD50" s="153">
        <v>32085.0</v>
      </c>
      <c r="BE50" s="153">
        <v>0.4881</v>
      </c>
      <c r="BF50" s="153">
        <v>0.0523</v>
      </c>
      <c r="BG50" s="153">
        <v>0.4358</v>
      </c>
      <c r="BH50" s="153">
        <v>0.5304</v>
      </c>
      <c r="BI50" s="153">
        <v>0.0672</v>
      </c>
      <c r="BJ50" s="153">
        <v>0.895</v>
      </c>
      <c r="BK50" s="153">
        <v>0.0502</v>
      </c>
      <c r="BL50" s="153">
        <v>0.8448</v>
      </c>
      <c r="BM50" s="153">
        <v>0.5164</v>
      </c>
      <c r="BN50" s="153">
        <v>0.0655</v>
      </c>
      <c r="BO50" s="153">
        <v>0.1781</v>
      </c>
      <c r="BP50" s="153">
        <v>0.0171</v>
      </c>
      <c r="BQ50" s="153">
        <v>0.161</v>
      </c>
      <c r="BR50" s="153">
        <v>0.2103</v>
      </c>
      <c r="BS50" s="153">
        <v>0.1812</v>
      </c>
      <c r="BT50" s="153">
        <v>0.0176</v>
      </c>
      <c r="BU50" s="153">
        <v>0.1636</v>
      </c>
      <c r="BV50" s="153">
        <v>0.1893</v>
      </c>
      <c r="BW50" s="153">
        <v>0.1288</v>
      </c>
      <c r="BX50" s="153">
        <v>0.0176</v>
      </c>
      <c r="BY50" s="153">
        <v>0.1112</v>
      </c>
      <c r="BZ50" s="153">
        <v>0.1308</v>
      </c>
      <c r="CA50" s="153">
        <v>0.1841</v>
      </c>
      <c r="CB50" s="153">
        <v>0.013</v>
      </c>
      <c r="CC50" s="153">
        <v>0.1711</v>
      </c>
      <c r="CD50" s="153">
        <v>0.1412</v>
      </c>
      <c r="CE50" s="153">
        <v>0.385</v>
      </c>
      <c r="CF50" s="153">
        <v>0.022</v>
      </c>
      <c r="CG50" s="153">
        <v>0.363</v>
      </c>
      <c r="CH50" s="153">
        <v>0.183</v>
      </c>
      <c r="CI50" s="153">
        <v>0.3259</v>
      </c>
      <c r="CJ50" s="153">
        <v>0.0151</v>
      </c>
      <c r="CK50" s="153">
        <v>0.3108</v>
      </c>
      <c r="CL50" s="153">
        <v>0.1922</v>
      </c>
      <c r="CM50" s="153">
        <v>68.74</v>
      </c>
      <c r="CN50" s="153">
        <v>9.7</v>
      </c>
      <c r="CO50" s="153">
        <v>708.51</v>
      </c>
      <c r="CP50" s="153">
        <v>64.58</v>
      </c>
      <c r="CQ50" s="153">
        <v>0.0</v>
      </c>
      <c r="CR50" s="153">
        <v>1.2</v>
      </c>
      <c r="CS50" s="153">
        <v>2.95</v>
      </c>
      <c r="CT50" s="153">
        <v>0.0</v>
      </c>
      <c r="CU50" s="153">
        <v>0.0</v>
      </c>
      <c r="CV50" s="153">
        <v>0.0</v>
      </c>
      <c r="CW50" s="153">
        <v>48.9</v>
      </c>
      <c r="CX50" s="153">
        <v>0.0</v>
      </c>
      <c r="CY50" s="153">
        <v>0.0</v>
      </c>
      <c r="CZ50" s="153">
        <v>26.03</v>
      </c>
      <c r="DA50" s="153">
        <v>0.97</v>
      </c>
      <c r="DB50" s="153">
        <v>25.06</v>
      </c>
      <c r="DC50" s="153">
        <v>22.49</v>
      </c>
      <c r="DD50" s="153">
        <v>0.48</v>
      </c>
      <c r="DE50" s="153">
        <v>22.01</v>
      </c>
      <c r="DF50" s="153">
        <v>1.5</v>
      </c>
      <c r="DG50" s="153">
        <v>0.16</v>
      </c>
      <c r="DH50" s="153">
        <v>1.34</v>
      </c>
      <c r="DI50" s="153">
        <v>1.33</v>
      </c>
      <c r="DJ50" s="153">
        <v>0.16</v>
      </c>
      <c r="DK50" s="153">
        <v>1.17</v>
      </c>
      <c r="DL50" s="153">
        <v>0.7</v>
      </c>
      <c r="DM50" s="153">
        <v>0.16</v>
      </c>
      <c r="DN50" s="153">
        <v>0.54</v>
      </c>
    </row>
    <row r="51">
      <c r="A51" s="235">
        <v>46259.0</v>
      </c>
      <c r="B51" s="236" t="s">
        <v>4</v>
      </c>
      <c r="C51" s="236" t="s">
        <v>133</v>
      </c>
      <c r="D51" s="236">
        <v>9572.0</v>
      </c>
      <c r="E51" s="236">
        <v>28.57</v>
      </c>
      <c r="F51" s="236">
        <v>386.96</v>
      </c>
      <c r="G51" s="236">
        <v>0.0404</v>
      </c>
      <c r="H51" s="236">
        <v>1.46</v>
      </c>
      <c r="I51" s="236">
        <v>2.764</v>
      </c>
      <c r="J51" s="236">
        <v>26.33</v>
      </c>
      <c r="K51" s="236">
        <v>13.18</v>
      </c>
      <c r="L51" s="236">
        <v>5.45</v>
      </c>
      <c r="M51" s="236">
        <v>0.4139</v>
      </c>
      <c r="N51" s="236">
        <v>0.7037</v>
      </c>
      <c r="O51" s="236">
        <v>0.4603</v>
      </c>
      <c r="P51" s="236">
        <v>2.4162</v>
      </c>
      <c r="Q51" s="236">
        <v>48.51</v>
      </c>
      <c r="R51" s="236">
        <v>43.76</v>
      </c>
      <c r="S51" s="236">
        <v>4.75</v>
      </c>
      <c r="T51" s="236">
        <v>2.78</v>
      </c>
      <c r="U51" s="236">
        <v>45.73</v>
      </c>
      <c r="V51" s="236">
        <v>54.9</v>
      </c>
      <c r="W51" s="236">
        <v>4.1662</v>
      </c>
      <c r="X51" s="236">
        <v>5.73</v>
      </c>
      <c r="Y51" s="236">
        <v>186.0</v>
      </c>
      <c r="Z51" s="236">
        <v>478.0</v>
      </c>
      <c r="AA51" s="236">
        <v>2233.0</v>
      </c>
      <c r="AB51" s="236">
        <v>49.7751</v>
      </c>
      <c r="AC51" s="236">
        <v>0.5503</v>
      </c>
      <c r="AD51" s="236">
        <v>4.09</v>
      </c>
      <c r="AE51" s="236">
        <v>1.0</v>
      </c>
      <c r="AF51" s="236">
        <v>3.0</v>
      </c>
      <c r="AG51" s="236">
        <v>5.0</v>
      </c>
      <c r="AH51" s="236">
        <v>9.0</v>
      </c>
      <c r="AI51" s="236">
        <v>74.08</v>
      </c>
      <c r="AJ51" s="236">
        <v>32.78</v>
      </c>
      <c r="AK51" s="236">
        <v>8.17</v>
      </c>
      <c r="AL51" s="236">
        <v>0.3536</v>
      </c>
      <c r="AQ51" s="153">
        <v>3.418</v>
      </c>
      <c r="AR51" s="153">
        <v>0.0476</v>
      </c>
      <c r="AS51" s="153">
        <v>3.3704</v>
      </c>
      <c r="AT51" s="153">
        <v>3.2286</v>
      </c>
      <c r="AU51" s="153">
        <v>0.245</v>
      </c>
      <c r="AV51" s="153">
        <v>9572.0</v>
      </c>
      <c r="AW51" s="153">
        <v>0.0</v>
      </c>
      <c r="AX51" s="153">
        <v>22.31</v>
      </c>
      <c r="AY51" s="153">
        <v>19.79</v>
      </c>
      <c r="AZ51" s="153">
        <v>3.07</v>
      </c>
      <c r="BA51" s="153">
        <v>2.78</v>
      </c>
      <c r="BB51" s="153">
        <v>0.57</v>
      </c>
      <c r="BC51" s="153">
        <v>18.0</v>
      </c>
      <c r="BD51" s="153">
        <v>24350.0</v>
      </c>
      <c r="BE51" s="153">
        <v>1.96</v>
      </c>
      <c r="BF51" s="153">
        <v>0.0223</v>
      </c>
      <c r="BG51" s="153">
        <v>1.9377</v>
      </c>
      <c r="BH51" s="153">
        <v>1.7221</v>
      </c>
      <c r="BI51" s="153">
        <v>0.1307</v>
      </c>
      <c r="BJ51" s="153">
        <v>1.458</v>
      </c>
      <c r="BK51" s="153">
        <v>0.0254</v>
      </c>
      <c r="BL51" s="153">
        <v>1.4326</v>
      </c>
      <c r="BM51" s="153">
        <v>1.5065</v>
      </c>
      <c r="BN51" s="153">
        <v>0.1143</v>
      </c>
      <c r="BO51" s="153">
        <v>0.8378</v>
      </c>
      <c r="BP51" s="153">
        <v>0.0071</v>
      </c>
      <c r="BQ51" s="153">
        <v>0.8307</v>
      </c>
      <c r="BR51" s="153">
        <v>0.7082</v>
      </c>
      <c r="BS51" s="153">
        <v>0.7351</v>
      </c>
      <c r="BT51" s="153">
        <v>0.0055</v>
      </c>
      <c r="BU51" s="153">
        <v>0.7295</v>
      </c>
      <c r="BV51" s="153">
        <v>0.6539</v>
      </c>
      <c r="BW51" s="153">
        <v>0.3872</v>
      </c>
      <c r="BX51" s="153">
        <v>0.0096</v>
      </c>
      <c r="BY51" s="153">
        <v>0.3776</v>
      </c>
      <c r="BZ51" s="153">
        <v>0.36</v>
      </c>
      <c r="CA51" s="153">
        <v>0.2893</v>
      </c>
      <c r="CB51" s="153">
        <v>0.0059</v>
      </c>
      <c r="CC51" s="153">
        <v>0.2834</v>
      </c>
      <c r="CD51" s="153">
        <v>0.3127</v>
      </c>
      <c r="CE51" s="153">
        <v>0.6667</v>
      </c>
      <c r="CF51" s="153">
        <v>0.0093</v>
      </c>
      <c r="CG51" s="153">
        <v>0.6574</v>
      </c>
      <c r="CH51" s="153">
        <v>0.6597</v>
      </c>
      <c r="CI51" s="153">
        <v>0.502</v>
      </c>
      <c r="CJ51" s="153">
        <v>0.0102</v>
      </c>
      <c r="CK51" s="153">
        <v>0.4917</v>
      </c>
      <c r="CL51" s="153">
        <v>0.5341</v>
      </c>
      <c r="CM51" s="153">
        <v>108.88</v>
      </c>
      <c r="CN51" s="153">
        <v>91.62</v>
      </c>
      <c r="CO51" s="153">
        <v>118.84</v>
      </c>
      <c r="CP51" s="153">
        <v>102.38</v>
      </c>
      <c r="CQ51" s="153">
        <v>0.0</v>
      </c>
      <c r="CR51" s="153">
        <v>3.41</v>
      </c>
      <c r="CS51" s="153">
        <v>3.09</v>
      </c>
      <c r="CT51" s="153">
        <v>0.0</v>
      </c>
      <c r="CU51" s="153">
        <v>0.0</v>
      </c>
      <c r="CV51" s="153">
        <v>0.0</v>
      </c>
      <c r="CW51" s="153">
        <v>48.51</v>
      </c>
      <c r="CX51" s="153">
        <v>0.0</v>
      </c>
      <c r="CY51" s="153">
        <v>0.0</v>
      </c>
      <c r="CZ51" s="153">
        <v>65.37</v>
      </c>
      <c r="DA51" s="153">
        <v>0.92</v>
      </c>
      <c r="DB51" s="153">
        <v>64.46</v>
      </c>
      <c r="DC51" s="153">
        <v>59.13</v>
      </c>
      <c r="DD51" s="153">
        <v>0.26</v>
      </c>
      <c r="DE51" s="153">
        <v>58.87</v>
      </c>
      <c r="DF51" s="153">
        <v>3.09</v>
      </c>
      <c r="DG51" s="153">
        <v>0.22</v>
      </c>
      <c r="DH51" s="153">
        <v>2.87</v>
      </c>
      <c r="DI51" s="153">
        <v>2.53</v>
      </c>
      <c r="DJ51" s="153">
        <v>0.22</v>
      </c>
      <c r="DK51" s="153">
        <v>2.31</v>
      </c>
      <c r="DL51" s="153">
        <v>0.63</v>
      </c>
      <c r="DM51" s="153">
        <v>0.22</v>
      </c>
      <c r="DN51" s="153">
        <v>0.41</v>
      </c>
    </row>
    <row r="52">
      <c r="A52" s="235">
        <v>46259.0</v>
      </c>
      <c r="B52" s="236" t="s">
        <v>4</v>
      </c>
      <c r="C52" s="236" t="s">
        <v>134</v>
      </c>
      <c r="D52" s="236">
        <v>8101.0</v>
      </c>
      <c r="E52" s="236">
        <v>24.18</v>
      </c>
      <c r="F52" s="236">
        <v>1023.4</v>
      </c>
      <c r="G52" s="236">
        <v>0.1263</v>
      </c>
      <c r="H52" s="236">
        <v>3.86</v>
      </c>
      <c r="I52" s="236">
        <v>3.2696</v>
      </c>
      <c r="J52" s="236">
        <v>48.94</v>
      </c>
      <c r="K52" s="236">
        <v>25.29</v>
      </c>
      <c r="L52" s="236">
        <v>13.89</v>
      </c>
      <c r="M52" s="236">
        <v>0.549</v>
      </c>
      <c r="N52" s="236">
        <v>0.594</v>
      </c>
      <c r="O52" s="236">
        <v>0.3716</v>
      </c>
      <c r="P52" s="236">
        <v>1.8214</v>
      </c>
      <c r="Q52" s="236">
        <v>103.18</v>
      </c>
      <c r="R52" s="236">
        <v>92.27</v>
      </c>
      <c r="S52" s="236">
        <v>10.91</v>
      </c>
      <c r="T52" s="236">
        <v>9.17</v>
      </c>
      <c r="U52" s="236">
        <v>94.02</v>
      </c>
      <c r="V52" s="236">
        <v>111.21</v>
      </c>
      <c r="W52" s="236">
        <v>4.3967</v>
      </c>
      <c r="X52" s="236">
        <v>8.88</v>
      </c>
      <c r="Y52" s="236">
        <v>208.0</v>
      </c>
      <c r="Z52" s="236">
        <v>523.0</v>
      </c>
      <c r="AA52" s="236">
        <v>2266.0</v>
      </c>
      <c r="AB52" s="236">
        <v>51.9129</v>
      </c>
      <c r="AC52" s="236">
        <v>0.6089</v>
      </c>
      <c r="AD52" s="236">
        <v>9.25</v>
      </c>
      <c r="AE52" s="236">
        <v>4.0</v>
      </c>
      <c r="AF52" s="236">
        <v>7.0</v>
      </c>
      <c r="AG52" s="236">
        <v>13.0</v>
      </c>
      <c r="AH52" s="236">
        <v>19.0</v>
      </c>
      <c r="AI52" s="236">
        <v>61.23</v>
      </c>
      <c r="AJ52" s="236">
        <v>25.77</v>
      </c>
      <c r="AK52" s="236">
        <v>4.01</v>
      </c>
      <c r="AL52" s="236">
        <v>0.2447</v>
      </c>
      <c r="AQ52" s="153">
        <v>6.3135</v>
      </c>
      <c r="AR52" s="153">
        <v>0.1113</v>
      </c>
      <c r="AS52" s="153">
        <v>6.2022</v>
      </c>
      <c r="AT52" s="153">
        <v>6.1773</v>
      </c>
      <c r="AU52" s="153">
        <v>0.2442</v>
      </c>
      <c r="AV52" s="153">
        <v>8101.0</v>
      </c>
      <c r="AW52" s="153">
        <v>0.0</v>
      </c>
      <c r="AX52" s="153">
        <v>35.2</v>
      </c>
      <c r="AY52" s="153">
        <v>53.04</v>
      </c>
      <c r="AZ52" s="153">
        <v>4.21</v>
      </c>
      <c r="BA52" s="153">
        <v>9.17</v>
      </c>
      <c r="BB52" s="153">
        <v>1.57</v>
      </c>
      <c r="BC52" s="153">
        <v>35.0</v>
      </c>
      <c r="BD52" s="153">
        <v>23168.0</v>
      </c>
      <c r="BE52" s="153">
        <v>3.4204</v>
      </c>
      <c r="BF52" s="153">
        <v>0.047</v>
      </c>
      <c r="BG52" s="153">
        <v>3.3734</v>
      </c>
      <c r="BH52" s="153">
        <v>3.2719</v>
      </c>
      <c r="BI52" s="153">
        <v>0.1294</v>
      </c>
      <c r="BJ52" s="153">
        <v>2.8931</v>
      </c>
      <c r="BK52" s="153">
        <v>0.0643</v>
      </c>
      <c r="BL52" s="153">
        <v>2.8288</v>
      </c>
      <c r="BM52" s="153">
        <v>2.9053</v>
      </c>
      <c r="BN52" s="153">
        <v>0.1149</v>
      </c>
      <c r="BO52" s="153">
        <v>1.3455</v>
      </c>
      <c r="BP52" s="153">
        <v>0.0149</v>
      </c>
      <c r="BQ52" s="153">
        <v>1.3306</v>
      </c>
      <c r="BR52" s="153">
        <v>1.2655</v>
      </c>
      <c r="BS52" s="153">
        <v>1.3182</v>
      </c>
      <c r="BT52" s="153">
        <v>0.0157</v>
      </c>
      <c r="BU52" s="153">
        <v>1.3026</v>
      </c>
      <c r="BV52" s="153">
        <v>1.2545</v>
      </c>
      <c r="BW52" s="153">
        <v>0.7567</v>
      </c>
      <c r="BX52" s="153">
        <v>0.0164</v>
      </c>
      <c r="BY52" s="153">
        <v>0.7403</v>
      </c>
      <c r="BZ52" s="153">
        <v>0.7519</v>
      </c>
      <c r="CA52" s="153">
        <v>0.5929</v>
      </c>
      <c r="CB52" s="153">
        <v>0.0172</v>
      </c>
      <c r="CC52" s="153">
        <v>0.5757</v>
      </c>
      <c r="CD52" s="153">
        <v>0.6163</v>
      </c>
      <c r="CE52" s="153">
        <v>1.2048</v>
      </c>
      <c r="CF52" s="153">
        <v>0.0254</v>
      </c>
      <c r="CG52" s="153">
        <v>1.1794</v>
      </c>
      <c r="CH52" s="153">
        <v>1.1989</v>
      </c>
      <c r="CI52" s="153">
        <v>1.0954</v>
      </c>
      <c r="CJ52" s="153">
        <v>0.0217</v>
      </c>
      <c r="CK52" s="153">
        <v>1.0737</v>
      </c>
      <c r="CL52" s="153">
        <v>1.0901</v>
      </c>
      <c r="CM52" s="153">
        <v>215.07</v>
      </c>
      <c r="CN52" s="153">
        <v>97.41</v>
      </c>
      <c r="CO52" s="153">
        <v>220.8</v>
      </c>
      <c r="CP52" s="153">
        <v>197.85</v>
      </c>
      <c r="CQ52" s="153">
        <v>0.0</v>
      </c>
      <c r="CR52" s="153">
        <v>3.57</v>
      </c>
      <c r="CS52" s="153">
        <v>13.65</v>
      </c>
      <c r="CT52" s="153">
        <v>0.0</v>
      </c>
      <c r="CU52" s="153">
        <v>0.0</v>
      </c>
      <c r="CV52" s="153">
        <v>0.0</v>
      </c>
      <c r="CW52" s="153">
        <v>103.18</v>
      </c>
      <c r="CX52" s="153">
        <v>0.0</v>
      </c>
      <c r="CY52" s="153">
        <v>0.0</v>
      </c>
      <c r="CZ52" s="153">
        <v>102.62</v>
      </c>
      <c r="DA52" s="153">
        <v>2.61</v>
      </c>
      <c r="DB52" s="153">
        <v>100.01</v>
      </c>
      <c r="DC52" s="153">
        <v>94.03</v>
      </c>
      <c r="DD52" s="153">
        <v>0.76</v>
      </c>
      <c r="DE52" s="153">
        <v>93.27</v>
      </c>
      <c r="DF52" s="153">
        <v>4.04</v>
      </c>
      <c r="DG52" s="153">
        <v>0.62</v>
      </c>
      <c r="DH52" s="153">
        <v>3.42</v>
      </c>
      <c r="DI52" s="153">
        <v>3.36</v>
      </c>
      <c r="DJ52" s="153">
        <v>0.62</v>
      </c>
      <c r="DK52" s="153">
        <v>2.74</v>
      </c>
      <c r="DL52" s="153">
        <v>1.19</v>
      </c>
      <c r="DM52" s="153">
        <v>0.62</v>
      </c>
      <c r="DN52" s="153">
        <v>0.58</v>
      </c>
    </row>
    <row r="53">
      <c r="A53" s="235">
        <v>46259.0</v>
      </c>
      <c r="B53" s="236" t="s">
        <v>4</v>
      </c>
      <c r="C53" s="236" t="s">
        <v>135</v>
      </c>
      <c r="D53" s="236">
        <v>5965.0</v>
      </c>
      <c r="E53" s="236">
        <v>17.8</v>
      </c>
      <c r="F53" s="236">
        <v>2022.86</v>
      </c>
      <c r="G53" s="236">
        <v>0.3391</v>
      </c>
      <c r="H53" s="236">
        <v>5.7</v>
      </c>
      <c r="I53" s="236">
        <v>5.9496</v>
      </c>
      <c r="J53" s="236">
        <v>74.91</v>
      </c>
      <c r="K53" s="236">
        <v>41.44</v>
      </c>
      <c r="L53" s="236">
        <v>27.32</v>
      </c>
      <c r="M53" s="236">
        <v>0.6592</v>
      </c>
      <c r="N53" s="236">
        <v>0.4905</v>
      </c>
      <c r="O53" s="236">
        <v>0.3095</v>
      </c>
      <c r="P53" s="236">
        <v>1.517</v>
      </c>
      <c r="Q53" s="236">
        <v>194.41</v>
      </c>
      <c r="R53" s="236">
        <v>173.43</v>
      </c>
      <c r="S53" s="236">
        <v>20.97</v>
      </c>
      <c r="T53" s="236">
        <v>24.32</v>
      </c>
      <c r="U53" s="236">
        <v>170.09</v>
      </c>
      <c r="V53" s="236">
        <v>200.76</v>
      </c>
      <c r="W53" s="236">
        <v>4.8441</v>
      </c>
      <c r="X53" s="236">
        <v>12.51</v>
      </c>
      <c r="Y53" s="236">
        <v>251.0</v>
      </c>
      <c r="Z53" s="236">
        <v>572.0</v>
      </c>
      <c r="AA53" s="236">
        <v>2006.0</v>
      </c>
      <c r="AB53" s="236">
        <v>54.1231</v>
      </c>
      <c r="AC53" s="236">
        <v>0.6963</v>
      </c>
      <c r="AD53" s="236">
        <v>16.51</v>
      </c>
      <c r="AE53" s="236">
        <v>7.0</v>
      </c>
      <c r="AF53" s="236">
        <v>13.0</v>
      </c>
      <c r="AG53" s="236">
        <v>23.0</v>
      </c>
      <c r="AH53" s="236">
        <v>34.0</v>
      </c>
      <c r="AI53" s="236">
        <v>56.76</v>
      </c>
      <c r="AJ53" s="236">
        <v>20.8</v>
      </c>
      <c r="AK53" s="236">
        <v>5.47</v>
      </c>
      <c r="AL53" s="236">
        <v>0.198</v>
      </c>
      <c r="AQ53" s="153">
        <v>9.7098</v>
      </c>
      <c r="AR53" s="153">
        <v>0.3321</v>
      </c>
      <c r="AS53" s="153">
        <v>9.3777</v>
      </c>
      <c r="AT53" s="153">
        <v>9.8776</v>
      </c>
      <c r="AU53" s="153">
        <v>0.2383</v>
      </c>
      <c r="AV53" s="153">
        <v>5965.0</v>
      </c>
      <c r="AW53" s="153">
        <v>0.0</v>
      </c>
      <c r="AX53" s="153">
        <v>56.87</v>
      </c>
      <c r="AY53" s="153">
        <v>106.45</v>
      </c>
      <c r="AZ53" s="153">
        <v>4.19</v>
      </c>
      <c r="BA53" s="153">
        <v>24.32</v>
      </c>
      <c r="BB53" s="153">
        <v>2.58</v>
      </c>
      <c r="BC53" s="153">
        <v>62.0</v>
      </c>
      <c r="BD53" s="153">
        <v>21114.0</v>
      </c>
      <c r="BE53" s="153">
        <v>5.2801</v>
      </c>
      <c r="BF53" s="153">
        <v>0.1504</v>
      </c>
      <c r="BG53" s="153">
        <v>5.1298</v>
      </c>
      <c r="BH53" s="153">
        <v>5.223</v>
      </c>
      <c r="BI53" s="153">
        <v>0.126</v>
      </c>
      <c r="BJ53" s="153">
        <v>4.4297</v>
      </c>
      <c r="BK53" s="153">
        <v>0.1817</v>
      </c>
      <c r="BL53" s="153">
        <v>4.2479</v>
      </c>
      <c r="BM53" s="153">
        <v>4.6547</v>
      </c>
      <c r="BN53" s="153">
        <v>0.1123</v>
      </c>
      <c r="BO53" s="153">
        <v>1.8681</v>
      </c>
      <c r="BP53" s="153">
        <v>0.0476</v>
      </c>
      <c r="BQ53" s="153">
        <v>1.8205</v>
      </c>
      <c r="BR53" s="153">
        <v>1.852</v>
      </c>
      <c r="BS53" s="153">
        <v>2.065</v>
      </c>
      <c r="BT53" s="153">
        <v>0.0506</v>
      </c>
      <c r="BU53" s="153">
        <v>2.0144</v>
      </c>
      <c r="BV53" s="153">
        <v>2.0308</v>
      </c>
      <c r="BW53" s="153">
        <v>1.347</v>
      </c>
      <c r="BX53" s="153">
        <v>0.0521</v>
      </c>
      <c r="BY53" s="153">
        <v>1.2949</v>
      </c>
      <c r="BZ53" s="153">
        <v>1.3402</v>
      </c>
      <c r="CA53" s="153">
        <v>1.0706</v>
      </c>
      <c r="CB53" s="153">
        <v>0.0516</v>
      </c>
      <c r="CC53" s="153">
        <v>1.0189</v>
      </c>
      <c r="CD53" s="153">
        <v>1.1583</v>
      </c>
      <c r="CE53" s="153">
        <v>1.573</v>
      </c>
      <c r="CF53" s="153">
        <v>0.0681</v>
      </c>
      <c r="CG53" s="153">
        <v>1.5049</v>
      </c>
      <c r="CH53" s="153">
        <v>1.6562</v>
      </c>
      <c r="CI53" s="153">
        <v>1.7861</v>
      </c>
      <c r="CJ53" s="153">
        <v>0.062</v>
      </c>
      <c r="CK53" s="153">
        <v>1.7241</v>
      </c>
      <c r="CL53" s="153">
        <v>1.8402</v>
      </c>
      <c r="CM53" s="153">
        <v>395.94</v>
      </c>
      <c r="CN53" s="153">
        <v>98.69</v>
      </c>
      <c r="CO53" s="153">
        <v>401.18</v>
      </c>
      <c r="CP53" s="153">
        <v>367.86</v>
      </c>
      <c r="CQ53" s="153">
        <v>0.0</v>
      </c>
      <c r="CR53" s="153">
        <v>4.42</v>
      </c>
      <c r="CS53" s="153">
        <v>23.66</v>
      </c>
      <c r="CT53" s="153">
        <v>0.0</v>
      </c>
      <c r="CU53" s="153">
        <v>0.0</v>
      </c>
      <c r="CV53" s="153">
        <v>0.0</v>
      </c>
      <c r="CW53" s="153">
        <v>194.41</v>
      </c>
      <c r="CX53" s="153">
        <v>0.0</v>
      </c>
      <c r="CY53" s="153">
        <v>0.0</v>
      </c>
      <c r="CZ53" s="153">
        <v>165.95</v>
      </c>
      <c r="DA53" s="153">
        <v>5.24</v>
      </c>
      <c r="DB53" s="153">
        <v>160.71</v>
      </c>
      <c r="DC53" s="153">
        <v>151.53</v>
      </c>
      <c r="DD53" s="153">
        <v>2.05</v>
      </c>
      <c r="DE53" s="153">
        <v>149.48</v>
      </c>
      <c r="DF53" s="153">
        <v>7.78</v>
      </c>
      <c r="DG53" s="153">
        <v>1.07</v>
      </c>
      <c r="DH53" s="153">
        <v>6.71</v>
      </c>
      <c r="DI53" s="153">
        <v>4.61</v>
      </c>
      <c r="DJ53" s="153">
        <v>1.07</v>
      </c>
      <c r="DK53" s="153">
        <v>3.55</v>
      </c>
      <c r="DL53" s="153">
        <v>2.04</v>
      </c>
      <c r="DM53" s="153">
        <v>1.07</v>
      </c>
      <c r="DN53" s="153">
        <v>0.97</v>
      </c>
    </row>
    <row r="54">
      <c r="A54" s="235">
        <v>46259.0</v>
      </c>
      <c r="B54" s="236" t="s">
        <v>4</v>
      </c>
      <c r="C54" s="236" t="s">
        <v>136</v>
      </c>
      <c r="D54" s="236">
        <v>2959.0</v>
      </c>
      <c r="E54" s="236">
        <v>8.83</v>
      </c>
      <c r="F54" s="236">
        <v>1981.64</v>
      </c>
      <c r="G54" s="236">
        <v>0.6697</v>
      </c>
      <c r="H54" s="236">
        <v>7.77</v>
      </c>
      <c r="I54" s="236">
        <v>8.6158</v>
      </c>
      <c r="J54" s="236">
        <v>126.99</v>
      </c>
      <c r="K54" s="236">
        <v>73.93</v>
      </c>
      <c r="L54" s="236">
        <v>53.54</v>
      </c>
      <c r="M54" s="236">
        <v>0.7242</v>
      </c>
      <c r="N54" s="236">
        <v>0.4212</v>
      </c>
      <c r="O54" s="236">
        <v>0.2667</v>
      </c>
      <c r="P54" s="236">
        <v>1.3809</v>
      </c>
      <c r="Q54" s="236">
        <v>353.32</v>
      </c>
      <c r="R54" s="236">
        <v>311.06</v>
      </c>
      <c r="S54" s="236">
        <v>42.26</v>
      </c>
      <c r="T54" s="236">
        <v>46.74</v>
      </c>
      <c r="U54" s="236">
        <v>306.58</v>
      </c>
      <c r="V54" s="236">
        <v>356.17</v>
      </c>
      <c r="W54" s="236">
        <v>4.8177</v>
      </c>
      <c r="X54" s="236">
        <v>13.23</v>
      </c>
      <c r="Y54" s="236">
        <v>318.0</v>
      </c>
      <c r="Z54" s="236">
        <v>743.0</v>
      </c>
      <c r="AA54" s="236">
        <v>2393.0</v>
      </c>
      <c r="AB54" s="236">
        <v>56.2161</v>
      </c>
      <c r="AC54" s="236">
        <v>0.7725</v>
      </c>
      <c r="AD54" s="236">
        <v>31.75</v>
      </c>
      <c r="AE54" s="236">
        <v>12.0</v>
      </c>
      <c r="AF54" s="236">
        <v>24.0</v>
      </c>
      <c r="AG54" s="236">
        <v>43.0</v>
      </c>
      <c r="AH54" s="236">
        <v>68.0</v>
      </c>
      <c r="AI54" s="236">
        <v>43.63</v>
      </c>
      <c r="AJ54" s="236">
        <v>14.16</v>
      </c>
      <c r="AK54" s="236">
        <v>3.11</v>
      </c>
      <c r="AL54" s="236">
        <v>0.144</v>
      </c>
      <c r="AQ54" s="153">
        <v>15.0189</v>
      </c>
      <c r="AR54" s="153">
        <v>0.6137</v>
      </c>
      <c r="AS54" s="153">
        <v>14.4052</v>
      </c>
      <c r="AT54" s="153">
        <v>15.831</v>
      </c>
      <c r="AU54" s="153">
        <v>0.2141</v>
      </c>
      <c r="AV54" s="153">
        <v>2959.0</v>
      </c>
      <c r="AW54" s="153">
        <v>0.0</v>
      </c>
      <c r="AX54" s="153">
        <v>99.86</v>
      </c>
      <c r="AY54" s="153">
        <v>195.32</v>
      </c>
      <c r="AZ54" s="153">
        <v>5.35</v>
      </c>
      <c r="BA54" s="153">
        <v>46.7</v>
      </c>
      <c r="BB54" s="153">
        <v>6.09</v>
      </c>
      <c r="BC54" s="153">
        <v>131.0</v>
      </c>
      <c r="BD54" s="153">
        <v>21815.0</v>
      </c>
      <c r="BE54" s="153">
        <v>7.9861</v>
      </c>
      <c r="BF54" s="153">
        <v>0.2413</v>
      </c>
      <c r="BG54" s="153">
        <v>7.7448</v>
      </c>
      <c r="BH54" s="153">
        <v>8.1196</v>
      </c>
      <c r="BI54" s="153">
        <v>0.1098</v>
      </c>
      <c r="BJ54" s="153">
        <v>7.0328</v>
      </c>
      <c r="BK54" s="153">
        <v>0.3724</v>
      </c>
      <c r="BL54" s="153">
        <v>6.6604</v>
      </c>
      <c r="BM54" s="153">
        <v>7.7114</v>
      </c>
      <c r="BN54" s="153">
        <v>0.1043</v>
      </c>
      <c r="BO54" s="153">
        <v>2.8415</v>
      </c>
      <c r="BP54" s="153">
        <v>0.0771</v>
      </c>
      <c r="BQ54" s="153">
        <v>2.7644</v>
      </c>
      <c r="BR54" s="153">
        <v>2.9057</v>
      </c>
      <c r="BS54" s="153">
        <v>2.8151</v>
      </c>
      <c r="BT54" s="153">
        <v>0.0831</v>
      </c>
      <c r="BU54" s="153">
        <v>2.732</v>
      </c>
      <c r="BV54" s="153">
        <v>2.9284</v>
      </c>
      <c r="BW54" s="153">
        <v>2.3295</v>
      </c>
      <c r="BX54" s="153">
        <v>0.0811</v>
      </c>
      <c r="BY54" s="153">
        <v>2.2484</v>
      </c>
      <c r="BZ54" s="153">
        <v>2.2856</v>
      </c>
      <c r="CA54" s="153">
        <v>2.074</v>
      </c>
      <c r="CB54" s="153">
        <v>0.1014</v>
      </c>
      <c r="CC54" s="153">
        <v>1.9726</v>
      </c>
      <c r="CD54" s="153">
        <v>2.2734</v>
      </c>
      <c r="CE54" s="153">
        <v>2.0514</v>
      </c>
      <c r="CF54" s="153">
        <v>0.1538</v>
      </c>
      <c r="CG54" s="153">
        <v>1.8976</v>
      </c>
      <c r="CH54" s="153">
        <v>2.2328</v>
      </c>
      <c r="CI54" s="153">
        <v>2.9074</v>
      </c>
      <c r="CJ54" s="153">
        <v>0.1173</v>
      </c>
      <c r="CK54" s="153">
        <v>2.7901</v>
      </c>
      <c r="CL54" s="153">
        <v>3.2051</v>
      </c>
      <c r="CM54" s="153">
        <v>716.28</v>
      </c>
      <c r="CN54" s="153">
        <v>99.26</v>
      </c>
      <c r="CO54" s="153">
        <v>721.65</v>
      </c>
      <c r="CP54" s="153">
        <v>677.66</v>
      </c>
      <c r="CQ54" s="153">
        <v>0.0</v>
      </c>
      <c r="CR54" s="153">
        <v>4.64</v>
      </c>
      <c r="CS54" s="153">
        <v>33.99</v>
      </c>
      <c r="CT54" s="153">
        <v>0.0</v>
      </c>
      <c r="CU54" s="153">
        <v>0.0</v>
      </c>
      <c r="CV54" s="153">
        <v>0.0</v>
      </c>
      <c r="CW54" s="153">
        <v>353.32</v>
      </c>
      <c r="CX54" s="153">
        <v>0.0</v>
      </c>
      <c r="CY54" s="153">
        <v>0.0</v>
      </c>
      <c r="CZ54" s="153">
        <v>287.97</v>
      </c>
      <c r="DA54" s="153">
        <v>8.04</v>
      </c>
      <c r="DB54" s="153">
        <v>279.93</v>
      </c>
      <c r="DC54" s="153">
        <v>264.94</v>
      </c>
      <c r="DD54" s="153">
        <v>3.31</v>
      </c>
      <c r="DE54" s="153">
        <v>261.63</v>
      </c>
      <c r="DF54" s="153">
        <v>10.79</v>
      </c>
      <c r="DG54" s="153">
        <v>1.57</v>
      </c>
      <c r="DH54" s="153">
        <v>9.21</v>
      </c>
      <c r="DI54" s="153">
        <v>8.11</v>
      </c>
      <c r="DJ54" s="153">
        <v>1.57</v>
      </c>
      <c r="DK54" s="153">
        <v>6.54</v>
      </c>
      <c r="DL54" s="153">
        <v>4.12</v>
      </c>
      <c r="DM54" s="153">
        <v>1.57</v>
      </c>
      <c r="DN54" s="153">
        <v>2.55</v>
      </c>
    </row>
    <row r="55">
      <c r="A55" s="235">
        <v>46259.0</v>
      </c>
      <c r="B55" s="236" t="s">
        <v>4</v>
      </c>
      <c r="C55" s="236" t="s">
        <v>137</v>
      </c>
      <c r="D55" s="236">
        <v>377.0</v>
      </c>
      <c r="E55" s="236">
        <v>1.13</v>
      </c>
      <c r="F55" s="236">
        <v>633.6</v>
      </c>
      <c r="G55" s="236">
        <v>1.6806</v>
      </c>
      <c r="H55" s="236">
        <v>10.34</v>
      </c>
      <c r="I55" s="236">
        <v>16.2462</v>
      </c>
      <c r="J55" s="236">
        <v>254.77</v>
      </c>
      <c r="K55" s="236">
        <v>162.6</v>
      </c>
      <c r="L55" s="236">
        <v>127.92</v>
      </c>
      <c r="M55" s="236">
        <v>0.7867</v>
      </c>
      <c r="N55" s="236">
        <v>0.3483</v>
      </c>
      <c r="O55" s="236">
        <v>0.2245</v>
      </c>
      <c r="P55" s="236">
        <v>1.2711</v>
      </c>
      <c r="Q55" s="236">
        <v>638.24</v>
      </c>
      <c r="R55" s="236">
        <v>537.7</v>
      </c>
      <c r="S55" s="236">
        <v>100.54</v>
      </c>
      <c r="T55" s="236">
        <v>105.31</v>
      </c>
      <c r="U55" s="236">
        <v>532.94</v>
      </c>
      <c r="V55" s="236">
        <v>675.33</v>
      </c>
      <c r="W55" s="236">
        <v>4.1534</v>
      </c>
      <c r="X55" s="236">
        <v>16.5</v>
      </c>
      <c r="Y55" s="236">
        <v>403.0</v>
      </c>
      <c r="Z55" s="236">
        <v>1177.0</v>
      </c>
      <c r="AA55" s="236">
        <v>3984.0</v>
      </c>
      <c r="AB55" s="236">
        <v>58.659</v>
      </c>
      <c r="AC55" s="236">
        <v>0.8107</v>
      </c>
      <c r="AD55" s="236">
        <v>62.33</v>
      </c>
      <c r="AE55" s="236">
        <v>25.0</v>
      </c>
      <c r="AF55" s="236">
        <v>46.0</v>
      </c>
      <c r="AG55" s="236">
        <v>84.0</v>
      </c>
      <c r="AH55" s="236">
        <v>139.0</v>
      </c>
      <c r="AI55" s="236">
        <v>26.53</v>
      </c>
      <c r="AJ55" s="236">
        <v>6.37</v>
      </c>
      <c r="AK55" s="236">
        <v>0.27</v>
      </c>
      <c r="AL55" s="236">
        <v>0.061</v>
      </c>
      <c r="AQ55" s="153">
        <v>28.6897</v>
      </c>
      <c r="AR55" s="153">
        <v>1.2281</v>
      </c>
      <c r="AS55" s="153">
        <v>27.4615</v>
      </c>
      <c r="AT55" s="153">
        <v>34.4615</v>
      </c>
      <c r="AU55" s="153">
        <v>0.2119</v>
      </c>
      <c r="AV55" s="153">
        <v>377.0</v>
      </c>
      <c r="AW55" s="153">
        <v>0.0</v>
      </c>
      <c r="AX55" s="153">
        <v>202.55</v>
      </c>
      <c r="AY55" s="153">
        <v>308.25</v>
      </c>
      <c r="AZ55" s="153">
        <v>7.65</v>
      </c>
      <c r="BA55" s="153">
        <v>105.31</v>
      </c>
      <c r="BB55" s="153">
        <v>14.49</v>
      </c>
      <c r="BC55" s="153">
        <v>230.0</v>
      </c>
      <c r="BD55" s="153">
        <v>25345.0</v>
      </c>
      <c r="BE55" s="153">
        <v>15.6313</v>
      </c>
      <c r="BF55" s="153">
        <v>0.5013</v>
      </c>
      <c r="BG55" s="153">
        <v>15.13</v>
      </c>
      <c r="BH55" s="153">
        <v>16.1936</v>
      </c>
      <c r="BI55" s="153">
        <v>0.0996</v>
      </c>
      <c r="BJ55" s="153">
        <v>13.0584</v>
      </c>
      <c r="BK55" s="153">
        <v>0.7268</v>
      </c>
      <c r="BL55" s="153">
        <v>12.3316</v>
      </c>
      <c r="BM55" s="153">
        <v>18.2679</v>
      </c>
      <c r="BN55" s="153">
        <v>0.1124</v>
      </c>
      <c r="BO55" s="153">
        <v>5.3926</v>
      </c>
      <c r="BP55" s="153">
        <v>0.1671</v>
      </c>
      <c r="BQ55" s="153">
        <v>5.2255</v>
      </c>
      <c r="BR55" s="153">
        <v>5.7056</v>
      </c>
      <c r="BS55" s="153">
        <v>5.2706</v>
      </c>
      <c r="BT55" s="153">
        <v>0.1671</v>
      </c>
      <c r="BU55" s="153">
        <v>5.1034</v>
      </c>
      <c r="BV55" s="153">
        <v>5.6048</v>
      </c>
      <c r="BW55" s="153">
        <v>4.9682</v>
      </c>
      <c r="BX55" s="153">
        <v>0.1671</v>
      </c>
      <c r="BY55" s="153">
        <v>4.8011</v>
      </c>
      <c r="BZ55" s="153">
        <v>4.8833</v>
      </c>
      <c r="CA55" s="153">
        <v>4.4271</v>
      </c>
      <c r="CB55" s="153">
        <v>0.2069</v>
      </c>
      <c r="CC55" s="153">
        <v>4.2202</v>
      </c>
      <c r="CD55" s="153">
        <v>4.687</v>
      </c>
      <c r="CE55" s="153">
        <v>3.2759</v>
      </c>
      <c r="CF55" s="153">
        <v>0.2838</v>
      </c>
      <c r="CG55" s="153">
        <v>2.992</v>
      </c>
      <c r="CH55" s="153">
        <v>3.8727</v>
      </c>
      <c r="CI55" s="153">
        <v>5.3554</v>
      </c>
      <c r="CJ55" s="153">
        <v>0.2361</v>
      </c>
      <c r="CK55" s="153">
        <v>5.1194</v>
      </c>
      <c r="CL55" s="153">
        <v>9.7082</v>
      </c>
      <c r="CM55" s="153">
        <v>1623.01</v>
      </c>
      <c r="CN55" s="153">
        <v>99.47</v>
      </c>
      <c r="CO55" s="153">
        <v>1631.66</v>
      </c>
      <c r="CP55" s="153">
        <v>1567.73</v>
      </c>
      <c r="CQ55" s="153">
        <v>0.0</v>
      </c>
      <c r="CR55" s="153">
        <v>6.84</v>
      </c>
      <c r="CS55" s="153">
        <v>48.44</v>
      </c>
      <c r="CT55" s="153">
        <v>0.0</v>
      </c>
      <c r="CU55" s="153">
        <v>0.0</v>
      </c>
      <c r="CV55" s="153">
        <v>0.0</v>
      </c>
      <c r="CW55" s="153">
        <v>638.24</v>
      </c>
      <c r="CX55" s="153">
        <v>0.0</v>
      </c>
      <c r="CY55" s="153">
        <v>0.0</v>
      </c>
      <c r="CZ55" s="153">
        <v>576.26</v>
      </c>
      <c r="DA55" s="153">
        <v>13.75</v>
      </c>
      <c r="DB55" s="153">
        <v>562.5</v>
      </c>
      <c r="DC55" s="153">
        <v>545.89</v>
      </c>
      <c r="DD55" s="153">
        <v>6.75</v>
      </c>
      <c r="DE55" s="153">
        <v>539.14</v>
      </c>
      <c r="DF55" s="153">
        <v>10.97</v>
      </c>
      <c r="DG55" s="153">
        <v>2.33</v>
      </c>
      <c r="DH55" s="153">
        <v>8.63</v>
      </c>
      <c r="DI55" s="153">
        <v>10.46</v>
      </c>
      <c r="DJ55" s="153">
        <v>2.33</v>
      </c>
      <c r="DK55" s="153">
        <v>8.13</v>
      </c>
      <c r="DL55" s="153">
        <v>8.94</v>
      </c>
      <c r="DM55" s="153">
        <v>2.33</v>
      </c>
      <c r="DN55" s="153">
        <v>6.6</v>
      </c>
    </row>
    <row r="56">
      <c r="A56" s="235">
        <v>46259.0</v>
      </c>
      <c r="B56" s="236" t="s">
        <v>5</v>
      </c>
      <c r="C56" s="236" t="s">
        <v>423</v>
      </c>
      <c r="D56" s="236">
        <v>6287.0</v>
      </c>
      <c r="E56" s="236">
        <v>18.76</v>
      </c>
      <c r="F56" s="236">
        <v>808.7</v>
      </c>
      <c r="G56" s="236">
        <v>0.1286</v>
      </c>
      <c r="H56" s="236">
        <v>0.73</v>
      </c>
      <c r="I56" s="236">
        <v>17.5804</v>
      </c>
      <c r="J56" s="236">
        <v>16.62</v>
      </c>
      <c r="K56" s="236">
        <v>8.76</v>
      </c>
      <c r="L56" s="236">
        <v>5.35</v>
      </c>
      <c r="M56" s="236">
        <v>0.6102</v>
      </c>
      <c r="N56" s="236">
        <v>0.5057</v>
      </c>
      <c r="O56" s="236">
        <v>0.2317</v>
      </c>
      <c r="P56" s="236">
        <v>1.6389</v>
      </c>
      <c r="Q56" s="236">
        <v>46.18</v>
      </c>
      <c r="R56" s="236">
        <v>46.09</v>
      </c>
      <c r="S56" s="236">
        <v>0.09</v>
      </c>
      <c r="T56" s="236">
        <v>8.87</v>
      </c>
      <c r="U56" s="236">
        <v>37.31</v>
      </c>
      <c r="V56" s="236">
        <v>36.0</v>
      </c>
      <c r="W56" s="236">
        <v>4.1077</v>
      </c>
      <c r="X56" s="236">
        <v>19.2</v>
      </c>
      <c r="Y56" s="236">
        <v>197.0</v>
      </c>
      <c r="Z56" s="236">
        <v>963.0</v>
      </c>
      <c r="AA56" s="236">
        <v>7432.0</v>
      </c>
      <c r="AB56" s="236">
        <v>49.7085</v>
      </c>
      <c r="AC56" s="236">
        <v>0.5181</v>
      </c>
      <c r="AD56" s="237"/>
      <c r="AE56" s="237"/>
      <c r="AF56" s="237"/>
      <c r="AG56" s="237"/>
      <c r="AH56" s="237"/>
      <c r="AI56" s="236">
        <v>0.0</v>
      </c>
      <c r="AJ56" s="236">
        <v>0.0</v>
      </c>
      <c r="AK56" s="236">
        <v>0.0</v>
      </c>
      <c r="AL56" s="236">
        <v>0.4263</v>
      </c>
      <c r="AM56" s="153">
        <v>3.8</v>
      </c>
      <c r="AN56" s="153">
        <v>3.8</v>
      </c>
      <c r="AO56" s="153">
        <v>2.4</v>
      </c>
      <c r="AP56" s="153">
        <v>1.4</v>
      </c>
      <c r="AQ56" s="153">
        <v>1.7151</v>
      </c>
      <c r="AR56" s="153">
        <v>0.1193</v>
      </c>
      <c r="AS56" s="153">
        <v>1.5958</v>
      </c>
      <c r="AT56" s="153">
        <v>1.2108</v>
      </c>
      <c r="AU56" s="153">
        <v>0.1381</v>
      </c>
      <c r="AV56" s="153">
        <v>6287.0</v>
      </c>
      <c r="AW56" s="153">
        <v>0.0</v>
      </c>
      <c r="AX56" s="153">
        <v>9.62</v>
      </c>
      <c r="AY56" s="153">
        <v>25.05</v>
      </c>
      <c r="AZ56" s="153">
        <v>2.38</v>
      </c>
      <c r="BA56" s="153">
        <v>8.87</v>
      </c>
      <c r="BB56" s="153">
        <v>0.26</v>
      </c>
      <c r="BD56" s="153">
        <v>30669.0</v>
      </c>
      <c r="BE56" s="153">
        <v>0.8117</v>
      </c>
      <c r="BF56" s="153">
        <v>0.0477</v>
      </c>
      <c r="BG56" s="153">
        <v>0.764</v>
      </c>
      <c r="BH56" s="153">
        <v>0.6547</v>
      </c>
      <c r="BI56" s="153">
        <v>0.0747</v>
      </c>
      <c r="BJ56" s="153">
        <v>0.9035</v>
      </c>
      <c r="BK56" s="153">
        <v>0.0716</v>
      </c>
      <c r="BL56" s="153">
        <v>0.8319</v>
      </c>
      <c r="BM56" s="153">
        <v>0.5561</v>
      </c>
      <c r="BN56" s="153">
        <v>0.0634</v>
      </c>
      <c r="BO56" s="153">
        <v>0.2986</v>
      </c>
      <c r="BP56" s="153">
        <v>0.0156</v>
      </c>
      <c r="BQ56" s="153">
        <v>0.283</v>
      </c>
      <c r="BR56" s="153">
        <v>0.2574</v>
      </c>
      <c r="BS56" s="153">
        <v>0.3125</v>
      </c>
      <c r="BT56" s="153">
        <v>0.0161</v>
      </c>
      <c r="BU56" s="153">
        <v>0.2965</v>
      </c>
      <c r="BV56" s="153">
        <v>0.2384</v>
      </c>
      <c r="BW56" s="153">
        <v>0.2006</v>
      </c>
      <c r="BX56" s="153">
        <v>0.0161</v>
      </c>
      <c r="BY56" s="153">
        <v>0.1845</v>
      </c>
      <c r="BZ56" s="153">
        <v>0.1589</v>
      </c>
      <c r="CA56" s="153">
        <v>0.182</v>
      </c>
      <c r="CB56" s="153">
        <v>0.0183</v>
      </c>
      <c r="CC56" s="153">
        <v>0.1637</v>
      </c>
      <c r="CD56" s="153">
        <v>0.132</v>
      </c>
      <c r="CE56" s="153">
        <v>0.3895</v>
      </c>
      <c r="CF56" s="153">
        <v>0.0297</v>
      </c>
      <c r="CG56" s="153">
        <v>0.3598</v>
      </c>
      <c r="CH56" s="153">
        <v>0.201</v>
      </c>
      <c r="CI56" s="153">
        <v>0.332</v>
      </c>
      <c r="CJ56" s="153">
        <v>0.0235</v>
      </c>
      <c r="CK56" s="153">
        <v>0.3084</v>
      </c>
      <c r="CL56" s="153">
        <v>0.223</v>
      </c>
      <c r="CM56" s="153">
        <v>75.15</v>
      </c>
      <c r="CN56" s="153">
        <v>11.79</v>
      </c>
      <c r="CO56" s="153">
        <v>637.59</v>
      </c>
      <c r="CP56" s="153">
        <v>60.59</v>
      </c>
      <c r="CQ56" s="153">
        <v>11.3</v>
      </c>
      <c r="CR56" s="153">
        <v>1.61</v>
      </c>
      <c r="CS56" s="153">
        <v>1.65</v>
      </c>
      <c r="CT56" s="153">
        <v>0.0</v>
      </c>
      <c r="CU56" s="153">
        <v>677.0</v>
      </c>
      <c r="CV56" s="153">
        <v>4.13</v>
      </c>
      <c r="CW56" s="153">
        <v>50.31</v>
      </c>
      <c r="CX56" s="153">
        <v>1.44</v>
      </c>
      <c r="CY56" s="153">
        <v>12.75</v>
      </c>
      <c r="CZ56" s="153">
        <v>37.73</v>
      </c>
      <c r="DA56" s="153">
        <v>0.86</v>
      </c>
      <c r="DB56" s="153">
        <v>36.87</v>
      </c>
      <c r="DC56" s="153">
        <v>34.07</v>
      </c>
      <c r="DD56" s="153">
        <v>0.67</v>
      </c>
      <c r="DE56" s="153">
        <v>33.4</v>
      </c>
      <c r="DF56" s="153">
        <v>1.78</v>
      </c>
      <c r="DG56" s="153">
        <v>0.06</v>
      </c>
      <c r="DH56" s="153">
        <v>1.72</v>
      </c>
      <c r="DI56" s="153">
        <v>1.47</v>
      </c>
      <c r="DJ56" s="153">
        <v>0.06</v>
      </c>
      <c r="DK56" s="153">
        <v>1.4</v>
      </c>
      <c r="DL56" s="153">
        <v>0.42</v>
      </c>
      <c r="DM56" s="153">
        <v>0.06</v>
      </c>
      <c r="DN56" s="153">
        <v>0.35</v>
      </c>
    </row>
    <row r="57">
      <c r="A57" s="235">
        <v>46259.0</v>
      </c>
      <c r="B57" s="236" t="s">
        <v>5</v>
      </c>
      <c r="C57" s="236" t="s">
        <v>133</v>
      </c>
      <c r="D57" s="236">
        <v>9780.0</v>
      </c>
      <c r="E57" s="236">
        <v>29.18</v>
      </c>
      <c r="F57" s="236">
        <v>323.29</v>
      </c>
      <c r="G57" s="236">
        <v>0.0331</v>
      </c>
      <c r="H57" s="236">
        <v>1.46</v>
      </c>
      <c r="I57" s="236">
        <v>2.2608</v>
      </c>
      <c r="J57" s="236">
        <v>28.33</v>
      </c>
      <c r="K57" s="236">
        <v>14.16</v>
      </c>
      <c r="L57" s="236">
        <v>5.53</v>
      </c>
      <c r="M57" s="236">
        <v>0.3905</v>
      </c>
      <c r="N57" s="236">
        <v>0.7176</v>
      </c>
      <c r="O57" s="236">
        <v>0.4505</v>
      </c>
      <c r="P57" s="236">
        <v>2.5609</v>
      </c>
      <c r="Q57" s="236">
        <v>49.12</v>
      </c>
      <c r="R57" s="236">
        <v>44.71</v>
      </c>
      <c r="S57" s="236">
        <v>4.41</v>
      </c>
      <c r="T57" s="236">
        <v>2.55</v>
      </c>
      <c r="U57" s="236">
        <v>46.57</v>
      </c>
      <c r="V57" s="236">
        <v>54.23</v>
      </c>
      <c r="W57" s="236">
        <v>3.831</v>
      </c>
      <c r="X57" s="236">
        <v>5.18</v>
      </c>
      <c r="Y57" s="236">
        <v>194.0</v>
      </c>
      <c r="Z57" s="236">
        <v>513.0</v>
      </c>
      <c r="AA57" s="236">
        <v>2380.0</v>
      </c>
      <c r="AB57" s="236">
        <v>49.7421</v>
      </c>
      <c r="AC57" s="236">
        <v>0.558</v>
      </c>
      <c r="AD57" s="236">
        <v>4.16</v>
      </c>
      <c r="AE57" s="236">
        <v>1.0</v>
      </c>
      <c r="AF57" s="236">
        <v>3.0</v>
      </c>
      <c r="AG57" s="236">
        <v>6.0</v>
      </c>
      <c r="AH57" s="236">
        <v>9.0</v>
      </c>
      <c r="AI57" s="236">
        <v>73.88</v>
      </c>
      <c r="AJ57" s="236">
        <v>33.7</v>
      </c>
      <c r="AK57" s="236">
        <v>8.66</v>
      </c>
      <c r="AL57" s="236">
        <v>0.3518</v>
      </c>
      <c r="AM57" s="153">
        <v>33.74</v>
      </c>
      <c r="AN57" s="153">
        <v>33.74</v>
      </c>
      <c r="AO57" s="153">
        <v>16.49</v>
      </c>
      <c r="AP57" s="153">
        <v>5.09</v>
      </c>
      <c r="AQ57" s="153">
        <v>3.9715</v>
      </c>
      <c r="AR57" s="153">
        <v>0.0344</v>
      </c>
      <c r="AS57" s="153">
        <v>3.9371</v>
      </c>
      <c r="AT57" s="153">
        <v>3.3605</v>
      </c>
      <c r="AU57" s="153">
        <v>0.2374</v>
      </c>
      <c r="AV57" s="153">
        <v>9780.0</v>
      </c>
      <c r="AW57" s="153">
        <v>0.0</v>
      </c>
      <c r="AX57" s="153">
        <v>20.12</v>
      </c>
      <c r="AY57" s="153">
        <v>22.82</v>
      </c>
      <c r="AZ57" s="153">
        <v>2.88</v>
      </c>
      <c r="BA57" s="153">
        <v>2.55</v>
      </c>
      <c r="BB57" s="153">
        <v>0.75</v>
      </c>
      <c r="BC57" s="153">
        <v>18.0</v>
      </c>
      <c r="BD57" s="153">
        <v>23249.0</v>
      </c>
      <c r="BE57" s="153">
        <v>2.7846</v>
      </c>
      <c r="BF57" s="153">
        <v>0.0184</v>
      </c>
      <c r="BG57" s="153">
        <v>2.7662</v>
      </c>
      <c r="BH57" s="153">
        <v>1.9711</v>
      </c>
      <c r="BI57" s="153">
        <v>0.1392</v>
      </c>
      <c r="BJ57" s="153">
        <v>1.1869</v>
      </c>
      <c r="BK57" s="153">
        <v>0.016</v>
      </c>
      <c r="BL57" s="153">
        <v>1.171</v>
      </c>
      <c r="BM57" s="153">
        <v>1.3895</v>
      </c>
      <c r="BN57" s="153">
        <v>0.0982</v>
      </c>
      <c r="BO57" s="153">
        <v>1.4015</v>
      </c>
      <c r="BP57" s="153">
        <v>0.0078</v>
      </c>
      <c r="BQ57" s="153">
        <v>1.3938</v>
      </c>
      <c r="BR57" s="153">
        <v>0.8897</v>
      </c>
      <c r="BS57" s="153">
        <v>1.1086</v>
      </c>
      <c r="BT57" s="153">
        <v>0.0053</v>
      </c>
      <c r="BU57" s="153">
        <v>1.1033</v>
      </c>
      <c r="BV57" s="153">
        <v>0.7708</v>
      </c>
      <c r="BW57" s="153">
        <v>0.2744</v>
      </c>
      <c r="BX57" s="153">
        <v>0.0053</v>
      </c>
      <c r="BY57" s="153">
        <v>0.2691</v>
      </c>
      <c r="BZ57" s="153">
        <v>0.3106</v>
      </c>
      <c r="CA57" s="153">
        <v>0.196</v>
      </c>
      <c r="CB57" s="153">
        <v>0.0033</v>
      </c>
      <c r="CC57" s="153">
        <v>0.1927</v>
      </c>
      <c r="CD57" s="153">
        <v>0.2578</v>
      </c>
      <c r="CE57" s="153">
        <v>0.5046</v>
      </c>
      <c r="CF57" s="153">
        <v>0.007</v>
      </c>
      <c r="CG57" s="153">
        <v>0.4976</v>
      </c>
      <c r="CH57" s="153">
        <v>0.6137</v>
      </c>
      <c r="CI57" s="153">
        <v>0.4863</v>
      </c>
      <c r="CJ57" s="153">
        <v>0.0057</v>
      </c>
      <c r="CK57" s="153">
        <v>0.4806</v>
      </c>
      <c r="CL57" s="153">
        <v>0.518</v>
      </c>
      <c r="CM57" s="153">
        <v>101.91</v>
      </c>
      <c r="CN57" s="153">
        <v>91.48</v>
      </c>
      <c r="CO57" s="153">
        <v>111.39</v>
      </c>
      <c r="CP57" s="153">
        <v>84.76</v>
      </c>
      <c r="CQ57" s="153">
        <v>12.97</v>
      </c>
      <c r="CR57" s="153">
        <v>2.83</v>
      </c>
      <c r="CS57" s="153">
        <v>1.35</v>
      </c>
      <c r="CT57" s="153">
        <v>0.0</v>
      </c>
      <c r="CU57" s="153">
        <v>1403.0</v>
      </c>
      <c r="CV57" s="153">
        <v>1.18</v>
      </c>
      <c r="CW57" s="153">
        <v>50.3</v>
      </c>
      <c r="CX57" s="153">
        <v>1.41</v>
      </c>
      <c r="CY57" s="153">
        <v>14.38</v>
      </c>
      <c r="CZ57" s="153">
        <v>93.99</v>
      </c>
      <c r="DA57" s="153">
        <v>0.84</v>
      </c>
      <c r="DB57" s="153">
        <v>93.15</v>
      </c>
      <c r="DC57" s="153">
        <v>87.71</v>
      </c>
      <c r="DD57" s="153">
        <v>0.23</v>
      </c>
      <c r="DE57" s="153">
        <v>87.48</v>
      </c>
      <c r="DF57" s="153">
        <v>3.07</v>
      </c>
      <c r="DG57" s="153">
        <v>0.2</v>
      </c>
      <c r="DH57" s="153">
        <v>2.87</v>
      </c>
      <c r="DI57" s="153">
        <v>2.48</v>
      </c>
      <c r="DJ57" s="153">
        <v>0.2</v>
      </c>
      <c r="DK57" s="153">
        <v>2.28</v>
      </c>
      <c r="DL57" s="153">
        <v>0.73</v>
      </c>
      <c r="DM57" s="153">
        <v>0.2</v>
      </c>
      <c r="DN57" s="153">
        <v>0.53</v>
      </c>
    </row>
    <row r="58">
      <c r="A58" s="235">
        <v>46259.0</v>
      </c>
      <c r="B58" s="236" t="s">
        <v>5</v>
      </c>
      <c r="C58" s="236" t="s">
        <v>134</v>
      </c>
      <c r="D58" s="236">
        <v>8239.0</v>
      </c>
      <c r="E58" s="236">
        <v>24.58</v>
      </c>
      <c r="F58" s="236">
        <v>1184.56</v>
      </c>
      <c r="G58" s="236">
        <v>0.1438</v>
      </c>
      <c r="H58" s="236">
        <v>4.13</v>
      </c>
      <c r="I58" s="236">
        <v>3.484</v>
      </c>
      <c r="J58" s="236">
        <v>54.93</v>
      </c>
      <c r="K58" s="236">
        <v>28.76</v>
      </c>
      <c r="L58" s="236">
        <v>14.37</v>
      </c>
      <c r="M58" s="236">
        <v>0.4997</v>
      </c>
      <c r="N58" s="236">
        <v>0.6267</v>
      </c>
      <c r="O58" s="236">
        <v>0.3766</v>
      </c>
      <c r="P58" s="236">
        <v>2.0011</v>
      </c>
      <c r="Q58" s="236">
        <v>95.59</v>
      </c>
      <c r="R58" s="236">
        <v>84.99</v>
      </c>
      <c r="S58" s="236">
        <v>10.6</v>
      </c>
      <c r="T58" s="236">
        <v>10.32</v>
      </c>
      <c r="U58" s="236">
        <v>85.26</v>
      </c>
      <c r="V58" s="236">
        <v>107.64</v>
      </c>
      <c r="W58" s="236">
        <v>3.7433</v>
      </c>
      <c r="X58" s="236">
        <v>10.8</v>
      </c>
      <c r="Y58" s="236">
        <v>192.0</v>
      </c>
      <c r="Z58" s="236">
        <v>455.0</v>
      </c>
      <c r="AA58" s="236">
        <v>1722.0</v>
      </c>
      <c r="AB58" s="236">
        <v>51.4457</v>
      </c>
      <c r="AC58" s="236">
        <v>0.6011</v>
      </c>
      <c r="AD58" s="236">
        <v>9.23</v>
      </c>
      <c r="AE58" s="236">
        <v>4.0</v>
      </c>
      <c r="AF58" s="236">
        <v>7.0</v>
      </c>
      <c r="AG58" s="236">
        <v>13.0</v>
      </c>
      <c r="AH58" s="236">
        <v>19.0</v>
      </c>
      <c r="AI58" s="236">
        <v>61.86</v>
      </c>
      <c r="AJ58" s="236">
        <v>25.22</v>
      </c>
      <c r="AK58" s="236">
        <v>3.79</v>
      </c>
      <c r="AL58" s="236">
        <v>0.2363</v>
      </c>
      <c r="AM58" s="153">
        <v>39.88</v>
      </c>
      <c r="AN58" s="153">
        <v>39.88</v>
      </c>
      <c r="AO58" s="153">
        <v>22.67</v>
      </c>
      <c r="AP58" s="153">
        <v>10.27</v>
      </c>
      <c r="AQ58" s="153">
        <v>7.1822</v>
      </c>
      <c r="AR58" s="153">
        <v>0.1171</v>
      </c>
      <c r="AS58" s="153">
        <v>7.0651</v>
      </c>
      <c r="AT58" s="153">
        <v>6.4583</v>
      </c>
      <c r="AU58" s="153">
        <v>0.2246</v>
      </c>
      <c r="AV58" s="153">
        <v>8239.0</v>
      </c>
      <c r="AW58" s="153">
        <v>0.0</v>
      </c>
      <c r="AX58" s="153">
        <v>34.19</v>
      </c>
      <c r="AY58" s="153">
        <v>45.95</v>
      </c>
      <c r="AZ58" s="153">
        <v>3.97</v>
      </c>
      <c r="BA58" s="153">
        <v>10.32</v>
      </c>
      <c r="BB58" s="153">
        <v>1.15</v>
      </c>
      <c r="BC58" s="153">
        <v>35.0</v>
      </c>
      <c r="BD58" s="153">
        <v>21839.0</v>
      </c>
      <c r="BE58" s="153">
        <v>4.8046</v>
      </c>
      <c r="BF58" s="153">
        <v>0.0481</v>
      </c>
      <c r="BG58" s="153">
        <v>4.7565</v>
      </c>
      <c r="BH58" s="153">
        <v>3.7846</v>
      </c>
      <c r="BI58" s="153">
        <v>0.1316</v>
      </c>
      <c r="BJ58" s="153">
        <v>2.3776</v>
      </c>
      <c r="BK58" s="153">
        <v>0.0691</v>
      </c>
      <c r="BL58" s="153">
        <v>2.3085</v>
      </c>
      <c r="BM58" s="153">
        <v>2.6737</v>
      </c>
      <c r="BN58" s="153">
        <v>0.093</v>
      </c>
      <c r="BO58" s="153">
        <v>2.1473</v>
      </c>
      <c r="BP58" s="153">
        <v>0.017</v>
      </c>
      <c r="BQ58" s="153">
        <v>2.1304</v>
      </c>
      <c r="BR58" s="153">
        <v>1.606</v>
      </c>
      <c r="BS58" s="153">
        <v>1.9683</v>
      </c>
      <c r="BT58" s="153">
        <v>0.0144</v>
      </c>
      <c r="BU58" s="153">
        <v>1.9539</v>
      </c>
      <c r="BV58" s="153">
        <v>1.4851</v>
      </c>
      <c r="BW58" s="153">
        <v>0.6889</v>
      </c>
      <c r="BX58" s="153">
        <v>0.0166</v>
      </c>
      <c r="BY58" s="153">
        <v>0.6723</v>
      </c>
      <c r="BZ58" s="153">
        <v>0.6934</v>
      </c>
      <c r="CA58" s="153">
        <v>0.4655</v>
      </c>
      <c r="CB58" s="153">
        <v>0.0176</v>
      </c>
      <c r="CC58" s="153">
        <v>0.4479</v>
      </c>
      <c r="CD58" s="153">
        <v>0.5656</v>
      </c>
      <c r="CE58" s="153">
        <v>0.8469</v>
      </c>
      <c r="CF58" s="153">
        <v>0.0294</v>
      </c>
      <c r="CG58" s="153">
        <v>0.8176</v>
      </c>
      <c r="CH58" s="153">
        <v>1.0521</v>
      </c>
      <c r="CI58" s="153">
        <v>1.0652</v>
      </c>
      <c r="CJ58" s="153">
        <v>0.0221</v>
      </c>
      <c r="CK58" s="153">
        <v>1.0431</v>
      </c>
      <c r="CL58" s="153">
        <v>1.0561</v>
      </c>
      <c r="CM58" s="153">
        <v>214.45</v>
      </c>
      <c r="CN58" s="153">
        <v>97.28</v>
      </c>
      <c r="CO58" s="153">
        <v>220.44</v>
      </c>
      <c r="CP58" s="153">
        <v>171.36</v>
      </c>
      <c r="CQ58" s="153">
        <v>35.43</v>
      </c>
      <c r="CR58" s="153">
        <v>3.23</v>
      </c>
      <c r="CS58" s="153">
        <v>4.43</v>
      </c>
      <c r="CT58" s="153">
        <v>0.0</v>
      </c>
      <c r="CU58" s="153">
        <v>2228.0</v>
      </c>
      <c r="CV58" s="153">
        <v>3.32</v>
      </c>
      <c r="CW58" s="153">
        <v>98.9</v>
      </c>
      <c r="CX58" s="153">
        <v>4.3</v>
      </c>
      <c r="CY58" s="153">
        <v>39.73</v>
      </c>
      <c r="CZ58" s="153">
        <v>155.82</v>
      </c>
      <c r="DA58" s="153">
        <v>2.89</v>
      </c>
      <c r="DB58" s="153">
        <v>152.93</v>
      </c>
      <c r="DC58" s="153">
        <v>145.95</v>
      </c>
      <c r="DD58" s="153">
        <v>0.87</v>
      </c>
      <c r="DE58" s="153">
        <v>145.08</v>
      </c>
      <c r="DF58" s="153">
        <v>4.95</v>
      </c>
      <c r="DG58" s="153">
        <v>0.67</v>
      </c>
      <c r="DH58" s="153">
        <v>4.27</v>
      </c>
      <c r="DI58" s="153">
        <v>3.58</v>
      </c>
      <c r="DJ58" s="153">
        <v>0.67</v>
      </c>
      <c r="DK58" s="153">
        <v>2.91</v>
      </c>
      <c r="DL58" s="153">
        <v>1.34</v>
      </c>
      <c r="DM58" s="153">
        <v>0.67</v>
      </c>
      <c r="DN58" s="153">
        <v>0.67</v>
      </c>
    </row>
    <row r="59">
      <c r="A59" s="235">
        <v>46259.0</v>
      </c>
      <c r="B59" s="236" t="s">
        <v>5</v>
      </c>
      <c r="C59" s="236" t="s">
        <v>135</v>
      </c>
      <c r="D59" s="236">
        <v>5889.0</v>
      </c>
      <c r="E59" s="236">
        <v>17.57</v>
      </c>
      <c r="F59" s="236">
        <v>1742.67</v>
      </c>
      <c r="G59" s="236">
        <v>0.2959</v>
      </c>
      <c r="H59" s="236">
        <v>5.69</v>
      </c>
      <c r="I59" s="236">
        <v>5.202</v>
      </c>
      <c r="J59" s="236">
        <v>83.13</v>
      </c>
      <c r="K59" s="236">
        <v>45.5</v>
      </c>
      <c r="L59" s="236">
        <v>28.05</v>
      </c>
      <c r="M59" s="236">
        <v>0.6165</v>
      </c>
      <c r="N59" s="236">
        <v>0.5222</v>
      </c>
      <c r="O59" s="236">
        <v>0.3119</v>
      </c>
      <c r="P59" s="236">
        <v>1.6221</v>
      </c>
      <c r="Q59" s="236">
        <v>166.9</v>
      </c>
      <c r="R59" s="236">
        <v>146.16</v>
      </c>
      <c r="S59" s="236">
        <v>20.74</v>
      </c>
      <c r="T59" s="236">
        <v>19.3</v>
      </c>
      <c r="U59" s="236">
        <v>147.6</v>
      </c>
      <c r="V59" s="236">
        <v>195.62</v>
      </c>
      <c r="W59" s="236">
        <v>4.2989</v>
      </c>
      <c r="X59" s="236">
        <v>11.56</v>
      </c>
      <c r="Y59" s="236">
        <v>229.0</v>
      </c>
      <c r="Z59" s="236">
        <v>533.0</v>
      </c>
      <c r="AA59" s="236">
        <v>1732.0</v>
      </c>
      <c r="AB59" s="236">
        <v>53.837</v>
      </c>
      <c r="AC59" s="236">
        <v>0.6782</v>
      </c>
      <c r="AD59" s="236">
        <v>16.26</v>
      </c>
      <c r="AE59" s="236">
        <v>7.0</v>
      </c>
      <c r="AF59" s="236">
        <v>13.0</v>
      </c>
      <c r="AG59" s="236">
        <v>22.0</v>
      </c>
      <c r="AH59" s="236">
        <v>34.0</v>
      </c>
      <c r="AI59" s="236">
        <v>57.33</v>
      </c>
      <c r="AJ59" s="236">
        <v>19.61</v>
      </c>
      <c r="AK59" s="236">
        <v>4.84</v>
      </c>
      <c r="AL59" s="236">
        <v>0.1958</v>
      </c>
      <c r="AM59" s="153">
        <v>44.08</v>
      </c>
      <c r="AN59" s="153">
        <v>44.08</v>
      </c>
      <c r="AO59" s="153">
        <v>23.33</v>
      </c>
      <c r="AP59" s="153">
        <v>10.95</v>
      </c>
      <c r="AQ59" s="153">
        <v>10.4369</v>
      </c>
      <c r="AR59" s="153">
        <v>0.3026</v>
      </c>
      <c r="AS59" s="153">
        <v>10.1343</v>
      </c>
      <c r="AT59" s="153">
        <v>9.8811</v>
      </c>
      <c r="AU59" s="153">
        <v>0.2171</v>
      </c>
      <c r="AV59" s="153">
        <v>5889.0</v>
      </c>
      <c r="AW59" s="153">
        <v>0.0</v>
      </c>
      <c r="AX59" s="153">
        <v>55.09</v>
      </c>
      <c r="AY59" s="153">
        <v>85.36</v>
      </c>
      <c r="AZ59" s="153">
        <v>4.61</v>
      </c>
      <c r="BA59" s="153">
        <v>19.3</v>
      </c>
      <c r="BB59" s="153">
        <v>2.54</v>
      </c>
      <c r="BC59" s="153">
        <v>62.0</v>
      </c>
      <c r="BD59" s="153">
        <v>19248.0</v>
      </c>
      <c r="BE59" s="153">
        <v>6.6857</v>
      </c>
      <c r="BF59" s="153">
        <v>0.1717</v>
      </c>
      <c r="BG59" s="153">
        <v>6.514</v>
      </c>
      <c r="BH59" s="153">
        <v>5.6748</v>
      </c>
      <c r="BI59" s="153">
        <v>0.1247</v>
      </c>
      <c r="BJ59" s="153">
        <v>3.7512</v>
      </c>
      <c r="BK59" s="153">
        <v>0.1309</v>
      </c>
      <c r="BL59" s="153">
        <v>3.6203</v>
      </c>
      <c r="BM59" s="153">
        <v>4.2063</v>
      </c>
      <c r="BN59" s="153">
        <v>0.0924</v>
      </c>
      <c r="BO59" s="153">
        <v>2.4729</v>
      </c>
      <c r="BP59" s="153">
        <v>0.052</v>
      </c>
      <c r="BQ59" s="153">
        <v>2.421</v>
      </c>
      <c r="BR59" s="153">
        <v>2.1204</v>
      </c>
      <c r="BS59" s="153">
        <v>2.6363</v>
      </c>
      <c r="BT59" s="153">
        <v>0.0576</v>
      </c>
      <c r="BU59" s="153">
        <v>2.5787</v>
      </c>
      <c r="BV59" s="153">
        <v>2.1983</v>
      </c>
      <c r="BW59" s="153">
        <v>1.5765</v>
      </c>
      <c r="BX59" s="153">
        <v>0.0621</v>
      </c>
      <c r="BY59" s="153">
        <v>1.5143</v>
      </c>
      <c r="BZ59" s="153">
        <v>1.3561</v>
      </c>
      <c r="CA59" s="153">
        <v>0.9389</v>
      </c>
      <c r="CB59" s="153">
        <v>0.0353</v>
      </c>
      <c r="CC59" s="153">
        <v>0.9035</v>
      </c>
      <c r="CD59" s="153">
        <v>1.0049</v>
      </c>
      <c r="CE59" s="153">
        <v>1.1304</v>
      </c>
      <c r="CF59" s="153">
        <v>0.0537</v>
      </c>
      <c r="CG59" s="153">
        <v>1.0768</v>
      </c>
      <c r="CH59" s="153">
        <v>1.43</v>
      </c>
      <c r="CI59" s="153">
        <v>1.6819</v>
      </c>
      <c r="CJ59" s="153">
        <v>0.0419</v>
      </c>
      <c r="CK59" s="153">
        <v>1.64</v>
      </c>
      <c r="CL59" s="153">
        <v>1.7714</v>
      </c>
      <c r="CM59" s="153">
        <v>377.96</v>
      </c>
      <c r="CN59" s="153">
        <v>98.42</v>
      </c>
      <c r="CO59" s="153">
        <v>384.03</v>
      </c>
      <c r="CP59" s="153">
        <v>304.47</v>
      </c>
      <c r="CQ59" s="153">
        <v>61.27</v>
      </c>
      <c r="CR59" s="153">
        <v>3.82</v>
      </c>
      <c r="CS59" s="153">
        <v>8.4</v>
      </c>
      <c r="CT59" s="153">
        <v>0.0</v>
      </c>
      <c r="CU59" s="153">
        <v>2879.0</v>
      </c>
      <c r="CV59" s="153">
        <v>9.82</v>
      </c>
      <c r="CW59" s="153">
        <v>176.72</v>
      </c>
      <c r="CX59" s="153">
        <v>8.42</v>
      </c>
      <c r="CY59" s="153">
        <v>69.69</v>
      </c>
      <c r="CZ59" s="153">
        <v>233.57</v>
      </c>
      <c r="DA59" s="153">
        <v>5.25</v>
      </c>
      <c r="DB59" s="153">
        <v>228.32</v>
      </c>
      <c r="DC59" s="153">
        <v>216.22</v>
      </c>
      <c r="DD59" s="153">
        <v>1.59</v>
      </c>
      <c r="DE59" s="153">
        <v>214.62</v>
      </c>
      <c r="DF59" s="153">
        <v>10.21</v>
      </c>
      <c r="DG59" s="153">
        <v>1.22</v>
      </c>
      <c r="DH59" s="153">
        <v>8.99</v>
      </c>
      <c r="DI59" s="153">
        <v>4.85</v>
      </c>
      <c r="DJ59" s="153">
        <v>1.22</v>
      </c>
      <c r="DK59" s="153">
        <v>3.63</v>
      </c>
      <c r="DL59" s="153">
        <v>2.3</v>
      </c>
      <c r="DM59" s="153">
        <v>1.22</v>
      </c>
      <c r="DN59" s="153">
        <v>1.08</v>
      </c>
    </row>
    <row r="60">
      <c r="A60" s="235">
        <v>46259.0</v>
      </c>
      <c r="B60" s="236" t="s">
        <v>5</v>
      </c>
      <c r="C60" s="236" t="s">
        <v>136</v>
      </c>
      <c r="D60" s="236">
        <v>2982.0</v>
      </c>
      <c r="E60" s="236">
        <v>8.9</v>
      </c>
      <c r="F60" s="236">
        <v>2371.9</v>
      </c>
      <c r="G60" s="236">
        <v>0.7954</v>
      </c>
      <c r="H60" s="236">
        <v>8.48</v>
      </c>
      <c r="I60" s="236">
        <v>9.3751</v>
      </c>
      <c r="J60" s="236">
        <v>130.69</v>
      </c>
      <c r="K60" s="236">
        <v>76.83</v>
      </c>
      <c r="L60" s="236">
        <v>54.72</v>
      </c>
      <c r="M60" s="236">
        <v>0.7122</v>
      </c>
      <c r="N60" s="236">
        <v>0.431</v>
      </c>
      <c r="O60" s="236">
        <v>0.2668</v>
      </c>
      <c r="P60" s="236">
        <v>1.4041</v>
      </c>
      <c r="Q60" s="236">
        <v>319.27</v>
      </c>
      <c r="R60" s="236">
        <v>277.28</v>
      </c>
      <c r="S60" s="236">
        <v>41.99</v>
      </c>
      <c r="T60" s="236">
        <v>54.21</v>
      </c>
      <c r="U60" s="236">
        <v>265.06</v>
      </c>
      <c r="V60" s="236">
        <v>364.0</v>
      </c>
      <c r="W60" s="236">
        <v>4.7379</v>
      </c>
      <c r="X60" s="236">
        <v>16.98</v>
      </c>
      <c r="Y60" s="236">
        <v>309.0</v>
      </c>
      <c r="Z60" s="236">
        <v>695.0</v>
      </c>
      <c r="AA60" s="236">
        <v>2250.0</v>
      </c>
      <c r="AB60" s="236">
        <v>56.2329</v>
      </c>
      <c r="AC60" s="236">
        <v>0.777</v>
      </c>
      <c r="AD60" s="236">
        <v>31.54</v>
      </c>
      <c r="AE60" s="236">
        <v>13.0</v>
      </c>
      <c r="AF60" s="236">
        <v>23.0</v>
      </c>
      <c r="AG60" s="236">
        <v>42.0</v>
      </c>
      <c r="AH60" s="236">
        <v>66.0</v>
      </c>
      <c r="AI60" s="236">
        <v>42.62</v>
      </c>
      <c r="AJ60" s="236">
        <v>13.04</v>
      </c>
      <c r="AK60" s="236">
        <v>2.68</v>
      </c>
      <c r="AL60" s="236">
        <v>0.1398</v>
      </c>
      <c r="AM60" s="153">
        <v>41.48</v>
      </c>
      <c r="AN60" s="153">
        <v>41.48</v>
      </c>
      <c r="AO60" s="153">
        <v>22.27</v>
      </c>
      <c r="AP60" s="153">
        <v>13.15</v>
      </c>
      <c r="AQ60" s="153">
        <v>15.1908</v>
      </c>
      <c r="AR60" s="153">
        <v>0.5915</v>
      </c>
      <c r="AS60" s="153">
        <v>14.5993</v>
      </c>
      <c r="AT60" s="153">
        <v>14.6231</v>
      </c>
      <c r="AU60" s="153">
        <v>0.1903</v>
      </c>
      <c r="AV60" s="153">
        <v>2982.0</v>
      </c>
      <c r="AW60" s="153">
        <v>0.0</v>
      </c>
      <c r="AX60" s="153">
        <v>98.42</v>
      </c>
      <c r="AY60" s="153">
        <v>156.55</v>
      </c>
      <c r="AZ60" s="153">
        <v>4.83</v>
      </c>
      <c r="BA60" s="153">
        <v>54.21</v>
      </c>
      <c r="BB60" s="153">
        <v>5.26</v>
      </c>
      <c r="BC60" s="153">
        <v>128.0</v>
      </c>
      <c r="BD60" s="153">
        <v>20490.0</v>
      </c>
      <c r="BE60" s="153">
        <v>9.1197</v>
      </c>
      <c r="BF60" s="153">
        <v>0.2475</v>
      </c>
      <c r="BG60" s="153">
        <v>8.8722</v>
      </c>
      <c r="BH60" s="153">
        <v>7.9906</v>
      </c>
      <c r="BI60" s="153">
        <v>0.104</v>
      </c>
      <c r="BJ60" s="153">
        <v>6.0711</v>
      </c>
      <c r="BK60" s="153">
        <v>0.3441</v>
      </c>
      <c r="BL60" s="153">
        <v>5.727</v>
      </c>
      <c r="BM60" s="153">
        <v>6.6325</v>
      </c>
      <c r="BN60" s="153">
        <v>0.0863</v>
      </c>
      <c r="BO60" s="153">
        <v>3.2404</v>
      </c>
      <c r="BP60" s="153">
        <v>0.0812</v>
      </c>
      <c r="BQ60" s="153">
        <v>3.1593</v>
      </c>
      <c r="BR60" s="153">
        <v>2.9101</v>
      </c>
      <c r="BS60" s="153">
        <v>3.1891</v>
      </c>
      <c r="BT60" s="153">
        <v>0.0822</v>
      </c>
      <c r="BU60" s="153">
        <v>3.107</v>
      </c>
      <c r="BV60" s="153">
        <v>2.883</v>
      </c>
      <c r="BW60" s="153">
        <v>2.6901</v>
      </c>
      <c r="BX60" s="153">
        <v>0.0842</v>
      </c>
      <c r="BY60" s="153">
        <v>2.606</v>
      </c>
      <c r="BZ60" s="153">
        <v>2.1975</v>
      </c>
      <c r="CA60" s="153">
        <v>1.4527</v>
      </c>
      <c r="CB60" s="153">
        <v>0.1009</v>
      </c>
      <c r="CC60" s="153">
        <v>1.3518</v>
      </c>
      <c r="CD60" s="153">
        <v>1.7666</v>
      </c>
      <c r="CE60" s="153">
        <v>1.7428</v>
      </c>
      <c r="CF60" s="153">
        <v>0.1281</v>
      </c>
      <c r="CG60" s="153">
        <v>1.6147</v>
      </c>
      <c r="CH60" s="153">
        <v>2.0439</v>
      </c>
      <c r="CI60" s="153">
        <v>2.8756</v>
      </c>
      <c r="CJ60" s="153">
        <v>0.115</v>
      </c>
      <c r="CK60" s="153">
        <v>2.7606</v>
      </c>
      <c r="CL60" s="153">
        <v>2.8219</v>
      </c>
      <c r="CM60" s="153">
        <v>698.76</v>
      </c>
      <c r="CN60" s="153">
        <v>99.2</v>
      </c>
      <c r="CO60" s="153">
        <v>704.43</v>
      </c>
      <c r="CP60" s="153">
        <v>561.76</v>
      </c>
      <c r="CQ60" s="153">
        <v>117.79</v>
      </c>
      <c r="CR60" s="153">
        <v>5.12</v>
      </c>
      <c r="CS60" s="153">
        <v>14.09</v>
      </c>
      <c r="CT60" s="153">
        <v>0.0</v>
      </c>
      <c r="CU60" s="153">
        <v>2262.0</v>
      </c>
      <c r="CV60" s="153">
        <v>37.15</v>
      </c>
      <c r="CW60" s="153">
        <v>356.42</v>
      </c>
      <c r="CX60" s="153">
        <v>17.51</v>
      </c>
      <c r="CY60" s="153">
        <v>135.31</v>
      </c>
      <c r="CZ60" s="153">
        <v>364.73</v>
      </c>
      <c r="DA60" s="153">
        <v>7.43</v>
      </c>
      <c r="DB60" s="153">
        <v>357.3</v>
      </c>
      <c r="DC60" s="153">
        <v>338.54</v>
      </c>
      <c r="DD60" s="153">
        <v>2.76</v>
      </c>
      <c r="DE60" s="153">
        <v>335.78</v>
      </c>
      <c r="DF60" s="153">
        <v>14.69</v>
      </c>
      <c r="DG60" s="153">
        <v>1.56</v>
      </c>
      <c r="DH60" s="153">
        <v>13.13</v>
      </c>
      <c r="DI60" s="153">
        <v>8.34</v>
      </c>
      <c r="DJ60" s="153">
        <v>1.56</v>
      </c>
      <c r="DK60" s="153">
        <v>6.79</v>
      </c>
      <c r="DL60" s="153">
        <v>3.16</v>
      </c>
      <c r="DM60" s="153">
        <v>1.56</v>
      </c>
      <c r="DN60" s="153">
        <v>1.6</v>
      </c>
    </row>
    <row r="61">
      <c r="A61" s="235">
        <v>46259.0</v>
      </c>
      <c r="B61" s="236" t="s">
        <v>5</v>
      </c>
      <c r="C61" s="236" t="s">
        <v>137</v>
      </c>
      <c r="D61" s="236">
        <v>339.0</v>
      </c>
      <c r="E61" s="236">
        <v>1.01</v>
      </c>
      <c r="F61" s="236">
        <v>264.87</v>
      </c>
      <c r="G61" s="236">
        <v>0.7813</v>
      </c>
      <c r="H61" s="236">
        <v>7.96</v>
      </c>
      <c r="I61" s="236">
        <v>9.81</v>
      </c>
      <c r="J61" s="236">
        <v>250.91</v>
      </c>
      <c r="K61" s="236">
        <v>159.53</v>
      </c>
      <c r="L61" s="236">
        <v>123.68</v>
      </c>
      <c r="M61" s="236">
        <v>0.7753</v>
      </c>
      <c r="N61" s="236">
        <v>0.3558</v>
      </c>
      <c r="O61" s="236">
        <v>0.2222</v>
      </c>
      <c r="P61" s="236">
        <v>1.2899</v>
      </c>
      <c r="Q61" s="236">
        <v>495.07</v>
      </c>
      <c r="R61" s="236">
        <v>398.39</v>
      </c>
      <c r="S61" s="236">
        <v>96.68</v>
      </c>
      <c r="T61" s="236">
        <v>54.69</v>
      </c>
      <c r="U61" s="236">
        <v>440.38</v>
      </c>
      <c r="V61" s="236">
        <v>623.6</v>
      </c>
      <c r="W61" s="236">
        <v>3.909</v>
      </c>
      <c r="X61" s="236">
        <v>11.05</v>
      </c>
      <c r="Y61" s="236">
        <v>411.0</v>
      </c>
      <c r="Z61" s="236">
        <v>730.0</v>
      </c>
      <c r="AA61" s="236">
        <v>1950.0</v>
      </c>
      <c r="AB61" s="236">
        <v>59.1811</v>
      </c>
      <c r="AC61" s="236">
        <v>0.8089</v>
      </c>
      <c r="AD61" s="236">
        <v>57.32</v>
      </c>
      <c r="AE61" s="236">
        <v>24.0</v>
      </c>
      <c r="AF61" s="236">
        <v>42.0</v>
      </c>
      <c r="AG61" s="236">
        <v>76.0</v>
      </c>
      <c r="AH61" s="236">
        <v>124.0</v>
      </c>
      <c r="AI61" s="236">
        <v>22.71</v>
      </c>
      <c r="AJ61" s="236">
        <v>3.83</v>
      </c>
      <c r="AK61" s="236">
        <v>0.29</v>
      </c>
      <c r="AL61" s="236">
        <v>0.0649</v>
      </c>
      <c r="AM61" s="153">
        <v>35.4</v>
      </c>
      <c r="AN61" s="153">
        <v>35.4</v>
      </c>
      <c r="AO61" s="153">
        <v>18.29</v>
      </c>
      <c r="AP61" s="153">
        <v>11.8</v>
      </c>
      <c r="AQ61" s="153">
        <v>23.177</v>
      </c>
      <c r="AR61" s="153">
        <v>0.708</v>
      </c>
      <c r="AS61" s="153">
        <v>22.469</v>
      </c>
      <c r="AT61" s="153">
        <v>25.3658</v>
      </c>
      <c r="AU61" s="153">
        <v>0.159</v>
      </c>
      <c r="AV61" s="153">
        <v>339.0</v>
      </c>
      <c r="AW61" s="153">
        <v>0.0</v>
      </c>
      <c r="AX61" s="153">
        <v>193.53</v>
      </c>
      <c r="AY61" s="153">
        <v>225.99</v>
      </c>
      <c r="AZ61" s="153">
        <v>8.04</v>
      </c>
      <c r="BA61" s="153">
        <v>54.57</v>
      </c>
      <c r="BB61" s="153">
        <v>12.94</v>
      </c>
      <c r="BC61" s="153">
        <v>242.0</v>
      </c>
      <c r="BD61" s="153">
        <v>14180.0</v>
      </c>
      <c r="BE61" s="153">
        <v>13.8171</v>
      </c>
      <c r="BF61" s="153">
        <v>0.292</v>
      </c>
      <c r="BG61" s="153">
        <v>13.5251</v>
      </c>
      <c r="BH61" s="153">
        <v>14.2773</v>
      </c>
      <c r="BI61" s="153">
        <v>0.0895</v>
      </c>
      <c r="BJ61" s="153">
        <v>9.3599</v>
      </c>
      <c r="BK61" s="153">
        <v>0.4159</v>
      </c>
      <c r="BL61" s="153">
        <v>8.944</v>
      </c>
      <c r="BM61" s="153">
        <v>11.0885</v>
      </c>
      <c r="BN61" s="153">
        <v>0.0695</v>
      </c>
      <c r="BO61" s="153">
        <v>4.7965</v>
      </c>
      <c r="BP61" s="153">
        <v>0.0796</v>
      </c>
      <c r="BQ61" s="153">
        <v>4.7168</v>
      </c>
      <c r="BR61" s="153">
        <v>4.9676</v>
      </c>
      <c r="BS61" s="153">
        <v>4.7552</v>
      </c>
      <c r="BT61" s="153">
        <v>0.0796</v>
      </c>
      <c r="BU61" s="153">
        <v>4.6755</v>
      </c>
      <c r="BV61" s="153">
        <v>4.9528</v>
      </c>
      <c r="BW61" s="153">
        <v>4.2655</v>
      </c>
      <c r="BX61" s="153">
        <v>0.1327</v>
      </c>
      <c r="BY61" s="153">
        <v>4.1327</v>
      </c>
      <c r="BZ61" s="153">
        <v>4.3569</v>
      </c>
      <c r="CA61" s="153">
        <v>2.2684</v>
      </c>
      <c r="CB61" s="153">
        <v>0.0944</v>
      </c>
      <c r="CC61" s="153">
        <v>2.174</v>
      </c>
      <c r="CD61" s="153">
        <v>2.7139</v>
      </c>
      <c r="CE61" s="153">
        <v>2.3746</v>
      </c>
      <c r="CF61" s="153">
        <v>0.2006</v>
      </c>
      <c r="CG61" s="153">
        <v>2.174</v>
      </c>
      <c r="CH61" s="153">
        <v>2.8437</v>
      </c>
      <c r="CI61" s="153">
        <v>4.7168</v>
      </c>
      <c r="CJ61" s="153">
        <v>0.1209</v>
      </c>
      <c r="CK61" s="153">
        <v>4.5959</v>
      </c>
      <c r="CL61" s="153">
        <v>5.531</v>
      </c>
      <c r="CM61" s="153">
        <v>1564.9</v>
      </c>
      <c r="CN61" s="153">
        <v>99.71</v>
      </c>
      <c r="CO61" s="153">
        <v>1569.53</v>
      </c>
      <c r="CP61" s="153">
        <v>1254.05</v>
      </c>
      <c r="CQ61" s="153">
        <v>287.92</v>
      </c>
      <c r="CR61" s="153">
        <v>5.78</v>
      </c>
      <c r="CS61" s="153">
        <v>17.15</v>
      </c>
      <c r="CT61" s="153">
        <v>0.0</v>
      </c>
      <c r="CU61" s="153">
        <v>312.0</v>
      </c>
      <c r="CV61" s="153">
        <v>128.83</v>
      </c>
      <c r="CW61" s="153">
        <v>623.9</v>
      </c>
      <c r="CX61" s="153">
        <v>42.01</v>
      </c>
      <c r="CY61" s="153">
        <v>329.93</v>
      </c>
      <c r="CZ61" s="153">
        <v>644.01</v>
      </c>
      <c r="DA61" s="153">
        <v>19.59</v>
      </c>
      <c r="DB61" s="153">
        <v>624.42</v>
      </c>
      <c r="DC61" s="153">
        <v>602.11</v>
      </c>
      <c r="DD61" s="153">
        <v>5.43</v>
      </c>
      <c r="DE61" s="153">
        <v>596.68</v>
      </c>
      <c r="DF61" s="153">
        <v>16.95</v>
      </c>
      <c r="DG61" s="153">
        <v>4.72</v>
      </c>
      <c r="DH61" s="153">
        <v>12.23</v>
      </c>
      <c r="DI61" s="153">
        <v>17.27</v>
      </c>
      <c r="DJ61" s="153">
        <v>4.72</v>
      </c>
      <c r="DK61" s="153">
        <v>12.55</v>
      </c>
      <c r="DL61" s="153">
        <v>7.68</v>
      </c>
      <c r="DM61" s="153">
        <v>4.72</v>
      </c>
      <c r="DN61" s="153">
        <v>2.96</v>
      </c>
    </row>
    <row r="62">
      <c r="A62" s="250">
        <v>46260.0</v>
      </c>
      <c r="B62" s="153" t="s">
        <v>4</v>
      </c>
      <c r="C62" s="153" t="s">
        <v>423</v>
      </c>
      <c r="D62" s="153">
        <v>7909.0</v>
      </c>
      <c r="E62" s="153">
        <v>22.32</v>
      </c>
      <c r="F62" s="153">
        <v>1221.94</v>
      </c>
      <c r="G62" s="153">
        <v>0.1545</v>
      </c>
      <c r="H62" s="153">
        <v>1.44</v>
      </c>
      <c r="I62" s="153">
        <v>10.7188</v>
      </c>
      <c r="J62" s="153">
        <v>19.82</v>
      </c>
      <c r="K62" s="153">
        <v>10.6</v>
      </c>
      <c r="L62" s="153">
        <v>6.45</v>
      </c>
      <c r="M62" s="153">
        <v>0.6086</v>
      </c>
      <c r="N62" s="153">
        <v>0.5011</v>
      </c>
      <c r="O62" s="153">
        <v>0.2244</v>
      </c>
      <c r="P62" s="153">
        <v>1.6431</v>
      </c>
      <c r="Q62" s="153">
        <v>43.4</v>
      </c>
      <c r="R62" s="153">
        <v>43.3</v>
      </c>
      <c r="S62" s="153">
        <v>0.1</v>
      </c>
      <c r="T62" s="153">
        <v>10.22</v>
      </c>
      <c r="U62" s="153">
        <v>33.18</v>
      </c>
      <c r="V62" s="153">
        <v>37.01</v>
      </c>
      <c r="W62" s="153">
        <v>3.4902</v>
      </c>
      <c r="X62" s="153">
        <v>23.54</v>
      </c>
      <c r="Y62" s="153">
        <v>206.0</v>
      </c>
      <c r="Z62" s="153">
        <v>1128.0</v>
      </c>
      <c r="AA62" s="153">
        <v>9005.0</v>
      </c>
      <c r="AB62" s="153">
        <v>50.3256</v>
      </c>
      <c r="AC62" s="153">
        <v>0.4997</v>
      </c>
      <c r="AI62" s="153">
        <v>0.0</v>
      </c>
      <c r="AJ62" s="153">
        <v>0.0</v>
      </c>
      <c r="AK62" s="153">
        <v>0.0</v>
      </c>
      <c r="AQ62" s="153">
        <v>1.3475</v>
      </c>
      <c r="AR62" s="153">
        <v>0.1536</v>
      </c>
      <c r="AS62" s="153">
        <v>1.1938</v>
      </c>
      <c r="AT62" s="153">
        <v>1.3079</v>
      </c>
      <c r="AU62" s="153">
        <v>0.1233</v>
      </c>
      <c r="AV62" s="153">
        <v>7909.0</v>
      </c>
      <c r="AW62" s="153">
        <v>0.0</v>
      </c>
      <c r="AX62" s="153">
        <v>11.73</v>
      </c>
      <c r="AY62" s="153">
        <v>18.15</v>
      </c>
      <c r="AZ62" s="153">
        <v>3.07</v>
      </c>
      <c r="BA62" s="153">
        <v>10.22</v>
      </c>
      <c r="BB62" s="153">
        <v>0.23</v>
      </c>
      <c r="BD62" s="153">
        <v>32575.0</v>
      </c>
      <c r="BE62" s="153">
        <v>0.5533</v>
      </c>
      <c r="BF62" s="153">
        <v>0.0675</v>
      </c>
      <c r="BG62" s="153">
        <v>0.4858</v>
      </c>
      <c r="BH62" s="153">
        <v>0.6639</v>
      </c>
      <c r="BI62" s="153">
        <v>0.0626</v>
      </c>
      <c r="BJ62" s="153">
        <v>0.7942</v>
      </c>
      <c r="BK62" s="153">
        <v>0.0861</v>
      </c>
      <c r="BL62" s="153">
        <v>0.7081</v>
      </c>
      <c r="BM62" s="153">
        <v>0.6439</v>
      </c>
      <c r="BN62" s="153">
        <v>0.0607</v>
      </c>
      <c r="BO62" s="153">
        <v>0.213</v>
      </c>
      <c r="BP62" s="153">
        <v>0.0224</v>
      </c>
      <c r="BQ62" s="153">
        <v>0.1907</v>
      </c>
      <c r="BR62" s="153">
        <v>0.2636</v>
      </c>
      <c r="BS62" s="153">
        <v>0.1985</v>
      </c>
      <c r="BT62" s="153">
        <v>0.022</v>
      </c>
      <c r="BU62" s="153">
        <v>0.1765</v>
      </c>
      <c r="BV62" s="153">
        <v>0.2386</v>
      </c>
      <c r="BW62" s="153">
        <v>0.1417</v>
      </c>
      <c r="BX62" s="153">
        <v>0.0231</v>
      </c>
      <c r="BY62" s="153">
        <v>0.1186</v>
      </c>
      <c r="BZ62" s="153">
        <v>0.1617</v>
      </c>
      <c r="CA62" s="153">
        <v>0.1209</v>
      </c>
      <c r="CB62" s="153">
        <v>0.023</v>
      </c>
      <c r="CC62" s="153">
        <v>0.0979</v>
      </c>
      <c r="CD62" s="153">
        <v>0.1374</v>
      </c>
      <c r="CE62" s="153">
        <v>0.383</v>
      </c>
      <c r="CF62" s="153">
        <v>0.0348</v>
      </c>
      <c r="CG62" s="153">
        <v>0.3482</v>
      </c>
      <c r="CH62" s="153">
        <v>0.2474</v>
      </c>
      <c r="CI62" s="153">
        <v>0.2903</v>
      </c>
      <c r="CJ62" s="153">
        <v>0.0283</v>
      </c>
      <c r="CK62" s="153">
        <v>0.262</v>
      </c>
      <c r="CL62" s="153">
        <v>0.2591</v>
      </c>
      <c r="CM62" s="153">
        <v>89.19</v>
      </c>
      <c r="CN62" s="153">
        <v>14.03</v>
      </c>
      <c r="CO62" s="153">
        <v>635.53</v>
      </c>
      <c r="CP62" s="153">
        <v>85.91</v>
      </c>
      <c r="CQ62" s="153">
        <v>0.0</v>
      </c>
      <c r="CR62" s="153">
        <v>1.16</v>
      </c>
      <c r="CS62" s="153">
        <v>2.12</v>
      </c>
      <c r="CT62" s="153">
        <v>0.0</v>
      </c>
      <c r="CU62" s="153">
        <v>0.0</v>
      </c>
      <c r="CV62" s="153">
        <v>0.0</v>
      </c>
      <c r="CW62" s="153">
        <v>43.4</v>
      </c>
      <c r="CX62" s="153">
        <v>0.0</v>
      </c>
      <c r="CY62" s="153">
        <v>0.0</v>
      </c>
      <c r="CZ62" s="153">
        <v>42.34</v>
      </c>
      <c r="DA62" s="153">
        <v>1.64</v>
      </c>
      <c r="DB62" s="153">
        <v>40.7</v>
      </c>
      <c r="DC62" s="153">
        <v>38.29</v>
      </c>
      <c r="DD62" s="153">
        <v>0.87</v>
      </c>
      <c r="DE62" s="153">
        <v>37.42</v>
      </c>
      <c r="DF62" s="153">
        <v>1.79</v>
      </c>
      <c r="DG62" s="153">
        <v>0.26</v>
      </c>
      <c r="DH62" s="153">
        <v>1.54</v>
      </c>
      <c r="DI62" s="153">
        <v>1.38</v>
      </c>
      <c r="DJ62" s="153">
        <v>0.26</v>
      </c>
      <c r="DK62" s="153">
        <v>1.12</v>
      </c>
      <c r="DL62" s="153">
        <v>0.88</v>
      </c>
      <c r="DM62" s="153">
        <v>0.26</v>
      </c>
      <c r="DN62" s="153">
        <v>0.62</v>
      </c>
    </row>
    <row r="63">
      <c r="A63" s="250">
        <v>46260.0</v>
      </c>
      <c r="B63" s="153" t="s">
        <v>4</v>
      </c>
      <c r="C63" s="153" t="s">
        <v>133</v>
      </c>
      <c r="D63" s="153">
        <v>10359.0</v>
      </c>
      <c r="E63" s="153">
        <v>29.24</v>
      </c>
      <c r="F63" s="153">
        <v>497.03</v>
      </c>
      <c r="G63" s="153">
        <v>0.048</v>
      </c>
      <c r="H63" s="153">
        <v>1.59</v>
      </c>
      <c r="I63" s="153">
        <v>3.0123</v>
      </c>
      <c r="J63" s="153">
        <v>27.56</v>
      </c>
      <c r="K63" s="153">
        <v>13.87</v>
      </c>
      <c r="L63" s="153">
        <v>5.32</v>
      </c>
      <c r="M63" s="153">
        <v>0.3833</v>
      </c>
      <c r="N63" s="153">
        <v>0.7261</v>
      </c>
      <c r="O63" s="153">
        <v>0.4673</v>
      </c>
      <c r="P63" s="153">
        <v>2.6088</v>
      </c>
      <c r="Q63" s="153">
        <v>43.13</v>
      </c>
      <c r="R63" s="153">
        <v>38.62</v>
      </c>
      <c r="S63" s="153">
        <v>4.51</v>
      </c>
      <c r="T63" s="153">
        <v>3.34</v>
      </c>
      <c r="U63" s="153">
        <v>39.79</v>
      </c>
      <c r="V63" s="153">
        <v>49.04</v>
      </c>
      <c r="W63" s="153">
        <v>3.5368</v>
      </c>
      <c r="X63" s="153">
        <v>7.75</v>
      </c>
      <c r="Y63" s="153">
        <v>181.0</v>
      </c>
      <c r="Z63" s="153">
        <v>517.0</v>
      </c>
      <c r="AA63" s="153">
        <v>2414.0</v>
      </c>
      <c r="AB63" s="153">
        <v>49.858</v>
      </c>
      <c r="AC63" s="153">
        <v>0.5532</v>
      </c>
      <c r="AD63" s="153">
        <v>3.93</v>
      </c>
      <c r="AE63" s="153">
        <v>1.0</v>
      </c>
      <c r="AF63" s="153">
        <v>3.0</v>
      </c>
      <c r="AG63" s="153">
        <v>5.0</v>
      </c>
      <c r="AH63" s="153">
        <v>9.0</v>
      </c>
      <c r="AI63" s="153">
        <v>73.15</v>
      </c>
      <c r="AJ63" s="153">
        <v>31.51</v>
      </c>
      <c r="AK63" s="153">
        <v>7.09</v>
      </c>
      <c r="AQ63" s="153">
        <v>2.9321</v>
      </c>
      <c r="AR63" s="153">
        <v>0.0483</v>
      </c>
      <c r="AS63" s="153">
        <v>2.8839</v>
      </c>
      <c r="AT63" s="153">
        <v>3.0191</v>
      </c>
      <c r="AU63" s="153">
        <v>0.2177</v>
      </c>
      <c r="AV63" s="153">
        <v>10359.0</v>
      </c>
      <c r="AW63" s="153">
        <v>0.0</v>
      </c>
      <c r="AX63" s="153">
        <v>22.02</v>
      </c>
      <c r="AY63" s="153">
        <v>14.2</v>
      </c>
      <c r="AZ63" s="153">
        <v>2.96</v>
      </c>
      <c r="BA63" s="153">
        <v>3.34</v>
      </c>
      <c r="BB63" s="153">
        <v>0.61</v>
      </c>
      <c r="BC63" s="153">
        <v>17.0</v>
      </c>
      <c r="BD63" s="153">
        <v>24368.0</v>
      </c>
      <c r="BE63" s="153">
        <v>1.7339</v>
      </c>
      <c r="BF63" s="153">
        <v>0.0264</v>
      </c>
      <c r="BG63" s="153">
        <v>1.7075</v>
      </c>
      <c r="BH63" s="153">
        <v>1.6671</v>
      </c>
      <c r="BI63" s="153">
        <v>0.1202</v>
      </c>
      <c r="BJ63" s="153">
        <v>1.1983</v>
      </c>
      <c r="BK63" s="153">
        <v>0.0219</v>
      </c>
      <c r="BL63" s="153">
        <v>1.1764</v>
      </c>
      <c r="BM63" s="153">
        <v>1.3521</v>
      </c>
      <c r="BN63" s="153">
        <v>0.0975</v>
      </c>
      <c r="BO63" s="153">
        <v>0.7593</v>
      </c>
      <c r="BP63" s="153">
        <v>0.0103</v>
      </c>
      <c r="BQ63" s="153">
        <v>0.749</v>
      </c>
      <c r="BR63" s="153">
        <v>0.6899</v>
      </c>
      <c r="BS63" s="153">
        <v>0.6474</v>
      </c>
      <c r="BT63" s="153">
        <v>0.0069</v>
      </c>
      <c r="BU63" s="153">
        <v>0.6405</v>
      </c>
      <c r="BV63" s="153">
        <v>0.632</v>
      </c>
      <c r="BW63" s="153">
        <v>0.3272</v>
      </c>
      <c r="BX63" s="153">
        <v>0.0092</v>
      </c>
      <c r="BY63" s="153">
        <v>0.318</v>
      </c>
      <c r="BZ63" s="153">
        <v>0.3451</v>
      </c>
      <c r="CA63" s="153">
        <v>0.2275</v>
      </c>
      <c r="CB63" s="153">
        <v>0.006</v>
      </c>
      <c r="CC63" s="153">
        <v>0.2215</v>
      </c>
      <c r="CD63" s="153">
        <v>0.2743</v>
      </c>
      <c r="CE63" s="153">
        <v>0.5236</v>
      </c>
      <c r="CF63" s="153">
        <v>0.0093</v>
      </c>
      <c r="CG63" s="153">
        <v>0.5143</v>
      </c>
      <c r="CH63" s="153">
        <v>0.5862</v>
      </c>
      <c r="CI63" s="153">
        <v>0.4471</v>
      </c>
      <c r="CJ63" s="153">
        <v>0.0067</v>
      </c>
      <c r="CK63" s="153">
        <v>0.4405</v>
      </c>
      <c r="CL63" s="153">
        <v>0.4916</v>
      </c>
      <c r="CM63" s="153">
        <v>96.2</v>
      </c>
      <c r="CN63" s="153">
        <v>92.2</v>
      </c>
      <c r="CO63" s="153">
        <v>104.34</v>
      </c>
      <c r="CP63" s="153">
        <v>90.7</v>
      </c>
      <c r="CQ63" s="153">
        <v>0.0</v>
      </c>
      <c r="CR63" s="153">
        <v>2.85</v>
      </c>
      <c r="CS63" s="153">
        <v>2.65</v>
      </c>
      <c r="CT63" s="153">
        <v>0.0</v>
      </c>
      <c r="CU63" s="153">
        <v>0.0</v>
      </c>
      <c r="CV63" s="153">
        <v>0.0</v>
      </c>
      <c r="CW63" s="153">
        <v>43.13</v>
      </c>
      <c r="CX63" s="153">
        <v>0.0</v>
      </c>
      <c r="CY63" s="153">
        <v>0.0</v>
      </c>
      <c r="CZ63" s="153">
        <v>103.87</v>
      </c>
      <c r="DA63" s="153">
        <v>0.7</v>
      </c>
      <c r="DB63" s="153">
        <v>103.17</v>
      </c>
      <c r="DC63" s="153">
        <v>98.39</v>
      </c>
      <c r="DD63" s="153">
        <v>0.2</v>
      </c>
      <c r="DE63" s="153">
        <v>98.18</v>
      </c>
      <c r="DF63" s="153">
        <v>2.65</v>
      </c>
      <c r="DG63" s="153">
        <v>0.16</v>
      </c>
      <c r="DH63" s="153">
        <v>2.48</v>
      </c>
      <c r="DI63" s="153">
        <v>2.2</v>
      </c>
      <c r="DJ63" s="153">
        <v>0.16</v>
      </c>
      <c r="DK63" s="153">
        <v>2.03</v>
      </c>
      <c r="DL63" s="153">
        <v>0.64</v>
      </c>
      <c r="DM63" s="153">
        <v>0.16</v>
      </c>
      <c r="DN63" s="153">
        <v>0.47</v>
      </c>
    </row>
    <row r="64">
      <c r="A64" s="250">
        <v>46260.0</v>
      </c>
      <c r="B64" s="153" t="s">
        <v>4</v>
      </c>
      <c r="C64" s="153" t="s">
        <v>134</v>
      </c>
      <c r="D64" s="153">
        <v>8333.0</v>
      </c>
      <c r="E64" s="153">
        <v>23.52</v>
      </c>
      <c r="F64" s="153">
        <v>1252.77</v>
      </c>
      <c r="G64" s="153">
        <v>0.1503</v>
      </c>
      <c r="H64" s="153">
        <v>4.07</v>
      </c>
      <c r="I64" s="153">
        <v>3.6955</v>
      </c>
      <c r="J64" s="153">
        <v>52.02</v>
      </c>
      <c r="K64" s="153">
        <v>27.51</v>
      </c>
      <c r="L64" s="153">
        <v>14.06</v>
      </c>
      <c r="M64" s="153">
        <v>0.511</v>
      </c>
      <c r="N64" s="153">
        <v>0.618</v>
      </c>
      <c r="O64" s="153">
        <v>0.3691</v>
      </c>
      <c r="P64" s="153">
        <v>1.9571</v>
      </c>
      <c r="Q64" s="153">
        <v>86.7</v>
      </c>
      <c r="R64" s="153">
        <v>75.5</v>
      </c>
      <c r="S64" s="153">
        <v>11.19</v>
      </c>
      <c r="T64" s="153">
        <v>10.91</v>
      </c>
      <c r="U64" s="153">
        <v>75.79</v>
      </c>
      <c r="V64" s="153">
        <v>102.45</v>
      </c>
      <c r="W64" s="153">
        <v>3.7236</v>
      </c>
      <c r="X64" s="153">
        <v>12.58</v>
      </c>
      <c r="Y64" s="153">
        <v>186.0</v>
      </c>
      <c r="Z64" s="153">
        <v>501.0</v>
      </c>
      <c r="AA64" s="153">
        <v>2071.0</v>
      </c>
      <c r="AB64" s="153">
        <v>52.0359</v>
      </c>
      <c r="AC64" s="153">
        <v>0.6203</v>
      </c>
      <c r="AD64" s="153">
        <v>8.77</v>
      </c>
      <c r="AE64" s="153">
        <v>4.0</v>
      </c>
      <c r="AF64" s="153">
        <v>7.0</v>
      </c>
      <c r="AG64" s="153">
        <v>12.0</v>
      </c>
      <c r="AH64" s="153">
        <v>18.0</v>
      </c>
      <c r="AI64" s="153">
        <v>59.2</v>
      </c>
      <c r="AJ64" s="153">
        <v>23.3</v>
      </c>
      <c r="AK64" s="153">
        <v>3.25</v>
      </c>
      <c r="AQ64" s="153">
        <v>5.4881</v>
      </c>
      <c r="AR64" s="153">
        <v>0.142</v>
      </c>
      <c r="AS64" s="153">
        <v>5.3461</v>
      </c>
      <c r="AT64" s="153">
        <v>5.821</v>
      </c>
      <c r="AU64" s="153">
        <v>0.2116</v>
      </c>
      <c r="AV64" s="153">
        <v>8333.0</v>
      </c>
      <c r="AW64" s="153">
        <v>0.0</v>
      </c>
      <c r="AX64" s="153">
        <v>36.11</v>
      </c>
      <c r="AY64" s="153">
        <v>34.37</v>
      </c>
      <c r="AZ64" s="153">
        <v>3.88</v>
      </c>
      <c r="BA64" s="153">
        <v>10.91</v>
      </c>
      <c r="BB64" s="153">
        <v>1.43</v>
      </c>
      <c r="BC64" s="153">
        <v>33.0</v>
      </c>
      <c r="BD64" s="153">
        <v>23589.0</v>
      </c>
      <c r="BE64" s="153">
        <v>3.2741</v>
      </c>
      <c r="BF64" s="153">
        <v>0.0756</v>
      </c>
      <c r="BG64" s="153">
        <v>3.1985</v>
      </c>
      <c r="BH64" s="153">
        <v>3.2051</v>
      </c>
      <c r="BI64" s="153">
        <v>0.1165</v>
      </c>
      <c r="BJ64" s="153">
        <v>2.214</v>
      </c>
      <c r="BK64" s="153">
        <v>0.0664</v>
      </c>
      <c r="BL64" s="153">
        <v>2.1476</v>
      </c>
      <c r="BM64" s="153">
        <v>2.6159</v>
      </c>
      <c r="BN64" s="153">
        <v>0.0951</v>
      </c>
      <c r="BO64" s="153">
        <v>1.2844</v>
      </c>
      <c r="BP64" s="153">
        <v>0.0246</v>
      </c>
      <c r="BQ64" s="153">
        <v>1.2598</v>
      </c>
      <c r="BR64" s="153">
        <v>1.2326</v>
      </c>
      <c r="BS64" s="153">
        <v>1.2412</v>
      </c>
      <c r="BT64" s="153">
        <v>0.0246</v>
      </c>
      <c r="BU64" s="153">
        <v>1.2166</v>
      </c>
      <c r="BV64" s="153">
        <v>1.2376</v>
      </c>
      <c r="BW64" s="153">
        <v>0.7485</v>
      </c>
      <c r="BX64" s="153">
        <v>0.0264</v>
      </c>
      <c r="BY64" s="153">
        <v>0.7221</v>
      </c>
      <c r="BZ64" s="153">
        <v>0.7349</v>
      </c>
      <c r="CA64" s="153">
        <v>0.495</v>
      </c>
      <c r="CB64" s="153">
        <v>0.018</v>
      </c>
      <c r="CC64" s="153">
        <v>0.477</v>
      </c>
      <c r="CD64" s="153">
        <v>0.5765</v>
      </c>
      <c r="CE64" s="153">
        <v>0.9016</v>
      </c>
      <c r="CF64" s="153">
        <v>0.0262</v>
      </c>
      <c r="CG64" s="153">
        <v>0.8754</v>
      </c>
      <c r="CH64" s="153">
        <v>1.0502</v>
      </c>
      <c r="CI64" s="153">
        <v>0.8174</v>
      </c>
      <c r="CJ64" s="153">
        <v>0.0222</v>
      </c>
      <c r="CK64" s="153">
        <v>0.7952</v>
      </c>
      <c r="CL64" s="153">
        <v>0.9892</v>
      </c>
      <c r="CM64" s="153">
        <v>208.44</v>
      </c>
      <c r="CN64" s="153">
        <v>97.62</v>
      </c>
      <c r="CO64" s="153">
        <v>213.51</v>
      </c>
      <c r="CP64" s="153">
        <v>196.49</v>
      </c>
      <c r="CQ64" s="153">
        <v>0.0</v>
      </c>
      <c r="CR64" s="153">
        <v>3.18</v>
      </c>
      <c r="CS64" s="153">
        <v>8.77</v>
      </c>
      <c r="CT64" s="153">
        <v>0.0</v>
      </c>
      <c r="CU64" s="153">
        <v>0.0</v>
      </c>
      <c r="CV64" s="153">
        <v>0.0</v>
      </c>
      <c r="CW64" s="153">
        <v>86.7</v>
      </c>
      <c r="CX64" s="153">
        <v>0.0</v>
      </c>
      <c r="CY64" s="153">
        <v>0.0</v>
      </c>
      <c r="CZ64" s="153">
        <v>153.84</v>
      </c>
      <c r="DA64" s="153">
        <v>2.56</v>
      </c>
      <c r="DB64" s="153">
        <v>151.28</v>
      </c>
      <c r="DC64" s="153">
        <v>145.13</v>
      </c>
      <c r="DD64" s="153">
        <v>0.73</v>
      </c>
      <c r="DE64" s="153">
        <v>144.39</v>
      </c>
      <c r="DF64" s="153">
        <v>4.28</v>
      </c>
      <c r="DG64" s="153">
        <v>0.61</v>
      </c>
      <c r="DH64" s="153">
        <v>3.68</v>
      </c>
      <c r="DI64" s="153">
        <v>3.21</v>
      </c>
      <c r="DJ64" s="153">
        <v>0.61</v>
      </c>
      <c r="DK64" s="153">
        <v>2.6</v>
      </c>
      <c r="DL64" s="153">
        <v>1.22</v>
      </c>
      <c r="DM64" s="153">
        <v>0.61</v>
      </c>
      <c r="DN64" s="153">
        <v>0.62</v>
      </c>
    </row>
    <row r="65">
      <c r="A65" s="250">
        <v>46260.0</v>
      </c>
      <c r="B65" s="153" t="s">
        <v>4</v>
      </c>
      <c r="C65" s="153" t="s">
        <v>135</v>
      </c>
      <c r="D65" s="153">
        <v>5575.0</v>
      </c>
      <c r="E65" s="153">
        <v>15.73</v>
      </c>
      <c r="F65" s="153">
        <v>1807.45</v>
      </c>
      <c r="G65" s="153">
        <v>0.3242</v>
      </c>
      <c r="H65" s="153">
        <v>5.92</v>
      </c>
      <c r="I65" s="153">
        <v>5.4771</v>
      </c>
      <c r="J65" s="153">
        <v>73.21</v>
      </c>
      <c r="K65" s="153">
        <v>40.8</v>
      </c>
      <c r="L65" s="153">
        <v>25.1</v>
      </c>
      <c r="M65" s="153">
        <v>0.6153</v>
      </c>
      <c r="N65" s="153">
        <v>0.5222</v>
      </c>
      <c r="O65" s="153">
        <v>0.3143</v>
      </c>
      <c r="P65" s="153">
        <v>1.6252</v>
      </c>
      <c r="Q65" s="153">
        <v>140.0</v>
      </c>
      <c r="R65" s="153">
        <v>119.9</v>
      </c>
      <c r="S65" s="153">
        <v>20.11</v>
      </c>
      <c r="T65" s="153">
        <v>22.49</v>
      </c>
      <c r="U65" s="153">
        <v>117.51</v>
      </c>
      <c r="V65" s="153">
        <v>169.63</v>
      </c>
      <c r="W65" s="153">
        <v>4.158</v>
      </c>
      <c r="X65" s="153">
        <v>16.07</v>
      </c>
      <c r="Y65" s="153">
        <v>207.0</v>
      </c>
      <c r="Z65" s="153">
        <v>523.0</v>
      </c>
      <c r="AA65" s="153">
        <v>1925.0</v>
      </c>
      <c r="AB65" s="153">
        <v>54.1849</v>
      </c>
      <c r="AC65" s="153">
        <v>0.7265</v>
      </c>
      <c r="AD65" s="153">
        <v>16.08</v>
      </c>
      <c r="AE65" s="153">
        <v>6.0</v>
      </c>
      <c r="AF65" s="153">
        <v>12.0</v>
      </c>
      <c r="AG65" s="153">
        <v>22.0</v>
      </c>
      <c r="AH65" s="153">
        <v>34.0</v>
      </c>
      <c r="AI65" s="153">
        <v>55.77</v>
      </c>
      <c r="AJ65" s="153">
        <v>19.39</v>
      </c>
      <c r="AK65" s="153">
        <v>5.36</v>
      </c>
      <c r="AQ65" s="153">
        <v>8.4013</v>
      </c>
      <c r="AR65" s="153">
        <v>0.31</v>
      </c>
      <c r="AS65" s="153">
        <v>8.0913</v>
      </c>
      <c r="AT65" s="153">
        <v>9.0768</v>
      </c>
      <c r="AU65" s="153">
        <v>0.2225</v>
      </c>
      <c r="AV65" s="153">
        <v>5575.0</v>
      </c>
      <c r="AW65" s="153">
        <v>0.0</v>
      </c>
      <c r="AX65" s="153">
        <v>54.09</v>
      </c>
      <c r="AY65" s="153">
        <v>57.47</v>
      </c>
      <c r="AZ65" s="153">
        <v>3.65</v>
      </c>
      <c r="BA65" s="153">
        <v>22.49</v>
      </c>
      <c r="BB65" s="153">
        <v>2.31</v>
      </c>
      <c r="BC65" s="153">
        <v>65.0</v>
      </c>
      <c r="BD65" s="153">
        <v>20848.0</v>
      </c>
      <c r="BE65" s="153">
        <v>5.0135</v>
      </c>
      <c r="BF65" s="153">
        <v>0.1378</v>
      </c>
      <c r="BG65" s="153">
        <v>4.8757</v>
      </c>
      <c r="BH65" s="153">
        <v>5.0893</v>
      </c>
      <c r="BI65" s="153">
        <v>0.1247</v>
      </c>
      <c r="BJ65" s="153">
        <v>3.3878</v>
      </c>
      <c r="BK65" s="153">
        <v>0.1722</v>
      </c>
      <c r="BL65" s="153">
        <v>3.2156</v>
      </c>
      <c r="BM65" s="153">
        <v>3.9874</v>
      </c>
      <c r="BN65" s="153">
        <v>0.0977</v>
      </c>
      <c r="BO65" s="153">
        <v>1.8088</v>
      </c>
      <c r="BP65" s="153">
        <v>0.0398</v>
      </c>
      <c r="BQ65" s="153">
        <v>1.769</v>
      </c>
      <c r="BR65" s="153">
        <v>1.8305</v>
      </c>
      <c r="BS65" s="153">
        <v>1.8811</v>
      </c>
      <c r="BT65" s="153">
        <v>0.0425</v>
      </c>
      <c r="BU65" s="153">
        <v>1.8386</v>
      </c>
      <c r="BV65" s="153">
        <v>1.9419</v>
      </c>
      <c r="BW65" s="153">
        <v>1.3236</v>
      </c>
      <c r="BX65" s="153">
        <v>0.0554</v>
      </c>
      <c r="BY65" s="153">
        <v>1.2682</v>
      </c>
      <c r="BZ65" s="153">
        <v>1.317</v>
      </c>
      <c r="CA65" s="153">
        <v>0.8339</v>
      </c>
      <c r="CB65" s="153">
        <v>0.0488</v>
      </c>
      <c r="CC65" s="153">
        <v>0.7851</v>
      </c>
      <c r="CD65" s="153">
        <v>0.9605</v>
      </c>
      <c r="CE65" s="153">
        <v>1.2691</v>
      </c>
      <c r="CF65" s="153">
        <v>0.0639</v>
      </c>
      <c r="CG65" s="153">
        <v>1.2052</v>
      </c>
      <c r="CH65" s="153">
        <v>1.4728</v>
      </c>
      <c r="CI65" s="153">
        <v>1.2848</v>
      </c>
      <c r="CJ65" s="153">
        <v>0.0596</v>
      </c>
      <c r="CK65" s="153">
        <v>1.2253</v>
      </c>
      <c r="CL65" s="153">
        <v>1.5541</v>
      </c>
      <c r="CM65" s="153">
        <v>346.51</v>
      </c>
      <c r="CN65" s="153">
        <v>98.64</v>
      </c>
      <c r="CO65" s="153">
        <v>351.3</v>
      </c>
      <c r="CP65" s="153">
        <v>329.2</v>
      </c>
      <c r="CQ65" s="153">
        <v>0.0</v>
      </c>
      <c r="CR65" s="153">
        <v>3.69</v>
      </c>
      <c r="CS65" s="153">
        <v>13.63</v>
      </c>
      <c r="CT65" s="153">
        <v>0.0</v>
      </c>
      <c r="CU65" s="153">
        <v>0.0</v>
      </c>
      <c r="CV65" s="153">
        <v>0.0</v>
      </c>
      <c r="CW65" s="153">
        <v>140.0</v>
      </c>
      <c r="CX65" s="153">
        <v>0.0</v>
      </c>
      <c r="CY65" s="153">
        <v>0.0</v>
      </c>
      <c r="CZ65" s="153">
        <v>212.54</v>
      </c>
      <c r="DA65" s="153">
        <v>5.31</v>
      </c>
      <c r="DB65" s="153">
        <v>207.23</v>
      </c>
      <c r="DC65" s="153">
        <v>198.08</v>
      </c>
      <c r="DD65" s="153">
        <v>1.71</v>
      </c>
      <c r="DE65" s="153">
        <v>196.38</v>
      </c>
      <c r="DF65" s="153">
        <v>7.3</v>
      </c>
      <c r="DG65" s="153">
        <v>1.2</v>
      </c>
      <c r="DH65" s="153">
        <v>6.1</v>
      </c>
      <c r="DI65" s="153">
        <v>5.09</v>
      </c>
      <c r="DJ65" s="153">
        <v>1.2</v>
      </c>
      <c r="DK65" s="153">
        <v>3.89</v>
      </c>
      <c r="DL65" s="153">
        <v>2.07</v>
      </c>
      <c r="DM65" s="153">
        <v>1.2</v>
      </c>
      <c r="DN65" s="153">
        <v>0.86</v>
      </c>
    </row>
    <row r="66">
      <c r="A66" s="250">
        <v>46260.0</v>
      </c>
      <c r="B66" s="153" t="s">
        <v>4</v>
      </c>
      <c r="C66" s="153" t="s">
        <v>136</v>
      </c>
      <c r="D66" s="153">
        <v>2896.0</v>
      </c>
      <c r="E66" s="153">
        <v>8.17</v>
      </c>
      <c r="F66" s="153">
        <v>1904.27</v>
      </c>
      <c r="G66" s="153">
        <v>0.6576</v>
      </c>
      <c r="H66" s="153">
        <v>8.77</v>
      </c>
      <c r="I66" s="153">
        <v>7.4971</v>
      </c>
      <c r="J66" s="153">
        <v>127.71</v>
      </c>
      <c r="K66" s="153">
        <v>74.47</v>
      </c>
      <c r="L66" s="153">
        <v>52.25</v>
      </c>
      <c r="M66" s="153">
        <v>0.7016</v>
      </c>
      <c r="N66" s="153">
        <v>0.4373</v>
      </c>
      <c r="O66" s="153">
        <v>0.2694</v>
      </c>
      <c r="P66" s="153">
        <v>1.4253</v>
      </c>
      <c r="Q66" s="153">
        <v>243.59</v>
      </c>
      <c r="R66" s="153">
        <v>202.83</v>
      </c>
      <c r="S66" s="153">
        <v>40.75</v>
      </c>
      <c r="T66" s="153">
        <v>47.19</v>
      </c>
      <c r="U66" s="153">
        <v>196.4</v>
      </c>
      <c r="V66" s="153">
        <v>293.47</v>
      </c>
      <c r="W66" s="153">
        <v>3.941</v>
      </c>
      <c r="X66" s="153">
        <v>19.37</v>
      </c>
      <c r="Y66" s="153">
        <v>240.0</v>
      </c>
      <c r="Z66" s="153">
        <v>727.0</v>
      </c>
      <c r="AA66" s="153">
        <v>2618.0</v>
      </c>
      <c r="AB66" s="153">
        <v>56.576</v>
      </c>
      <c r="AC66" s="153">
        <v>0.7807</v>
      </c>
      <c r="AD66" s="153">
        <v>30.01</v>
      </c>
      <c r="AE66" s="153">
        <v>12.0</v>
      </c>
      <c r="AF66" s="153">
        <v>22.0</v>
      </c>
      <c r="AG66" s="153">
        <v>41.0</v>
      </c>
      <c r="AH66" s="153">
        <v>65.0</v>
      </c>
      <c r="AI66" s="153">
        <v>40.12</v>
      </c>
      <c r="AJ66" s="153">
        <v>12.26</v>
      </c>
      <c r="AK66" s="153">
        <v>2.56</v>
      </c>
      <c r="AQ66" s="153">
        <v>13.7427</v>
      </c>
      <c r="AR66" s="153">
        <v>0.5725</v>
      </c>
      <c r="AS66" s="153">
        <v>13.1702</v>
      </c>
      <c r="AT66" s="153">
        <v>15.3557</v>
      </c>
      <c r="AU66" s="153">
        <v>0.2062</v>
      </c>
      <c r="AV66" s="153">
        <v>2896.0</v>
      </c>
      <c r="AW66" s="153">
        <v>0.0</v>
      </c>
      <c r="AX66" s="153">
        <v>94.14</v>
      </c>
      <c r="AY66" s="153">
        <v>91.77</v>
      </c>
      <c r="AZ66" s="153">
        <v>5.25</v>
      </c>
      <c r="BA66" s="153">
        <v>47.19</v>
      </c>
      <c r="BB66" s="153">
        <v>5.24</v>
      </c>
      <c r="BC66" s="153">
        <v>124.0</v>
      </c>
      <c r="BD66" s="153">
        <v>22189.0</v>
      </c>
      <c r="BE66" s="153">
        <v>7.9596</v>
      </c>
      <c r="BF66" s="153">
        <v>0.2486</v>
      </c>
      <c r="BG66" s="153">
        <v>7.711</v>
      </c>
      <c r="BH66" s="153">
        <v>8.2849</v>
      </c>
      <c r="BI66" s="153">
        <v>0.1113</v>
      </c>
      <c r="BJ66" s="153">
        <v>5.7831</v>
      </c>
      <c r="BK66" s="153">
        <v>0.3239</v>
      </c>
      <c r="BL66" s="153">
        <v>5.4593</v>
      </c>
      <c r="BM66" s="153">
        <v>7.0708</v>
      </c>
      <c r="BN66" s="153">
        <v>0.095</v>
      </c>
      <c r="BO66" s="153">
        <v>2.8204</v>
      </c>
      <c r="BP66" s="153">
        <v>0.0822</v>
      </c>
      <c r="BQ66" s="153">
        <v>2.7383</v>
      </c>
      <c r="BR66" s="153">
        <v>2.9631</v>
      </c>
      <c r="BS66" s="153">
        <v>2.7282</v>
      </c>
      <c r="BT66" s="153">
        <v>0.0822</v>
      </c>
      <c r="BU66" s="153">
        <v>2.6461</v>
      </c>
      <c r="BV66" s="153">
        <v>2.9444</v>
      </c>
      <c r="BW66" s="153">
        <v>2.4109</v>
      </c>
      <c r="BX66" s="153">
        <v>0.0843</v>
      </c>
      <c r="BY66" s="153">
        <v>2.3267</v>
      </c>
      <c r="BZ66" s="153">
        <v>2.3774</v>
      </c>
      <c r="CA66" s="153">
        <v>1.6067</v>
      </c>
      <c r="CB66" s="153">
        <v>0.0929</v>
      </c>
      <c r="CC66" s="153">
        <v>1.5138</v>
      </c>
      <c r="CD66" s="153">
        <v>2.097</v>
      </c>
      <c r="CE66" s="153">
        <v>1.905</v>
      </c>
      <c r="CF66" s="153">
        <v>0.1274</v>
      </c>
      <c r="CG66" s="153">
        <v>1.7776</v>
      </c>
      <c r="CH66" s="153">
        <v>2.1727</v>
      </c>
      <c r="CI66" s="153">
        <v>2.2714</v>
      </c>
      <c r="CJ66" s="153">
        <v>0.1036</v>
      </c>
      <c r="CK66" s="153">
        <v>2.1678</v>
      </c>
      <c r="CL66" s="153">
        <v>2.8011</v>
      </c>
      <c r="CM66" s="153">
        <v>674.57</v>
      </c>
      <c r="CN66" s="153">
        <v>99.52</v>
      </c>
      <c r="CO66" s="153">
        <v>677.85</v>
      </c>
      <c r="CP66" s="153">
        <v>651.79</v>
      </c>
      <c r="CQ66" s="153">
        <v>0.0</v>
      </c>
      <c r="CR66" s="153">
        <v>3.73</v>
      </c>
      <c r="CS66" s="153">
        <v>19.05</v>
      </c>
      <c r="CT66" s="153">
        <v>0.0</v>
      </c>
      <c r="CU66" s="153">
        <v>0.0</v>
      </c>
      <c r="CV66" s="153">
        <v>0.0</v>
      </c>
      <c r="CW66" s="153">
        <v>243.59</v>
      </c>
      <c r="CX66" s="153">
        <v>0.0</v>
      </c>
      <c r="CY66" s="153">
        <v>0.0</v>
      </c>
      <c r="CZ66" s="153">
        <v>332.01</v>
      </c>
      <c r="DA66" s="153">
        <v>7.75</v>
      </c>
      <c r="DB66" s="153">
        <v>324.27</v>
      </c>
      <c r="DC66" s="153">
        <v>311.79</v>
      </c>
      <c r="DD66" s="153">
        <v>2.83</v>
      </c>
      <c r="DE66" s="153">
        <v>308.96</v>
      </c>
      <c r="DF66" s="153">
        <v>8.0</v>
      </c>
      <c r="DG66" s="153">
        <v>1.64</v>
      </c>
      <c r="DH66" s="153">
        <v>6.36</v>
      </c>
      <c r="DI66" s="153">
        <v>7.49</v>
      </c>
      <c r="DJ66" s="153">
        <v>1.64</v>
      </c>
      <c r="DK66" s="153">
        <v>5.85</v>
      </c>
      <c r="DL66" s="153">
        <v>4.73</v>
      </c>
      <c r="DM66" s="153">
        <v>1.64</v>
      </c>
      <c r="DN66" s="153">
        <v>3.09</v>
      </c>
    </row>
    <row r="67">
      <c r="A67" s="250">
        <v>46260.0</v>
      </c>
      <c r="B67" s="153" t="s">
        <v>4</v>
      </c>
      <c r="C67" s="153" t="s">
        <v>137</v>
      </c>
      <c r="D67" s="153">
        <v>361.0</v>
      </c>
      <c r="E67" s="153">
        <v>1.02</v>
      </c>
      <c r="F67" s="153">
        <v>704.53</v>
      </c>
      <c r="G67" s="153">
        <v>1.9516</v>
      </c>
      <c r="H67" s="153">
        <v>14.68</v>
      </c>
      <c r="I67" s="153">
        <v>13.293</v>
      </c>
      <c r="J67" s="153">
        <v>256.22</v>
      </c>
      <c r="K67" s="153">
        <v>166.65</v>
      </c>
      <c r="L67" s="153">
        <v>127.84</v>
      </c>
      <c r="M67" s="153">
        <v>0.7671</v>
      </c>
      <c r="N67" s="153">
        <v>0.3554</v>
      </c>
      <c r="O67" s="153">
        <v>0.2207</v>
      </c>
      <c r="P67" s="153">
        <v>1.3036</v>
      </c>
      <c r="Q67" s="153">
        <v>505.05</v>
      </c>
      <c r="R67" s="153">
        <v>406.34</v>
      </c>
      <c r="S67" s="153">
        <v>98.71</v>
      </c>
      <c r="T67" s="153">
        <v>144.46</v>
      </c>
      <c r="U67" s="153">
        <v>360.59</v>
      </c>
      <c r="V67" s="153">
        <v>558.03</v>
      </c>
      <c r="W67" s="153">
        <v>3.3486</v>
      </c>
      <c r="X67" s="153">
        <v>28.6</v>
      </c>
      <c r="Y67" s="153">
        <v>297.0</v>
      </c>
      <c r="Z67" s="153">
        <v>1089.0</v>
      </c>
      <c r="AA67" s="153">
        <v>4194.0</v>
      </c>
      <c r="AB67" s="153">
        <v>58.7812</v>
      </c>
      <c r="AC67" s="153">
        <v>0.8279</v>
      </c>
      <c r="AD67" s="153">
        <v>61.06</v>
      </c>
      <c r="AE67" s="153">
        <v>22.0</v>
      </c>
      <c r="AF67" s="153">
        <v>38.0</v>
      </c>
      <c r="AG67" s="153">
        <v>80.0</v>
      </c>
      <c r="AH67" s="153">
        <v>138.0</v>
      </c>
      <c r="AI67" s="153">
        <v>25.76</v>
      </c>
      <c r="AJ67" s="153">
        <v>7.2</v>
      </c>
      <c r="AK67" s="153">
        <v>2.22</v>
      </c>
      <c r="AQ67" s="153">
        <v>29.2853</v>
      </c>
      <c r="AR67" s="153">
        <v>1.9474</v>
      </c>
      <c r="AS67" s="153">
        <v>27.338</v>
      </c>
      <c r="AT67" s="153">
        <v>34.8006</v>
      </c>
      <c r="AU67" s="153">
        <v>0.2088</v>
      </c>
      <c r="AV67" s="153">
        <v>361.0</v>
      </c>
      <c r="AW67" s="153">
        <v>0.0</v>
      </c>
      <c r="AX67" s="153">
        <v>196.29</v>
      </c>
      <c r="AY67" s="153">
        <v>140.24</v>
      </c>
      <c r="AZ67" s="153">
        <v>7.8</v>
      </c>
      <c r="BA67" s="153">
        <v>144.46</v>
      </c>
      <c r="BB67" s="153">
        <v>16.27</v>
      </c>
      <c r="BC67" s="153">
        <v>292.0</v>
      </c>
      <c r="BD67" s="153">
        <v>25903.0</v>
      </c>
      <c r="BE67" s="153">
        <v>16.9446</v>
      </c>
      <c r="BF67" s="153">
        <v>0.8726</v>
      </c>
      <c r="BG67" s="153">
        <v>16.072</v>
      </c>
      <c r="BH67" s="153">
        <v>16.446</v>
      </c>
      <c r="BI67" s="153">
        <v>0.0987</v>
      </c>
      <c r="BJ67" s="153">
        <v>12.3407</v>
      </c>
      <c r="BK67" s="153">
        <v>1.0748</v>
      </c>
      <c r="BL67" s="153">
        <v>11.2659</v>
      </c>
      <c r="BM67" s="153">
        <v>18.3546</v>
      </c>
      <c r="BN67" s="153">
        <v>0.1101</v>
      </c>
      <c r="BO67" s="153">
        <v>5.7036</v>
      </c>
      <c r="BP67" s="153">
        <v>0.2909</v>
      </c>
      <c r="BQ67" s="153">
        <v>5.4127</v>
      </c>
      <c r="BR67" s="153">
        <v>5.7729</v>
      </c>
      <c r="BS67" s="153">
        <v>5.7064</v>
      </c>
      <c r="BT67" s="153">
        <v>0.2909</v>
      </c>
      <c r="BU67" s="153">
        <v>5.4155</v>
      </c>
      <c r="BV67" s="153">
        <v>5.6648</v>
      </c>
      <c r="BW67" s="153">
        <v>5.5346</v>
      </c>
      <c r="BX67" s="153">
        <v>0.2909</v>
      </c>
      <c r="BY67" s="153">
        <v>5.2438</v>
      </c>
      <c r="BZ67" s="153">
        <v>5.0083</v>
      </c>
      <c r="CA67" s="153">
        <v>3.7867</v>
      </c>
      <c r="CB67" s="153">
        <v>0.3213</v>
      </c>
      <c r="CC67" s="153">
        <v>3.4654</v>
      </c>
      <c r="CD67" s="153">
        <v>4.4681</v>
      </c>
      <c r="CE67" s="153">
        <v>3.7202</v>
      </c>
      <c r="CF67" s="153">
        <v>0.4017</v>
      </c>
      <c r="CG67" s="153">
        <v>3.3186</v>
      </c>
      <c r="CH67" s="153">
        <v>4.4072</v>
      </c>
      <c r="CI67" s="153">
        <v>4.8338</v>
      </c>
      <c r="CJ67" s="153">
        <v>0.3518</v>
      </c>
      <c r="CK67" s="153">
        <v>4.482</v>
      </c>
      <c r="CL67" s="153">
        <v>9.4792</v>
      </c>
      <c r="CM67" s="153">
        <v>1568.4</v>
      </c>
      <c r="CN67" s="153">
        <v>100.0</v>
      </c>
      <c r="CO67" s="153">
        <v>1568.4</v>
      </c>
      <c r="CP67" s="153">
        <v>1535.86</v>
      </c>
      <c r="CQ67" s="153">
        <v>0.0</v>
      </c>
      <c r="CR67" s="153">
        <v>8.09</v>
      </c>
      <c r="CS67" s="153">
        <v>24.46</v>
      </c>
      <c r="CT67" s="153">
        <v>0.0</v>
      </c>
      <c r="CU67" s="153">
        <v>0.0</v>
      </c>
      <c r="CV67" s="153">
        <v>0.0</v>
      </c>
      <c r="CW67" s="153">
        <v>505.05</v>
      </c>
      <c r="CX67" s="153">
        <v>0.0</v>
      </c>
      <c r="CY67" s="153">
        <v>0.0</v>
      </c>
      <c r="CZ67" s="153">
        <v>598.7</v>
      </c>
      <c r="DA67" s="153">
        <v>13.55</v>
      </c>
      <c r="DB67" s="153">
        <v>585.15</v>
      </c>
      <c r="DC67" s="153">
        <v>580.5</v>
      </c>
      <c r="DD67" s="153">
        <v>9.56</v>
      </c>
      <c r="DE67" s="153">
        <v>570.94</v>
      </c>
      <c r="DF67" s="153">
        <v>6.63</v>
      </c>
      <c r="DG67" s="153">
        <v>1.33</v>
      </c>
      <c r="DH67" s="153">
        <v>5.3</v>
      </c>
      <c r="DI67" s="153">
        <v>6.32</v>
      </c>
      <c r="DJ67" s="153">
        <v>1.33</v>
      </c>
      <c r="DK67" s="153">
        <v>4.99</v>
      </c>
      <c r="DL67" s="153">
        <v>5.25</v>
      </c>
      <c r="DM67" s="153">
        <v>1.33</v>
      </c>
      <c r="DN67" s="153">
        <v>3.92</v>
      </c>
    </row>
    <row r="68">
      <c r="A68" s="250">
        <v>46260.0</v>
      </c>
      <c r="B68" s="153" t="s">
        <v>5</v>
      </c>
      <c r="C68" s="153" t="s">
        <v>423</v>
      </c>
      <c r="D68" s="153">
        <v>7716.0</v>
      </c>
      <c r="E68" s="153">
        <v>21.78</v>
      </c>
      <c r="F68" s="153">
        <v>1582.51</v>
      </c>
      <c r="G68" s="153">
        <v>0.2051</v>
      </c>
      <c r="H68" s="153">
        <v>1.43</v>
      </c>
      <c r="I68" s="153">
        <v>14.3865</v>
      </c>
      <c r="J68" s="153">
        <v>23.6</v>
      </c>
      <c r="K68" s="153">
        <v>12.62</v>
      </c>
      <c r="L68" s="153">
        <v>8.19</v>
      </c>
      <c r="M68" s="153">
        <v>0.6492</v>
      </c>
      <c r="N68" s="153">
        <v>0.4791</v>
      </c>
      <c r="O68" s="153">
        <v>0.2346</v>
      </c>
      <c r="P68" s="153">
        <v>1.5403</v>
      </c>
      <c r="Q68" s="153">
        <v>66.2</v>
      </c>
      <c r="R68" s="153">
        <v>66.1</v>
      </c>
      <c r="S68" s="153">
        <v>0.1</v>
      </c>
      <c r="T68" s="153">
        <v>13.2</v>
      </c>
      <c r="U68" s="153">
        <v>53.0</v>
      </c>
      <c r="V68" s="153">
        <v>56.6</v>
      </c>
      <c r="W68" s="153">
        <v>4.4836</v>
      </c>
      <c r="X68" s="153">
        <v>19.94</v>
      </c>
      <c r="Y68" s="153">
        <v>209.0</v>
      </c>
      <c r="Z68" s="153">
        <v>1157.0</v>
      </c>
      <c r="AA68" s="153">
        <v>9168.0</v>
      </c>
      <c r="AB68" s="153">
        <v>49.8427</v>
      </c>
      <c r="AC68" s="153">
        <v>0.4846</v>
      </c>
      <c r="AI68" s="153">
        <v>0.0</v>
      </c>
      <c r="AJ68" s="153">
        <v>0.0</v>
      </c>
      <c r="AK68" s="153">
        <v>0.0</v>
      </c>
      <c r="AM68" s="153">
        <v>7.47</v>
      </c>
      <c r="AN68" s="153">
        <v>7.47</v>
      </c>
      <c r="AO68" s="153">
        <v>4.5</v>
      </c>
      <c r="AP68" s="153">
        <v>2.33</v>
      </c>
      <c r="AQ68" s="153">
        <v>2.1748</v>
      </c>
      <c r="AR68" s="153">
        <v>0.1678</v>
      </c>
      <c r="AS68" s="153">
        <v>2.007</v>
      </c>
      <c r="AT68" s="153">
        <v>1.7561</v>
      </c>
      <c r="AU68" s="153">
        <v>0.1391</v>
      </c>
      <c r="AV68" s="153">
        <v>7716.0</v>
      </c>
      <c r="AW68" s="153">
        <v>0.0</v>
      </c>
      <c r="AX68" s="153">
        <v>10.75</v>
      </c>
      <c r="AY68" s="153">
        <v>38.48</v>
      </c>
      <c r="AZ68" s="153">
        <v>3.56</v>
      </c>
      <c r="BA68" s="153">
        <v>13.2</v>
      </c>
      <c r="BB68" s="153">
        <v>0.22</v>
      </c>
      <c r="BD68" s="153">
        <v>31547.0</v>
      </c>
      <c r="BE68" s="153">
        <v>0.9422</v>
      </c>
      <c r="BF68" s="153">
        <v>0.0708</v>
      </c>
      <c r="BG68" s="153">
        <v>0.8714</v>
      </c>
      <c r="BH68" s="153">
        <v>0.885</v>
      </c>
      <c r="BI68" s="153">
        <v>0.0701</v>
      </c>
      <c r="BJ68" s="153">
        <v>1.2326</v>
      </c>
      <c r="BK68" s="153">
        <v>0.0971</v>
      </c>
      <c r="BL68" s="153">
        <v>1.1356</v>
      </c>
      <c r="BM68" s="153">
        <v>0.871</v>
      </c>
      <c r="BN68" s="153">
        <v>0.069</v>
      </c>
      <c r="BO68" s="153">
        <v>0.3555</v>
      </c>
      <c r="BP68" s="153">
        <v>0.0244</v>
      </c>
      <c r="BQ68" s="153">
        <v>0.3311</v>
      </c>
      <c r="BR68" s="153">
        <v>0.3458</v>
      </c>
      <c r="BS68" s="153">
        <v>0.3234</v>
      </c>
      <c r="BT68" s="153">
        <v>0.0228</v>
      </c>
      <c r="BU68" s="153">
        <v>0.3005</v>
      </c>
      <c r="BV68" s="153">
        <v>0.2998</v>
      </c>
      <c r="BW68" s="153">
        <v>0.2633</v>
      </c>
      <c r="BX68" s="153">
        <v>0.0236</v>
      </c>
      <c r="BY68" s="153">
        <v>0.2398</v>
      </c>
      <c r="BZ68" s="153">
        <v>0.2395</v>
      </c>
      <c r="CA68" s="153">
        <v>0.2094</v>
      </c>
      <c r="CB68" s="153">
        <v>0.0259</v>
      </c>
      <c r="CC68" s="153">
        <v>0.1835</v>
      </c>
      <c r="CD68" s="153">
        <v>0.1923</v>
      </c>
      <c r="CE68" s="153">
        <v>0.5254</v>
      </c>
      <c r="CF68" s="153">
        <v>0.0389</v>
      </c>
      <c r="CG68" s="153">
        <v>0.4865</v>
      </c>
      <c r="CH68" s="153">
        <v>0.3208</v>
      </c>
      <c r="CI68" s="153">
        <v>0.4978</v>
      </c>
      <c r="CJ68" s="153">
        <v>0.0323</v>
      </c>
      <c r="CK68" s="153">
        <v>0.4655</v>
      </c>
      <c r="CL68" s="153">
        <v>0.358</v>
      </c>
      <c r="CM68" s="153">
        <v>109.93</v>
      </c>
      <c r="CN68" s="153">
        <v>17.09</v>
      </c>
      <c r="CO68" s="153">
        <v>643.08</v>
      </c>
      <c r="CP68" s="153">
        <v>85.98</v>
      </c>
      <c r="CQ68" s="153">
        <v>21.06</v>
      </c>
      <c r="CR68" s="153">
        <v>1.62</v>
      </c>
      <c r="CS68" s="153">
        <v>1.27</v>
      </c>
      <c r="CT68" s="153">
        <v>0.0</v>
      </c>
      <c r="CU68" s="153">
        <v>1208.0</v>
      </c>
      <c r="CV68" s="153">
        <v>8.99</v>
      </c>
      <c r="CW68" s="153">
        <v>75.19</v>
      </c>
      <c r="CX68" s="153">
        <v>3.02</v>
      </c>
      <c r="CY68" s="153">
        <v>24.08</v>
      </c>
      <c r="CZ68" s="153">
        <v>46.97</v>
      </c>
      <c r="DA68" s="153">
        <v>1.46</v>
      </c>
      <c r="DB68" s="153">
        <v>45.51</v>
      </c>
      <c r="DC68" s="153">
        <v>42.31</v>
      </c>
      <c r="DD68" s="153">
        <v>0.84</v>
      </c>
      <c r="DE68" s="153">
        <v>41.48</v>
      </c>
      <c r="DF68" s="153">
        <v>2.0</v>
      </c>
      <c r="DG68" s="153">
        <v>0.21</v>
      </c>
      <c r="DH68" s="153">
        <v>1.79</v>
      </c>
      <c r="DI68" s="153">
        <v>1.96</v>
      </c>
      <c r="DJ68" s="153">
        <v>0.21</v>
      </c>
      <c r="DK68" s="153">
        <v>1.75</v>
      </c>
      <c r="DL68" s="153">
        <v>0.7</v>
      </c>
      <c r="DM68" s="153">
        <v>0.21</v>
      </c>
      <c r="DN68" s="153">
        <v>0.49</v>
      </c>
    </row>
    <row r="69">
      <c r="A69" s="250">
        <v>46260.0</v>
      </c>
      <c r="B69" s="153" t="s">
        <v>5</v>
      </c>
      <c r="C69" s="153" t="s">
        <v>133</v>
      </c>
      <c r="D69" s="153">
        <v>10431.0</v>
      </c>
      <c r="E69" s="153">
        <v>29.44</v>
      </c>
      <c r="F69" s="153">
        <v>513.37</v>
      </c>
      <c r="G69" s="153">
        <v>0.0492</v>
      </c>
      <c r="H69" s="153">
        <v>1.76</v>
      </c>
      <c r="I69" s="153">
        <v>2.7901</v>
      </c>
      <c r="J69" s="153">
        <v>26.92</v>
      </c>
      <c r="K69" s="153">
        <v>13.41</v>
      </c>
      <c r="L69" s="153">
        <v>5.3</v>
      </c>
      <c r="M69" s="153">
        <v>0.3949</v>
      </c>
      <c r="N69" s="153">
        <v>0.7145</v>
      </c>
      <c r="O69" s="153">
        <v>0.4516</v>
      </c>
      <c r="P69" s="153">
        <v>2.5322</v>
      </c>
      <c r="Q69" s="153">
        <v>44.93</v>
      </c>
      <c r="R69" s="153">
        <v>41.11</v>
      </c>
      <c r="S69" s="153">
        <v>3.82</v>
      </c>
      <c r="T69" s="153">
        <v>3.58</v>
      </c>
      <c r="U69" s="153">
        <v>41.35</v>
      </c>
      <c r="V69" s="153">
        <v>50.01</v>
      </c>
      <c r="W69" s="153">
        <v>3.7299</v>
      </c>
      <c r="X69" s="153">
        <v>7.96</v>
      </c>
      <c r="Y69" s="153">
        <v>186.0</v>
      </c>
      <c r="Z69" s="153">
        <v>518.0</v>
      </c>
      <c r="AA69" s="153">
        <v>2264.0</v>
      </c>
      <c r="AB69" s="153">
        <v>49.8731</v>
      </c>
      <c r="AC69" s="153">
        <v>0.5635</v>
      </c>
      <c r="AD69" s="153">
        <v>3.99</v>
      </c>
      <c r="AE69" s="153">
        <v>1.0</v>
      </c>
      <c r="AF69" s="153">
        <v>3.0</v>
      </c>
      <c r="AG69" s="153">
        <v>5.0</v>
      </c>
      <c r="AH69" s="153">
        <v>9.0</v>
      </c>
      <c r="AI69" s="153">
        <v>72.89</v>
      </c>
      <c r="AJ69" s="153">
        <v>32.01</v>
      </c>
      <c r="AK69" s="153">
        <v>7.6</v>
      </c>
      <c r="AM69" s="153">
        <v>41.64</v>
      </c>
      <c r="AN69" s="153">
        <v>41.64</v>
      </c>
      <c r="AO69" s="153">
        <v>18.93</v>
      </c>
      <c r="AP69" s="153">
        <v>5.35</v>
      </c>
      <c r="AQ69" s="153">
        <v>3.7359</v>
      </c>
      <c r="AR69" s="153">
        <v>0.0493</v>
      </c>
      <c r="AS69" s="153">
        <v>3.6866</v>
      </c>
      <c r="AT69" s="153">
        <v>3.2459</v>
      </c>
      <c r="AU69" s="153">
        <v>0.2421</v>
      </c>
      <c r="AV69" s="153">
        <v>10431.0</v>
      </c>
      <c r="AW69" s="153">
        <v>0.0</v>
      </c>
      <c r="AX69" s="153">
        <v>19.93</v>
      </c>
      <c r="AY69" s="153">
        <v>17.93</v>
      </c>
      <c r="AZ69" s="153">
        <v>2.93</v>
      </c>
      <c r="BA69" s="153">
        <v>3.57</v>
      </c>
      <c r="BB69" s="153">
        <v>0.57</v>
      </c>
      <c r="BC69" s="153">
        <v>17.0</v>
      </c>
      <c r="BD69" s="153">
        <v>23088.0</v>
      </c>
      <c r="BE69" s="153">
        <v>2.5482</v>
      </c>
      <c r="BF69" s="153">
        <v>0.0253</v>
      </c>
      <c r="BG69" s="153">
        <v>2.5229</v>
      </c>
      <c r="BH69" s="153">
        <v>1.919</v>
      </c>
      <c r="BI69" s="153">
        <v>0.1431</v>
      </c>
      <c r="BJ69" s="153">
        <v>1.1877</v>
      </c>
      <c r="BK69" s="153">
        <v>0.024</v>
      </c>
      <c r="BL69" s="153">
        <v>1.1637</v>
      </c>
      <c r="BM69" s="153">
        <v>1.3269</v>
      </c>
      <c r="BN69" s="153">
        <v>0.099</v>
      </c>
      <c r="BO69" s="153">
        <v>1.2638</v>
      </c>
      <c r="BP69" s="153">
        <v>0.008</v>
      </c>
      <c r="BQ69" s="153">
        <v>1.2559</v>
      </c>
      <c r="BR69" s="153">
        <v>0.8604</v>
      </c>
      <c r="BS69" s="153">
        <v>1.0275</v>
      </c>
      <c r="BT69" s="153">
        <v>0.008</v>
      </c>
      <c r="BU69" s="153">
        <v>1.0196</v>
      </c>
      <c r="BV69" s="153">
        <v>0.761</v>
      </c>
      <c r="BW69" s="153">
        <v>0.2568</v>
      </c>
      <c r="BX69" s="153">
        <v>0.0094</v>
      </c>
      <c r="BY69" s="153">
        <v>0.2474</v>
      </c>
      <c r="BZ69" s="153">
        <v>0.2976</v>
      </c>
      <c r="CA69" s="153">
        <v>0.1623</v>
      </c>
      <c r="CB69" s="153">
        <v>0.0051</v>
      </c>
      <c r="CC69" s="153">
        <v>0.1572</v>
      </c>
      <c r="CD69" s="153">
        <v>0.224</v>
      </c>
      <c r="CE69" s="153">
        <v>0.5597</v>
      </c>
      <c r="CF69" s="153">
        <v>0.011</v>
      </c>
      <c r="CG69" s="153">
        <v>0.5487</v>
      </c>
      <c r="CH69" s="153">
        <v>0.6142</v>
      </c>
      <c r="CI69" s="153">
        <v>0.4657</v>
      </c>
      <c r="CJ69" s="153">
        <v>0.0079</v>
      </c>
      <c r="CK69" s="153">
        <v>0.4579</v>
      </c>
      <c r="CL69" s="153">
        <v>0.4886</v>
      </c>
      <c r="CM69" s="153">
        <v>94.16</v>
      </c>
      <c r="CN69" s="153">
        <v>91.89</v>
      </c>
      <c r="CO69" s="153">
        <v>102.47</v>
      </c>
      <c r="CP69" s="153">
        <v>74.79</v>
      </c>
      <c r="CQ69" s="153">
        <v>15.69</v>
      </c>
      <c r="CR69" s="153">
        <v>2.54</v>
      </c>
      <c r="CS69" s="153">
        <v>1.15</v>
      </c>
      <c r="CT69" s="153">
        <v>0.0</v>
      </c>
      <c r="CU69" s="153">
        <v>1334.0</v>
      </c>
      <c r="CV69" s="153">
        <v>1.08</v>
      </c>
      <c r="CW69" s="153">
        <v>46.01</v>
      </c>
      <c r="CX69" s="153">
        <v>1.73</v>
      </c>
      <c r="CY69" s="153">
        <v>17.42</v>
      </c>
      <c r="CZ69" s="153">
        <v>95.78</v>
      </c>
      <c r="DA69" s="153">
        <v>1.32</v>
      </c>
      <c r="DB69" s="153">
        <v>94.45</v>
      </c>
      <c r="DC69" s="153">
        <v>89.75</v>
      </c>
      <c r="DD69" s="153">
        <v>0.36</v>
      </c>
      <c r="DE69" s="153">
        <v>89.39</v>
      </c>
      <c r="DF69" s="153">
        <v>2.92</v>
      </c>
      <c r="DG69" s="153">
        <v>0.32</v>
      </c>
      <c r="DH69" s="153">
        <v>2.6</v>
      </c>
      <c r="DI69" s="153">
        <v>2.35</v>
      </c>
      <c r="DJ69" s="153">
        <v>0.32</v>
      </c>
      <c r="DK69" s="153">
        <v>2.03</v>
      </c>
      <c r="DL69" s="153">
        <v>0.75</v>
      </c>
      <c r="DM69" s="153">
        <v>0.32</v>
      </c>
      <c r="DN69" s="153">
        <v>0.43</v>
      </c>
    </row>
    <row r="70">
      <c r="A70" s="250">
        <v>46260.0</v>
      </c>
      <c r="B70" s="153" t="s">
        <v>5</v>
      </c>
      <c r="C70" s="153" t="s">
        <v>134</v>
      </c>
      <c r="D70" s="153">
        <v>8438.0</v>
      </c>
      <c r="E70" s="153">
        <v>23.81</v>
      </c>
      <c r="F70" s="153">
        <v>1340.74</v>
      </c>
      <c r="G70" s="153">
        <v>0.1589</v>
      </c>
      <c r="H70" s="153">
        <v>3.78</v>
      </c>
      <c r="I70" s="153">
        <v>4.2029</v>
      </c>
      <c r="J70" s="153">
        <v>53.43</v>
      </c>
      <c r="K70" s="153">
        <v>27.89</v>
      </c>
      <c r="L70" s="153">
        <v>14.27</v>
      </c>
      <c r="M70" s="153">
        <v>0.5117</v>
      </c>
      <c r="N70" s="153">
        <v>0.615</v>
      </c>
      <c r="O70" s="153">
        <v>0.3632</v>
      </c>
      <c r="P70" s="153">
        <v>1.9543</v>
      </c>
      <c r="Q70" s="153">
        <v>93.1</v>
      </c>
      <c r="R70" s="153">
        <v>83.55</v>
      </c>
      <c r="S70" s="153">
        <v>9.55</v>
      </c>
      <c r="T70" s="153">
        <v>11.47</v>
      </c>
      <c r="U70" s="153">
        <v>81.63</v>
      </c>
      <c r="V70" s="153">
        <v>101.87</v>
      </c>
      <c r="W70" s="153">
        <v>3.6529</v>
      </c>
      <c r="X70" s="153">
        <v>12.32</v>
      </c>
      <c r="Y70" s="153">
        <v>182.0</v>
      </c>
      <c r="Z70" s="153">
        <v>456.0</v>
      </c>
      <c r="AA70" s="153">
        <v>1731.0</v>
      </c>
      <c r="AB70" s="153">
        <v>51.6933</v>
      </c>
      <c r="AC70" s="153">
        <v>0.6153</v>
      </c>
      <c r="AD70" s="153">
        <v>9.05</v>
      </c>
      <c r="AE70" s="153">
        <v>4.0</v>
      </c>
      <c r="AF70" s="153">
        <v>7.0</v>
      </c>
      <c r="AG70" s="153">
        <v>12.0</v>
      </c>
      <c r="AH70" s="153">
        <v>19.0</v>
      </c>
      <c r="AI70" s="153">
        <v>60.84</v>
      </c>
      <c r="AJ70" s="153">
        <v>24.52</v>
      </c>
      <c r="AK70" s="153">
        <v>3.54</v>
      </c>
      <c r="AM70" s="153">
        <v>48.31</v>
      </c>
      <c r="AN70" s="153">
        <v>48.31</v>
      </c>
      <c r="AO70" s="153">
        <v>26.71</v>
      </c>
      <c r="AP70" s="153">
        <v>11.26</v>
      </c>
      <c r="AQ70" s="153">
        <v>6.9195</v>
      </c>
      <c r="AR70" s="153">
        <v>0.1383</v>
      </c>
      <c r="AS70" s="153">
        <v>6.7812</v>
      </c>
      <c r="AT70" s="153">
        <v>6.2857</v>
      </c>
      <c r="AU70" s="153">
        <v>0.2254</v>
      </c>
      <c r="AV70" s="153">
        <v>8438.0</v>
      </c>
      <c r="AW70" s="153">
        <v>0.0</v>
      </c>
      <c r="AX70" s="153">
        <v>32.52</v>
      </c>
      <c r="AY70" s="153">
        <v>44.09</v>
      </c>
      <c r="AZ70" s="153">
        <v>3.73</v>
      </c>
      <c r="BA70" s="153">
        <v>11.46</v>
      </c>
      <c r="BB70" s="153">
        <v>1.3</v>
      </c>
      <c r="BC70" s="153">
        <v>34.0</v>
      </c>
      <c r="BD70" s="153">
        <v>20919.0</v>
      </c>
      <c r="BE70" s="153">
        <v>4.2348</v>
      </c>
      <c r="BF70" s="153">
        <v>0.0604</v>
      </c>
      <c r="BG70" s="153">
        <v>4.1743</v>
      </c>
      <c r="BH70" s="153">
        <v>3.5288</v>
      </c>
      <c r="BI70" s="153">
        <v>0.1265</v>
      </c>
      <c r="BJ70" s="153">
        <v>2.6848</v>
      </c>
      <c r="BK70" s="153">
        <v>0.0779</v>
      </c>
      <c r="BL70" s="153">
        <v>2.6069</v>
      </c>
      <c r="BM70" s="153">
        <v>2.7569</v>
      </c>
      <c r="BN70" s="153">
        <v>0.0989</v>
      </c>
      <c r="BO70" s="153">
        <v>1.7281</v>
      </c>
      <c r="BP70" s="153">
        <v>0.0194</v>
      </c>
      <c r="BQ70" s="153">
        <v>1.7087</v>
      </c>
      <c r="BR70" s="153">
        <v>1.439</v>
      </c>
      <c r="BS70" s="153">
        <v>1.6819</v>
      </c>
      <c r="BT70" s="153">
        <v>0.0201</v>
      </c>
      <c r="BU70" s="153">
        <v>1.6618</v>
      </c>
      <c r="BV70" s="153">
        <v>1.3722</v>
      </c>
      <c r="BW70" s="153">
        <v>0.8247</v>
      </c>
      <c r="BX70" s="153">
        <v>0.0209</v>
      </c>
      <c r="BY70" s="153">
        <v>0.8039</v>
      </c>
      <c r="BZ70" s="153">
        <v>0.7176</v>
      </c>
      <c r="CA70" s="153">
        <v>0.5593</v>
      </c>
      <c r="CB70" s="153">
        <v>0.022</v>
      </c>
      <c r="CC70" s="153">
        <v>0.5372</v>
      </c>
      <c r="CD70" s="153">
        <v>0.6024</v>
      </c>
      <c r="CE70" s="153">
        <v>1.0276</v>
      </c>
      <c r="CF70" s="153">
        <v>0.0316</v>
      </c>
      <c r="CG70" s="153">
        <v>0.996</v>
      </c>
      <c r="CH70" s="153">
        <v>1.0772</v>
      </c>
      <c r="CI70" s="153">
        <v>1.0979</v>
      </c>
      <c r="CJ70" s="153">
        <v>0.0242</v>
      </c>
      <c r="CK70" s="153">
        <v>1.0737</v>
      </c>
      <c r="CL70" s="153">
        <v>1.0774</v>
      </c>
      <c r="CM70" s="153">
        <v>190.33</v>
      </c>
      <c r="CN70" s="153">
        <v>97.23</v>
      </c>
      <c r="CO70" s="153">
        <v>195.76</v>
      </c>
      <c r="CP70" s="153">
        <v>149.59</v>
      </c>
      <c r="CQ70" s="153">
        <v>34.85</v>
      </c>
      <c r="CR70" s="153">
        <v>2.65</v>
      </c>
      <c r="CS70" s="153">
        <v>3.25</v>
      </c>
      <c r="CT70" s="153">
        <v>0.0</v>
      </c>
      <c r="CU70" s="153">
        <v>2093.0</v>
      </c>
      <c r="CV70" s="153">
        <v>3.62</v>
      </c>
      <c r="CW70" s="153">
        <v>96.72</v>
      </c>
      <c r="CX70" s="153">
        <v>5.32</v>
      </c>
      <c r="CY70" s="153">
        <v>40.17</v>
      </c>
      <c r="CZ70" s="153">
        <v>154.52</v>
      </c>
      <c r="DA70" s="153">
        <v>3.13</v>
      </c>
      <c r="DB70" s="153">
        <v>151.39</v>
      </c>
      <c r="DC70" s="153">
        <v>144.45</v>
      </c>
      <c r="DD70" s="153">
        <v>1.03</v>
      </c>
      <c r="DE70" s="153">
        <v>143.43</v>
      </c>
      <c r="DF70" s="153">
        <v>5.55</v>
      </c>
      <c r="DG70" s="153">
        <v>0.7</v>
      </c>
      <c r="DH70" s="153">
        <v>4.84</v>
      </c>
      <c r="DI70" s="153">
        <v>3.22</v>
      </c>
      <c r="DJ70" s="153">
        <v>0.7</v>
      </c>
      <c r="DK70" s="153">
        <v>2.52</v>
      </c>
      <c r="DL70" s="153">
        <v>1.3</v>
      </c>
      <c r="DM70" s="153">
        <v>0.7</v>
      </c>
      <c r="DN70" s="153">
        <v>0.59</v>
      </c>
    </row>
    <row r="71">
      <c r="A71" s="250">
        <v>46260.0</v>
      </c>
      <c r="B71" s="153" t="s">
        <v>5</v>
      </c>
      <c r="C71" s="153" t="s">
        <v>135</v>
      </c>
      <c r="D71" s="153">
        <v>5677.0</v>
      </c>
      <c r="E71" s="153">
        <v>16.02</v>
      </c>
      <c r="F71" s="153">
        <v>1795.73</v>
      </c>
      <c r="G71" s="153">
        <v>0.3163</v>
      </c>
      <c r="H71" s="153">
        <v>5.69</v>
      </c>
      <c r="I71" s="153">
        <v>5.5595</v>
      </c>
      <c r="J71" s="153">
        <v>77.96</v>
      </c>
      <c r="K71" s="153">
        <v>42.56</v>
      </c>
      <c r="L71" s="153">
        <v>26.45</v>
      </c>
      <c r="M71" s="153">
        <v>0.6214</v>
      </c>
      <c r="N71" s="153">
        <v>0.5176</v>
      </c>
      <c r="O71" s="153">
        <v>0.3119</v>
      </c>
      <c r="P71" s="153">
        <v>1.6093</v>
      </c>
      <c r="Q71" s="153">
        <v>175.74</v>
      </c>
      <c r="R71" s="153">
        <v>156.99</v>
      </c>
      <c r="S71" s="153">
        <v>18.75</v>
      </c>
      <c r="T71" s="153">
        <v>21.32</v>
      </c>
      <c r="U71" s="153">
        <v>154.41</v>
      </c>
      <c r="V71" s="153">
        <v>191.5</v>
      </c>
      <c r="W71" s="153">
        <v>4.4996</v>
      </c>
      <c r="X71" s="153">
        <v>12.13</v>
      </c>
      <c r="Y71" s="153">
        <v>232.0</v>
      </c>
      <c r="Z71" s="153">
        <v>543.0</v>
      </c>
      <c r="AA71" s="153">
        <v>1721.0</v>
      </c>
      <c r="AB71" s="153">
        <v>54.2633</v>
      </c>
      <c r="AC71" s="153">
        <v>0.7133</v>
      </c>
      <c r="AD71" s="153">
        <v>16.59</v>
      </c>
      <c r="AE71" s="153">
        <v>7.0</v>
      </c>
      <c r="AF71" s="153">
        <v>13.0</v>
      </c>
      <c r="AG71" s="153">
        <v>22.0</v>
      </c>
      <c r="AH71" s="153">
        <v>34.0</v>
      </c>
      <c r="AI71" s="153">
        <v>58.89</v>
      </c>
      <c r="AJ71" s="153">
        <v>19.66</v>
      </c>
      <c r="AK71" s="153">
        <v>5.46</v>
      </c>
      <c r="AM71" s="153">
        <v>50.66</v>
      </c>
      <c r="AN71" s="153">
        <v>50.66</v>
      </c>
      <c r="AO71" s="153">
        <v>27.2</v>
      </c>
      <c r="AP71" s="153">
        <v>13.16</v>
      </c>
      <c r="AQ71" s="153">
        <v>10.0317</v>
      </c>
      <c r="AR71" s="153">
        <v>0.3713</v>
      </c>
      <c r="AS71" s="153">
        <v>9.6604</v>
      </c>
      <c r="AT71" s="153">
        <v>9.2584</v>
      </c>
      <c r="AU71" s="153">
        <v>0.2175</v>
      </c>
      <c r="AV71" s="153">
        <v>5677.0</v>
      </c>
      <c r="AW71" s="153">
        <v>0.0</v>
      </c>
      <c r="AX71" s="153">
        <v>52.42</v>
      </c>
      <c r="AY71" s="153">
        <v>95.91</v>
      </c>
      <c r="AZ71" s="153">
        <v>3.62</v>
      </c>
      <c r="BA71" s="153">
        <v>21.32</v>
      </c>
      <c r="BB71" s="153">
        <v>2.46</v>
      </c>
      <c r="BC71" s="153">
        <v>63.0</v>
      </c>
      <c r="BD71" s="153">
        <v>17745.0</v>
      </c>
      <c r="BE71" s="153">
        <v>5.8573</v>
      </c>
      <c r="BF71" s="153">
        <v>0.2167</v>
      </c>
      <c r="BG71" s="153">
        <v>5.6407</v>
      </c>
      <c r="BH71" s="153">
        <v>5.1562</v>
      </c>
      <c r="BI71" s="153">
        <v>0.1212</v>
      </c>
      <c r="BJ71" s="153">
        <v>4.1744</v>
      </c>
      <c r="BK71" s="153">
        <v>0.1547</v>
      </c>
      <c r="BL71" s="153">
        <v>4.0197</v>
      </c>
      <c r="BM71" s="153">
        <v>4.1022</v>
      </c>
      <c r="BN71" s="153">
        <v>0.0964</v>
      </c>
      <c r="BO71" s="153">
        <v>2.0234</v>
      </c>
      <c r="BP71" s="153">
        <v>0.0683</v>
      </c>
      <c r="BQ71" s="153">
        <v>1.9551</v>
      </c>
      <c r="BR71" s="153">
        <v>1.8883</v>
      </c>
      <c r="BS71" s="153">
        <v>2.1275</v>
      </c>
      <c r="BT71" s="153">
        <v>0.071</v>
      </c>
      <c r="BU71" s="153">
        <v>2.0565</v>
      </c>
      <c r="BV71" s="153">
        <v>1.923</v>
      </c>
      <c r="BW71" s="153">
        <v>1.7064</v>
      </c>
      <c r="BX71" s="153">
        <v>0.0773</v>
      </c>
      <c r="BY71" s="153">
        <v>1.629</v>
      </c>
      <c r="BZ71" s="153">
        <v>1.3449</v>
      </c>
      <c r="CA71" s="153">
        <v>0.9431</v>
      </c>
      <c r="CB71" s="153">
        <v>0.043</v>
      </c>
      <c r="CC71" s="153">
        <v>0.9001</v>
      </c>
      <c r="CD71" s="153">
        <v>0.9264</v>
      </c>
      <c r="CE71" s="153">
        <v>1.4319</v>
      </c>
      <c r="CF71" s="153">
        <v>0.0595</v>
      </c>
      <c r="CG71" s="153">
        <v>1.3724</v>
      </c>
      <c r="CH71" s="153">
        <v>1.4516</v>
      </c>
      <c r="CI71" s="153">
        <v>1.7994</v>
      </c>
      <c r="CJ71" s="153">
        <v>0.0521</v>
      </c>
      <c r="CK71" s="153">
        <v>1.7472</v>
      </c>
      <c r="CL71" s="153">
        <v>1.7242</v>
      </c>
      <c r="CM71" s="153">
        <v>341.41</v>
      </c>
      <c r="CN71" s="153">
        <v>98.33</v>
      </c>
      <c r="CO71" s="153">
        <v>347.22</v>
      </c>
      <c r="CP71" s="153">
        <v>270.38</v>
      </c>
      <c r="CQ71" s="153">
        <v>62.59</v>
      </c>
      <c r="CR71" s="153">
        <v>3.18</v>
      </c>
      <c r="CS71" s="153">
        <v>5.27</v>
      </c>
      <c r="CT71" s="153">
        <v>0.0</v>
      </c>
      <c r="CU71" s="153">
        <v>2651.0</v>
      </c>
      <c r="CV71" s="153">
        <v>12.71</v>
      </c>
      <c r="CW71" s="153">
        <v>188.44</v>
      </c>
      <c r="CX71" s="153">
        <v>10.24</v>
      </c>
      <c r="CY71" s="153">
        <v>72.83</v>
      </c>
      <c r="CZ71" s="153">
        <v>224.96</v>
      </c>
      <c r="DA71" s="153">
        <v>4.48</v>
      </c>
      <c r="DB71" s="153">
        <v>220.48</v>
      </c>
      <c r="DC71" s="153">
        <v>208.26</v>
      </c>
      <c r="DD71" s="153">
        <v>1.41</v>
      </c>
      <c r="DE71" s="153">
        <v>206.85</v>
      </c>
      <c r="DF71" s="153">
        <v>10.17</v>
      </c>
      <c r="DG71" s="153">
        <v>1.02</v>
      </c>
      <c r="DH71" s="153">
        <v>9.15</v>
      </c>
      <c r="DI71" s="153">
        <v>4.61</v>
      </c>
      <c r="DJ71" s="153">
        <v>1.02</v>
      </c>
      <c r="DK71" s="153">
        <v>3.59</v>
      </c>
      <c r="DL71" s="153">
        <v>1.92</v>
      </c>
      <c r="DM71" s="153">
        <v>1.02</v>
      </c>
      <c r="DN71" s="153">
        <v>0.9</v>
      </c>
    </row>
    <row r="72">
      <c r="A72" s="250">
        <v>46260.0</v>
      </c>
      <c r="B72" s="153" t="s">
        <v>5</v>
      </c>
      <c r="C72" s="153" t="s">
        <v>136</v>
      </c>
      <c r="D72" s="153">
        <v>2839.0</v>
      </c>
      <c r="E72" s="153">
        <v>8.01</v>
      </c>
      <c r="F72" s="153">
        <v>2089.89</v>
      </c>
      <c r="G72" s="153">
        <v>0.7361</v>
      </c>
      <c r="H72" s="153">
        <v>8.56</v>
      </c>
      <c r="I72" s="153">
        <v>8.6004</v>
      </c>
      <c r="J72" s="153">
        <v>131.83</v>
      </c>
      <c r="K72" s="153">
        <v>77.07</v>
      </c>
      <c r="L72" s="153">
        <v>55.14</v>
      </c>
      <c r="M72" s="153">
        <v>0.7155</v>
      </c>
      <c r="N72" s="153">
        <v>0.4311</v>
      </c>
      <c r="O72" s="153">
        <v>0.2711</v>
      </c>
      <c r="P72" s="153">
        <v>1.3976</v>
      </c>
      <c r="Q72" s="153">
        <v>359.01</v>
      </c>
      <c r="R72" s="153">
        <v>319.96</v>
      </c>
      <c r="S72" s="153">
        <v>39.05</v>
      </c>
      <c r="T72" s="153">
        <v>50.67</v>
      </c>
      <c r="U72" s="153">
        <v>308.34</v>
      </c>
      <c r="V72" s="153">
        <v>387.51</v>
      </c>
      <c r="W72" s="153">
        <v>5.0279</v>
      </c>
      <c r="X72" s="153">
        <v>14.11</v>
      </c>
      <c r="Y72" s="153">
        <v>341.0</v>
      </c>
      <c r="Z72" s="153">
        <v>714.0</v>
      </c>
      <c r="AA72" s="153">
        <v>2160.0</v>
      </c>
      <c r="AB72" s="153">
        <v>56.5757</v>
      </c>
      <c r="AC72" s="153">
        <v>0.7735</v>
      </c>
      <c r="AD72" s="153">
        <v>31.44</v>
      </c>
      <c r="AE72" s="153">
        <v>13.0</v>
      </c>
      <c r="AF72" s="153">
        <v>24.0</v>
      </c>
      <c r="AG72" s="153">
        <v>42.0</v>
      </c>
      <c r="AH72" s="153">
        <v>65.0</v>
      </c>
      <c r="AI72" s="153">
        <v>43.4</v>
      </c>
      <c r="AJ72" s="153">
        <v>12.5</v>
      </c>
      <c r="AK72" s="153">
        <v>3.1</v>
      </c>
      <c r="AM72" s="153">
        <v>45.61</v>
      </c>
      <c r="AN72" s="153">
        <v>45.61</v>
      </c>
      <c r="AO72" s="153">
        <v>23.32</v>
      </c>
      <c r="AP72" s="153">
        <v>13.53</v>
      </c>
      <c r="AQ72" s="153">
        <v>14.348</v>
      </c>
      <c r="AR72" s="153">
        <v>0.5365</v>
      </c>
      <c r="AS72" s="153">
        <v>13.8116</v>
      </c>
      <c r="AT72" s="153">
        <v>13.9338</v>
      </c>
      <c r="AU72" s="153">
        <v>0.1808</v>
      </c>
      <c r="AV72" s="153">
        <v>2839.0</v>
      </c>
      <c r="AW72" s="153">
        <v>0.0</v>
      </c>
      <c r="AX72" s="153">
        <v>93.06</v>
      </c>
      <c r="AY72" s="153">
        <v>204.41</v>
      </c>
      <c r="AZ72" s="153">
        <v>4.71</v>
      </c>
      <c r="BA72" s="153">
        <v>50.65</v>
      </c>
      <c r="BB72" s="153">
        <v>6.18</v>
      </c>
      <c r="BC72" s="153">
        <v>124.0</v>
      </c>
      <c r="BD72" s="153">
        <v>19507.0</v>
      </c>
      <c r="BE72" s="153">
        <v>7.8964</v>
      </c>
      <c r="BF72" s="153">
        <v>0.2187</v>
      </c>
      <c r="BG72" s="153">
        <v>7.6777</v>
      </c>
      <c r="BH72" s="153">
        <v>7.3586</v>
      </c>
      <c r="BI72" s="153">
        <v>0.0955</v>
      </c>
      <c r="BJ72" s="153">
        <v>6.4516</v>
      </c>
      <c r="BK72" s="153">
        <v>0.3177</v>
      </c>
      <c r="BL72" s="153">
        <v>6.1338</v>
      </c>
      <c r="BM72" s="153">
        <v>6.5752</v>
      </c>
      <c r="BN72" s="153">
        <v>0.0853</v>
      </c>
      <c r="BO72" s="153">
        <v>2.7393</v>
      </c>
      <c r="BP72" s="153">
        <v>0.0722</v>
      </c>
      <c r="BQ72" s="153">
        <v>2.6671</v>
      </c>
      <c r="BR72" s="153">
        <v>2.6798</v>
      </c>
      <c r="BS72" s="153">
        <v>2.5699</v>
      </c>
      <c r="BT72" s="153">
        <v>0.0722</v>
      </c>
      <c r="BU72" s="153">
        <v>2.4977</v>
      </c>
      <c r="BV72" s="153">
        <v>2.5491</v>
      </c>
      <c r="BW72" s="153">
        <v>2.5872</v>
      </c>
      <c r="BX72" s="153">
        <v>0.0743</v>
      </c>
      <c r="BY72" s="153">
        <v>2.5129</v>
      </c>
      <c r="BZ72" s="153">
        <v>2.1296</v>
      </c>
      <c r="CA72" s="153">
        <v>1.5146</v>
      </c>
      <c r="CB72" s="153">
        <v>0.0919</v>
      </c>
      <c r="CC72" s="153">
        <v>1.4227</v>
      </c>
      <c r="CD72" s="153">
        <v>1.6168</v>
      </c>
      <c r="CE72" s="153">
        <v>1.9813</v>
      </c>
      <c r="CF72" s="153">
        <v>0.1261</v>
      </c>
      <c r="CG72" s="153">
        <v>1.8552</v>
      </c>
      <c r="CH72" s="153">
        <v>2.0993</v>
      </c>
      <c r="CI72" s="153">
        <v>2.9556</v>
      </c>
      <c r="CJ72" s="153">
        <v>0.0997</v>
      </c>
      <c r="CK72" s="153">
        <v>2.8559</v>
      </c>
      <c r="CL72" s="153">
        <v>2.8591</v>
      </c>
      <c r="CM72" s="153">
        <v>719.8</v>
      </c>
      <c r="CN72" s="153">
        <v>99.3</v>
      </c>
      <c r="CO72" s="153">
        <v>724.9</v>
      </c>
      <c r="CP72" s="153">
        <v>575.22</v>
      </c>
      <c r="CQ72" s="153">
        <v>132.26</v>
      </c>
      <c r="CR72" s="153">
        <v>3.95</v>
      </c>
      <c r="CS72" s="153">
        <v>8.37</v>
      </c>
      <c r="CT72" s="153">
        <v>0.0</v>
      </c>
      <c r="CU72" s="153">
        <v>2248.0</v>
      </c>
      <c r="CV72" s="153">
        <v>55.6</v>
      </c>
      <c r="CW72" s="153">
        <v>414.61</v>
      </c>
      <c r="CX72" s="153">
        <v>21.92</v>
      </c>
      <c r="CY72" s="153">
        <v>154.18</v>
      </c>
      <c r="CZ72" s="153">
        <v>351.82</v>
      </c>
      <c r="DA72" s="153">
        <v>8.21</v>
      </c>
      <c r="DB72" s="153">
        <v>343.61</v>
      </c>
      <c r="DC72" s="153">
        <v>326.94</v>
      </c>
      <c r="DD72" s="153">
        <v>2.88</v>
      </c>
      <c r="DE72" s="153">
        <v>324.05</v>
      </c>
      <c r="DF72" s="153">
        <v>11.85</v>
      </c>
      <c r="DG72" s="153">
        <v>1.78</v>
      </c>
      <c r="DH72" s="153">
        <v>10.08</v>
      </c>
      <c r="DI72" s="153">
        <v>9.62</v>
      </c>
      <c r="DJ72" s="153">
        <v>1.78</v>
      </c>
      <c r="DK72" s="153">
        <v>7.84</v>
      </c>
      <c r="DL72" s="153">
        <v>3.41</v>
      </c>
      <c r="DM72" s="153">
        <v>1.78</v>
      </c>
      <c r="DN72" s="153">
        <v>1.63</v>
      </c>
    </row>
    <row r="73">
      <c r="A73" s="250">
        <v>46260.0</v>
      </c>
      <c r="B73" s="153" t="s">
        <v>5</v>
      </c>
      <c r="C73" s="153" t="s">
        <v>137</v>
      </c>
      <c r="D73" s="153">
        <v>331.0</v>
      </c>
      <c r="E73" s="153">
        <v>0.93</v>
      </c>
      <c r="F73" s="153">
        <v>399.79</v>
      </c>
      <c r="G73" s="153">
        <v>1.2078</v>
      </c>
      <c r="H73" s="153">
        <v>10.27</v>
      </c>
      <c r="I73" s="153">
        <v>11.7585</v>
      </c>
      <c r="J73" s="153">
        <v>255.91</v>
      </c>
      <c r="K73" s="153">
        <v>162.78</v>
      </c>
      <c r="L73" s="153">
        <v>125.92</v>
      </c>
      <c r="M73" s="153">
        <v>0.7735</v>
      </c>
      <c r="N73" s="153">
        <v>0.3644</v>
      </c>
      <c r="O73" s="153">
        <v>0.2332</v>
      </c>
      <c r="P73" s="153">
        <v>1.2927</v>
      </c>
      <c r="Q73" s="153">
        <v>644.05</v>
      </c>
      <c r="R73" s="153">
        <v>553.93</v>
      </c>
      <c r="S73" s="153">
        <v>90.12</v>
      </c>
      <c r="T73" s="153">
        <v>103.63</v>
      </c>
      <c r="U73" s="153">
        <v>540.43</v>
      </c>
      <c r="V73" s="153">
        <v>724.62</v>
      </c>
      <c r="W73" s="153">
        <v>4.4516</v>
      </c>
      <c r="X73" s="153">
        <v>16.09</v>
      </c>
      <c r="Y73" s="153">
        <v>481.0</v>
      </c>
      <c r="Z73" s="153">
        <v>837.0</v>
      </c>
      <c r="AA73" s="153">
        <v>2075.0</v>
      </c>
      <c r="AB73" s="153">
        <v>58.7091</v>
      </c>
      <c r="AC73" s="153">
        <v>0.8053</v>
      </c>
      <c r="AD73" s="153">
        <v>58.23</v>
      </c>
      <c r="AE73" s="153">
        <v>24.0</v>
      </c>
      <c r="AF73" s="153">
        <v>44.0</v>
      </c>
      <c r="AG73" s="153">
        <v>77.0</v>
      </c>
      <c r="AH73" s="153">
        <v>118.0</v>
      </c>
      <c r="AI73" s="153">
        <v>24.17</v>
      </c>
      <c r="AJ73" s="153">
        <v>4.53</v>
      </c>
      <c r="AK73" s="153">
        <v>0.6</v>
      </c>
      <c r="AM73" s="153">
        <v>35.35</v>
      </c>
      <c r="AN73" s="153">
        <v>35.35</v>
      </c>
      <c r="AO73" s="153">
        <v>20.85</v>
      </c>
      <c r="AP73" s="153">
        <v>12.39</v>
      </c>
      <c r="AQ73" s="153">
        <v>22.3988</v>
      </c>
      <c r="AR73" s="153">
        <v>0.9426</v>
      </c>
      <c r="AS73" s="153">
        <v>21.4562</v>
      </c>
      <c r="AT73" s="153">
        <v>22.8308</v>
      </c>
      <c r="AU73" s="153">
        <v>0.1403</v>
      </c>
      <c r="AV73" s="153">
        <v>331.0</v>
      </c>
      <c r="AW73" s="153">
        <v>0.0</v>
      </c>
      <c r="AX73" s="153">
        <v>181.71</v>
      </c>
      <c r="AY73" s="153">
        <v>338.45</v>
      </c>
      <c r="AZ73" s="153">
        <v>7.1</v>
      </c>
      <c r="BA73" s="153">
        <v>103.63</v>
      </c>
      <c r="BB73" s="153">
        <v>13.17</v>
      </c>
      <c r="BC73" s="153">
        <v>223.0</v>
      </c>
      <c r="BD73" s="153">
        <v>15995.0</v>
      </c>
      <c r="BE73" s="153">
        <v>12.426</v>
      </c>
      <c r="BF73" s="153">
        <v>0.3535</v>
      </c>
      <c r="BG73" s="153">
        <v>12.0725</v>
      </c>
      <c r="BH73" s="153">
        <v>12.4562</v>
      </c>
      <c r="BI73" s="153">
        <v>0.0765</v>
      </c>
      <c r="BJ73" s="153">
        <v>9.9728</v>
      </c>
      <c r="BK73" s="153">
        <v>0.5891</v>
      </c>
      <c r="BL73" s="153">
        <v>9.3837</v>
      </c>
      <c r="BM73" s="153">
        <v>10.3746</v>
      </c>
      <c r="BN73" s="153">
        <v>0.0637</v>
      </c>
      <c r="BO73" s="153">
        <v>3.6526</v>
      </c>
      <c r="BP73" s="153">
        <v>0.1118</v>
      </c>
      <c r="BQ73" s="153">
        <v>3.5408</v>
      </c>
      <c r="BR73" s="153">
        <v>4.0725</v>
      </c>
      <c r="BS73" s="153">
        <v>3.9909</v>
      </c>
      <c r="BT73" s="153">
        <v>0.1299</v>
      </c>
      <c r="BU73" s="153">
        <v>3.861</v>
      </c>
      <c r="BV73" s="153">
        <v>4.1269</v>
      </c>
      <c r="BW73" s="153">
        <v>4.7825</v>
      </c>
      <c r="BX73" s="153">
        <v>0.1118</v>
      </c>
      <c r="BY73" s="153">
        <v>4.6707</v>
      </c>
      <c r="BZ73" s="153">
        <v>4.2568</v>
      </c>
      <c r="CA73" s="153">
        <v>2.6979</v>
      </c>
      <c r="CB73" s="153">
        <v>0.1601</v>
      </c>
      <c r="CC73" s="153">
        <v>2.5378</v>
      </c>
      <c r="CD73" s="153">
        <v>2.6073</v>
      </c>
      <c r="CE73" s="153">
        <v>2.852</v>
      </c>
      <c r="CF73" s="153">
        <v>0.2508</v>
      </c>
      <c r="CG73" s="153">
        <v>2.6012</v>
      </c>
      <c r="CH73" s="153">
        <v>2.9275</v>
      </c>
      <c r="CI73" s="153">
        <v>4.423</v>
      </c>
      <c r="CJ73" s="153">
        <v>0.1782</v>
      </c>
      <c r="CK73" s="153">
        <v>4.2447</v>
      </c>
      <c r="CL73" s="153">
        <v>4.8399</v>
      </c>
      <c r="CM73" s="153">
        <v>1566.5</v>
      </c>
      <c r="CN73" s="153">
        <v>100.0</v>
      </c>
      <c r="CO73" s="153">
        <v>1566.5</v>
      </c>
      <c r="CP73" s="153">
        <v>1173.5</v>
      </c>
      <c r="CQ73" s="153">
        <v>373.87</v>
      </c>
      <c r="CR73" s="153">
        <v>7.49</v>
      </c>
      <c r="CS73" s="153">
        <v>11.63</v>
      </c>
      <c r="CT73" s="153">
        <v>0.0</v>
      </c>
      <c r="CU73" s="153">
        <v>317.0</v>
      </c>
      <c r="CV73" s="153">
        <v>145.67</v>
      </c>
      <c r="CW73" s="153">
        <v>789.73</v>
      </c>
      <c r="CX73" s="153">
        <v>65.59</v>
      </c>
      <c r="CY73" s="153">
        <v>439.46</v>
      </c>
      <c r="CZ73" s="153">
        <v>616.4</v>
      </c>
      <c r="DA73" s="153">
        <v>4.31</v>
      </c>
      <c r="DB73" s="153">
        <v>612.1</v>
      </c>
      <c r="DC73" s="153">
        <v>596.66</v>
      </c>
      <c r="DD73" s="153">
        <v>2.67</v>
      </c>
      <c r="DE73" s="153">
        <v>593.99</v>
      </c>
      <c r="DF73" s="153">
        <v>7.64</v>
      </c>
      <c r="DG73" s="153">
        <v>0.54</v>
      </c>
      <c r="DH73" s="153">
        <v>7.1</v>
      </c>
      <c r="DI73" s="153">
        <v>10.02</v>
      </c>
      <c r="DJ73" s="153">
        <v>0.54</v>
      </c>
      <c r="DK73" s="153">
        <v>9.47</v>
      </c>
      <c r="DL73" s="153">
        <v>2.08</v>
      </c>
      <c r="DM73" s="153">
        <v>0.54</v>
      </c>
      <c r="DN73" s="153">
        <v>1.54</v>
      </c>
    </row>
    <row r="74">
      <c r="A74" s="250"/>
    </row>
    <row r="75">
      <c r="A75" s="250"/>
    </row>
    <row r="76">
      <c r="A76" s="250"/>
    </row>
    <row r="77">
      <c r="A77" s="250"/>
    </row>
    <row r="78">
      <c r="A78" s="250"/>
    </row>
    <row r="79">
      <c r="A79" s="250"/>
    </row>
    <row r="80">
      <c r="A80" s="250"/>
    </row>
    <row r="81">
      <c r="A81" s="250"/>
    </row>
    <row r="82">
      <c r="A82" s="250"/>
    </row>
    <row r="83">
      <c r="A83" s="250"/>
    </row>
    <row r="84">
      <c r="A84" s="250"/>
    </row>
    <row r="85">
      <c r="A85" s="250"/>
    </row>
    <row r="86">
      <c r="A86" s="250"/>
    </row>
    <row r="87">
      <c r="A87" s="250"/>
    </row>
    <row r="88">
      <c r="A88" s="250"/>
    </row>
    <row r="89">
      <c r="A89" s="250"/>
    </row>
    <row r="90">
      <c r="A90" s="250"/>
    </row>
    <row r="91">
      <c r="A91" s="250"/>
    </row>
    <row r="92">
      <c r="A92" s="250"/>
    </row>
    <row r="93">
      <c r="A93" s="250"/>
    </row>
    <row r="94">
      <c r="A94" s="250"/>
    </row>
    <row r="95">
      <c r="A95" s="250"/>
    </row>
    <row r="96">
      <c r="A96" s="250"/>
    </row>
    <row r="97">
      <c r="A97" s="250"/>
    </row>
    <row r="98">
      <c r="A98" s="250"/>
    </row>
    <row r="99">
      <c r="A99" s="250"/>
    </row>
    <row r="100">
      <c r="A100" s="250"/>
    </row>
    <row r="101">
      <c r="A101" s="250"/>
    </row>
    <row r="102">
      <c r="A102" s="250"/>
    </row>
    <row r="103">
      <c r="A103" s="250"/>
    </row>
    <row r="104">
      <c r="A104" s="250"/>
    </row>
    <row r="105">
      <c r="A105" s="250"/>
    </row>
    <row r="106">
      <c r="A106" s="250"/>
    </row>
    <row r="107">
      <c r="A107" s="250"/>
    </row>
    <row r="108">
      <c r="A108" s="250"/>
    </row>
    <row r="109">
      <c r="A109" s="250"/>
    </row>
    <row r="110">
      <c r="A110" s="250"/>
    </row>
    <row r="111">
      <c r="A111" s="250"/>
    </row>
    <row r="112">
      <c r="A112" s="250"/>
    </row>
    <row r="113">
      <c r="A113" s="250"/>
    </row>
    <row r="114">
      <c r="A114" s="250"/>
    </row>
    <row r="115">
      <c r="A115" s="250"/>
    </row>
    <row r="116">
      <c r="A116" s="250"/>
    </row>
    <row r="117">
      <c r="A117" s="250"/>
    </row>
    <row r="118">
      <c r="A118" s="250"/>
    </row>
    <row r="119">
      <c r="A119" s="250"/>
    </row>
    <row r="120">
      <c r="A120" s="250"/>
    </row>
    <row r="121">
      <c r="A121" s="250"/>
    </row>
    <row r="122">
      <c r="A122" s="250"/>
    </row>
    <row r="123">
      <c r="A123" s="250"/>
    </row>
    <row r="124">
      <c r="A124" s="250"/>
    </row>
    <row r="125">
      <c r="A125" s="250"/>
    </row>
    <row r="126">
      <c r="A126" s="250"/>
    </row>
    <row r="127">
      <c r="A127" s="250"/>
    </row>
    <row r="128">
      <c r="A128" s="250"/>
    </row>
    <row r="129">
      <c r="A129" s="250"/>
    </row>
    <row r="130">
      <c r="A130" s="250"/>
    </row>
    <row r="131">
      <c r="A131" s="250"/>
    </row>
    <row r="132">
      <c r="A132" s="250"/>
    </row>
    <row r="133">
      <c r="A133" s="250"/>
    </row>
    <row r="134">
      <c r="A134" s="250"/>
    </row>
    <row r="135">
      <c r="A135" s="250"/>
    </row>
    <row r="136">
      <c r="A136" s="250"/>
    </row>
    <row r="137">
      <c r="A137" s="250"/>
    </row>
    <row r="138">
      <c r="A138" s="250"/>
    </row>
    <row r="139">
      <c r="A139" s="250"/>
    </row>
    <row r="140">
      <c r="A140" s="250"/>
    </row>
    <row r="141">
      <c r="A141" s="250"/>
    </row>
    <row r="142">
      <c r="A142" s="250"/>
    </row>
    <row r="143">
      <c r="A143" s="250"/>
    </row>
    <row r="144">
      <c r="A144" s="250"/>
    </row>
    <row r="145">
      <c r="A145" s="250"/>
    </row>
    <row r="146">
      <c r="A146" s="250"/>
    </row>
    <row r="147">
      <c r="A147" s="250"/>
    </row>
    <row r="148">
      <c r="A148" s="250"/>
    </row>
    <row r="149">
      <c r="A149" s="250"/>
    </row>
    <row r="150">
      <c r="A150" s="250"/>
    </row>
    <row r="151">
      <c r="A151" s="250"/>
    </row>
    <row r="152">
      <c r="A152" s="250"/>
    </row>
    <row r="153">
      <c r="A153" s="250"/>
    </row>
    <row r="154">
      <c r="A154" s="250"/>
    </row>
    <row r="155">
      <c r="A155" s="250"/>
    </row>
    <row r="156">
      <c r="A156" s="250"/>
    </row>
    <row r="157">
      <c r="A157" s="250"/>
    </row>
    <row r="158">
      <c r="A158" s="250"/>
    </row>
    <row r="159">
      <c r="A159" s="250"/>
    </row>
    <row r="160">
      <c r="A160" s="250"/>
    </row>
    <row r="161">
      <c r="A161" s="250"/>
    </row>
    <row r="162">
      <c r="A162" s="250"/>
    </row>
    <row r="163">
      <c r="A163" s="250"/>
    </row>
    <row r="164">
      <c r="A164" s="250"/>
    </row>
    <row r="165">
      <c r="A165" s="250"/>
    </row>
    <row r="166">
      <c r="A166" s="250"/>
    </row>
    <row r="167">
      <c r="A167" s="250"/>
    </row>
    <row r="168">
      <c r="A168" s="250"/>
    </row>
    <row r="169">
      <c r="A169" s="250"/>
    </row>
    <row r="170">
      <c r="A170" s="250"/>
    </row>
    <row r="171">
      <c r="A171" s="250"/>
    </row>
    <row r="172">
      <c r="A172" s="250"/>
    </row>
    <row r="173">
      <c r="A173" s="250"/>
    </row>
    <row r="174">
      <c r="A174" s="250"/>
    </row>
    <row r="175">
      <c r="A175" s="250"/>
    </row>
    <row r="176">
      <c r="A176" s="250"/>
    </row>
    <row r="177">
      <c r="A177" s="250"/>
    </row>
    <row r="178">
      <c r="A178" s="250"/>
    </row>
    <row r="179">
      <c r="A179" s="250"/>
    </row>
    <row r="180">
      <c r="A180" s="250"/>
    </row>
    <row r="181">
      <c r="A181" s="250"/>
    </row>
    <row r="182">
      <c r="A182" s="250"/>
    </row>
    <row r="183">
      <c r="A183" s="250"/>
    </row>
    <row r="184">
      <c r="A184" s="250"/>
    </row>
    <row r="185">
      <c r="A185" s="250"/>
    </row>
    <row r="186">
      <c r="A186" s="250"/>
    </row>
    <row r="187">
      <c r="A187" s="250"/>
    </row>
    <row r="188">
      <c r="A188" s="250"/>
    </row>
    <row r="189">
      <c r="A189" s="250"/>
    </row>
    <row r="190">
      <c r="A190" s="250"/>
    </row>
    <row r="191">
      <c r="A191" s="250"/>
    </row>
    <row r="192">
      <c r="A192" s="250"/>
    </row>
    <row r="193">
      <c r="A193" s="250"/>
    </row>
    <row r="194">
      <c r="A194" s="250"/>
    </row>
    <row r="195">
      <c r="A195" s="250"/>
    </row>
    <row r="196">
      <c r="A196" s="250"/>
    </row>
    <row r="197">
      <c r="A197" s="250"/>
    </row>
    <row r="198">
      <c r="A198" s="250"/>
    </row>
    <row r="199">
      <c r="A199" s="250"/>
    </row>
    <row r="200">
      <c r="A200" s="250"/>
    </row>
    <row r="201">
      <c r="A201" s="250"/>
    </row>
    <row r="202">
      <c r="A202" s="250"/>
    </row>
    <row r="203">
      <c r="A203" s="250"/>
    </row>
    <row r="204">
      <c r="A204" s="250"/>
    </row>
    <row r="205">
      <c r="A205" s="250"/>
    </row>
  </sheetData>
  <drawing r:id="rId1"/>
</worksheet>
</file>